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Rodean\Documents\UiPath\TestSuite\Dataset\"/>
    </mc:Choice>
  </mc:AlternateContent>
  <xr:revisionPtr revIDLastSave="0" documentId="13_ncr:1_{F944AD93-9C27-4432-9C98-8D1D10EDF9BC}" xr6:coauthVersionLast="47" xr6:coauthVersionMax="47" xr10:uidLastSave="{00000000-0000-0000-0000-000000000000}"/>
  <bookViews>
    <workbookView xWindow="1710" yWindow="340" windowWidth="27660" windowHeight="13910" tabRatio="857" firstSheet="1" activeTab="1" xr2:uid="{00000000-000D-0000-FFFF-FFFF00000000}"/>
  </bookViews>
  <sheets>
    <sheet name="PT - RR Dashboard" sheetId="55" state="hidden" r:id="rId1"/>
    <sheet name="Sheet1" sheetId="56" r:id="rId2"/>
    <sheet name="Credit Card" sheetId="51" state="hidden" r:id="rId3"/>
    <sheet name="Crypto Dataset" sheetId="45" state="hidden" r:id="rId4"/>
  </sheets>
  <externalReferences>
    <externalReference r:id="rId5"/>
  </externalReferences>
  <definedNames>
    <definedName name="Crypto">Crypto_Dataset[]</definedName>
    <definedName name="HouseChartAxis">#REF!                                                                                                   : INDEX(#REF!,,COUNTA(#REF!))</definedName>
    <definedName name="HouseEffectiveLoanBalance">#REF!                                                                                                     : INDEX(#REF!,,COUNTA(#REF!))</definedName>
    <definedName name="HouseOffsetAmt">#REF!                                                                                                       : INDEX(#REF!,,COUNTA(#REF!))</definedName>
    <definedName name="HouseTotalPrinciple">#REF!                                                                                                       : INDEX(#REF!,,COUNTA(#REF!))</definedName>
    <definedName name="LoanRate">#REF!</definedName>
    <definedName name="payment_due">'[1]Named Ranges'!$A$2:$A$9</definedName>
    <definedName name="payment_frequency">'[1]Payoff Calc. (Extra Payment)'!$E$12</definedName>
    <definedName name="payment_types">'[1]Named Ranges'!$G$1:$G$2</definedName>
    <definedName name="periodic_table">'[1]Named Ranges'!$A$1:$E$9</definedName>
    <definedName name="register">#REF!</definedName>
    <definedName name="register2">#REF!</definedName>
    <definedName name="Wallets">#REF!</definedName>
  </definedNames>
  <calcPr calcId="191029"/>
  <pivotCaches>
    <pivotCache cacheId="0" r:id="rId6"/>
  </pivotCaches>
</workbook>
</file>

<file path=xl/calcChain.xml><?xml version="1.0" encoding="utf-8"?>
<calcChain xmlns="http://schemas.openxmlformats.org/spreadsheetml/2006/main">
  <c r="M150" i="45" l="1"/>
  <c r="L150" i="45"/>
  <c r="M149" i="45"/>
  <c r="L149" i="45"/>
  <c r="M148" i="45"/>
  <c r="L148" i="45"/>
  <c r="M147" i="45"/>
  <c r="L147" i="45"/>
  <c r="M146" i="45"/>
  <c r="L146" i="45"/>
  <c r="M145" i="45"/>
  <c r="L145" i="45"/>
  <c r="M144" i="45"/>
  <c r="L144" i="45"/>
  <c r="M143" i="45"/>
  <c r="L143" i="45"/>
  <c r="M142" i="45"/>
  <c r="L142" i="45"/>
  <c r="M141" i="45"/>
  <c r="L141" i="45"/>
  <c r="M140" i="45"/>
  <c r="L140" i="45"/>
  <c r="M139" i="45"/>
  <c r="L139" i="45"/>
  <c r="M138" i="45"/>
  <c r="L138" i="45"/>
  <c r="M137" i="45"/>
  <c r="L137" i="45"/>
  <c r="M136" i="45"/>
  <c r="L136" i="45"/>
  <c r="M135" i="45"/>
  <c r="L135" i="45"/>
  <c r="M134" i="45"/>
  <c r="L134" i="45"/>
  <c r="M133" i="45"/>
  <c r="L133" i="45"/>
  <c r="M132" i="45"/>
  <c r="L132" i="45"/>
  <c r="M131" i="45"/>
  <c r="L131" i="45"/>
  <c r="M130" i="45"/>
  <c r="L130" i="45"/>
  <c r="M129" i="45"/>
  <c r="L129" i="45"/>
  <c r="M128" i="45"/>
  <c r="L128" i="45"/>
  <c r="M127" i="45"/>
  <c r="L127" i="45"/>
  <c r="M126" i="45"/>
  <c r="L126" i="45"/>
  <c r="M125" i="45"/>
  <c r="L125" i="45"/>
  <c r="M124" i="45"/>
  <c r="L124" i="45"/>
  <c r="M123" i="45"/>
  <c r="L123" i="45"/>
  <c r="M122" i="45"/>
  <c r="L122" i="45"/>
  <c r="M121" i="45"/>
  <c r="L121" i="45"/>
  <c r="M120" i="45"/>
  <c r="L120" i="45"/>
  <c r="M119" i="45"/>
  <c r="L119" i="45"/>
  <c r="M118" i="45"/>
  <c r="L118" i="45"/>
  <c r="M117" i="45"/>
  <c r="L117" i="45"/>
  <c r="M116" i="45"/>
  <c r="L116" i="45"/>
  <c r="M115" i="45"/>
  <c r="L115" i="45"/>
  <c r="M114" i="45"/>
  <c r="L114" i="45"/>
  <c r="M113" i="45"/>
  <c r="L113" i="45"/>
  <c r="M112" i="45"/>
  <c r="L112" i="45"/>
  <c r="M111" i="45"/>
  <c r="L111" i="45"/>
  <c r="M110" i="45"/>
  <c r="L110" i="45"/>
  <c r="M109" i="45"/>
  <c r="L109" i="45"/>
  <c r="M108" i="45"/>
  <c r="L108" i="45"/>
  <c r="M107" i="45"/>
  <c r="L107" i="45"/>
  <c r="M106" i="45"/>
  <c r="L106" i="45"/>
  <c r="M105" i="45"/>
  <c r="L105" i="45"/>
  <c r="M104" i="45"/>
  <c r="L104" i="45"/>
  <c r="M103" i="45"/>
  <c r="L103" i="45"/>
  <c r="M102" i="45"/>
  <c r="L102" i="45"/>
  <c r="M101" i="45"/>
  <c r="L101" i="45"/>
  <c r="M100" i="45"/>
  <c r="L100" i="45"/>
  <c r="M99" i="45"/>
  <c r="L99" i="45"/>
  <c r="M98" i="45"/>
  <c r="L98" i="45"/>
  <c r="M97" i="45"/>
  <c r="L97" i="45"/>
  <c r="M96" i="45"/>
  <c r="L96" i="45"/>
  <c r="M95" i="45"/>
  <c r="L95" i="45"/>
  <c r="M94" i="45"/>
  <c r="L94" i="45"/>
  <c r="M93" i="45"/>
  <c r="L93" i="45"/>
  <c r="M92" i="45"/>
  <c r="L92" i="45"/>
  <c r="M91" i="45"/>
  <c r="L91" i="45"/>
  <c r="M90" i="45"/>
  <c r="L90" i="45"/>
  <c r="M89" i="45"/>
  <c r="L89" i="45"/>
  <c r="M88" i="45"/>
  <c r="L88" i="45"/>
  <c r="M87" i="45"/>
  <c r="L87" i="45"/>
  <c r="M86" i="45"/>
  <c r="L86" i="45"/>
  <c r="M85" i="45"/>
  <c r="L85" i="45"/>
  <c r="M84" i="45"/>
  <c r="L84" i="45"/>
  <c r="M83" i="45"/>
  <c r="L83" i="45"/>
  <c r="M82" i="45"/>
  <c r="L82" i="45"/>
  <c r="M81" i="45"/>
  <c r="L81" i="45"/>
  <c r="M80" i="45"/>
  <c r="L80" i="45"/>
  <c r="M79" i="45"/>
  <c r="L79" i="45"/>
  <c r="M78" i="45"/>
  <c r="L78" i="45"/>
  <c r="M77" i="45"/>
  <c r="L77" i="45"/>
  <c r="M76" i="45"/>
  <c r="L76" i="45"/>
  <c r="M75" i="45"/>
  <c r="L75" i="45"/>
  <c r="M74" i="45"/>
  <c r="L74" i="45"/>
  <c r="M73" i="45"/>
  <c r="L73" i="45"/>
  <c r="M72" i="45"/>
  <c r="L72" i="45"/>
  <c r="M71" i="45"/>
  <c r="L71" i="45"/>
  <c r="M70" i="45"/>
  <c r="L70" i="45"/>
  <c r="M69" i="45"/>
  <c r="L69" i="45"/>
  <c r="M68" i="45"/>
  <c r="L68" i="45"/>
  <c r="M67" i="45"/>
  <c r="L67" i="45"/>
  <c r="M66" i="45"/>
  <c r="L66" i="45"/>
  <c r="M65" i="45"/>
  <c r="L65" i="45"/>
  <c r="M64" i="45"/>
  <c r="L64" i="45"/>
  <c r="M63" i="45"/>
  <c r="L63" i="45"/>
  <c r="M62" i="45"/>
  <c r="L62" i="45"/>
  <c r="M61" i="45"/>
  <c r="L61" i="45"/>
  <c r="M60" i="45"/>
  <c r="L60" i="45"/>
  <c r="M59" i="45"/>
  <c r="L59" i="45"/>
  <c r="M58" i="45"/>
  <c r="L58" i="45"/>
  <c r="M57" i="45"/>
  <c r="L57" i="45"/>
  <c r="M56" i="45"/>
  <c r="L56" i="45"/>
  <c r="M55" i="45"/>
  <c r="L55" i="45"/>
  <c r="M54" i="45"/>
  <c r="L54" i="45"/>
  <c r="M53" i="45"/>
  <c r="L53" i="45"/>
  <c r="M52" i="45"/>
  <c r="L52" i="45"/>
  <c r="M51" i="45"/>
  <c r="L51" i="45"/>
  <c r="M50" i="45"/>
  <c r="L50" i="45"/>
  <c r="M49" i="45"/>
  <c r="L49" i="45"/>
  <c r="M48" i="45"/>
  <c r="L48" i="45"/>
  <c r="M47" i="45"/>
  <c r="L47" i="45"/>
  <c r="M46" i="45"/>
  <c r="L46" i="45"/>
  <c r="M45" i="45"/>
  <c r="L45" i="45"/>
  <c r="M44" i="45"/>
  <c r="L44" i="45"/>
  <c r="M43" i="45"/>
  <c r="L43" i="45"/>
  <c r="M42" i="45"/>
  <c r="L42" i="45"/>
  <c r="M41" i="45"/>
  <c r="L41" i="45"/>
  <c r="M40" i="45"/>
  <c r="L40" i="45"/>
  <c r="M39" i="45"/>
  <c r="L39" i="45"/>
  <c r="M38" i="45"/>
  <c r="L38" i="45"/>
  <c r="M37" i="45"/>
  <c r="L37" i="45"/>
  <c r="M36" i="45"/>
  <c r="L36" i="45"/>
  <c r="M35" i="45"/>
  <c r="L35" i="45"/>
  <c r="M34" i="45"/>
  <c r="L34" i="45"/>
  <c r="M33" i="45"/>
  <c r="L33" i="45"/>
  <c r="M32" i="45"/>
  <c r="L32" i="45"/>
  <c r="M31" i="45"/>
  <c r="L31" i="45"/>
  <c r="M30" i="45"/>
  <c r="L30" i="45"/>
  <c r="M29" i="45"/>
  <c r="L29" i="45"/>
  <c r="M28" i="45"/>
  <c r="L28" i="45"/>
  <c r="M27" i="45"/>
  <c r="L27" i="45"/>
  <c r="M26" i="45"/>
  <c r="L26" i="45"/>
  <c r="M25" i="45"/>
  <c r="L25" i="45"/>
  <c r="M24" i="45"/>
  <c r="L24" i="45"/>
  <c r="M23" i="45"/>
  <c r="L23" i="45"/>
  <c r="M22" i="45"/>
  <c r="L22" i="45"/>
  <c r="M21" i="45"/>
  <c r="L21" i="45"/>
  <c r="M20" i="45"/>
  <c r="L20" i="45"/>
  <c r="M19" i="45"/>
  <c r="L19" i="45"/>
  <c r="M18" i="45"/>
  <c r="L18" i="45"/>
  <c r="M17" i="45"/>
  <c r="L17" i="45"/>
  <c r="M16" i="45"/>
  <c r="L16" i="45"/>
  <c r="M15" i="45"/>
  <c r="L15" i="45"/>
  <c r="M14" i="45"/>
  <c r="L14" i="45"/>
  <c r="M13" i="45"/>
  <c r="L13" i="45"/>
  <c r="M12" i="45"/>
  <c r="L12" i="45"/>
  <c r="M11" i="45"/>
  <c r="L11" i="45"/>
  <c r="M10" i="45"/>
  <c r="L10" i="45"/>
  <c r="M9" i="45"/>
  <c r="L9" i="45"/>
  <c r="M8" i="45"/>
  <c r="L8" i="45"/>
  <c r="M7" i="45"/>
  <c r="L7" i="45"/>
  <c r="M6" i="45"/>
  <c r="L6" i="45"/>
  <c r="M5" i="45"/>
  <c r="L5" i="45"/>
  <c r="M4" i="45"/>
  <c r="L4" i="45"/>
  <c r="M3" i="45"/>
  <c r="L3" i="45"/>
  <c r="M2" i="45"/>
  <c r="L2" i="45"/>
  <c r="F17" i="51"/>
  <c r="E17" i="51"/>
  <c r="D17" i="51"/>
  <c r="C17" i="51"/>
  <c r="F16" i="51"/>
  <c r="E16" i="51"/>
  <c r="D16" i="51"/>
</calcChain>
</file>

<file path=xl/sharedStrings.xml><?xml version="1.0" encoding="utf-8"?>
<sst xmlns="http://schemas.openxmlformats.org/spreadsheetml/2006/main" count="30724" uniqueCount="5400">
  <si>
    <t>Date</t>
  </si>
  <si>
    <t>Amount</t>
  </si>
  <si>
    <t>Pay</t>
  </si>
  <si>
    <t>?</t>
  </si>
  <si>
    <t>Row Labels</t>
  </si>
  <si>
    <t>Grand Total</t>
  </si>
  <si>
    <t>Column Labels</t>
  </si>
  <si>
    <t>Sum of Amount</t>
  </si>
  <si>
    <t>Travel</t>
  </si>
  <si>
    <t>Transaction Date</t>
  </si>
  <si>
    <t>Type</t>
  </si>
  <si>
    <t>Market</t>
  </si>
  <si>
    <t>Rate inc. fee</t>
  </si>
  <si>
    <t>Rate ex. fee</t>
  </si>
  <si>
    <t>Fee</t>
  </si>
  <si>
    <t>Fee AUD (inc GST)</t>
  </si>
  <si>
    <t>GST AUD</t>
  </si>
  <si>
    <t>Total AUD</t>
  </si>
  <si>
    <t>Total (inc GST)</t>
  </si>
  <si>
    <t>Buy</t>
  </si>
  <si>
    <t>ETH/AUD</t>
  </si>
  <si>
    <t>150.00 AUD</t>
  </si>
  <si>
    <t>XRP/AUD</t>
  </si>
  <si>
    <t>POWR/AUD</t>
  </si>
  <si>
    <t>ADA/AUD</t>
  </si>
  <si>
    <t>DOT/AUD</t>
  </si>
  <si>
    <t>ZIL/AUD</t>
  </si>
  <si>
    <t>BTC/AUD</t>
  </si>
  <si>
    <t>NEO/AUD</t>
  </si>
  <si>
    <t>500.00 AUD</t>
  </si>
  <si>
    <t>300.00 AUD</t>
  </si>
  <si>
    <t>0.01 AUD</t>
  </si>
  <si>
    <t>149.99 AUD</t>
  </si>
  <si>
    <t>250.00 AUD</t>
  </si>
  <si>
    <t>HOT/AUD</t>
  </si>
  <si>
    <t>5.00 AUD</t>
  </si>
  <si>
    <t>1009.38 AUD</t>
  </si>
  <si>
    <t>11.97 AUD</t>
  </si>
  <si>
    <t>47.66 AUD</t>
  </si>
  <si>
    <t>95.45 AUD</t>
  </si>
  <si>
    <t>0.00 AUD</t>
  </si>
  <si>
    <t>190.62 AUD</t>
  </si>
  <si>
    <t>381.77 AUD</t>
  </si>
  <si>
    <t>763.15 AUD</t>
  </si>
  <si>
    <t>20.00 AUD</t>
  </si>
  <si>
    <t>180.00 AUD</t>
  </si>
  <si>
    <t>100.00 AUD</t>
  </si>
  <si>
    <t>2271.36 AUD</t>
  </si>
  <si>
    <t>728.64 AUD</t>
  </si>
  <si>
    <t>2646.74 AUD</t>
  </si>
  <si>
    <t>353.26 AUD</t>
  </si>
  <si>
    <t>2000.00 AUD</t>
  </si>
  <si>
    <t>191.43 AUD</t>
  </si>
  <si>
    <t>8.57 AUD</t>
  </si>
  <si>
    <t>200.00 AUD</t>
  </si>
  <si>
    <t>Sell</t>
  </si>
  <si>
    <t>491.05 AUD</t>
  </si>
  <si>
    <t>1508.95 AUD</t>
  </si>
  <si>
    <t>4000.00 AUD</t>
  </si>
  <si>
    <t>3000.00 AUD</t>
  </si>
  <si>
    <t>5000.00 AUD</t>
  </si>
  <si>
    <t>2500.00 AUD</t>
  </si>
  <si>
    <t>3529.22 AUD</t>
  </si>
  <si>
    <t>442.87 AUD</t>
  </si>
  <si>
    <t>7000.00 AUD</t>
  </si>
  <si>
    <t>1050.16 AUD</t>
  </si>
  <si>
    <t>43.70 AUD</t>
  </si>
  <si>
    <t>540.25 AUD</t>
  </si>
  <si>
    <t>356.26 AUD</t>
  </si>
  <si>
    <t>9.64 AUD</t>
  </si>
  <si>
    <t>1000.00 AUD</t>
  </si>
  <si>
    <t>1500.00 AUD</t>
  </si>
  <si>
    <t>2848.71 AUD</t>
  </si>
  <si>
    <t>TRX/AUD</t>
  </si>
  <si>
    <t>LTC/AUD</t>
  </si>
  <si>
    <t>600.00 AUD</t>
  </si>
  <si>
    <t>1638.05 AUD</t>
  </si>
  <si>
    <t>2279.30 AUD</t>
  </si>
  <si>
    <t>QTUM/AUD</t>
  </si>
  <si>
    <t>2147.94 AUD</t>
  </si>
  <si>
    <t>OMG/AUD</t>
  </si>
  <si>
    <t>WTC/AUD</t>
  </si>
  <si>
    <t>973.11 AUD</t>
  </si>
  <si>
    <t>400.00 AUD</t>
  </si>
  <si>
    <t>350.00 AUD</t>
  </si>
  <si>
    <t>RDN/AUD</t>
  </si>
  <si>
    <t>TFUEL/AUD</t>
  </si>
  <si>
    <t>FIL/AUD</t>
  </si>
  <si>
    <t>47.00 AUD</t>
  </si>
  <si>
    <t>46.00 AUD</t>
  </si>
  <si>
    <t>Total AUD Final</t>
  </si>
  <si>
    <t>Total Amount Final</t>
  </si>
  <si>
    <t>34.65346534653463 AUD</t>
  </si>
  <si>
    <t>3500.00 AUD</t>
  </si>
  <si>
    <t>0.23762376237623783 AUD</t>
  </si>
  <si>
    <t>24.00 AUD</t>
  </si>
  <si>
    <t>49.50495049504934 AUD</t>
  </si>
  <si>
    <t>24.75247524752467 AUD</t>
  </si>
  <si>
    <t>6.435643564356496 AUD</t>
  </si>
  <si>
    <t>650.00 AUD</t>
  </si>
  <si>
    <t>5.940594059405953 AUD</t>
  </si>
  <si>
    <t>2.47524752475249 AUD</t>
  </si>
  <si>
    <t>4.95049504950498 AUD</t>
  </si>
  <si>
    <t>3.9603960396039497 AUD</t>
  </si>
  <si>
    <t>11.881188118811906 AUD</t>
  </si>
  <si>
    <t>1200.00 AUD</t>
  </si>
  <si>
    <t>9.90099009900996 AUD</t>
  </si>
  <si>
    <t>16.21831683168307 AUD</t>
  </si>
  <si>
    <t>16.54596494506677 AUD</t>
  </si>
  <si>
    <t>1638.0505295616001 AUD</t>
  </si>
  <si>
    <t>22.567326732673337 AUD</t>
  </si>
  <si>
    <t>9.48796342397975 AUD</t>
  </si>
  <si>
    <t>939.308378974 AUD</t>
  </si>
  <si>
    <t>13.535282220142335 AUD</t>
  </si>
  <si>
    <t>1339.992939794082 AUD</t>
  </si>
  <si>
    <t>21.266732673267143 AUD</t>
  </si>
  <si>
    <t>5.119008426533696 AUD</t>
  </si>
  <si>
    <t>506.78183422683304 AUD</t>
  </si>
  <si>
    <t>5.38787384201612 AUD</t>
  </si>
  <si>
    <t>533.3995103596001 AUD</t>
  </si>
  <si>
    <t>6.616816482685522 AUD</t>
  </si>
  <si>
    <t>655.0648317858614 AUD</t>
  </si>
  <si>
    <t>4.300451060227431 AUD</t>
  </si>
  <si>
    <t>425.744654962515 AUD</t>
  </si>
  <si>
    <t>9.634752475247524 AUD</t>
  </si>
  <si>
    <t>3.465346534653463 AUD</t>
  </si>
  <si>
    <t>BTTC/AUD</t>
  </si>
  <si>
    <t>10.10101010101016 AUD</t>
  </si>
  <si>
    <t>1000 AUD</t>
  </si>
  <si>
    <t>0.4653465346534631 AUD</t>
  </si>
  <si>
    <t>0.4554455445544576 AUD</t>
  </si>
  <si>
    <t>1.4851485148514882 AUD</t>
  </si>
  <si>
    <t>XNO/AUD</t>
  </si>
  <si>
    <t>2.9702970297029765 AUD</t>
  </si>
  <si>
    <t>0.000009561599999999499 AUD</t>
  </si>
  <si>
    <t>0.14999039999999653 AUD</t>
  </si>
  <si>
    <t>0.2499998482800047 AUD</t>
  </si>
  <si>
    <t>0.24999999999770295 AUD</t>
  </si>
  <si>
    <t>0.04950495049504955 AUD</t>
  </si>
  <si>
    <t>1.0093789606871157 AUD</t>
  </si>
  <si>
    <t>0.5000000071718472 AUD</t>
  </si>
  <si>
    <t>0.011971827080849193 AUD</t>
  </si>
  <si>
    <t>0.04766335074839746 AUD</t>
  </si>
  <si>
    <t>0.09544681878444365 AUD</t>
  </si>
  <si>
    <t>6.500010100000158e-8 AUD</t>
  </si>
  <si>
    <t>0.19062342860652767 AUD</t>
  </si>
  <si>
    <t>0.3817668889025925 AUD</t>
  </si>
  <si>
    <t>0.7631486991693285 AUD</t>
  </si>
  <si>
    <t>0.020000000711885787 AUD</t>
  </si>
  <si>
    <t>0.18000000642935815 AUD</t>
  </si>
  <si>
    <t>0.09999950999999366 AUD</t>
  </si>
  <si>
    <t>0.24999974999999297 AUD</t>
  </si>
  <si>
    <t>2.2713571127960197 AUD</t>
  </si>
  <si>
    <t>0.7286428872025363 AUD</t>
  </si>
  <si>
    <t>2.6467354469945623 AUD</t>
  </si>
  <si>
    <t>0.35326455300414694 AUD</t>
  </si>
  <si>
    <t>1.999999999822771 AUD</t>
  </si>
  <si>
    <t>0.1914287744999883 AUD</t>
  </si>
  <si>
    <t>0.008571225000000016 AUD</t>
  </si>
  <si>
    <t>1.9801980198019749 AUD</t>
  </si>
  <si>
    <t>0.9900990099009874 AUD</t>
  </si>
  <si>
    <t>9.544709715100907 AUD</t>
  </si>
  <si>
    <t>9535.165005384899 AUD</t>
  </si>
  <si>
    <t>0.3990010439999878 AUD</t>
  </si>
  <si>
    <t>398.602042956 AUD</t>
  </si>
  <si>
    <t>0.49104753583861566 AUD</t>
  </si>
  <si>
    <t>1.5089524641609704 AUD</t>
  </si>
  <si>
    <t>39.60396039603984 AUD</t>
  </si>
  <si>
    <t>29.70297029702988 AUD</t>
  </si>
  <si>
    <t>196.60917663179862 AUD</t>
  </si>
  <si>
    <t>19464.308486548034 AUD</t>
  </si>
  <si>
    <t>19.80198019801992 AUD</t>
  </si>
  <si>
    <t>101.0101010101007 AUD</t>
  </si>
  <si>
    <t>10000 AUD</t>
  </si>
  <si>
    <t>50.50505050505035 AUD</t>
  </si>
  <si>
    <t>5000 AUD</t>
  </si>
  <si>
    <t>34.94277227722796 AUD</t>
  </si>
  <si>
    <t>96.25475319264842 AUD</t>
  </si>
  <si>
    <t>9529.220566072101 AUD</t>
  </si>
  <si>
    <t>4.384851485148545 AUD</t>
  </si>
  <si>
    <t>69.30693069306926 AUD</t>
  </si>
  <si>
    <t>115.58459307572957 AUD</t>
  </si>
  <si>
    <t>11442.874714497191 AUD</t>
  </si>
  <si>
    <t>10.39762376237627 AUD</t>
  </si>
  <si>
    <t>0.04369539999999802 AUD</t>
  </si>
  <si>
    <t>0.5402495860556156 AUD</t>
  </si>
  <si>
    <t>0.35625635237958936 AUD</t>
  </si>
  <si>
    <t>0.009640000119999428 AUD</t>
  </si>
  <si>
    <t>14.85148514851494 AUD</t>
  </si>
  <si>
    <t>28.205049504950694 AUD</t>
  </si>
  <si>
    <t>1.0987941191568638 AUD</t>
  </si>
  <si>
    <t>108.78061779652963 AUD</t>
  </si>
  <si>
    <t>1.8707084962525187 AUD</t>
  </si>
  <si>
    <t>185.200141129 AUD</t>
  </si>
  <si>
    <t>0.7313768278863648 AUD</t>
  </si>
  <si>
    <t>72.40630596075023 AUD</t>
  </si>
  <si>
    <t>1.0137420325454514 AUD</t>
  </si>
  <si>
    <t>100.360461222 AUD</t>
  </si>
  <si>
    <t>24.06020896513928 AUD</t>
  </si>
  <si>
    <t>2381.9606875488 AUD</t>
  </si>
  <si>
    <t>7.281553398058264 AUD</t>
  </si>
  <si>
    <t>14.563106796116529 AUD</t>
  </si>
  <si>
    <t>Interest Rate</t>
  </si>
  <si>
    <t>Total</t>
  </si>
  <si>
    <t>Utilities</t>
  </si>
  <si>
    <t>Financial Services</t>
  </si>
  <si>
    <t>Occupancy</t>
  </si>
  <si>
    <t>Insurance</t>
  </si>
  <si>
    <t>ANZ Frequent Flyer Black credit card</t>
  </si>
  <si>
    <t>NAB Qantas Rewards Signature Card</t>
  </si>
  <si>
    <t>NAB Qantas Business Signature Card</t>
  </si>
  <si>
    <t>Westpac Altitude Qantas Black credit card</t>
  </si>
  <si>
    <t>Bonus Points</t>
  </si>
  <si>
    <t>Earn Rate (Per Dollar)</t>
  </si>
  <si>
    <t>Annual Fee</t>
  </si>
  <si>
    <t>International Fees</t>
  </si>
  <si>
    <t>Unauthorised Transaction Insurance~
Transport Accident Insurance~
24/7 Emergency assistance if your card is lost or stolen
Visa's Concierge Service**
Visa Offers and Perks***</t>
  </si>
  <si>
    <t>Other benefits</t>
  </si>
  <si>
    <t>Cap (per statement period)</t>
  </si>
  <si>
    <t>Bonus Eligibility</t>
  </si>
  <si>
    <t>Additional Bonus Points</t>
  </si>
  <si>
    <t>1 point up to $7,500
0.5 above $7,500</t>
  </si>
  <si>
    <t>NA</t>
  </si>
  <si>
    <t>2 Complimentary Qantas Club Lounge Invitations per year±
Discounted Qantas Club Membership#
Additional point per $1 on selected Qantas spend~
Complimentary Insurances§</t>
  </si>
  <si>
    <t>$5,000 in 90 days for 100,000 points</t>
  </si>
  <si>
    <t>5 complimentary insurances
NAB Concierge Service</t>
  </si>
  <si>
    <t>$3,000 in 60 days for 90,000 points</t>
  </si>
  <si>
    <t>Conditions</t>
  </si>
  <si>
    <t>$395 on second year</t>
  </si>
  <si>
    <t>20.49% PA on purchases + 21.99% cash advances</t>
  </si>
  <si>
    <t>$6,000 in 120 days for 90,000 points</t>
  </si>
  <si>
    <t>2 Complimentary Qantas Club Lounge Invitations per year+
Complimentary Travel Insurance^^
Complimentary cover for Interstate Flight Inconvenience and International Travel Insurance</t>
  </si>
  <si>
    <t>Points do not expire  so long as the card account is open and active</t>
  </si>
  <si>
    <t>Positive factors</t>
  </si>
  <si>
    <t>$250 discounted on first year
(credited within 3 months of meeting criteria)</t>
  </si>
  <si>
    <t>30,000 points over 12 months
(credited within 3 months of meeting criteria)</t>
  </si>
  <si>
    <t>30,000 points after first purchase in year 2
(credited within 3 months)</t>
  </si>
  <si>
    <t xml:space="preserve">30,000 after 12 months
</t>
  </si>
  <si>
    <t>$4,000 in 60 days for 150,000 points
(credited within 3 months of meeting criteria)</t>
  </si>
  <si>
    <t>Criteria</t>
  </si>
  <si>
    <t>Transactions that don't earn points</t>
  </si>
  <si>
    <t>Cash advances, bank fees, government fees (except ATO payments), balance transfers, foreign exchange, gambling, and unauthorized or fraudulent transactions​</t>
  </si>
  <si>
    <t>interest charges, bank fees, government charges, balance transfers, cash advances, and certain merchant-identified transactions​</t>
  </si>
  <si>
    <t>all fees, interest charges, cash advances, balance transfers, government-related payments, and others​</t>
  </si>
  <si>
    <t>Points gathered with $13,500</t>
  </si>
  <si>
    <t>Year 1: $295 (103,500 points)
Year 2: $690 (133,500 points)</t>
  </si>
  <si>
    <t>Year 1: $370 (100,125 points)
Year 2: $740 (130,125 points)</t>
  </si>
  <si>
    <t>Total Cost + Points Accrued based off conditions</t>
  </si>
  <si>
    <t>Year 1: $295 (158,901 points)</t>
  </si>
  <si>
    <t>Sum Total Points (after 12 months)</t>
  </si>
  <si>
    <t>Sum Total Points (Pre 12 months)</t>
  </si>
  <si>
    <t>Purchase Rate 18.50% &amp; Cash advance rate 21.74% PA</t>
  </si>
  <si>
    <t>Qantas Business Signature Account required for setup.</t>
  </si>
  <si>
    <t>Rodean Notes</t>
  </si>
  <si>
    <t>Syd to Paris</t>
  </si>
  <si>
    <t>Paris to Syd</t>
  </si>
  <si>
    <t>Year 1: $425 (110,500 points)
Year 2: $600 (140,00 points)</t>
  </si>
  <si>
    <t xml:space="preserve">Up to 55 interest-free days on purchases
Minimum credit limit $15,000
</t>
  </si>
  <si>
    <t>FLR/AUD</t>
  </si>
  <si>
    <t>1.5974190569234281 AUD</t>
  </si>
  <si>
    <t>158.14448663542035 AUD</t>
  </si>
  <si>
    <t>0.20202020202020066 AUD</t>
  </si>
  <si>
    <t>20 AUD</t>
  </si>
  <si>
    <t>0.0990099009900991 AUD</t>
  </si>
  <si>
    <t>10.00 AUD</t>
  </si>
  <si>
    <t>0.15151515151515227 AUD</t>
  </si>
  <si>
    <t>15 AUD</t>
  </si>
  <si>
    <t>2.2803030303030313e-7 AUD</t>
  </si>
  <si>
    <t>0.000022575 AUD</t>
  </si>
  <si>
    <t>SGB/AUD</t>
  </si>
  <si>
    <t>Food and Dining</t>
  </si>
  <si>
    <t>Healthcare</t>
  </si>
  <si>
    <t>Shopping and Retail</t>
  </si>
  <si>
    <t>Entertainment and Recreation</t>
  </si>
  <si>
    <t>Miscellaneous Expenses</t>
  </si>
  <si>
    <t>Accomodation</t>
  </si>
  <si>
    <t>Housing</t>
  </si>
  <si>
    <t>Business Services and Equipment</t>
  </si>
  <si>
    <t>Public Service</t>
  </si>
  <si>
    <t>Henry St Apartment</t>
  </si>
  <si>
    <t>Travel: Public</t>
  </si>
  <si>
    <t>Travel: Car</t>
  </si>
  <si>
    <t>Personal</t>
  </si>
  <si>
    <t>Telecommunications</t>
  </si>
  <si>
    <t>Sum of Total AUD Final</t>
  </si>
  <si>
    <t>reg required</t>
  </si>
  <si>
    <t>Call Id</t>
  </si>
  <si>
    <t>Agent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</si>
  <si>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</si>
  <si>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</si>
  <si>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</si>
  <si>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</si>
  <si>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</si>
  <si>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</si>
  <si>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</si>
  <si>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ID0001</t>
  </si>
  <si>
    <t>Diane</t>
  </si>
  <si>
    <t>2021-01-01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</si>
  <si>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</si>
  <si>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</si>
  <si>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</si>
  <si>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</si>
  <si>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</si>
  <si>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</si>
  <si>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</si>
  <si>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</si>
  <si>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</si>
  <si>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</si>
  <si>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</si>
  <si>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</si>
  <si>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ID0006</t>
  </si>
  <si>
    <t>ID0007</t>
  </si>
  <si>
    <t>ID0008</t>
  </si>
  <si>
    <t>ID0009</t>
  </si>
  <si>
    <t>Admin Support</t>
  </si>
  <si>
    <t>ID0010</t>
  </si>
  <si>
    <t>Jim</t>
  </si>
  <si>
    <t>Streaming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</si>
  <si>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</si>
  <si>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</si>
  <si>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</si>
  <si>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</si>
  <si>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</si>
  <si>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</si>
  <si>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</si>
  <si>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</si>
  <si>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</si>
  <si>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</si>
  <si>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</si>
  <si>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</si>
  <si>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</si>
  <si>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</si>
  <si>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</si>
  <si>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</si>
  <si>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</si>
  <si>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</si>
  <si>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</si>
  <si>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</si>
  <si>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</si>
  <si>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</si>
  <si>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</si>
  <si>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</si>
  <si>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</si>
  <si>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</si>
  <si>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</si>
  <si>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</si>
  <si>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</si>
  <si>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</si>
  <si>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</si>
  <si>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</si>
  <si>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</si>
  <si>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</si>
  <si>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</si>
  <si>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</si>
  <si>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</si>
  <si>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</si>
  <si>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</si>
  <si>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</si>
  <si>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</si>
  <si>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</si>
  <si>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</si>
  <si>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</si>
  <si>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</si>
  <si>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</si>
  <si>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</si>
  <si>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</si>
  <si>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</si>
  <si>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</si>
  <si>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</si>
  <si>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</si>
  <si>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2021-01-02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</si>
  <si>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</si>
  <si>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</si>
  <si>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</si>
  <si>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</si>
  <si>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</si>
  <si>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</si>
  <si>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</si>
  <si>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</si>
  <si>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</si>
  <si>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</si>
  <si>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</si>
  <si>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</si>
  <si>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</si>
  <si>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</si>
  <si>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</si>
  <si>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</si>
  <si>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</si>
  <si>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</si>
  <si>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</si>
  <si>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</si>
  <si>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</si>
  <si>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</si>
  <si>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</si>
  <si>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</si>
  <si>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</si>
  <si>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</si>
  <si>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</si>
  <si>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</si>
  <si>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</si>
  <si>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</si>
  <si>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</si>
  <si>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</si>
  <si>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</si>
  <si>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</si>
  <si>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</si>
  <si>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</si>
  <si>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</si>
  <si>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</si>
  <si>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</si>
  <si>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</si>
  <si>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</si>
  <si>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</si>
  <si>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</si>
  <si>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</si>
  <si>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</si>
  <si>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</si>
  <si>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</si>
  <si>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</si>
  <si>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</si>
  <si>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</si>
  <si>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</si>
  <si>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</si>
  <si>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</si>
  <si>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</si>
  <si>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</si>
  <si>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</si>
  <si>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</si>
  <si>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</si>
  <si>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</si>
  <si>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</si>
  <si>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2021-01-03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</si>
  <si>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</si>
  <si>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</si>
  <si>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</si>
  <si>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</si>
  <si>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</si>
  <si>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</si>
  <si>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</si>
  <si>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</si>
  <si>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</si>
  <si>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</si>
  <si>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</si>
  <si>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</si>
  <si>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</si>
  <si>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</si>
  <si>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</si>
  <si>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</si>
  <si>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</si>
  <si>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</si>
  <si>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</si>
  <si>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</si>
  <si>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</si>
  <si>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</si>
  <si>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</si>
  <si>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</si>
  <si>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</si>
  <si>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</si>
  <si>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</si>
  <si>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</si>
  <si>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</si>
  <si>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</si>
  <si>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</si>
  <si>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</si>
  <si>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</si>
  <si>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</si>
  <si>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</si>
  <si>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</si>
  <si>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</si>
  <si>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</si>
  <si>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</si>
  <si>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</si>
  <si>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</si>
  <si>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</si>
  <si>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</si>
  <si>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</si>
  <si>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</si>
  <si>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</si>
  <si>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</si>
  <si>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</si>
  <si>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</si>
  <si>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</si>
  <si>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</si>
  <si>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</si>
  <si>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</si>
  <si>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</si>
  <si>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</si>
  <si>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</si>
  <si>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</si>
  <si>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</si>
  <si>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2021-01-04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</si>
  <si>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</si>
  <si>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</si>
  <si>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</si>
  <si>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</si>
  <si>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</si>
  <si>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</si>
  <si>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</si>
  <si>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</si>
  <si>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</si>
  <si>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</si>
  <si>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</si>
  <si>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</si>
  <si>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</si>
  <si>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</si>
  <si>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</si>
  <si>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</si>
  <si>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</si>
  <si>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</si>
  <si>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</si>
  <si>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</si>
  <si>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</si>
  <si>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</si>
  <si>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</si>
  <si>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</si>
  <si>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</si>
  <si>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</si>
  <si>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</si>
  <si>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</si>
  <si>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</si>
  <si>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</si>
  <si>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</si>
  <si>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</si>
  <si>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</si>
  <si>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</si>
  <si>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</si>
  <si>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</si>
  <si>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</si>
  <si>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</si>
  <si>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</si>
  <si>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</si>
  <si>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</si>
  <si>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</si>
  <si>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</si>
  <si>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</si>
  <si>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</si>
  <si>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</si>
  <si>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</si>
  <si>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</si>
  <si>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</si>
  <si>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</si>
  <si>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</si>
  <si>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</si>
  <si>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</si>
  <si>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</si>
  <si>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2021-01-05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</si>
  <si>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</si>
  <si>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</si>
  <si>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</si>
  <si>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</si>
  <si>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</si>
  <si>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</si>
  <si>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</si>
  <si>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</si>
  <si>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</si>
  <si>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</si>
  <si>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</si>
  <si>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</si>
  <si>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</si>
  <si>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</si>
  <si>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</si>
  <si>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</si>
  <si>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</si>
  <si>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</si>
  <si>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</si>
  <si>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</si>
  <si>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</si>
  <si>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</si>
  <si>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</si>
  <si>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</si>
  <si>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</si>
  <si>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</si>
  <si>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</si>
  <si>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</si>
  <si>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</si>
  <si>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</si>
  <si>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</si>
  <si>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</si>
  <si>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</si>
  <si>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</si>
  <si>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</si>
  <si>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</si>
  <si>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</si>
  <si>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</si>
  <si>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</si>
  <si>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</si>
  <si>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</si>
  <si>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</si>
  <si>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</si>
  <si>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</si>
  <si>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</si>
  <si>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</si>
  <si>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</si>
  <si>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</si>
  <si>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</si>
  <si>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</si>
  <si>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</si>
  <si>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</si>
  <si>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</si>
  <si>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</si>
  <si>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</si>
  <si>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</si>
  <si>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2021-01-06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</si>
  <si>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</si>
  <si>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</si>
  <si>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</si>
  <si>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</si>
  <si>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</si>
  <si>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</si>
  <si>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</si>
  <si>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</si>
  <si>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</si>
  <si>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</si>
  <si>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</si>
  <si>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</si>
  <si>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</si>
  <si>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</si>
  <si>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</si>
  <si>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</si>
  <si>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</si>
  <si>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</si>
  <si>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</si>
  <si>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</si>
  <si>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</si>
  <si>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</si>
  <si>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</si>
  <si>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</si>
  <si>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</si>
  <si>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</si>
  <si>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</si>
  <si>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</si>
  <si>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</si>
  <si>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</si>
  <si>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</si>
  <si>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</si>
  <si>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</si>
  <si>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</si>
  <si>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</si>
  <si>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</si>
  <si>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</si>
  <si>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</si>
  <si>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</si>
  <si>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</si>
  <si>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</si>
  <si>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</si>
  <si>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</si>
  <si>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</si>
  <si>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</si>
  <si>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</si>
  <si>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</si>
  <si>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</si>
  <si>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</si>
  <si>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</si>
  <si>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</si>
  <si>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</si>
  <si>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</si>
  <si>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</si>
  <si>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</si>
  <si>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</si>
  <si>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</si>
  <si>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</si>
  <si>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2021-01-07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</si>
  <si>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</si>
  <si>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</si>
  <si>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</si>
  <si>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</si>
  <si>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</si>
  <si>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</si>
  <si>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</si>
  <si>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</si>
  <si>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</si>
  <si>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</si>
  <si>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</si>
  <si>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</si>
  <si>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</si>
  <si>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</si>
  <si>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</si>
  <si>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</si>
  <si>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</si>
  <si>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</si>
  <si>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</si>
  <si>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</si>
  <si>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</si>
  <si>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</si>
  <si>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</si>
  <si>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</si>
  <si>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</si>
  <si>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</si>
  <si>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</si>
  <si>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</si>
  <si>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</si>
  <si>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</si>
  <si>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</si>
  <si>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</si>
  <si>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</si>
  <si>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</si>
  <si>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</si>
  <si>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</si>
  <si>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</si>
  <si>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</si>
  <si>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</si>
  <si>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</si>
  <si>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</si>
  <si>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</si>
  <si>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</si>
  <si>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</si>
  <si>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</si>
  <si>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</si>
  <si>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</si>
  <si>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</si>
  <si>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</si>
  <si>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</si>
  <si>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</si>
  <si>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</si>
  <si>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</si>
  <si>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</si>
  <si>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2021-01-08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</si>
  <si>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</si>
  <si>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</si>
  <si>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</si>
  <si>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</si>
  <si>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</si>
  <si>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</si>
  <si>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</si>
  <si>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</si>
  <si>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</si>
  <si>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</si>
  <si>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</si>
  <si>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</si>
  <si>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</si>
  <si>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</si>
  <si>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</si>
  <si>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</si>
  <si>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</si>
  <si>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</si>
  <si>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</si>
  <si>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</si>
  <si>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</si>
  <si>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</si>
  <si>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</si>
  <si>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</si>
  <si>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</si>
  <si>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</si>
  <si>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</si>
  <si>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</si>
  <si>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</si>
  <si>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</si>
  <si>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</si>
  <si>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</si>
  <si>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</si>
  <si>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</si>
  <si>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</si>
  <si>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</si>
  <si>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</si>
  <si>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</si>
  <si>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</si>
  <si>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</si>
  <si>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</si>
  <si>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</si>
  <si>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</si>
  <si>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</si>
  <si>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</si>
  <si>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</si>
  <si>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</si>
  <si>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</si>
  <si>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2021-01-09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</si>
  <si>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</si>
  <si>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</si>
  <si>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</si>
  <si>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</si>
  <si>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</si>
  <si>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</si>
  <si>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</si>
  <si>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</si>
  <si>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</si>
  <si>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</si>
  <si>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</si>
  <si>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</si>
  <si>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</si>
  <si>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</si>
  <si>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</si>
  <si>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</si>
  <si>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</si>
  <si>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</si>
  <si>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</si>
  <si>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</si>
  <si>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</si>
  <si>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</si>
  <si>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</si>
  <si>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</si>
  <si>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</si>
  <si>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</si>
  <si>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</si>
  <si>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</si>
  <si>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</si>
  <si>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</si>
  <si>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</si>
  <si>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</si>
  <si>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</si>
  <si>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</si>
  <si>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</si>
  <si>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</si>
  <si>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</si>
  <si>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</si>
  <si>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</si>
  <si>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</si>
  <si>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</si>
  <si>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</si>
  <si>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</si>
  <si>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</si>
  <si>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</si>
  <si>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</si>
  <si>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</si>
  <si>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</si>
  <si>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</si>
  <si>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</si>
  <si>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</si>
  <si>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</si>
  <si>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</si>
  <si>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</si>
  <si>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</si>
  <si>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</si>
  <si>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</si>
  <si>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</si>
  <si>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</si>
  <si>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</si>
  <si>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</si>
  <si>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</si>
  <si>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</si>
  <si>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</si>
  <si>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</si>
  <si>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</si>
  <si>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</si>
  <si>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</si>
  <si>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2021-01-10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</si>
  <si>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</si>
  <si>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</si>
  <si>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</si>
  <si>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</si>
  <si>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</si>
  <si>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</si>
  <si>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</si>
  <si>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</si>
  <si>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</si>
  <si>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</si>
  <si>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</si>
  <si>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</si>
  <si>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</si>
  <si>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</si>
  <si>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</si>
  <si>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</si>
  <si>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</si>
  <si>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</si>
  <si>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</si>
  <si>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</si>
  <si>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</si>
  <si>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</si>
  <si>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</si>
  <si>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</si>
  <si>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</si>
  <si>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</si>
  <si>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</si>
  <si>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</si>
  <si>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</si>
  <si>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</si>
  <si>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</si>
  <si>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</si>
  <si>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</si>
  <si>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</si>
  <si>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</si>
  <si>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</si>
  <si>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</si>
  <si>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</si>
  <si>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</si>
  <si>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</si>
  <si>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</si>
  <si>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</si>
  <si>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</si>
  <si>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</si>
  <si>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</si>
  <si>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</si>
  <si>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</si>
  <si>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</si>
  <si>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</si>
  <si>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</si>
  <si>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</si>
  <si>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</si>
  <si>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</si>
  <si>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</si>
  <si>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</si>
  <si>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</si>
  <si>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</si>
  <si>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</si>
  <si>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</si>
  <si>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</si>
  <si>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</si>
  <si>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</si>
  <si>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</si>
  <si>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</si>
  <si>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2021-01-11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</si>
  <si>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</si>
  <si>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</si>
  <si>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</si>
  <si>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</si>
  <si>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</si>
  <si>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</si>
  <si>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</si>
  <si>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</si>
  <si>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</si>
  <si>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</si>
  <si>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</si>
  <si>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</si>
  <si>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</si>
  <si>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</si>
  <si>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</si>
  <si>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</si>
  <si>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</si>
  <si>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</si>
  <si>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</si>
  <si>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</si>
  <si>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</si>
  <si>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</si>
  <si>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</si>
  <si>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</si>
  <si>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</si>
  <si>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</si>
  <si>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</si>
  <si>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</si>
  <si>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</si>
  <si>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</si>
  <si>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</si>
  <si>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</si>
  <si>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</si>
  <si>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</si>
  <si>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</si>
  <si>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</si>
  <si>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</si>
  <si>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</si>
  <si>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</si>
  <si>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</si>
  <si>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</si>
  <si>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</si>
  <si>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</si>
  <si>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</si>
  <si>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</si>
  <si>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</si>
  <si>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</si>
  <si>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</si>
  <si>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</si>
  <si>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</si>
  <si>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</si>
  <si>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</si>
  <si>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</si>
  <si>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</si>
  <si>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</si>
  <si>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</si>
  <si>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</si>
  <si>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</si>
  <si>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</si>
  <si>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</si>
  <si>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</si>
  <si>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</si>
  <si>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</si>
  <si>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</si>
  <si>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</si>
  <si>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</si>
  <si>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</si>
  <si>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</si>
  <si>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</si>
  <si>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</si>
  <si>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</si>
  <si>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</si>
  <si>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</si>
  <si>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</si>
  <si>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</si>
  <si>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</si>
  <si>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</si>
  <si>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</si>
  <si>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</si>
  <si>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</si>
  <si>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</si>
  <si>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</si>
  <si>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</si>
  <si>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</si>
  <si>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2021-01-12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</si>
  <si>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</si>
  <si>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</si>
  <si>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</si>
  <si>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</si>
  <si>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</si>
  <si>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</si>
  <si>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</si>
  <si>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</si>
  <si>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</si>
  <si>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</si>
  <si>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</si>
  <si>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</si>
  <si>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</si>
  <si>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</si>
  <si>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</si>
  <si>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</si>
  <si>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</si>
  <si>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</si>
  <si>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</si>
  <si>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</si>
  <si>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</si>
  <si>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</si>
  <si>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</si>
  <si>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</si>
  <si>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</si>
  <si>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</si>
  <si>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</si>
  <si>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</si>
  <si>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</si>
  <si>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</si>
  <si>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</si>
  <si>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</si>
  <si>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</si>
  <si>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</si>
  <si>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</si>
  <si>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</si>
  <si>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</si>
  <si>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</si>
  <si>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</si>
  <si>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</si>
  <si>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</si>
  <si>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</si>
  <si>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</si>
  <si>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</si>
  <si>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</si>
  <si>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</si>
  <si>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</si>
  <si>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</si>
  <si>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</si>
  <si>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</si>
  <si>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</si>
  <si>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</si>
  <si>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</si>
  <si>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</si>
  <si>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</si>
  <si>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</si>
  <si>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2021-01-13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</si>
  <si>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</si>
  <si>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</si>
  <si>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</si>
  <si>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</si>
  <si>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</si>
  <si>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</si>
  <si>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</si>
  <si>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</si>
  <si>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</si>
  <si>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</si>
  <si>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</si>
  <si>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</si>
  <si>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</si>
  <si>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</si>
  <si>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</si>
  <si>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</si>
  <si>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</si>
  <si>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</si>
  <si>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</si>
  <si>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</si>
  <si>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</si>
  <si>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</si>
  <si>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</si>
  <si>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</si>
  <si>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</si>
  <si>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</si>
  <si>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</si>
  <si>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</si>
  <si>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</si>
  <si>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</si>
  <si>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</si>
  <si>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</si>
  <si>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</si>
  <si>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</si>
  <si>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</si>
  <si>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</si>
  <si>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</si>
  <si>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</si>
  <si>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</si>
  <si>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</si>
  <si>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2021-01-14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</si>
  <si>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</si>
  <si>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</si>
  <si>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</si>
  <si>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</si>
  <si>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</si>
  <si>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</si>
  <si>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</si>
  <si>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</si>
  <si>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</si>
  <si>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</si>
  <si>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</si>
  <si>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</si>
  <si>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</si>
  <si>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</si>
  <si>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</si>
  <si>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</si>
  <si>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</si>
  <si>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</si>
  <si>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</si>
  <si>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</si>
  <si>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</si>
  <si>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</si>
  <si>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</si>
  <si>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</si>
  <si>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</si>
  <si>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</si>
  <si>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</si>
  <si>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</si>
  <si>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</si>
  <si>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</si>
  <si>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</si>
  <si>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</si>
  <si>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</si>
  <si>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</si>
  <si>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</si>
  <si>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</si>
  <si>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</si>
  <si>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</si>
  <si>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</si>
  <si>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</si>
  <si>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</si>
  <si>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</si>
  <si>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</si>
  <si>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</si>
  <si>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</si>
  <si>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</si>
  <si>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</si>
  <si>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</si>
  <si>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</si>
  <si>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</si>
  <si>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</si>
  <si>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</si>
  <si>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</si>
  <si>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</si>
  <si>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</si>
  <si>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</si>
  <si>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</si>
  <si>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</si>
  <si>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2021-01-15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</si>
  <si>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</si>
  <si>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</si>
  <si>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</si>
  <si>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</si>
  <si>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</si>
  <si>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</si>
  <si>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</si>
  <si>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</si>
  <si>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</si>
  <si>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</si>
  <si>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</si>
  <si>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</si>
  <si>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</si>
  <si>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</si>
  <si>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</si>
  <si>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</si>
  <si>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</si>
  <si>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</si>
  <si>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</si>
  <si>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</si>
  <si>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</si>
  <si>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</si>
  <si>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</si>
  <si>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</si>
  <si>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</si>
  <si>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</si>
  <si>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</si>
  <si>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</si>
  <si>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</si>
  <si>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</si>
  <si>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</si>
  <si>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</si>
  <si>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</si>
  <si>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</si>
  <si>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</si>
  <si>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</si>
  <si>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</si>
  <si>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</si>
  <si>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</si>
  <si>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</si>
  <si>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</si>
  <si>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</si>
  <si>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</si>
  <si>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</si>
  <si>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</si>
  <si>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</si>
  <si>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2021-01-16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</si>
  <si>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</si>
  <si>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</si>
  <si>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</si>
  <si>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</si>
  <si>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</si>
  <si>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</si>
  <si>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</si>
  <si>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</si>
  <si>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</si>
  <si>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</si>
  <si>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</si>
  <si>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</si>
  <si>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</si>
  <si>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</si>
  <si>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</si>
  <si>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</si>
  <si>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</si>
  <si>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</si>
  <si>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</si>
  <si>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</si>
  <si>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</si>
  <si>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</si>
  <si>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</si>
  <si>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</si>
  <si>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</si>
  <si>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</si>
  <si>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</si>
  <si>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</si>
  <si>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</si>
  <si>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</si>
  <si>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</si>
  <si>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</si>
  <si>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</si>
  <si>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</si>
  <si>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</si>
  <si>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</si>
  <si>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</si>
  <si>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</si>
  <si>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</si>
  <si>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</si>
  <si>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</si>
  <si>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</si>
  <si>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</si>
  <si>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</si>
  <si>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</si>
  <si>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</si>
  <si>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</si>
  <si>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</si>
  <si>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</si>
  <si>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</si>
  <si>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</si>
  <si>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</si>
  <si>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</si>
  <si>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</si>
  <si>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</si>
  <si>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</si>
  <si>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2021-01-17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</si>
  <si>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</si>
  <si>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</si>
  <si>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</si>
  <si>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</si>
  <si>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</si>
  <si>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</si>
  <si>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</si>
  <si>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</si>
  <si>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</si>
  <si>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</si>
  <si>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</si>
  <si>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</si>
  <si>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</si>
  <si>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</si>
  <si>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</si>
  <si>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</si>
  <si>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</si>
  <si>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</si>
  <si>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</si>
  <si>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</si>
  <si>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</si>
  <si>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</si>
  <si>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</si>
  <si>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</si>
  <si>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</si>
  <si>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</si>
  <si>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</si>
  <si>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</si>
  <si>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</si>
  <si>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</si>
  <si>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</si>
  <si>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</si>
  <si>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</si>
  <si>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</si>
  <si>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</si>
  <si>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</si>
  <si>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</si>
  <si>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</si>
  <si>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</si>
  <si>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</si>
  <si>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</si>
  <si>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</si>
  <si>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</si>
  <si>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</si>
  <si>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</si>
  <si>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</si>
  <si>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</si>
  <si>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</si>
  <si>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</si>
  <si>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</si>
  <si>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2021-01-18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</si>
  <si>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</si>
  <si>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</si>
  <si>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</si>
  <si>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</si>
  <si>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</si>
  <si>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</si>
  <si>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</si>
  <si>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</si>
  <si>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</si>
  <si>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</si>
  <si>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</si>
  <si>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</si>
  <si>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</si>
  <si>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</si>
  <si>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</si>
  <si>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</si>
  <si>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</si>
  <si>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</si>
  <si>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</si>
  <si>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</si>
  <si>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</si>
  <si>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</si>
  <si>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</si>
  <si>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</si>
  <si>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</si>
  <si>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</si>
  <si>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</si>
  <si>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</si>
  <si>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</si>
  <si>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</si>
  <si>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</si>
  <si>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</si>
  <si>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</si>
  <si>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</si>
  <si>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</si>
  <si>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</si>
  <si>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</si>
  <si>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</si>
  <si>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</si>
  <si>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</si>
  <si>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</si>
  <si>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</si>
  <si>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</si>
  <si>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</si>
  <si>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</si>
  <si>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</si>
  <si>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</si>
  <si>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</si>
  <si>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</si>
  <si>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</si>
  <si>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</si>
  <si>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</si>
  <si>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</si>
  <si>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</si>
  <si>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</si>
  <si>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</si>
  <si>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</si>
  <si>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</si>
  <si>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</si>
  <si>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</si>
  <si>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</si>
  <si>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</si>
  <si>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2021-01-19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</si>
  <si>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</si>
  <si>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</si>
  <si>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</si>
  <si>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</si>
  <si>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</si>
  <si>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</si>
  <si>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</si>
  <si>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</si>
  <si>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</si>
  <si>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</si>
  <si>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</si>
  <si>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</si>
  <si>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</si>
  <si>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</si>
  <si>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</si>
  <si>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</si>
  <si>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</si>
  <si>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</si>
  <si>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</si>
  <si>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</si>
  <si>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</si>
  <si>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</si>
  <si>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</si>
  <si>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</si>
  <si>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</si>
  <si>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</si>
  <si>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</si>
  <si>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</si>
  <si>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</si>
  <si>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</si>
  <si>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</si>
  <si>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</si>
  <si>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</si>
  <si>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</si>
  <si>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</si>
  <si>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</si>
  <si>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</si>
  <si>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</si>
  <si>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</si>
  <si>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</si>
  <si>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</si>
  <si>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</si>
  <si>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</si>
  <si>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</si>
  <si>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</si>
  <si>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</si>
  <si>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</si>
  <si>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</si>
  <si>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</si>
  <si>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</si>
  <si>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</si>
  <si>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</si>
  <si>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</si>
  <si>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</si>
  <si>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</si>
  <si>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</si>
  <si>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</si>
  <si>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</si>
  <si>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</si>
  <si>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</si>
  <si>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</si>
  <si>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</si>
  <si>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2021-01-20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</si>
  <si>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</si>
  <si>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</si>
  <si>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</si>
  <si>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</si>
  <si>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</si>
  <si>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</si>
  <si>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</si>
  <si>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</si>
  <si>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</si>
  <si>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</si>
  <si>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</si>
  <si>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</si>
  <si>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</si>
  <si>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</si>
  <si>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</si>
  <si>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</si>
  <si>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</si>
  <si>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</si>
  <si>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</si>
  <si>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</si>
  <si>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</si>
  <si>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</si>
  <si>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</si>
  <si>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</si>
  <si>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</si>
  <si>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</si>
  <si>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</si>
  <si>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</si>
  <si>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</si>
  <si>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</si>
  <si>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</si>
  <si>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</si>
  <si>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</si>
  <si>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</si>
  <si>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</si>
  <si>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</si>
  <si>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</si>
  <si>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</si>
  <si>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</si>
  <si>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</si>
  <si>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2021-01-21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</si>
  <si>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</si>
  <si>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</si>
  <si>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</si>
  <si>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</si>
  <si>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</si>
  <si>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</si>
  <si>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</si>
  <si>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</si>
  <si>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</si>
  <si>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</si>
  <si>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</si>
  <si>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</si>
  <si>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</si>
  <si>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</si>
  <si>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</si>
  <si>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</si>
  <si>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</si>
  <si>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</si>
  <si>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</si>
  <si>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</si>
  <si>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</si>
  <si>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</si>
  <si>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</si>
  <si>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</si>
  <si>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</si>
  <si>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</si>
  <si>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</si>
  <si>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</si>
  <si>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</si>
  <si>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</si>
  <si>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</si>
  <si>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</si>
  <si>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</si>
  <si>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</si>
  <si>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</si>
  <si>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</si>
  <si>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</si>
  <si>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</si>
  <si>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</si>
  <si>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</si>
  <si>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</si>
  <si>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</si>
  <si>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</si>
  <si>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</si>
  <si>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</si>
  <si>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</si>
  <si>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</si>
  <si>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</si>
  <si>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2021-01-22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</si>
  <si>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</si>
  <si>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</si>
  <si>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</si>
  <si>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</si>
  <si>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</si>
  <si>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</si>
  <si>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</si>
  <si>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</si>
  <si>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</si>
  <si>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</si>
  <si>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</si>
  <si>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</si>
  <si>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</si>
  <si>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</si>
  <si>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</si>
  <si>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</si>
  <si>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</si>
  <si>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</si>
  <si>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</si>
  <si>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</si>
  <si>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</si>
  <si>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</si>
  <si>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</si>
  <si>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</si>
  <si>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</si>
  <si>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</si>
  <si>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</si>
  <si>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</si>
  <si>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</si>
  <si>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</si>
  <si>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</si>
  <si>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</si>
  <si>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</si>
  <si>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</si>
  <si>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</si>
  <si>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</si>
  <si>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</si>
  <si>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</si>
  <si>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</si>
  <si>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</si>
  <si>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</si>
  <si>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</si>
  <si>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</si>
  <si>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</si>
  <si>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</si>
  <si>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</si>
  <si>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</si>
  <si>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</si>
  <si>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</si>
  <si>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</si>
  <si>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2021-01-23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</si>
  <si>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</si>
  <si>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</si>
  <si>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</si>
  <si>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</si>
  <si>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</si>
  <si>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</si>
  <si>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</si>
  <si>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</si>
  <si>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</si>
  <si>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</si>
  <si>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</si>
  <si>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</si>
  <si>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</si>
  <si>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</si>
  <si>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</si>
  <si>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</si>
  <si>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</si>
  <si>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</si>
  <si>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</si>
  <si>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</si>
  <si>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</si>
  <si>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</si>
  <si>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</si>
  <si>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</si>
  <si>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</si>
  <si>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</si>
  <si>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</si>
  <si>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</si>
  <si>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</si>
  <si>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</si>
  <si>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</si>
  <si>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</si>
  <si>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</si>
  <si>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</si>
  <si>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</si>
  <si>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</si>
  <si>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</si>
  <si>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</si>
  <si>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</si>
  <si>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</si>
  <si>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</si>
  <si>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</si>
  <si>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</si>
  <si>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</si>
  <si>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</si>
  <si>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</si>
  <si>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</si>
  <si>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</si>
  <si>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</si>
  <si>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</si>
  <si>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</si>
  <si>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</si>
  <si>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</si>
  <si>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</si>
  <si>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2021-01-24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</si>
  <si>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</si>
  <si>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</si>
  <si>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</si>
  <si>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</si>
  <si>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</si>
  <si>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</si>
  <si>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</si>
  <si>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</si>
  <si>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</si>
  <si>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</si>
  <si>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</si>
  <si>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</si>
  <si>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</si>
  <si>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</si>
  <si>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</si>
  <si>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</si>
  <si>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</si>
  <si>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</si>
  <si>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</si>
  <si>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</si>
  <si>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</si>
  <si>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</si>
  <si>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</si>
  <si>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</si>
  <si>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</si>
  <si>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</si>
  <si>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</si>
  <si>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</si>
  <si>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</si>
  <si>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</si>
  <si>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</si>
  <si>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</si>
  <si>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</si>
  <si>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</si>
  <si>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</si>
  <si>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</si>
  <si>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</si>
  <si>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</si>
  <si>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</si>
  <si>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</si>
  <si>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</si>
  <si>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</si>
  <si>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</si>
  <si>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</si>
  <si>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</si>
  <si>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</si>
  <si>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</si>
  <si>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</si>
  <si>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</si>
  <si>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</si>
  <si>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</si>
  <si>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</si>
  <si>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</si>
  <si>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</si>
  <si>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2021-01-25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</si>
  <si>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</si>
  <si>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</si>
  <si>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</si>
  <si>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</si>
  <si>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</si>
  <si>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</si>
  <si>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</si>
  <si>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</si>
  <si>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</si>
  <si>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</si>
  <si>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</si>
  <si>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</si>
  <si>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</si>
  <si>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</si>
  <si>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</si>
  <si>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</si>
  <si>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</si>
  <si>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</si>
  <si>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</si>
  <si>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</si>
  <si>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</si>
  <si>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</si>
  <si>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</si>
  <si>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</si>
  <si>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</si>
  <si>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</si>
  <si>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</si>
  <si>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</si>
  <si>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</si>
  <si>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</si>
  <si>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</si>
  <si>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</si>
  <si>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</si>
  <si>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</si>
  <si>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</si>
  <si>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</si>
  <si>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</si>
  <si>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</si>
  <si>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</si>
  <si>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</si>
  <si>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</si>
  <si>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</si>
  <si>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</si>
  <si>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</si>
  <si>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</si>
  <si>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</si>
  <si>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</si>
  <si>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</si>
  <si>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</si>
  <si>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</si>
  <si>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</si>
  <si>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</si>
  <si>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</si>
  <si>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</si>
  <si>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</si>
  <si>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</si>
  <si>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</si>
  <si>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</si>
  <si>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</si>
  <si>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</si>
  <si>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</si>
  <si>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</si>
  <si>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</si>
  <si>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</si>
  <si>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2021-01-26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</si>
  <si>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</si>
  <si>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</si>
  <si>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</si>
  <si>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</si>
  <si>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</si>
  <si>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</si>
  <si>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</si>
  <si>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</si>
  <si>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</si>
  <si>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</si>
  <si>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</si>
  <si>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</si>
  <si>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</si>
  <si>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</si>
  <si>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</si>
  <si>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</si>
  <si>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</si>
  <si>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</si>
  <si>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</si>
  <si>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</si>
  <si>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</si>
  <si>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</si>
  <si>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</si>
  <si>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</si>
  <si>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</si>
  <si>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</si>
  <si>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</si>
  <si>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</si>
  <si>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</si>
  <si>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</si>
  <si>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</si>
  <si>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</si>
  <si>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</si>
  <si>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</si>
  <si>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</si>
  <si>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</si>
  <si>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</si>
  <si>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</si>
  <si>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</si>
  <si>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</si>
  <si>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</si>
  <si>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</si>
  <si>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</si>
  <si>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</si>
  <si>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</si>
  <si>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</si>
  <si>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</si>
  <si>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</si>
  <si>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</si>
  <si>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</si>
  <si>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</si>
  <si>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</si>
  <si>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</si>
  <si>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</si>
  <si>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</si>
  <si>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</si>
  <si>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</si>
  <si>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</si>
  <si>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</si>
  <si>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</si>
  <si>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2021-01-27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</si>
  <si>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</si>
  <si>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</si>
  <si>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</si>
  <si>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</si>
  <si>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</si>
  <si>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</si>
  <si>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</si>
  <si>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</si>
  <si>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</si>
  <si>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</si>
  <si>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</si>
  <si>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</si>
  <si>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</si>
  <si>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</si>
  <si>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</si>
  <si>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</si>
  <si>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</si>
  <si>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</si>
  <si>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</si>
  <si>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</si>
  <si>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</si>
  <si>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</si>
  <si>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</si>
  <si>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</si>
  <si>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</si>
  <si>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</si>
  <si>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</si>
  <si>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</si>
  <si>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</si>
  <si>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</si>
  <si>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</si>
  <si>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</si>
  <si>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</si>
  <si>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</si>
  <si>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</si>
  <si>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</si>
  <si>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</si>
  <si>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</si>
  <si>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</si>
  <si>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</si>
  <si>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</si>
  <si>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</si>
  <si>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</si>
  <si>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</si>
  <si>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</si>
  <si>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</si>
  <si>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</si>
  <si>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</si>
  <si>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</si>
  <si>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</si>
  <si>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</si>
  <si>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</si>
  <si>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</si>
  <si>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</si>
  <si>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</si>
  <si>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</si>
  <si>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2021-01-28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</si>
  <si>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</si>
  <si>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</si>
  <si>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</si>
  <si>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</si>
  <si>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</si>
  <si>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</si>
  <si>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</si>
  <si>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</si>
  <si>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</si>
  <si>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</si>
  <si>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</si>
  <si>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</si>
  <si>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</si>
  <si>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</si>
  <si>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</si>
  <si>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</si>
  <si>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</si>
  <si>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</si>
  <si>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</si>
  <si>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</si>
  <si>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</si>
  <si>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</si>
  <si>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</si>
  <si>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</si>
  <si>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</si>
  <si>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</si>
  <si>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</si>
  <si>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</si>
  <si>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</si>
  <si>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</si>
  <si>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</si>
  <si>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</si>
  <si>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</si>
  <si>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</si>
  <si>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</si>
  <si>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</si>
  <si>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</si>
  <si>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</si>
  <si>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</si>
  <si>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</si>
  <si>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</si>
  <si>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</si>
  <si>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</si>
  <si>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</si>
  <si>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</si>
  <si>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</si>
  <si>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</si>
  <si>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</si>
  <si>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</si>
  <si>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</si>
  <si>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</si>
  <si>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</si>
  <si>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</si>
  <si>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</si>
  <si>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</si>
  <si>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</si>
  <si>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2021-01-29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</si>
  <si>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</si>
  <si>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</si>
  <si>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</si>
  <si>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</si>
  <si>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</si>
  <si>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</si>
  <si>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</si>
  <si>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</si>
  <si>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</si>
  <si>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</si>
  <si>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</si>
  <si>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</si>
  <si>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</si>
  <si>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</si>
  <si>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</si>
  <si>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</si>
  <si>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</si>
  <si>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</si>
  <si>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</si>
  <si>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</si>
  <si>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</si>
  <si>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</si>
  <si>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</si>
  <si>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</si>
  <si>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</si>
  <si>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</si>
  <si>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</si>
  <si>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</si>
  <si>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</si>
  <si>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</si>
  <si>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</si>
  <si>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</si>
  <si>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</si>
  <si>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</si>
  <si>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</si>
  <si>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</si>
  <si>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</si>
  <si>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</si>
  <si>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</si>
  <si>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</si>
  <si>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</si>
  <si>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</si>
  <si>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</si>
  <si>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</si>
  <si>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</si>
  <si>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</si>
  <si>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</si>
  <si>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</si>
  <si>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</si>
  <si>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</si>
  <si>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</si>
  <si>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</si>
  <si>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</si>
  <si>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</si>
  <si>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</si>
  <si>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</si>
  <si>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</si>
  <si>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</si>
  <si>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2021-01-30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</si>
  <si>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</si>
  <si>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</si>
  <si>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</si>
  <si>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</si>
  <si>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</si>
  <si>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</si>
  <si>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</si>
  <si>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</si>
  <si>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</si>
  <si>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</si>
  <si>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</si>
  <si>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</si>
  <si>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</si>
  <si>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</si>
  <si>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</si>
  <si>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</si>
  <si>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</si>
  <si>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</si>
  <si>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</si>
  <si>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</si>
  <si>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</si>
  <si>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</si>
  <si>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</si>
  <si>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</si>
  <si>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</si>
  <si>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</si>
  <si>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</si>
  <si>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</si>
  <si>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</si>
  <si>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</si>
  <si>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</si>
  <si>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</si>
  <si>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</si>
  <si>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</si>
  <si>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</si>
  <si>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</si>
  <si>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</si>
  <si>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</si>
  <si>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</si>
  <si>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</si>
  <si>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</si>
  <si>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</si>
  <si>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</si>
  <si>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</si>
  <si>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</si>
  <si>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</si>
  <si>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</si>
  <si>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</si>
  <si>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</si>
  <si>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</si>
  <si>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</si>
  <si>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</si>
  <si>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</si>
  <si>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</si>
  <si>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</si>
  <si>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</si>
  <si>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</si>
  <si>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</si>
  <si>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</si>
  <si>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</si>
  <si>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</si>
  <si>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</si>
  <si>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</si>
  <si>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</si>
  <si>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</si>
  <si>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</si>
  <si>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</si>
  <si>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</si>
  <si>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</si>
  <si>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</si>
  <si>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</si>
  <si>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</si>
  <si>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</si>
  <si>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</si>
  <si>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</si>
  <si>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</si>
  <si>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</si>
  <si>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</si>
  <si>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</si>
  <si>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</si>
  <si>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2021-01-31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</si>
  <si>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</si>
  <si>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</si>
  <si>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</si>
  <si>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</si>
  <si>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</si>
  <si>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</si>
  <si>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</si>
  <si>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</si>
  <si>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</si>
  <si>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</si>
  <si>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</si>
  <si>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</si>
  <si>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</si>
  <si>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</si>
  <si>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</si>
  <si>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</si>
  <si>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</si>
  <si>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</si>
  <si>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</si>
  <si>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</si>
  <si>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</si>
  <si>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</si>
  <si>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</si>
  <si>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</si>
  <si>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</si>
  <si>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</si>
  <si>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</si>
  <si>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</si>
  <si>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</si>
  <si>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</si>
  <si>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</si>
  <si>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</si>
  <si>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</si>
  <si>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</si>
  <si>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</si>
  <si>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</si>
  <si>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</si>
  <si>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</si>
  <si>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</si>
  <si>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</si>
  <si>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</si>
  <si>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</si>
  <si>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</si>
  <si>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</si>
  <si>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</si>
  <si>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</si>
  <si>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</si>
  <si>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</si>
  <si>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</si>
  <si>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</si>
  <si>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</si>
  <si>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</si>
  <si>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</si>
  <si>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</si>
  <si>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</si>
  <si>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</si>
  <si>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</si>
  <si>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</si>
  <si>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</si>
  <si>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</si>
  <si>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2021-02-01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</si>
  <si>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</si>
  <si>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</si>
  <si>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</si>
  <si>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</si>
  <si>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</si>
  <si>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</si>
  <si>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</si>
  <si>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</si>
  <si>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</si>
  <si>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</si>
  <si>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</si>
  <si>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</si>
  <si>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</si>
  <si>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</si>
  <si>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</si>
  <si>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</si>
  <si>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</si>
  <si>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</si>
  <si>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</si>
  <si>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</si>
  <si>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</si>
  <si>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</si>
  <si>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</si>
  <si>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</si>
  <si>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</si>
  <si>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</si>
  <si>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</si>
  <si>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</si>
  <si>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</si>
  <si>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</si>
  <si>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</si>
  <si>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</si>
  <si>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</si>
  <si>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</si>
  <si>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</si>
  <si>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</si>
  <si>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</si>
  <si>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</si>
  <si>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</si>
  <si>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</si>
  <si>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</si>
  <si>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</si>
  <si>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</si>
  <si>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</si>
  <si>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</si>
  <si>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</si>
  <si>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</si>
  <si>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</si>
  <si>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</si>
  <si>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</si>
  <si>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</si>
  <si>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</si>
  <si>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</si>
  <si>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</si>
  <si>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</si>
  <si>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</si>
  <si>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</si>
  <si>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</si>
  <si>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</si>
  <si>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</si>
  <si>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</si>
  <si>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</si>
  <si>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</si>
  <si>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</si>
  <si>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</si>
  <si>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</si>
  <si>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</si>
  <si>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</si>
  <si>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</si>
  <si>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</si>
  <si>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</si>
  <si>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</si>
  <si>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2021-02-02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</si>
  <si>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</si>
  <si>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</si>
  <si>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</si>
  <si>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</si>
  <si>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</si>
  <si>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</si>
  <si>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</si>
  <si>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</si>
  <si>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</si>
  <si>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</si>
  <si>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</si>
  <si>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</si>
  <si>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</si>
  <si>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</si>
  <si>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</si>
  <si>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</si>
  <si>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</si>
  <si>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</si>
  <si>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</si>
  <si>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</si>
  <si>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</si>
  <si>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</si>
  <si>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</si>
  <si>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</si>
  <si>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</si>
  <si>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</si>
  <si>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</si>
  <si>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</si>
  <si>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</si>
  <si>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</si>
  <si>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</si>
  <si>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</si>
  <si>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</si>
  <si>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</si>
  <si>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</si>
  <si>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</si>
  <si>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2021-02-03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</si>
  <si>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</si>
  <si>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</si>
  <si>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</si>
  <si>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</si>
  <si>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</si>
  <si>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</si>
  <si>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</si>
  <si>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</si>
  <si>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</si>
  <si>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</si>
  <si>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</si>
  <si>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</si>
  <si>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</si>
  <si>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</si>
  <si>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</si>
  <si>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</si>
  <si>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</si>
  <si>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</si>
  <si>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</si>
  <si>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</si>
  <si>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</si>
  <si>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</si>
  <si>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</si>
  <si>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</si>
  <si>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</si>
  <si>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</si>
  <si>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</si>
  <si>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</si>
  <si>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</si>
  <si>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</si>
  <si>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</si>
  <si>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</si>
  <si>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</si>
  <si>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</si>
  <si>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</si>
  <si>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</si>
  <si>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</si>
  <si>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</si>
  <si>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</si>
  <si>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</si>
  <si>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</si>
  <si>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</si>
  <si>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</si>
  <si>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</si>
  <si>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</si>
  <si>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</si>
  <si>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</si>
  <si>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</si>
  <si>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</si>
  <si>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</si>
  <si>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</si>
  <si>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</si>
  <si>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</si>
  <si>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</si>
  <si>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</si>
  <si>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</si>
  <si>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</si>
  <si>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</si>
  <si>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</si>
  <si>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</si>
  <si>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</si>
  <si>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</si>
  <si>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</si>
  <si>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</si>
  <si>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</si>
  <si>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</si>
  <si>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</si>
  <si>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</si>
  <si>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</si>
  <si>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</si>
  <si>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</si>
  <si>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</si>
  <si>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</si>
  <si>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</si>
  <si>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2021-02-04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</si>
  <si>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</si>
  <si>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</si>
  <si>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</si>
  <si>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</si>
  <si>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</si>
  <si>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</si>
  <si>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</si>
  <si>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</si>
  <si>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</si>
  <si>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</si>
  <si>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</si>
  <si>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</si>
  <si>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</si>
  <si>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</si>
  <si>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</si>
  <si>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</si>
  <si>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</si>
  <si>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</si>
  <si>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</si>
  <si>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</si>
  <si>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</si>
  <si>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</si>
  <si>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</si>
  <si>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</si>
  <si>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</si>
  <si>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</si>
  <si>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</si>
  <si>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</si>
  <si>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</si>
  <si>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</si>
  <si>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</si>
  <si>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</si>
  <si>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</si>
  <si>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</si>
  <si>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</si>
  <si>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</si>
  <si>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</si>
  <si>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</si>
  <si>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</si>
  <si>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</si>
  <si>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</si>
  <si>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</si>
  <si>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</si>
  <si>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</si>
  <si>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</si>
  <si>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</si>
  <si>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</si>
  <si>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</si>
  <si>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</si>
  <si>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</si>
  <si>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</si>
  <si>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</si>
  <si>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</si>
  <si>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</si>
  <si>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</si>
  <si>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</si>
  <si>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</si>
  <si>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</si>
  <si>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</si>
  <si>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</si>
  <si>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</si>
  <si>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</si>
  <si>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</si>
  <si>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</si>
  <si>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</si>
  <si>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</si>
  <si>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</si>
  <si>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</si>
  <si>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</si>
  <si>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</si>
  <si>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</si>
  <si>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</si>
  <si>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2021-02-05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</si>
  <si>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</si>
  <si>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</si>
  <si>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</si>
  <si>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</si>
  <si>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</si>
  <si>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</si>
  <si>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</si>
  <si>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</si>
  <si>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</si>
  <si>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</si>
  <si>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</si>
  <si>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</si>
  <si>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</si>
  <si>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</si>
  <si>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</si>
  <si>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</si>
  <si>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</si>
  <si>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</si>
  <si>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</si>
  <si>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</si>
  <si>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</si>
  <si>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</si>
  <si>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</si>
  <si>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</si>
  <si>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</si>
  <si>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</si>
  <si>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</si>
  <si>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</si>
  <si>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</si>
  <si>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</si>
  <si>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</si>
  <si>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</si>
  <si>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</si>
  <si>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</si>
  <si>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</si>
  <si>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</si>
  <si>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</si>
  <si>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</si>
  <si>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</si>
  <si>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</si>
  <si>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</si>
  <si>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</si>
  <si>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</si>
  <si>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</si>
  <si>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</si>
  <si>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</si>
  <si>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</si>
  <si>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</si>
  <si>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</si>
  <si>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</si>
  <si>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</si>
  <si>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</si>
  <si>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</si>
  <si>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</si>
  <si>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</si>
  <si>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</si>
  <si>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</si>
  <si>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</si>
  <si>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</si>
  <si>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</si>
  <si>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</si>
  <si>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</si>
  <si>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</si>
  <si>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</si>
  <si>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</si>
  <si>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</si>
  <si>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</si>
  <si>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</si>
  <si>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</si>
  <si>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</si>
  <si>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</si>
  <si>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</si>
  <si>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2021-02-06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</si>
  <si>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</si>
  <si>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</si>
  <si>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</si>
  <si>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</si>
  <si>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</si>
  <si>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</si>
  <si>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</si>
  <si>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</si>
  <si>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</si>
  <si>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</si>
  <si>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</si>
  <si>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</si>
  <si>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</si>
  <si>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</si>
  <si>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</si>
  <si>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</si>
  <si>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</si>
  <si>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</si>
  <si>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</si>
  <si>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</si>
  <si>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</si>
  <si>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</si>
  <si>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</si>
  <si>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</si>
  <si>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</si>
  <si>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</si>
  <si>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</si>
  <si>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</si>
  <si>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</si>
  <si>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</si>
  <si>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</si>
  <si>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</si>
  <si>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</si>
  <si>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</si>
  <si>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</si>
  <si>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</si>
  <si>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</si>
  <si>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</si>
  <si>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</si>
  <si>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</si>
  <si>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</si>
  <si>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</si>
  <si>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</si>
  <si>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</si>
  <si>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</si>
  <si>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</si>
  <si>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</si>
  <si>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</si>
  <si>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</si>
  <si>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</si>
  <si>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2021-02-07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</si>
  <si>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</si>
  <si>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</si>
  <si>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</si>
  <si>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</si>
  <si>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</si>
  <si>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</si>
  <si>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</si>
  <si>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</si>
  <si>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</si>
  <si>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</si>
  <si>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</si>
  <si>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</si>
  <si>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</si>
  <si>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</si>
  <si>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</si>
  <si>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</si>
  <si>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</si>
  <si>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</si>
  <si>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</si>
  <si>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</si>
  <si>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</si>
  <si>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</si>
  <si>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</si>
  <si>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</si>
  <si>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</si>
  <si>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</si>
  <si>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</si>
  <si>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</si>
  <si>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</si>
  <si>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</si>
  <si>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</si>
  <si>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</si>
  <si>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</si>
  <si>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</si>
  <si>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</si>
  <si>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</si>
  <si>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</si>
  <si>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</si>
  <si>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</si>
  <si>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</si>
  <si>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</si>
  <si>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</si>
  <si>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</si>
  <si>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</si>
  <si>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</si>
  <si>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</si>
  <si>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</si>
  <si>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</si>
  <si>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</si>
  <si>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</si>
  <si>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</si>
  <si>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</si>
  <si>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</si>
  <si>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</si>
  <si>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</si>
  <si>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</si>
  <si>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2021-02-08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</si>
  <si>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</si>
  <si>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</si>
  <si>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</si>
  <si>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</si>
  <si>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</si>
  <si>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</si>
  <si>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</si>
  <si>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</si>
  <si>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</si>
  <si>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</si>
  <si>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</si>
  <si>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</si>
  <si>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</si>
  <si>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</si>
  <si>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</si>
  <si>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</si>
  <si>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</si>
  <si>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</si>
  <si>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</si>
  <si>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</si>
  <si>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</si>
  <si>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</si>
  <si>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</si>
  <si>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</si>
  <si>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</si>
  <si>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</si>
  <si>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</si>
  <si>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</si>
  <si>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</si>
  <si>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</si>
  <si>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</si>
  <si>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</si>
  <si>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</si>
  <si>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</si>
  <si>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</si>
  <si>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</si>
  <si>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</si>
  <si>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</si>
  <si>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</si>
  <si>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</si>
  <si>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</si>
  <si>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</si>
  <si>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2021-02-09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</si>
  <si>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</si>
  <si>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</si>
  <si>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</si>
  <si>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</si>
  <si>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</si>
  <si>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</si>
  <si>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</si>
  <si>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</si>
  <si>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</si>
  <si>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</si>
  <si>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</si>
  <si>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</si>
  <si>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</si>
  <si>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</si>
  <si>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</si>
  <si>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</si>
  <si>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</si>
  <si>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</si>
  <si>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</si>
  <si>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</si>
  <si>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</si>
  <si>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</si>
  <si>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</si>
  <si>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</si>
  <si>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</si>
  <si>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</si>
  <si>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</si>
  <si>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</si>
  <si>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</si>
  <si>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</si>
  <si>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</si>
  <si>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</si>
  <si>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</si>
  <si>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</si>
  <si>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</si>
  <si>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</si>
  <si>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</si>
  <si>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</si>
  <si>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</si>
  <si>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</si>
  <si>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</si>
  <si>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</si>
  <si>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</si>
  <si>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</si>
  <si>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</si>
  <si>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</si>
  <si>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</si>
  <si>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</si>
  <si>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</si>
  <si>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</si>
  <si>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</si>
  <si>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</si>
  <si>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</si>
  <si>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</si>
  <si>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</si>
  <si>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</si>
  <si>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2021-02-10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</si>
  <si>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</si>
  <si>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</si>
  <si>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</si>
  <si>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</si>
  <si>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</si>
  <si>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</si>
  <si>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</si>
  <si>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</si>
  <si>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</si>
  <si>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</si>
  <si>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</si>
  <si>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</si>
  <si>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</si>
  <si>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</si>
  <si>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</si>
  <si>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</si>
  <si>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</si>
  <si>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</si>
  <si>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</si>
  <si>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</si>
  <si>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</si>
  <si>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</si>
  <si>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</si>
  <si>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</si>
  <si>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</si>
  <si>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</si>
  <si>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</si>
  <si>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</si>
  <si>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</si>
  <si>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</si>
  <si>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</si>
  <si>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</si>
  <si>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</si>
  <si>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</si>
  <si>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</si>
  <si>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</si>
  <si>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</si>
  <si>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</si>
  <si>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</si>
  <si>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</si>
  <si>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</si>
  <si>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</si>
  <si>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</si>
  <si>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</si>
  <si>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</si>
  <si>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</si>
  <si>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</si>
  <si>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</si>
  <si>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</si>
  <si>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</si>
  <si>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</si>
  <si>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</si>
  <si>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</si>
  <si>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</si>
  <si>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</si>
  <si>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</si>
  <si>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</si>
  <si>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</si>
  <si>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</si>
  <si>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</si>
  <si>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</si>
  <si>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</si>
  <si>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2021-02-11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</si>
  <si>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</si>
  <si>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</si>
  <si>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</si>
  <si>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</si>
  <si>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</si>
  <si>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</si>
  <si>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</si>
  <si>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</si>
  <si>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</si>
  <si>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</si>
  <si>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</si>
  <si>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</si>
  <si>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</si>
  <si>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</si>
  <si>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</si>
  <si>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</si>
  <si>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</si>
  <si>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</si>
  <si>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</si>
  <si>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</si>
  <si>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</si>
  <si>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</si>
  <si>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</si>
  <si>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</si>
  <si>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</si>
  <si>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</si>
  <si>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</si>
  <si>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</si>
  <si>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</si>
  <si>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</si>
  <si>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</si>
  <si>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</si>
  <si>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</si>
  <si>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</si>
  <si>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</si>
  <si>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</si>
  <si>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</si>
  <si>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</si>
  <si>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</si>
  <si>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</si>
  <si>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</si>
  <si>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</si>
  <si>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</si>
  <si>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</si>
  <si>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</si>
  <si>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</si>
  <si>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</si>
  <si>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</si>
  <si>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</si>
  <si>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</si>
  <si>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</si>
  <si>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</si>
  <si>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</si>
  <si>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</si>
  <si>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</si>
  <si>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</si>
  <si>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</si>
  <si>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</si>
  <si>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</si>
  <si>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</si>
  <si>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</si>
  <si>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</si>
  <si>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</si>
  <si>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</si>
  <si>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</si>
  <si>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</si>
  <si>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</si>
  <si>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</si>
  <si>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</si>
  <si>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</si>
  <si>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</si>
  <si>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</si>
  <si>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2021-02-12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</si>
  <si>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</si>
  <si>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</si>
  <si>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</si>
  <si>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</si>
  <si>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</si>
  <si>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</si>
  <si>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</si>
  <si>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</si>
  <si>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</si>
  <si>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</si>
  <si>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</si>
  <si>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</si>
  <si>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</si>
  <si>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</si>
  <si>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</si>
  <si>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</si>
  <si>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</si>
  <si>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</si>
  <si>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</si>
  <si>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</si>
  <si>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</si>
  <si>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</si>
  <si>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</si>
  <si>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</si>
  <si>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</si>
  <si>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</si>
  <si>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</si>
  <si>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</si>
  <si>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</si>
  <si>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</si>
  <si>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</si>
  <si>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</si>
  <si>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</si>
  <si>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</si>
  <si>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</si>
  <si>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</si>
  <si>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</si>
  <si>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</si>
  <si>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</si>
  <si>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</si>
  <si>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</si>
  <si>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</si>
  <si>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</si>
  <si>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</si>
  <si>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2021-02-13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</si>
  <si>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</si>
  <si>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</si>
  <si>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</si>
  <si>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</si>
  <si>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</si>
  <si>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</si>
  <si>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</si>
  <si>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</si>
  <si>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</si>
  <si>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</si>
  <si>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</si>
  <si>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</si>
  <si>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</si>
  <si>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</si>
  <si>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</si>
  <si>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</si>
  <si>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</si>
  <si>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</si>
  <si>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</si>
  <si>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</si>
  <si>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</si>
  <si>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</si>
  <si>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</si>
  <si>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</si>
  <si>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</si>
  <si>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</si>
  <si>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</si>
  <si>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</si>
  <si>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</si>
  <si>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</si>
  <si>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</si>
  <si>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</si>
  <si>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</si>
  <si>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</si>
  <si>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</si>
  <si>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</si>
  <si>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</si>
  <si>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</si>
  <si>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</si>
  <si>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</si>
  <si>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</si>
  <si>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</si>
  <si>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</si>
  <si>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</si>
  <si>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</si>
  <si>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</si>
  <si>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</si>
  <si>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</si>
  <si>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</si>
  <si>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</si>
  <si>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</si>
  <si>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</si>
  <si>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</si>
  <si>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</si>
  <si>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2021-02-14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</si>
  <si>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</si>
  <si>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</si>
  <si>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</si>
  <si>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</si>
  <si>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</si>
  <si>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</si>
  <si>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</si>
  <si>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</si>
  <si>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</si>
  <si>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</si>
  <si>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</si>
  <si>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</si>
  <si>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</si>
  <si>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</si>
  <si>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</si>
  <si>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</si>
  <si>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</si>
  <si>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</si>
  <si>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</si>
  <si>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</si>
  <si>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</si>
  <si>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</si>
  <si>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</si>
  <si>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</si>
  <si>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</si>
  <si>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</si>
  <si>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</si>
  <si>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</si>
  <si>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</si>
  <si>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</si>
  <si>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</si>
  <si>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</si>
  <si>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</si>
  <si>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</si>
  <si>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</si>
  <si>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</si>
  <si>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</si>
  <si>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</si>
  <si>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</si>
  <si>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</si>
  <si>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</si>
  <si>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</si>
  <si>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</si>
  <si>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</si>
  <si>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</si>
  <si>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</si>
  <si>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</si>
  <si>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</si>
  <si>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</si>
  <si>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</si>
  <si>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</si>
  <si>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</si>
  <si>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</si>
  <si>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</si>
  <si>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</si>
  <si>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</si>
  <si>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</si>
  <si>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</si>
  <si>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</si>
  <si>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</si>
  <si>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2021-02-15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</si>
  <si>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</si>
  <si>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</si>
  <si>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</si>
  <si>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</si>
  <si>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</si>
  <si>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</si>
  <si>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</si>
  <si>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</si>
  <si>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</si>
  <si>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</si>
  <si>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</si>
  <si>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</si>
  <si>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</si>
  <si>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</si>
  <si>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</si>
  <si>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</si>
  <si>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</si>
  <si>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</si>
  <si>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</si>
  <si>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</si>
  <si>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</si>
  <si>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</si>
  <si>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</si>
  <si>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</si>
  <si>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</si>
  <si>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</si>
  <si>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</si>
  <si>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</si>
  <si>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</si>
  <si>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</si>
  <si>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</si>
  <si>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</si>
  <si>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</si>
  <si>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</si>
  <si>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</si>
  <si>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</si>
  <si>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</si>
  <si>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</si>
  <si>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</si>
  <si>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</si>
  <si>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</si>
  <si>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</si>
  <si>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</si>
  <si>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</si>
  <si>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</si>
  <si>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</si>
  <si>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</si>
  <si>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</si>
  <si>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</si>
  <si>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</si>
  <si>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</si>
  <si>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</si>
  <si>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</si>
  <si>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</si>
  <si>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</si>
  <si>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</si>
  <si>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</si>
  <si>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</si>
  <si>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2021-02-16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</si>
  <si>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</si>
  <si>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</si>
  <si>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</si>
  <si>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</si>
  <si>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</si>
  <si>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</si>
  <si>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</si>
  <si>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</si>
  <si>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</si>
  <si>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</si>
  <si>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</si>
  <si>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</si>
  <si>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</si>
  <si>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</si>
  <si>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</si>
  <si>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</si>
  <si>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</si>
  <si>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</si>
  <si>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</si>
  <si>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</si>
  <si>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</si>
  <si>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</si>
  <si>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</si>
  <si>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</si>
  <si>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</si>
  <si>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</si>
  <si>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</si>
  <si>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</si>
  <si>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</si>
  <si>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</si>
  <si>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</si>
  <si>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</si>
  <si>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</si>
  <si>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</si>
  <si>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</si>
  <si>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</si>
  <si>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</si>
  <si>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</si>
  <si>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</si>
  <si>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</si>
  <si>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</si>
  <si>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</si>
  <si>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</si>
  <si>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</si>
  <si>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</si>
  <si>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</si>
  <si>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</si>
  <si>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</si>
  <si>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</si>
  <si>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</si>
  <si>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</si>
  <si>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</si>
  <si>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</si>
  <si>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</si>
  <si>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</si>
  <si>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</si>
  <si>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2021-02-17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</si>
  <si>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</si>
  <si>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</si>
  <si>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</si>
  <si>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</si>
  <si>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</si>
  <si>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</si>
  <si>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</si>
  <si>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</si>
  <si>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</si>
  <si>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</si>
  <si>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</si>
  <si>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</si>
  <si>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</si>
  <si>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</si>
  <si>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</si>
  <si>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</si>
  <si>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</si>
  <si>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</si>
  <si>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</si>
  <si>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</si>
  <si>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</si>
  <si>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</si>
  <si>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</si>
  <si>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</si>
  <si>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</si>
  <si>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</si>
  <si>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</si>
  <si>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</si>
  <si>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</si>
  <si>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</si>
  <si>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</si>
  <si>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</si>
  <si>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</si>
  <si>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</si>
  <si>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</si>
  <si>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</si>
  <si>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</si>
  <si>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</si>
  <si>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</si>
  <si>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</si>
  <si>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</si>
  <si>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</si>
  <si>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</si>
  <si>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</si>
  <si>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</si>
  <si>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</si>
  <si>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</si>
  <si>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</si>
  <si>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</si>
  <si>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</si>
  <si>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</si>
  <si>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</si>
  <si>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</si>
  <si>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</si>
  <si>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</si>
  <si>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</si>
  <si>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</si>
  <si>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</si>
  <si>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</si>
  <si>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</si>
  <si>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</si>
  <si>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</si>
  <si>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</si>
  <si>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</si>
  <si>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</si>
  <si>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</si>
  <si>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</si>
  <si>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</si>
  <si>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2021-02-18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</si>
  <si>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</si>
  <si>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</si>
  <si>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</si>
  <si>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</si>
  <si>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</si>
  <si>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</si>
  <si>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</si>
  <si>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</si>
  <si>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</si>
  <si>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</si>
  <si>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</si>
  <si>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</si>
  <si>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</si>
  <si>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</si>
  <si>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</si>
  <si>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</si>
  <si>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</si>
  <si>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</si>
  <si>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</si>
  <si>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</si>
  <si>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</si>
  <si>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</si>
  <si>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</si>
  <si>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</si>
  <si>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</si>
  <si>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</si>
  <si>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</si>
  <si>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</si>
  <si>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</si>
  <si>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</si>
  <si>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</si>
  <si>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</si>
  <si>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</si>
  <si>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</si>
  <si>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</si>
  <si>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</si>
  <si>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</si>
  <si>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</si>
  <si>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</si>
  <si>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</si>
  <si>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</si>
  <si>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</si>
  <si>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</si>
  <si>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</si>
  <si>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</si>
  <si>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</si>
  <si>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</si>
  <si>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</si>
  <si>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</si>
  <si>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</si>
  <si>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2021-02-19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</si>
  <si>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</si>
  <si>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</si>
  <si>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</si>
  <si>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</si>
  <si>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</si>
  <si>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</si>
  <si>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</si>
  <si>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</si>
  <si>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</si>
  <si>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</si>
  <si>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</si>
  <si>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</si>
  <si>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</si>
  <si>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</si>
  <si>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</si>
  <si>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</si>
  <si>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</si>
  <si>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</si>
  <si>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</si>
  <si>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</si>
  <si>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</si>
  <si>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</si>
  <si>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</si>
  <si>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</si>
  <si>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</si>
  <si>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</si>
  <si>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</si>
  <si>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</si>
  <si>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</si>
  <si>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</si>
  <si>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</si>
  <si>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</si>
  <si>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</si>
  <si>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</si>
  <si>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</si>
  <si>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</si>
  <si>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</si>
  <si>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</si>
  <si>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</si>
  <si>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</si>
  <si>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</si>
  <si>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</si>
  <si>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</si>
  <si>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</si>
  <si>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</si>
  <si>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</si>
  <si>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</si>
  <si>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</si>
  <si>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2021-02-20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</si>
  <si>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</si>
  <si>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</si>
  <si>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</si>
  <si>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</si>
  <si>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</si>
  <si>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</si>
  <si>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</si>
  <si>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</si>
  <si>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</si>
  <si>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</si>
  <si>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</si>
  <si>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</si>
  <si>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</si>
  <si>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</si>
  <si>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</si>
  <si>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</si>
  <si>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</si>
  <si>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</si>
  <si>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</si>
  <si>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</si>
  <si>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</si>
  <si>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</si>
  <si>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</si>
  <si>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</si>
  <si>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</si>
  <si>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</si>
  <si>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</si>
  <si>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</si>
  <si>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</si>
  <si>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</si>
  <si>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</si>
  <si>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</si>
  <si>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</si>
  <si>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</si>
  <si>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</si>
  <si>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</si>
  <si>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</si>
  <si>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</si>
  <si>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</si>
  <si>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</si>
  <si>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</si>
  <si>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</si>
  <si>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</si>
  <si>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</si>
  <si>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</si>
  <si>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</si>
  <si>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</si>
  <si>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</si>
  <si>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</si>
  <si>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</si>
  <si>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</si>
  <si>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</si>
  <si>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</si>
  <si>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</si>
  <si>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</si>
  <si>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</si>
  <si>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</si>
  <si>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</si>
  <si>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</si>
  <si>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</si>
  <si>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</si>
  <si>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</si>
  <si>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</si>
  <si>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</si>
  <si>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</si>
  <si>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</si>
  <si>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</si>
  <si>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</si>
  <si>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2021-02-21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</si>
  <si>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</si>
  <si>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</si>
  <si>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</si>
  <si>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</si>
  <si>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</si>
  <si>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</si>
  <si>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</si>
  <si>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</si>
  <si>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</si>
  <si>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</si>
  <si>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</si>
  <si>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</si>
  <si>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</si>
  <si>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</si>
  <si>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</si>
  <si>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</si>
  <si>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</si>
  <si>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</si>
  <si>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</si>
  <si>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</si>
  <si>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</si>
  <si>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</si>
  <si>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</si>
  <si>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</si>
  <si>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</si>
  <si>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</si>
  <si>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</si>
  <si>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</si>
  <si>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</si>
  <si>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</si>
  <si>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</si>
  <si>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</si>
  <si>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</si>
  <si>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</si>
  <si>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</si>
  <si>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</si>
  <si>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</si>
  <si>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</si>
  <si>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</si>
  <si>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</si>
  <si>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</si>
  <si>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</si>
  <si>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</si>
  <si>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</si>
  <si>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</si>
  <si>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</si>
  <si>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</si>
  <si>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</si>
  <si>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</si>
  <si>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</si>
  <si>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</si>
  <si>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</si>
  <si>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</si>
  <si>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</si>
  <si>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2021-02-22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</si>
  <si>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</si>
  <si>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</si>
  <si>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</si>
  <si>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</si>
  <si>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</si>
  <si>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</si>
  <si>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</si>
  <si>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</si>
  <si>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</si>
  <si>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</si>
  <si>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</si>
  <si>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</si>
  <si>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</si>
  <si>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</si>
  <si>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</si>
  <si>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</si>
  <si>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</si>
  <si>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</si>
  <si>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</si>
  <si>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</si>
  <si>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</si>
  <si>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</si>
  <si>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</si>
  <si>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</si>
  <si>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</si>
  <si>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</si>
  <si>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</si>
  <si>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</si>
  <si>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</si>
  <si>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</si>
  <si>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</si>
  <si>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</si>
  <si>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</si>
  <si>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</si>
  <si>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</si>
  <si>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</si>
  <si>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</si>
  <si>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</si>
  <si>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</si>
  <si>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</si>
  <si>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</si>
  <si>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</si>
  <si>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</si>
  <si>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</si>
  <si>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</si>
  <si>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</si>
  <si>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</si>
  <si>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</si>
  <si>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</si>
  <si>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</si>
  <si>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2021-02-23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</si>
  <si>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</si>
  <si>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</si>
  <si>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</si>
  <si>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</si>
  <si>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</si>
  <si>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</si>
  <si>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</si>
  <si>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</si>
  <si>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</si>
  <si>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</si>
  <si>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</si>
  <si>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</si>
  <si>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</si>
  <si>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</si>
  <si>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</si>
  <si>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</si>
  <si>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</si>
  <si>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</si>
  <si>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</si>
  <si>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</si>
  <si>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</si>
  <si>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</si>
  <si>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</si>
  <si>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</si>
  <si>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</si>
  <si>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</si>
  <si>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</si>
  <si>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</si>
  <si>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</si>
  <si>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</si>
  <si>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</si>
  <si>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</si>
  <si>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</si>
  <si>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</si>
  <si>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</si>
  <si>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</si>
  <si>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</si>
  <si>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</si>
  <si>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</si>
  <si>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</si>
  <si>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</si>
  <si>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</si>
  <si>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</si>
  <si>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</si>
  <si>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</si>
  <si>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</si>
  <si>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</si>
  <si>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</si>
  <si>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</si>
  <si>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</si>
  <si>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</si>
  <si>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</si>
  <si>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</si>
  <si>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</si>
  <si>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2021-02-24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</si>
  <si>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</si>
  <si>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</si>
  <si>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</si>
  <si>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</si>
  <si>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</si>
  <si>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</si>
  <si>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</si>
  <si>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</si>
  <si>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</si>
  <si>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</si>
  <si>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</si>
  <si>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</si>
  <si>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</si>
  <si>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</si>
  <si>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</si>
  <si>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</si>
  <si>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</si>
  <si>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</si>
  <si>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</si>
  <si>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</si>
  <si>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</si>
  <si>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</si>
  <si>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</si>
  <si>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</si>
  <si>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</si>
  <si>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</si>
  <si>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</si>
  <si>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</si>
  <si>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</si>
  <si>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</si>
  <si>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</si>
  <si>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</si>
  <si>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</si>
  <si>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</si>
  <si>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</si>
  <si>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</si>
  <si>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</si>
  <si>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</si>
  <si>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</si>
  <si>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</si>
  <si>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</si>
  <si>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</si>
  <si>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</si>
  <si>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</si>
  <si>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</si>
  <si>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</si>
  <si>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</si>
  <si>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</si>
  <si>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</si>
  <si>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</si>
  <si>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</si>
  <si>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</si>
  <si>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2021-02-25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</si>
  <si>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</si>
  <si>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</si>
  <si>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</si>
  <si>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</si>
  <si>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</si>
  <si>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</si>
  <si>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</si>
  <si>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</si>
  <si>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</si>
  <si>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</si>
  <si>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</si>
  <si>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</si>
  <si>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</si>
  <si>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</si>
  <si>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</si>
  <si>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</si>
  <si>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</si>
  <si>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</si>
  <si>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</si>
  <si>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</si>
  <si>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</si>
  <si>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</si>
  <si>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</si>
  <si>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</si>
  <si>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</si>
  <si>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</si>
  <si>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</si>
  <si>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</si>
  <si>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</si>
  <si>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</si>
  <si>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</si>
  <si>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</si>
  <si>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</si>
  <si>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</si>
  <si>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</si>
  <si>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</si>
  <si>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</si>
  <si>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</si>
  <si>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</si>
  <si>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</si>
  <si>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</si>
  <si>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</si>
  <si>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</si>
  <si>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</si>
  <si>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</si>
  <si>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</si>
  <si>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</si>
  <si>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</si>
  <si>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</si>
  <si>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</si>
  <si>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</si>
  <si>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</si>
  <si>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</si>
  <si>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</si>
  <si>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</si>
  <si>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</si>
  <si>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</si>
  <si>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</si>
  <si>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</si>
  <si>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</si>
  <si>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</si>
  <si>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</si>
  <si>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</si>
  <si>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</si>
  <si>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2021-02-26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</si>
  <si>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</si>
  <si>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</si>
  <si>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</si>
  <si>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</si>
  <si>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</si>
  <si>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</si>
  <si>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</si>
  <si>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</si>
  <si>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</si>
  <si>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</si>
  <si>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</si>
  <si>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</si>
  <si>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</si>
  <si>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</si>
  <si>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</si>
  <si>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</si>
  <si>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</si>
  <si>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</si>
  <si>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</si>
  <si>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</si>
  <si>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</si>
  <si>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</si>
  <si>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</si>
  <si>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</si>
  <si>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</si>
  <si>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</si>
  <si>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</si>
  <si>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</si>
  <si>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</si>
  <si>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</si>
  <si>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</si>
  <si>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</si>
  <si>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</si>
  <si>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</si>
  <si>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</si>
  <si>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</si>
  <si>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</si>
  <si>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</si>
  <si>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</si>
  <si>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</si>
  <si>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</si>
  <si>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</si>
  <si>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</si>
  <si>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</si>
  <si>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</si>
  <si>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</si>
  <si>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</si>
  <si>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</si>
  <si>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</si>
  <si>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</si>
  <si>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</si>
  <si>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</si>
  <si>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</si>
  <si>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</si>
  <si>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</si>
  <si>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</si>
  <si>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2021-02-27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</si>
  <si>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</si>
  <si>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</si>
  <si>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</si>
  <si>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</si>
  <si>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</si>
  <si>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</si>
  <si>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</si>
  <si>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</si>
  <si>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</si>
  <si>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</si>
  <si>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</si>
  <si>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</si>
  <si>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</si>
  <si>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</si>
  <si>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</si>
  <si>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</si>
  <si>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</si>
  <si>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</si>
  <si>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</si>
  <si>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</si>
  <si>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</si>
  <si>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</si>
  <si>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</si>
  <si>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</si>
  <si>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</si>
  <si>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</si>
  <si>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</si>
  <si>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</si>
  <si>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</si>
  <si>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</si>
  <si>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</si>
  <si>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</si>
  <si>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</si>
  <si>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</si>
  <si>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</si>
  <si>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</si>
  <si>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</si>
  <si>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</si>
  <si>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</si>
  <si>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</si>
  <si>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</si>
  <si>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</si>
  <si>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</si>
  <si>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</si>
  <si>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</si>
  <si>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</si>
  <si>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</si>
  <si>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</si>
  <si>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</si>
  <si>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</si>
  <si>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</si>
  <si>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</si>
  <si>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</si>
  <si>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</si>
  <si>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2021-02-28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</si>
  <si>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</si>
  <si>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</si>
  <si>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</si>
  <si>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</si>
  <si>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</si>
  <si>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</si>
  <si>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</si>
  <si>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</si>
  <si>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</si>
  <si>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</si>
  <si>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</si>
  <si>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</si>
  <si>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</si>
  <si>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</si>
  <si>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</si>
  <si>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</si>
  <si>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</si>
  <si>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</si>
  <si>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</si>
  <si>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</si>
  <si>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</si>
  <si>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</si>
  <si>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</si>
  <si>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</si>
  <si>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</si>
  <si>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</si>
  <si>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</si>
  <si>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</si>
  <si>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</si>
  <si>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</si>
  <si>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</si>
  <si>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</si>
  <si>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</si>
  <si>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</si>
  <si>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</si>
  <si>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</si>
  <si>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</si>
  <si>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</si>
  <si>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</si>
  <si>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</si>
  <si>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</si>
  <si>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</si>
  <si>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</si>
  <si>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</si>
  <si>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</si>
  <si>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</si>
  <si>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</si>
  <si>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</si>
  <si>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</si>
  <si>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</si>
  <si>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</si>
  <si>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</si>
  <si>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</si>
  <si>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</si>
  <si>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</si>
  <si>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</si>
  <si>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</si>
  <si>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</si>
  <si>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</si>
  <si>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</si>
  <si>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</si>
  <si>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</si>
  <si>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2021-03-01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</si>
  <si>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</si>
  <si>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</si>
  <si>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</si>
  <si>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</si>
  <si>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</si>
  <si>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</si>
  <si>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</si>
  <si>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</si>
  <si>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</si>
  <si>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</si>
  <si>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</si>
  <si>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</si>
  <si>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</si>
  <si>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</si>
  <si>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</si>
  <si>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</si>
  <si>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</si>
  <si>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</si>
  <si>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</si>
  <si>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</si>
  <si>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</si>
  <si>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</si>
  <si>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</si>
  <si>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</si>
  <si>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</si>
  <si>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</si>
  <si>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</si>
  <si>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</si>
  <si>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</si>
  <si>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</si>
  <si>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</si>
  <si>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</si>
  <si>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</si>
  <si>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</si>
  <si>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</si>
  <si>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</si>
  <si>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</si>
  <si>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</si>
  <si>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</si>
  <si>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</si>
  <si>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</si>
  <si>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</si>
  <si>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</si>
  <si>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</si>
  <si>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</si>
  <si>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</si>
  <si>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</si>
  <si>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</si>
  <si>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</si>
  <si>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</si>
  <si>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</si>
  <si>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</si>
  <si>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</si>
  <si>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</si>
  <si>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</si>
  <si>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</si>
  <si>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</si>
  <si>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</si>
  <si>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</si>
  <si>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</si>
  <si>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</si>
  <si>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</si>
  <si>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</si>
  <si>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</si>
  <si>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2021-03-02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</si>
  <si>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</si>
  <si>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</si>
  <si>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</si>
  <si>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</si>
  <si>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</si>
  <si>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</si>
  <si>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</si>
  <si>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</si>
  <si>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</si>
  <si>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</si>
  <si>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</si>
  <si>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</si>
  <si>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</si>
  <si>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</si>
  <si>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</si>
  <si>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</si>
  <si>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</si>
  <si>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</si>
  <si>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</si>
  <si>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</si>
  <si>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</si>
  <si>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</si>
  <si>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</si>
  <si>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</si>
  <si>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</si>
  <si>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</si>
  <si>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</si>
  <si>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</si>
  <si>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</si>
  <si>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</si>
  <si>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</si>
  <si>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</si>
  <si>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</si>
  <si>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</si>
  <si>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</si>
  <si>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</si>
  <si>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</si>
  <si>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</si>
  <si>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</si>
  <si>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</si>
  <si>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</si>
  <si>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</si>
  <si>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</si>
  <si>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</si>
  <si>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</si>
  <si>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</si>
  <si>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</si>
  <si>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</si>
  <si>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</si>
  <si>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</si>
  <si>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</si>
  <si>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</si>
  <si>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</si>
  <si>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</si>
  <si>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</si>
  <si>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</si>
  <si>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</si>
  <si>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</si>
  <si>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</si>
  <si>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</si>
  <si>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</si>
  <si>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</si>
  <si>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2021-03-03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</si>
  <si>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</si>
  <si>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</si>
  <si>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</si>
  <si>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</si>
  <si>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</si>
  <si>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</si>
  <si>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</si>
  <si>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</si>
  <si>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</si>
  <si>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</si>
  <si>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</si>
  <si>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</si>
  <si>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</si>
  <si>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</si>
  <si>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</si>
  <si>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</si>
  <si>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</si>
  <si>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</si>
  <si>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</si>
  <si>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</si>
  <si>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</si>
  <si>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</si>
  <si>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</si>
  <si>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</si>
  <si>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</si>
  <si>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</si>
  <si>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</si>
  <si>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</si>
  <si>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</si>
  <si>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</si>
  <si>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</si>
  <si>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</si>
  <si>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</si>
  <si>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</si>
  <si>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</si>
  <si>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</si>
  <si>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</si>
  <si>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</si>
  <si>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</si>
  <si>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</si>
  <si>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</si>
  <si>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</si>
  <si>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</si>
  <si>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</si>
  <si>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</si>
  <si>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</si>
  <si>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</si>
  <si>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</si>
  <si>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</si>
  <si>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</si>
  <si>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</si>
  <si>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</si>
  <si>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2021-03-04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</si>
  <si>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</si>
  <si>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</si>
  <si>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</si>
  <si>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</si>
  <si>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</si>
  <si>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</si>
  <si>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</si>
  <si>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</si>
  <si>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</si>
  <si>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</si>
  <si>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</si>
  <si>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</si>
  <si>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</si>
  <si>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</si>
  <si>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</si>
  <si>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</si>
  <si>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</si>
  <si>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</si>
  <si>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</si>
  <si>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</si>
  <si>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</si>
  <si>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</si>
  <si>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</si>
  <si>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</si>
  <si>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</si>
  <si>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</si>
  <si>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</si>
  <si>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</si>
  <si>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</si>
  <si>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</si>
  <si>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</si>
  <si>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</si>
  <si>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</si>
  <si>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</si>
  <si>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</si>
  <si>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</si>
  <si>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</si>
  <si>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</si>
  <si>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</si>
  <si>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</si>
  <si>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</si>
  <si>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</si>
  <si>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</si>
  <si>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</si>
  <si>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</si>
  <si>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</si>
  <si>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</si>
  <si>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</si>
  <si>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</si>
  <si>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</si>
  <si>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</si>
  <si>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</si>
  <si>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</si>
  <si>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</si>
  <si>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</si>
  <si>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</si>
  <si>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</si>
  <si>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</si>
  <si>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</si>
  <si>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</si>
  <si>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</si>
  <si>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</si>
  <si>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</si>
  <si>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</si>
  <si>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</si>
  <si>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</si>
  <si>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</si>
  <si>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</si>
  <si>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</si>
  <si>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</si>
  <si>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2021-03-05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</si>
  <si>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</si>
  <si>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</si>
  <si>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</si>
  <si>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</si>
  <si>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</si>
  <si>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</si>
  <si>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</si>
  <si>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</si>
  <si>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</si>
  <si>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</si>
  <si>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</si>
  <si>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</si>
  <si>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</si>
  <si>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</si>
  <si>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</si>
  <si>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</si>
  <si>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</si>
  <si>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</si>
  <si>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</si>
  <si>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</si>
  <si>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</si>
  <si>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</si>
  <si>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</si>
  <si>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</si>
  <si>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</si>
  <si>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</si>
  <si>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</si>
  <si>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</si>
  <si>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</si>
  <si>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</si>
  <si>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</si>
  <si>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</si>
  <si>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</si>
  <si>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</si>
  <si>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</si>
  <si>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</si>
  <si>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</si>
  <si>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</si>
  <si>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</si>
  <si>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</si>
  <si>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</si>
  <si>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</si>
  <si>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</si>
  <si>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</si>
  <si>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</si>
  <si>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</si>
  <si>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</si>
  <si>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</si>
  <si>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</si>
  <si>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</si>
  <si>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</si>
  <si>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</si>
  <si>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</si>
  <si>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</si>
  <si>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2021-03-06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</si>
  <si>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</si>
  <si>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</si>
  <si>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</si>
  <si>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</si>
  <si>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</si>
  <si>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</si>
  <si>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</si>
  <si>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</si>
  <si>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</si>
  <si>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</si>
  <si>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</si>
  <si>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</si>
  <si>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</si>
  <si>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</si>
  <si>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</si>
  <si>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</si>
  <si>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</si>
  <si>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</si>
  <si>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</si>
  <si>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</si>
  <si>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</si>
  <si>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</si>
  <si>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</si>
  <si>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</si>
  <si>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</si>
  <si>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</si>
  <si>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</si>
  <si>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</si>
  <si>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</si>
  <si>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</si>
  <si>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</si>
  <si>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</si>
  <si>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</si>
  <si>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</si>
  <si>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</si>
  <si>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</si>
  <si>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</si>
  <si>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</si>
  <si>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</si>
  <si>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</si>
  <si>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</si>
  <si>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</si>
  <si>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</si>
  <si>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</si>
  <si>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</si>
  <si>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</si>
  <si>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</si>
  <si>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</si>
  <si>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</si>
  <si>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</si>
  <si>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</si>
  <si>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</si>
  <si>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</si>
  <si>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</si>
  <si>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</si>
  <si>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</si>
  <si>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</si>
  <si>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</si>
  <si>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</si>
  <si>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</si>
  <si>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</si>
  <si>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</si>
  <si>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2021-03-07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</si>
  <si>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</si>
  <si>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</si>
  <si>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</si>
  <si>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</si>
  <si>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</si>
  <si>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</si>
  <si>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</si>
  <si>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</si>
  <si>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</si>
  <si>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</si>
  <si>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</si>
  <si>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</si>
  <si>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</si>
  <si>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</si>
  <si>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</si>
  <si>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</si>
  <si>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</si>
  <si>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</si>
  <si>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</si>
  <si>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</si>
  <si>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</si>
  <si>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</si>
  <si>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</si>
  <si>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</si>
  <si>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</si>
  <si>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</si>
  <si>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</si>
  <si>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</si>
  <si>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</si>
  <si>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</si>
  <si>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</si>
  <si>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</si>
  <si>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</si>
  <si>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</si>
  <si>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</si>
  <si>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</si>
  <si>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</si>
  <si>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</si>
  <si>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</si>
  <si>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</si>
  <si>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</si>
  <si>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</si>
  <si>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</si>
  <si>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</si>
  <si>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</si>
  <si>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</si>
  <si>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</si>
  <si>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</si>
  <si>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2021-03-08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</si>
  <si>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</si>
  <si>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</si>
  <si>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</si>
  <si>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</si>
  <si>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</si>
  <si>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</si>
  <si>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</si>
  <si>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</si>
  <si>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</si>
  <si>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</si>
  <si>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</si>
  <si>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</si>
  <si>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</si>
  <si>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</si>
  <si>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</si>
  <si>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</si>
  <si>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</si>
  <si>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</si>
  <si>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</si>
  <si>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</si>
  <si>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</si>
  <si>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</si>
  <si>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</si>
  <si>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</si>
  <si>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</si>
  <si>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</si>
  <si>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</si>
  <si>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</si>
  <si>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</si>
  <si>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</si>
  <si>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</si>
  <si>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</si>
  <si>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</si>
  <si>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</si>
  <si>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</si>
  <si>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</si>
  <si>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</si>
  <si>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</si>
  <si>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</si>
  <si>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</si>
  <si>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</si>
  <si>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</si>
  <si>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</si>
  <si>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</si>
  <si>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</si>
  <si>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</si>
  <si>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</si>
  <si>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</si>
  <si>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</si>
  <si>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</si>
  <si>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</si>
  <si>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</si>
  <si>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</si>
  <si>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</si>
  <si>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</si>
  <si>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</si>
  <si>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2021-03-09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</si>
  <si>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</si>
  <si>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</si>
  <si>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</si>
  <si>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</si>
  <si>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</si>
  <si>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</si>
  <si>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</si>
  <si>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</si>
  <si>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</si>
  <si>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</si>
  <si>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</si>
  <si>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</si>
  <si>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</si>
  <si>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</si>
  <si>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</si>
  <si>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</si>
  <si>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</si>
  <si>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</si>
  <si>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</si>
  <si>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</si>
  <si>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</si>
  <si>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</si>
  <si>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</si>
  <si>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</si>
  <si>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</si>
  <si>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</si>
  <si>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</si>
  <si>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</si>
  <si>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</si>
  <si>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</si>
  <si>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</si>
  <si>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</si>
  <si>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</si>
  <si>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</si>
  <si>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</si>
  <si>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</si>
  <si>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</si>
  <si>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</si>
  <si>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</si>
  <si>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</si>
  <si>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</si>
  <si>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</si>
  <si>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</si>
  <si>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</si>
  <si>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</si>
  <si>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</si>
  <si>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2021-03-10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</si>
  <si>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</si>
  <si>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</si>
  <si>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</si>
  <si>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</si>
  <si>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</si>
  <si>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</si>
  <si>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</si>
  <si>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</si>
  <si>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</si>
  <si>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</si>
  <si>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</si>
  <si>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</si>
  <si>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</si>
  <si>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</si>
  <si>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</si>
  <si>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</si>
  <si>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</si>
  <si>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</si>
  <si>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</si>
  <si>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</si>
  <si>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</si>
  <si>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</si>
  <si>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</si>
  <si>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</si>
  <si>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</si>
  <si>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</si>
  <si>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</si>
  <si>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</si>
  <si>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</si>
  <si>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</si>
  <si>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</si>
  <si>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</si>
  <si>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</si>
  <si>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</si>
  <si>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</si>
  <si>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</si>
  <si>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</si>
  <si>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</si>
  <si>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</si>
  <si>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</si>
  <si>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</si>
  <si>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</si>
  <si>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</si>
  <si>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</si>
  <si>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</si>
  <si>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</si>
  <si>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2021-03-11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</si>
  <si>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</si>
  <si>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</si>
  <si>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</si>
  <si>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</si>
  <si>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</si>
  <si>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</si>
  <si>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</si>
  <si>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</si>
  <si>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</si>
  <si>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</si>
  <si>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</si>
  <si>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</si>
  <si>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</si>
  <si>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</si>
  <si>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</si>
  <si>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</si>
  <si>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</si>
  <si>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</si>
  <si>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</si>
  <si>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</si>
  <si>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</si>
  <si>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</si>
  <si>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</si>
  <si>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</si>
  <si>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</si>
  <si>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</si>
  <si>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</si>
  <si>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</si>
  <si>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</si>
  <si>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</si>
  <si>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</si>
  <si>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</si>
  <si>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</si>
  <si>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</si>
  <si>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</si>
  <si>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</si>
  <si>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</si>
  <si>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</si>
  <si>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</si>
  <si>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</si>
  <si>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</si>
  <si>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</si>
  <si>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</si>
  <si>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</si>
  <si>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</si>
  <si>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</si>
  <si>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</si>
  <si>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</si>
  <si>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</si>
  <si>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</si>
  <si>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</si>
  <si>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</si>
  <si>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</si>
  <si>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</si>
  <si>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</si>
  <si>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</si>
  <si>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</si>
  <si>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</si>
  <si>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</si>
  <si>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</si>
  <si>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</si>
  <si>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</si>
  <si>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</si>
  <si>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</si>
  <si>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</si>
  <si>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</si>
  <si>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</si>
  <si>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</si>
  <si>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</si>
  <si>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</si>
  <si>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</si>
  <si>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</si>
  <si>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</si>
  <si>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</si>
  <si>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2021-03-12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</si>
  <si>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</si>
  <si>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</si>
  <si>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</si>
  <si>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</si>
  <si>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</si>
  <si>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</si>
  <si>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</si>
  <si>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</si>
  <si>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</si>
  <si>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</si>
  <si>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</si>
  <si>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</si>
  <si>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</si>
  <si>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</si>
  <si>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</si>
  <si>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</si>
  <si>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</si>
  <si>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</si>
  <si>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</si>
  <si>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</si>
  <si>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</si>
  <si>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</si>
  <si>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</si>
  <si>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</si>
  <si>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</si>
  <si>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</si>
  <si>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</si>
  <si>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</si>
  <si>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</si>
  <si>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</si>
  <si>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</si>
  <si>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</si>
  <si>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</si>
  <si>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</si>
  <si>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</si>
  <si>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</si>
  <si>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</si>
  <si>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</si>
  <si>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</si>
  <si>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</si>
  <si>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</si>
  <si>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</si>
  <si>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</si>
  <si>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</si>
  <si>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</si>
  <si>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</si>
  <si>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</si>
  <si>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</si>
  <si>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</si>
  <si>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</si>
  <si>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2021-03-13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</si>
  <si>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</si>
  <si>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</si>
  <si>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</si>
  <si>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</si>
  <si>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</si>
  <si>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</si>
  <si>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</si>
  <si>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</si>
  <si>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</si>
  <si>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</si>
  <si>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</si>
  <si>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</si>
  <si>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</si>
  <si>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</si>
  <si>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</si>
  <si>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</si>
  <si>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</si>
  <si>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</si>
  <si>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</si>
  <si>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</si>
  <si>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</si>
  <si>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</si>
  <si>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</si>
  <si>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</si>
  <si>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</si>
  <si>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</si>
  <si>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</si>
  <si>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</si>
  <si>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</si>
  <si>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</si>
  <si>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</si>
  <si>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</si>
  <si>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</si>
  <si>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</si>
  <si>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</si>
  <si>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</si>
  <si>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</si>
  <si>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</si>
  <si>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</si>
  <si>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</si>
  <si>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</si>
  <si>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</si>
  <si>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</si>
  <si>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</si>
  <si>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</si>
  <si>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</si>
  <si>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</si>
  <si>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</si>
  <si>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2021-03-14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</si>
  <si>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</si>
  <si>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</si>
  <si>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</si>
  <si>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</si>
  <si>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</si>
  <si>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</si>
  <si>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</si>
  <si>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</si>
  <si>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</si>
  <si>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</si>
  <si>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</si>
  <si>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</si>
  <si>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</si>
  <si>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</si>
  <si>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</si>
  <si>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</si>
  <si>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</si>
  <si>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</si>
  <si>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</si>
  <si>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</si>
  <si>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</si>
  <si>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</si>
  <si>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</si>
  <si>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</si>
  <si>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</si>
  <si>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</si>
  <si>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</si>
  <si>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</si>
  <si>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</si>
  <si>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</si>
  <si>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</si>
  <si>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</si>
  <si>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</si>
  <si>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</si>
  <si>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</si>
  <si>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</si>
  <si>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</si>
  <si>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</si>
  <si>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</si>
  <si>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</si>
  <si>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</si>
  <si>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</si>
  <si>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</si>
  <si>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</si>
  <si>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</si>
  <si>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</si>
  <si>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</si>
  <si>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</si>
  <si>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</si>
  <si>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</si>
  <si>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2021-03-15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</si>
  <si>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</si>
  <si>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</si>
  <si>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</si>
  <si>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</si>
  <si>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</si>
  <si>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</si>
  <si>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</si>
  <si>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</si>
  <si>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</si>
  <si>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</si>
  <si>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</si>
  <si>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</si>
  <si>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</si>
  <si>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</si>
  <si>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</si>
  <si>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</si>
  <si>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</si>
  <si>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</si>
  <si>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</si>
  <si>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</si>
  <si>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</si>
  <si>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</si>
  <si>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</si>
  <si>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</si>
  <si>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</si>
  <si>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</si>
  <si>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</si>
  <si>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</si>
  <si>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</si>
  <si>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</si>
  <si>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</si>
  <si>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</si>
  <si>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</si>
  <si>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</si>
  <si>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</si>
  <si>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</si>
  <si>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</si>
  <si>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</si>
  <si>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</si>
  <si>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</si>
  <si>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</si>
  <si>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</si>
  <si>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</si>
  <si>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</si>
  <si>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</si>
  <si>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</si>
  <si>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</si>
  <si>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</si>
  <si>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</si>
  <si>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</si>
  <si>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2021-03-16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</si>
  <si>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</si>
  <si>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</si>
  <si>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</si>
  <si>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</si>
  <si>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</si>
  <si>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</si>
  <si>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</si>
  <si>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</si>
  <si>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</si>
  <si>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</si>
  <si>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</si>
  <si>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</si>
  <si>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</si>
  <si>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</si>
  <si>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</si>
  <si>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</si>
  <si>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</si>
  <si>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</si>
  <si>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</si>
  <si>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</si>
  <si>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</si>
  <si>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</si>
  <si>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</si>
  <si>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</si>
  <si>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</si>
  <si>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</si>
  <si>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</si>
  <si>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</si>
  <si>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</si>
  <si>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</si>
  <si>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</si>
  <si>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</si>
  <si>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</si>
  <si>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</si>
  <si>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</si>
  <si>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</si>
  <si>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</si>
  <si>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</si>
  <si>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</si>
  <si>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</si>
  <si>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</si>
  <si>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</si>
  <si>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</si>
  <si>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</si>
  <si>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</si>
  <si>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</si>
  <si>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</si>
  <si>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</si>
  <si>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</si>
  <si>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</si>
  <si>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</si>
  <si>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</si>
  <si>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</si>
  <si>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</si>
  <si>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</si>
  <si>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</si>
  <si>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</si>
  <si>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</si>
  <si>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</si>
  <si>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</si>
  <si>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2021-03-17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</si>
  <si>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</si>
  <si>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</si>
  <si>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</si>
  <si>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</si>
  <si>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</si>
  <si>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</si>
  <si>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</si>
  <si>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</si>
  <si>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</si>
  <si>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</si>
  <si>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</si>
  <si>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</si>
  <si>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</si>
  <si>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</si>
  <si>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</si>
  <si>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</si>
  <si>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</si>
  <si>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</si>
  <si>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</si>
  <si>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</si>
  <si>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</si>
  <si>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</si>
  <si>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</si>
  <si>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</si>
  <si>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</si>
  <si>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</si>
  <si>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</si>
  <si>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</si>
  <si>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</si>
  <si>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</si>
  <si>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</si>
  <si>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</si>
  <si>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</si>
  <si>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</si>
  <si>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</si>
  <si>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</si>
  <si>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</si>
  <si>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</si>
  <si>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</si>
  <si>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</si>
  <si>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</si>
  <si>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</si>
  <si>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</si>
  <si>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</si>
  <si>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</si>
  <si>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</si>
  <si>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</si>
  <si>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</si>
  <si>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</si>
  <si>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</si>
  <si>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2021-03-18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</si>
  <si>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</si>
  <si>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</si>
  <si>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</si>
  <si>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</si>
  <si>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</si>
  <si>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</si>
  <si>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</si>
  <si>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</si>
  <si>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</si>
  <si>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</si>
  <si>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</si>
  <si>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</si>
  <si>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</si>
  <si>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</si>
  <si>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</si>
  <si>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</si>
  <si>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</si>
  <si>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</si>
  <si>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</si>
  <si>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</si>
  <si>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</si>
  <si>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</si>
  <si>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</si>
  <si>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</si>
  <si>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</si>
  <si>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</si>
  <si>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</si>
  <si>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</si>
  <si>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</si>
  <si>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</si>
  <si>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</si>
  <si>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</si>
  <si>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</si>
  <si>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</si>
  <si>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</si>
  <si>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</si>
  <si>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</si>
  <si>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</si>
  <si>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</si>
  <si>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</si>
  <si>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</si>
  <si>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</si>
  <si>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</si>
  <si>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</si>
  <si>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</si>
  <si>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</si>
  <si>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</si>
  <si>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</si>
  <si>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2021-03-19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</si>
  <si>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</si>
  <si>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</si>
  <si>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</si>
  <si>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</si>
  <si>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</si>
  <si>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</si>
  <si>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</si>
  <si>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</si>
  <si>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</si>
  <si>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</si>
  <si>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</si>
  <si>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</si>
  <si>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</si>
  <si>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</si>
  <si>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</si>
  <si>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</si>
  <si>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</si>
  <si>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</si>
  <si>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</si>
  <si>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</si>
  <si>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</si>
  <si>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</si>
  <si>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</si>
  <si>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</si>
  <si>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</si>
  <si>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</si>
  <si>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</si>
  <si>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</si>
  <si>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</si>
  <si>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</si>
  <si>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</si>
  <si>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</si>
  <si>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</si>
  <si>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</si>
  <si>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</si>
  <si>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</si>
  <si>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</si>
  <si>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</si>
  <si>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</si>
  <si>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</si>
  <si>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</si>
  <si>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</si>
  <si>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2021-03-20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</si>
  <si>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</si>
  <si>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</si>
  <si>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</si>
  <si>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</si>
  <si>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</si>
  <si>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</si>
  <si>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</si>
  <si>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</si>
  <si>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</si>
  <si>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</si>
  <si>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</si>
  <si>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</si>
  <si>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</si>
  <si>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</si>
  <si>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</si>
  <si>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</si>
  <si>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</si>
  <si>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</si>
  <si>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</si>
  <si>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</si>
  <si>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</si>
  <si>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</si>
  <si>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</si>
  <si>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</si>
  <si>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</si>
  <si>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</si>
  <si>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</si>
  <si>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</si>
  <si>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</si>
  <si>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</si>
  <si>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</si>
  <si>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</si>
  <si>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</si>
  <si>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</si>
  <si>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</si>
  <si>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</si>
  <si>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</si>
  <si>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</si>
  <si>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</si>
  <si>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</si>
  <si>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</si>
  <si>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</si>
  <si>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</si>
  <si>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</si>
  <si>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</si>
  <si>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</si>
  <si>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</si>
  <si>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</si>
  <si>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</si>
  <si>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</si>
  <si>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</si>
  <si>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</si>
  <si>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</si>
  <si>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</si>
  <si>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</si>
  <si>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</si>
  <si>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2021-03-21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</si>
  <si>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</si>
  <si>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</si>
  <si>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</si>
  <si>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</si>
  <si>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</si>
  <si>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</si>
  <si>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</si>
  <si>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</si>
  <si>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</si>
  <si>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</si>
  <si>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</si>
  <si>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</si>
  <si>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</si>
  <si>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</si>
  <si>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</si>
  <si>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</si>
  <si>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</si>
  <si>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</si>
  <si>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</si>
  <si>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</si>
  <si>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</si>
  <si>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</si>
  <si>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</si>
  <si>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</si>
  <si>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</si>
  <si>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</si>
  <si>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</si>
  <si>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</si>
  <si>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</si>
  <si>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</si>
  <si>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</si>
  <si>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</si>
  <si>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</si>
  <si>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</si>
  <si>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</si>
  <si>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</si>
  <si>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</si>
  <si>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</si>
  <si>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</si>
  <si>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</si>
  <si>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</si>
  <si>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</si>
  <si>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</si>
  <si>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</si>
  <si>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</si>
  <si>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</si>
  <si>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</si>
  <si>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</si>
  <si>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</si>
  <si>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</si>
  <si>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</si>
  <si>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</si>
  <si>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</si>
  <si>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</si>
  <si>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</si>
  <si>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</si>
  <si>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</si>
  <si>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</si>
  <si>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</si>
  <si>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</si>
  <si>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</si>
  <si>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</si>
  <si>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2021-03-22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</si>
  <si>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</si>
  <si>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</si>
  <si>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</si>
  <si>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</si>
  <si>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</si>
  <si>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</si>
  <si>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</si>
  <si>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</si>
  <si>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</si>
  <si>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</si>
  <si>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</si>
  <si>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</si>
  <si>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</si>
  <si>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</si>
  <si>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</si>
  <si>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</si>
  <si>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</si>
  <si>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</si>
  <si>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</si>
  <si>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</si>
  <si>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</si>
  <si>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</si>
  <si>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</si>
  <si>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</si>
  <si>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</si>
  <si>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</si>
  <si>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</si>
  <si>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</si>
  <si>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</si>
  <si>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</si>
  <si>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</si>
  <si>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</si>
  <si>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</si>
  <si>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</si>
  <si>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</si>
  <si>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</si>
  <si>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</si>
  <si>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</si>
  <si>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</si>
  <si>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</si>
  <si>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</si>
  <si>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</si>
  <si>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</si>
  <si>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</si>
  <si>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</si>
  <si>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</si>
  <si>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</si>
  <si>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</si>
  <si>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</si>
  <si>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</si>
  <si>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</si>
  <si>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</si>
  <si>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</si>
  <si>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</si>
  <si>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2021-03-23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</si>
  <si>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</si>
  <si>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</si>
  <si>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</si>
  <si>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</si>
  <si>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</si>
  <si>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</si>
  <si>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</si>
  <si>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</si>
  <si>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</si>
  <si>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</si>
  <si>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</si>
  <si>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</si>
  <si>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</si>
  <si>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</si>
  <si>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</si>
  <si>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</si>
  <si>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</si>
  <si>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</si>
  <si>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</si>
  <si>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</si>
  <si>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</si>
  <si>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</si>
  <si>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</si>
  <si>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</si>
  <si>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</si>
  <si>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</si>
  <si>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</si>
  <si>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</si>
  <si>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</si>
  <si>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</si>
  <si>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</si>
  <si>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</si>
  <si>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</si>
  <si>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</si>
  <si>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</si>
  <si>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</si>
  <si>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</si>
  <si>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</si>
  <si>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</si>
  <si>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</si>
  <si>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</si>
  <si>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</si>
  <si>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</si>
  <si>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</si>
  <si>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</si>
  <si>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</si>
  <si>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2021-03-24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</si>
  <si>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</si>
  <si>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</si>
  <si>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</si>
  <si>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</si>
  <si>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</si>
  <si>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</si>
  <si>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</si>
  <si>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</si>
  <si>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</si>
  <si>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</si>
  <si>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</si>
  <si>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</si>
  <si>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</si>
  <si>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</si>
  <si>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</si>
  <si>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</si>
  <si>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</si>
  <si>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</si>
  <si>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</si>
  <si>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</si>
  <si>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</si>
  <si>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</si>
  <si>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</si>
  <si>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</si>
  <si>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</si>
  <si>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</si>
  <si>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</si>
  <si>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</si>
  <si>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</si>
  <si>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</si>
  <si>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</si>
  <si>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</si>
  <si>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</si>
  <si>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</si>
  <si>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</si>
  <si>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</si>
  <si>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</si>
  <si>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</si>
  <si>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</si>
  <si>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</si>
  <si>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</si>
  <si>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</si>
  <si>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</si>
  <si>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</si>
  <si>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</si>
  <si>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</si>
  <si>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</si>
  <si>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</si>
  <si>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</si>
  <si>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</si>
  <si>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</si>
  <si>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</si>
  <si>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</si>
  <si>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</si>
  <si>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2021-03-25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</si>
  <si>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</si>
  <si>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</si>
  <si>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</si>
  <si>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</si>
  <si>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</si>
  <si>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</si>
  <si>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</si>
  <si>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</si>
  <si>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</si>
  <si>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</si>
  <si>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</si>
  <si>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</si>
  <si>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</si>
  <si>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</si>
  <si>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</si>
  <si>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</si>
  <si>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</si>
  <si>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</si>
  <si>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</si>
  <si>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</si>
  <si>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</si>
  <si>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</si>
  <si>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</si>
  <si>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</si>
  <si>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</si>
  <si>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</si>
  <si>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</si>
  <si>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</si>
  <si>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</si>
  <si>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</si>
  <si>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</si>
  <si>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</si>
  <si>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</si>
  <si>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</si>
  <si>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</si>
  <si>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</si>
  <si>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</si>
  <si>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</si>
  <si>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</si>
  <si>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</si>
  <si>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</si>
  <si>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</si>
  <si>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</si>
  <si>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</si>
  <si>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</si>
  <si>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</si>
  <si>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2021-03-26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</si>
  <si>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</si>
  <si>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</si>
  <si>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</si>
  <si>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</si>
  <si>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</si>
  <si>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</si>
  <si>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</si>
  <si>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</si>
  <si>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</si>
  <si>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</si>
  <si>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</si>
  <si>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</si>
  <si>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</si>
  <si>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</si>
  <si>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</si>
  <si>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</si>
  <si>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</si>
  <si>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</si>
  <si>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</si>
  <si>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</si>
  <si>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</si>
  <si>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</si>
  <si>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</si>
  <si>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</si>
  <si>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</si>
  <si>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</si>
  <si>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</si>
  <si>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</si>
  <si>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</si>
  <si>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</si>
  <si>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</si>
  <si>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</si>
  <si>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</si>
  <si>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</si>
  <si>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</si>
  <si>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</si>
  <si>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</si>
  <si>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</si>
  <si>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</si>
  <si>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</si>
  <si>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</si>
  <si>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</si>
  <si>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</si>
  <si>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</si>
  <si>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</si>
  <si>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</si>
  <si>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</si>
  <si>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</si>
  <si>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</si>
  <si>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</si>
  <si>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</si>
  <si>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</si>
  <si>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</si>
  <si>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</si>
  <si>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2021-03-27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</si>
  <si>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</si>
  <si>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</si>
  <si>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</si>
  <si>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</si>
  <si>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</si>
  <si>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</si>
  <si>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</si>
  <si>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</si>
  <si>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</si>
  <si>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</si>
  <si>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</si>
  <si>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</si>
  <si>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</si>
  <si>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</si>
  <si>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</si>
  <si>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</si>
  <si>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</si>
  <si>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</si>
  <si>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</si>
  <si>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</si>
  <si>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</si>
  <si>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</si>
  <si>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</si>
  <si>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</si>
  <si>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</si>
  <si>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</si>
  <si>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</si>
  <si>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</si>
  <si>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</si>
  <si>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</si>
  <si>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</si>
  <si>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</si>
  <si>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</si>
  <si>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</si>
  <si>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</si>
  <si>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</si>
  <si>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</si>
  <si>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</si>
  <si>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</si>
  <si>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</si>
  <si>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</si>
  <si>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</si>
  <si>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</si>
  <si>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</si>
  <si>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</si>
  <si>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</si>
  <si>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</si>
  <si>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</si>
  <si>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</si>
  <si>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</si>
  <si>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</si>
  <si>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</si>
  <si>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</si>
  <si>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</si>
  <si>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</si>
  <si>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</si>
  <si>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</si>
  <si>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</si>
  <si>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2021-03-28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</si>
  <si>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</si>
  <si>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</si>
  <si>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</si>
  <si>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</si>
  <si>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</si>
  <si>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</si>
  <si>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</si>
  <si>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</si>
  <si>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</si>
  <si>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</si>
  <si>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</si>
  <si>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</si>
  <si>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</si>
  <si>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</si>
  <si>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</si>
  <si>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</si>
  <si>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</si>
  <si>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</si>
  <si>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</si>
  <si>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</si>
  <si>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</si>
  <si>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</si>
  <si>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</si>
  <si>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</si>
  <si>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</si>
  <si>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</si>
  <si>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</si>
  <si>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</si>
  <si>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</si>
  <si>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</si>
  <si>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</si>
  <si>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</si>
  <si>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</si>
  <si>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</si>
  <si>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</si>
  <si>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</si>
  <si>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</si>
  <si>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</si>
  <si>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2021-03-29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</si>
  <si>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</si>
  <si>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</si>
  <si>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</si>
  <si>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</si>
  <si>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</si>
  <si>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</si>
  <si>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</si>
  <si>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</si>
  <si>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</si>
  <si>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</si>
  <si>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</si>
  <si>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</si>
  <si>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</si>
  <si>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</si>
  <si>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</si>
  <si>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</si>
  <si>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</si>
  <si>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</si>
  <si>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</si>
  <si>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</si>
  <si>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</si>
  <si>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</si>
  <si>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</si>
  <si>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</si>
  <si>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</si>
  <si>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</si>
  <si>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</si>
  <si>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</si>
  <si>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</si>
  <si>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</si>
  <si>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</si>
  <si>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</si>
  <si>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</si>
  <si>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</si>
  <si>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</si>
  <si>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</si>
  <si>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</si>
  <si>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</si>
  <si>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</si>
  <si>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</si>
  <si>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</si>
  <si>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</si>
  <si>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</si>
  <si>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</si>
  <si>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</si>
  <si>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</si>
  <si>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</si>
  <si>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</si>
  <si>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</si>
  <si>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</si>
  <si>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</si>
  <si>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</si>
  <si>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</si>
  <si>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</si>
  <si>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</si>
  <si>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</si>
  <si>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</si>
  <si>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</si>
  <si>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</si>
  <si>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</si>
  <si>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2021-03-30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</si>
  <si>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</si>
  <si>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</si>
  <si>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</si>
  <si>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</si>
  <si>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</si>
  <si>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</si>
  <si>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</si>
  <si>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</si>
  <si>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</si>
  <si>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</si>
  <si>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</si>
  <si>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</si>
  <si>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</si>
  <si>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</si>
  <si>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</si>
  <si>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</si>
  <si>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</si>
  <si>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</si>
  <si>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</si>
  <si>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</si>
  <si>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</si>
  <si>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</si>
  <si>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</si>
  <si>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</si>
  <si>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</si>
  <si>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2021-03-31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</si>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</sst>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&quot;$&quot;#,##0_);[Red]\(&quot;$&quot;#,##0\)"/>
    <numFmt numFmtId="167" formatCode="0;\-0;;@"/>
    <numFmt numFmtId="168" formatCode="&quot;$&quot;#,##0.00"/>
    <numFmt numFmtId="169" formatCode="_-[$$-C09]* #,##0.00_-;\-[$$-C09]* #,##0.00_-;_-[$$-C09]* &quot;-&quot;??_-;_-@_-"/>
    <numFmt numFmtId="170" formatCode="[$-F800]dddd\,\ mmmm\ dd\,\ yyyy"/>
    <numFmt numFmtId="171" formatCode="d/m/yy\ h:mm"/>
    <numFmt numFmtId="172" formatCode="d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9C57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9" tint="0.59996337778862885"/>
      </bottom>
      <diagonal/>
    </border>
    <border>
      <left/>
      <right/>
      <top/>
      <bottom style="thick">
        <color theme="9"/>
      </bottom>
      <diagonal/>
    </border>
    <border>
      <left/>
      <right/>
      <top style="thin">
        <color theme="9"/>
      </top>
      <bottom style="double">
        <color theme="9"/>
      </bottom>
      <diagonal/>
    </border>
    <border>
      <left/>
      <right/>
      <top style="thin">
        <color theme="9" tint="0.39994506668294322"/>
      </top>
      <bottom style="thin">
        <color theme="9" tint="0.39994506668294322"/>
      </bottom>
      <diagonal/>
    </border>
    <border diagonalDown="1">
      <left/>
      <right/>
      <top/>
      <bottom/>
      <diagonal style="thin">
        <color rgb="FFFF0000"/>
      </diagonal>
    </border>
  </borders>
  <cellStyleXfs count="5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5" fontId="16" fillId="0" borderId="12" applyFill="0" applyAlignment="0" applyProtection="0"/>
    <xf numFmtId="0" fontId="4" fillId="0" borderId="10" applyFill="0" applyAlignment="0" applyProtection="0"/>
    <xf numFmtId="0" fontId="3" fillId="0" borderId="11" applyFill="0" applyAlignment="0" applyProtection="0"/>
    <xf numFmtId="169" fontId="1" fillId="30" borderId="13" applyFill="0">
      <alignment horizontal="center"/>
    </xf>
    <xf numFmtId="0" fontId="20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8" fontId="0" fillId="0" borderId="0" xfId="0" applyNumberFormat="1" applyAlignment="1">
      <alignment horizontal="center" vertical="center"/>
    </xf>
    <xf numFmtId="22" fontId="0" fillId="0" borderId="0" xfId="0" applyNumberFormat="1"/>
    <xf numFmtId="165" fontId="0" fillId="33" borderId="0" xfId="0" applyNumberFormat="1" applyFill="1" applyAlignment="1">
      <alignment horizontal="left"/>
    </xf>
    <xf numFmtId="0" fontId="0" fillId="33" borderId="0" xfId="0" applyFill="1" applyAlignment="1">
      <alignment horizontal="left"/>
    </xf>
    <xf numFmtId="165" fontId="0" fillId="0" borderId="0" xfId="0" applyNumberFormat="1" applyAlignment="1">
      <alignment horizontal="left"/>
    </xf>
    <xf numFmtId="165" fontId="0" fillId="0" borderId="0" xfId="0" applyNumberFormat="1"/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168" fontId="0" fillId="0" borderId="0" xfId="0" applyNumberFormat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 wrapText="1"/>
    </xf>
    <xf numFmtId="168" fontId="0" fillId="0" borderId="14" xfId="0" applyNumberFormat="1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166" fontId="0" fillId="0" borderId="14" xfId="0" applyNumberForma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171" fontId="0" fillId="0" borderId="0" xfId="0" applyNumberFormat="1"/>
    <xf numFmtId="164" fontId="0" fillId="0" borderId="0" xfId="0" applyNumberFormat="1"/>
    <xf numFmtId="21" fontId="0" fillId="0" borderId="0" xfId="0" applyNumberFormat="1"/>
    <xf numFmtId="0" fontId="0" fillId="34" borderId="0" xfId="0" applyFill="1"/>
    <xf numFmtId="21" fontId="0" fillId="34" borderId="0" xfId="0" applyNumberFormat="1" applyFill="1"/>
  </cellXfs>
  <cellStyles count="5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7" xr:uid="{20470736-BAD7-457C-9304-CC8E86923491}"/>
    <cellStyle name="60% - Accent2" xfId="25" builtinId="36" customBuiltin="1"/>
    <cellStyle name="60% - Accent2 2" xfId="48" xr:uid="{B7C47791-4A2D-481A-91CE-AFD7954C635B}"/>
    <cellStyle name="60% - Accent3" xfId="29" builtinId="40" customBuiltin="1"/>
    <cellStyle name="60% - Accent3 2" xfId="49" xr:uid="{5AFA1118-6087-4387-80B8-F3DE5F35068E}"/>
    <cellStyle name="60% - Accent4" xfId="33" builtinId="44" customBuiltin="1"/>
    <cellStyle name="60% - Accent4 2" xfId="50" xr:uid="{5E7B3090-4EF6-4D9C-82D6-D8C114647CE9}"/>
    <cellStyle name="60% - Accent5" xfId="37" builtinId="48" customBuiltin="1"/>
    <cellStyle name="60% - Accent5 2" xfId="51" xr:uid="{E575EADD-FB29-4175-8AF3-CC70887759C6}"/>
    <cellStyle name="60% - Accent6" xfId="41" builtinId="52" customBuiltin="1"/>
    <cellStyle name="60% - Accent6 2" xfId="52" xr:uid="{6D32A5D8-FEC8-4CA6-882A-05D004E2631E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1 Pay" xfId="44" xr:uid="{55AB5A3B-AD50-0041-A497-5333EA1F60F8}"/>
    <cellStyle name="Heading 2" xfId="3" builtinId="17" customBuiltin="1"/>
    <cellStyle name="Heading 2: Pay" xfId="43" xr:uid="{33D08EC5-D55B-454F-8DBA-8CB02073C75A}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6" xr:uid="{533CA2D8-7F19-4589-845E-A3CBC409C762}"/>
    <cellStyle name="Normal" xfId="0" builtinId="0"/>
    <cellStyle name="Note" xfId="15" builtinId="10" customBuiltin="1"/>
    <cellStyle name="Output" xfId="10" builtinId="21" customBuiltin="1"/>
    <cellStyle name="Pay: Cell" xfId="45" xr:uid="{FEC9B6D0-6FE5-8B47-B482-8D3B96269969}"/>
    <cellStyle name="Title" xfId="1" builtinId="15" customBuiltin="1"/>
    <cellStyle name="Total" xfId="17" builtinId="25" customBuiltin="1"/>
    <cellStyle name="Total: Pay" xfId="42" xr:uid="{426C4598-731A-F246-A183-CE107214EB7C}"/>
    <cellStyle name="Warning Text" xfId="14" builtinId="11" customBuiltin="1"/>
  </cellStyles>
  <dxfs count="12">
    <dxf>
      <numFmt numFmtId="0" formatCode="General"/>
      <alignment horizontal="left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171" formatCode="d/m/yy\ h:mm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  <border diagonalUp="0" diagonalDown="1" outline="0">
        <left/>
        <right/>
        <top/>
        <bottom/>
        <diagonal style="thin">
          <color rgb="FFFF0000"/>
        </diagonal>
      </border>
    </dxf>
    <dxf>
      <font>
        <b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26" formatCode="h:mm:ss"/>
    </dxf>
    <dxf>
      <numFmt numFmtId="26" formatCode="h:mm:ss"/>
    </dxf>
  </dxfs>
  <tableStyles count="0" defaultTableStyle="TableStyleMedium2" defaultPivotStyle="PivotStyleLight16"/>
  <colors>
    <mruColors>
      <color rgb="FFFF9999"/>
      <color rgb="FFFF99FF"/>
      <color rgb="FFFF5050"/>
      <color rgb="FFFFCCCC"/>
      <color rgb="FFFF2D2D"/>
      <color rgb="FFA80000"/>
      <color rgb="FFC00000"/>
      <color rgb="FF385723"/>
      <color rgb="FFAE0000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:\Users\Rodean\Downloads\Mortgage-Repayment-Calculator-with-Offset-Account-and-Extra-Payments.xlsx" TargetMode="External"/><Relationship Id="rId1" Type="http://schemas.openxmlformats.org/officeDocument/2006/relationships/externalLinkPath" Target="/Users/Rodean/Downloads/Mortgage-Repayment-Calculator-with-Offset-Account-and-Extra-Paym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payment Checklist"/>
      <sheetName val="Home Page"/>
      <sheetName val="Payoff Calc. (Extra Payment)"/>
      <sheetName val="@"/>
      <sheetName val="Named Ranges"/>
    </sheetNames>
    <sheetDataSet>
      <sheetData sheetId="0" refreshError="1"/>
      <sheetData sheetId="1" refreshError="1"/>
      <sheetData sheetId="2">
        <row r="12">
          <cell r="E12" t="str">
            <v>Weekly</v>
          </cell>
        </row>
      </sheetData>
      <sheetData sheetId="3" refreshError="1"/>
      <sheetData sheetId="4">
        <row r="1">
          <cell r="A1" t="str">
            <v>Interest Compounded</v>
          </cell>
          <cell r="B1" t="str">
            <v>Calculated After
(Days or Months)</v>
          </cell>
          <cell r="C1" t="str">
            <v>No. of Payments/Year</v>
          </cell>
          <cell r="D1" t="str">
            <v>Name</v>
          </cell>
          <cell r="E1" t="str">
            <v>Number</v>
          </cell>
          <cell r="G1" t="str">
            <v>End of the Period</v>
          </cell>
        </row>
        <row r="2">
          <cell r="A2" t="str">
            <v>Weekly</v>
          </cell>
          <cell r="B2">
            <v>7</v>
          </cell>
          <cell r="C2">
            <v>52</v>
          </cell>
          <cell r="D2" t="str">
            <v>Weeks</v>
          </cell>
          <cell r="E2">
            <v>1</v>
          </cell>
          <cell r="G2" t="str">
            <v>Beginning of the Period</v>
          </cell>
        </row>
        <row r="3">
          <cell r="A3" t="str">
            <v>Bi-weekly</v>
          </cell>
          <cell r="B3">
            <v>14</v>
          </cell>
          <cell r="C3">
            <v>26</v>
          </cell>
          <cell r="D3" t="str">
            <v>Bi-weekly</v>
          </cell>
          <cell r="E3">
            <v>2</v>
          </cell>
        </row>
        <row r="4">
          <cell r="A4" t="str">
            <v>Semi-monthly</v>
          </cell>
          <cell r="B4">
            <v>15</v>
          </cell>
          <cell r="C4">
            <v>24</v>
          </cell>
          <cell r="D4" t="str">
            <v>Semi-monthly</v>
          </cell>
        </row>
        <row r="5">
          <cell r="A5" t="str">
            <v>Monthly</v>
          </cell>
          <cell r="B5">
            <v>1</v>
          </cell>
          <cell r="C5">
            <v>12</v>
          </cell>
          <cell r="D5" t="str">
            <v>Months</v>
          </cell>
          <cell r="E5">
            <v>1</v>
          </cell>
        </row>
        <row r="6">
          <cell r="A6" t="str">
            <v>Bi-monthly</v>
          </cell>
          <cell r="B6">
            <v>2</v>
          </cell>
          <cell r="C6">
            <v>6</v>
          </cell>
          <cell r="D6" t="str">
            <v>Bi-monthly</v>
          </cell>
          <cell r="E6">
            <v>2</v>
          </cell>
        </row>
        <row r="7">
          <cell r="A7" t="str">
            <v>Quarterly</v>
          </cell>
          <cell r="B7">
            <v>3</v>
          </cell>
          <cell r="C7">
            <v>4</v>
          </cell>
          <cell r="D7" t="str">
            <v>Quarters</v>
          </cell>
          <cell r="E7">
            <v>3</v>
          </cell>
        </row>
        <row r="8">
          <cell r="A8" t="str">
            <v>Semi-annually</v>
          </cell>
          <cell r="B8">
            <v>6</v>
          </cell>
          <cell r="C8">
            <v>2</v>
          </cell>
          <cell r="D8" t="str">
            <v>Semi-annually</v>
          </cell>
          <cell r="E8">
            <v>6</v>
          </cell>
        </row>
        <row r="9">
          <cell r="A9" t="str">
            <v>Yearly</v>
          </cell>
          <cell r="B9">
            <v>12</v>
          </cell>
          <cell r="C9">
            <v>1</v>
          </cell>
          <cell r="D9" t="str">
            <v>Years</v>
          </cell>
          <cell r="E9">
            <v>12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ean" refreshedDate="45886.717057754628" createdVersion="6" refreshedVersion="8" minRefreshableVersion="3" recordCount="6496" xr:uid="{29DDC36F-517B-4F4C-8969-FDB5205B0ED9}">
  <cacheSource type="worksheet">
    <worksheetSource name="RRDataset"/>
  </cacheSource>
  <cacheFields count="12">
    <cacheField name="Date" numFmtId="170">
      <sharedItems containsSemiMixedTypes="0" containsNonDate="0" containsDate="1" containsString="0" minDate="2010-04-29T00:00:00" maxDate="2025-02-22T00:00:00" count="1958">
        <d v="2025-02-21T00:00:00"/>
        <d v="2025-02-20T00:00:00"/>
        <d v="2025-02-18T00:00:00"/>
        <d v="2025-02-17T00:00:00"/>
        <d v="2025-02-14T00:00:00"/>
        <d v="2025-02-13T00:00:00"/>
        <d v="2025-02-12T00:00:00"/>
        <d v="2025-02-11T00:00:00"/>
        <d v="2025-02-06T00:00:00"/>
        <d v="2025-02-05T00:00:00"/>
        <d v="2025-02-04T00:00:00"/>
        <d v="2025-02-02T00:00:00"/>
        <d v="2025-02-01T00:00:00"/>
        <d v="2025-01-30T00:00:00"/>
        <d v="2025-01-29T00:00:00"/>
        <d v="2025-01-28T00:00:00"/>
        <d v="2025-01-26T00:00:00"/>
        <d v="2025-01-24T00:00:00"/>
        <d v="2025-01-23T00:00:00"/>
        <d v="2025-01-21T00:00:00"/>
        <d v="2025-01-20T00:00:00"/>
        <d v="2025-01-19T00:00:00"/>
        <d v="2025-01-18T00:00:00"/>
        <d v="2025-01-17T00:00:00"/>
        <d v="2025-01-16T00:00:00"/>
        <d v="2025-01-14T00:00:00"/>
        <d v="2025-01-11T00:00:00"/>
        <d v="2025-01-10T00:00:00"/>
        <d v="2025-01-09T00:00:00"/>
        <d v="2025-01-07T00:00:00"/>
        <d v="2025-01-04T00:00:00"/>
        <d v="2025-01-03T00:00:00"/>
        <d v="2025-01-02T00:00:00"/>
        <d v="2025-01-01T00:00:00"/>
        <d v="2024-12-31T00:00:00"/>
        <d v="2024-12-29T00:00:00"/>
        <d v="2024-12-28T00:00:00"/>
        <d v="2024-12-27T00:00:00"/>
        <d v="2024-12-26T00:00:00"/>
        <d v="2024-12-25T00:00:00"/>
        <d v="2024-12-24T00:00:00"/>
        <d v="2024-12-21T00:00:00"/>
        <d v="2024-12-20T00:00:00"/>
        <d v="2024-12-19T00:00:00"/>
        <d v="2024-12-17T00:00:00"/>
        <d v="2024-12-16T00:00:00"/>
        <d v="2024-12-15T00:00:00"/>
        <d v="2024-12-14T00:00:00"/>
        <d v="2024-12-13T00:00:00"/>
        <d v="2024-12-11T00:00:00"/>
        <d v="2024-12-10T00:00:00"/>
        <d v="2024-12-07T00:00:00"/>
        <d v="2024-12-05T00:00:00"/>
        <d v="2024-12-04T00:00:00"/>
        <d v="2024-12-03T00:00:00"/>
        <d v="2024-12-01T00:00:00"/>
        <d v="2024-11-30T00:00:00"/>
        <d v="2024-11-28T00:00:00"/>
        <d v="2024-11-27T00:00:00"/>
        <d v="2024-11-26T00:00:00"/>
        <d v="2024-11-25T00:00:00"/>
        <d v="2024-11-24T00:00:00"/>
        <d v="2024-11-23T00:00:00"/>
        <d v="2024-11-21T00:00:00"/>
        <d v="2024-11-19T00:00:00"/>
        <d v="2024-11-18T00:00:00"/>
        <d v="2024-11-17T00:00:00"/>
        <d v="2024-11-16T00:00:00"/>
        <d v="2024-11-15T00:00:00"/>
        <d v="2024-11-14T00:00:00"/>
        <d v="2024-11-13T00:00:00"/>
        <d v="2024-11-12T00:00:00"/>
        <d v="2024-11-11T00:00:00"/>
        <d v="2024-11-10T00:00:00"/>
        <d v="2024-11-09T00:00:00"/>
        <d v="2024-11-08T00:00:00"/>
        <d v="2024-11-07T00:00:00"/>
        <d v="2024-11-05T00:00:00"/>
        <d v="2024-11-02T00:00:00"/>
        <d v="2024-10-31T00:00:00"/>
        <d v="2024-10-30T00:00:00"/>
        <d v="2024-10-29T00:00:00"/>
        <d v="2024-10-28T00:00:00"/>
        <d v="2024-10-26T00:00:00"/>
        <d v="2024-10-25T00:00:00"/>
        <d v="2024-10-24T00:00:00"/>
        <d v="2024-10-23T00:00:00"/>
        <d v="2024-10-22T00:00:00"/>
        <d v="2024-10-20T00:00:00"/>
        <d v="2024-10-19T00:00:00"/>
        <d v="2024-10-15T00:00:00"/>
        <d v="2024-10-14T00:00:00"/>
        <d v="2024-10-11T00:00:00"/>
        <d v="2024-10-10T00:00:00"/>
        <d v="2024-10-09T00:00:00"/>
        <d v="2024-10-08T00:00:00"/>
        <d v="2024-10-07T00:00:00"/>
        <d v="2024-10-04T00:00:00"/>
        <d v="2024-10-03T00:00:00"/>
        <d v="2024-10-01T00:00:00"/>
        <d v="2024-09-30T00:00:00"/>
        <d v="2024-09-29T00:00:00"/>
        <d v="2024-09-28T00:00:00"/>
        <d v="2024-09-26T00:00:00"/>
        <d v="2024-09-25T00:00:00"/>
        <d v="2024-09-24T00:00:00"/>
        <d v="2024-09-21T00:00:00"/>
        <d v="2024-09-20T00:00:00"/>
        <d v="2024-09-18T00:00:00"/>
        <d v="2024-09-17T00:00:00"/>
        <d v="2024-09-16T00:00:00"/>
        <d v="2024-09-15T00:00:00"/>
        <d v="2024-09-14T00:00:00"/>
        <d v="2024-09-13T00:00:00"/>
        <d v="2024-09-12T00:00:00"/>
        <d v="2024-09-10T00:00:00"/>
        <d v="2024-09-08T00:00:00"/>
        <d v="2024-09-07T00:00:00"/>
        <d v="2024-09-05T00:00:00"/>
        <d v="2024-09-04T00:00:00"/>
        <d v="2024-09-03T00:00:00"/>
        <d v="2024-09-02T00:00:00"/>
        <d v="2024-09-01T00:00:00"/>
        <d v="2024-08-31T00:00:00"/>
        <d v="2024-08-30T00:00:00"/>
        <d v="2024-08-29T00:00:00"/>
        <d v="2024-08-28T00:00:00"/>
        <d v="2024-08-27T00:00:00"/>
        <d v="2024-08-25T00:00:00"/>
        <d v="2024-08-24T00:00:00"/>
        <d v="2024-08-23T00:00:00"/>
        <d v="2024-08-22T00:00:00"/>
        <d v="2024-08-21T00:00:00"/>
        <d v="2024-08-20T00:00:00"/>
        <d v="2024-08-17T00:00:00"/>
        <d v="2024-08-16T00:00:00"/>
        <d v="2024-08-15T00:00:00"/>
        <d v="2024-08-13T00:00:00"/>
        <d v="2024-08-10T00:00:00"/>
        <d v="2024-08-09T00:00:00"/>
        <d v="2024-08-08T00:00:00"/>
        <d v="2024-08-06T00:00:00"/>
        <d v="2024-08-03T00:00:00"/>
        <d v="2024-08-01T00:00:00"/>
        <d v="2024-07-31T00:00:00"/>
        <d v="2024-07-30T00:00:00"/>
        <d v="2024-07-28T00:00:00"/>
        <d v="2024-07-26T00:00:00"/>
        <d v="2024-07-25T00:00:00"/>
        <d v="2024-07-24T00:00:00"/>
        <d v="2024-07-23T00:00:00"/>
        <d v="2024-07-20T00:00:00"/>
        <d v="2024-07-19T00:00:00"/>
        <d v="2024-07-18T00:00:00"/>
        <d v="2024-07-17T00:00:00"/>
        <d v="2024-07-16T00:00:00"/>
        <d v="2024-07-15T00:00:00"/>
        <d v="2024-07-14T00:00:00"/>
        <d v="2024-07-13T00:00:00"/>
        <d v="2024-07-12T00:00:00"/>
        <d v="2024-07-10T00:00:00"/>
        <d v="2024-07-09T00:00:00"/>
        <d v="2024-07-07T00:00:00"/>
        <d v="2024-07-05T00:00:00"/>
        <d v="2024-07-04T00:00:00"/>
        <d v="2024-07-02T00:00:00"/>
        <d v="2024-07-01T00:00:00"/>
        <d v="2024-06-30T00:00:00"/>
        <d v="2024-06-29T00:00:00"/>
        <d v="2024-06-28T00:00:00"/>
        <d v="2024-06-26T00:00:00"/>
        <d v="2024-06-25T00:00:00"/>
        <d v="2024-06-21T00:00:00"/>
        <d v="2024-06-20T00:00:00"/>
        <d v="2024-06-18T00:00:00"/>
        <d v="2024-06-15T00:00:00"/>
        <d v="2024-06-14T00:00:00"/>
        <d v="2024-06-13T00:00:00"/>
        <d v="2024-06-11T00:00:00"/>
        <d v="2024-06-10T00:00:00"/>
        <d v="2024-06-07T00:00:00"/>
        <d v="2024-06-06T00:00:00"/>
        <d v="2024-06-05T00:00:00"/>
        <d v="2024-06-04T00:00:00"/>
        <d v="2024-06-03T00:00:00"/>
        <d v="2024-06-02T00:00:00"/>
        <d v="2024-06-01T00:00:00"/>
        <d v="2024-05-30T00:00:00"/>
        <d v="2024-05-29T00:00:00"/>
        <d v="2024-05-27T00:00:00"/>
        <d v="2024-05-26T00:00:00"/>
        <d v="2024-05-25T00:00:00"/>
        <d v="2024-05-24T00:00:00"/>
        <d v="2024-05-23T00:00:00"/>
        <d v="2024-05-22T00:00:00"/>
        <d v="2024-05-21T00:00:00"/>
        <d v="2024-05-18T00:00:00"/>
        <d v="2024-05-17T00:00:00"/>
        <d v="2024-05-16T00:00:00"/>
        <d v="2024-05-14T00:00:00"/>
        <d v="2024-05-12T00:00:00"/>
        <d v="2024-05-11T00:00:00"/>
        <d v="2024-05-10T00:00:00"/>
        <d v="2024-05-09T00:00:00"/>
        <d v="2024-05-08T00:00:00"/>
        <d v="2024-05-06T00:00:00"/>
        <d v="2024-05-05T00:00:00"/>
        <d v="2024-05-03T00:00:00"/>
        <d v="2024-05-01T00:00:00"/>
        <d v="2024-04-30T00:00:00"/>
        <d v="2024-04-27T00:00:00"/>
        <d v="2024-04-26T00:00:00"/>
        <d v="2024-04-25T00:00:00"/>
        <d v="2024-04-24T00:00:00"/>
        <d v="2024-04-23T00:00:00"/>
        <d v="2024-04-21T00:00:00"/>
        <d v="2024-04-20T00:00:00"/>
        <d v="2024-04-19T00:00:00"/>
        <d v="2024-04-18T00:00:00"/>
        <d v="2024-04-17T00:00:00"/>
        <d v="2024-04-16T00:00:00"/>
        <d v="2024-04-15T00:00:00"/>
        <d v="2024-04-14T00:00:00"/>
        <d v="2024-04-13T00:00:00"/>
        <d v="2024-04-12T00:00:00"/>
        <d v="2024-04-11T00:00:00"/>
        <d v="2024-04-10T00:00:00"/>
        <d v="2024-04-09T00:00:00"/>
        <d v="2024-04-07T00:00:00"/>
        <d v="2024-04-06T00:00:00"/>
        <d v="2024-04-05T00:00:00"/>
        <d v="2024-04-03T00:00:00"/>
        <d v="2024-04-02T00:00:00"/>
        <d v="2024-04-01T00:00:00"/>
        <d v="2024-03-30T00:00:00"/>
        <d v="2024-03-29T00:00:00"/>
        <d v="2024-03-28T00:00:00"/>
        <d v="2024-03-27T00:00:00"/>
        <d v="2024-03-26T00:00:00"/>
        <d v="2024-03-25T00:00:00"/>
        <d v="2024-03-24T00:00:00"/>
        <d v="2024-03-22T00:00:00"/>
        <d v="2024-03-21T00:00:00"/>
        <d v="2024-03-20T00:00:00"/>
        <d v="2024-03-19T00:00:00"/>
        <d v="2024-03-18T00:00:00"/>
        <d v="2024-03-16T00:00:00"/>
        <d v="2024-03-15T00:00:00"/>
        <d v="2024-03-14T00:00:00"/>
        <d v="2024-03-13T00:00:00"/>
        <d v="2024-03-12T00:00:00"/>
        <d v="2024-03-11T00:00:00"/>
        <d v="2024-03-10T00:00:00"/>
        <d v="2024-03-09T00:00:00"/>
        <d v="2024-03-08T00:00:00"/>
        <d v="2024-03-07T00:00:00"/>
        <d v="2024-03-06T00:00:00"/>
        <d v="2024-03-05T00:00:00"/>
        <d v="2024-03-04T00:00:00"/>
        <d v="2024-03-03T00:00:00"/>
        <d v="2024-03-01T00:00:00"/>
        <d v="2024-02-29T00:00:00"/>
        <d v="2024-02-28T00:00:00"/>
        <d v="2024-02-27T00:00:00"/>
        <d v="2024-02-26T00:00:00"/>
        <d v="2024-02-24T00:00:00"/>
        <d v="2024-02-23T00:00:00"/>
        <d v="2024-02-22T00:00:00"/>
        <d v="2024-02-21T00:00:00"/>
        <d v="2024-02-19T00:00:00"/>
        <d v="2024-02-18T00:00:00"/>
        <d v="2024-02-17T00:00:00"/>
        <d v="2024-02-16T00:00:00"/>
        <d v="2024-02-15T00:00:00"/>
        <d v="2024-02-14T00:00:00"/>
        <d v="2024-02-13T00:00:00"/>
        <d v="2024-02-12T00:00:00"/>
        <d v="2024-02-11T00:00:00"/>
        <d v="2024-02-10T00:00:00"/>
        <d v="2024-02-09T00:00:00"/>
        <d v="2024-02-08T00:00:00"/>
        <d v="2024-02-07T00:00:00"/>
        <d v="2024-02-06T00:00:00"/>
        <d v="2024-02-05T00:00:00"/>
        <d v="2024-02-02T00:00:00"/>
        <d v="2024-02-01T00:00:00"/>
        <d v="2024-01-31T00:00:00"/>
        <d v="2024-01-30T00:00:00"/>
        <d v="2024-01-29T00:00:00"/>
        <d v="2024-01-27T00:00:00"/>
        <d v="2024-01-26T00:00:00"/>
        <d v="2024-01-25T00:00:00"/>
        <d v="2024-01-24T00:00:00"/>
        <d v="2024-01-23T00:00:00"/>
        <d v="2024-01-22T00:00:00"/>
        <d v="2024-01-19T00:00:00"/>
        <d v="2024-01-18T00:00:00"/>
        <d v="2024-01-17T00:00:00"/>
        <d v="2024-01-16T00:00:00"/>
        <d v="2024-01-15T00:00:00"/>
        <d v="2024-01-13T00:00:00"/>
        <d v="2024-01-12T00:00:00"/>
        <d v="2024-01-11T00:00:00"/>
        <d v="2024-01-10T00:00:00"/>
        <d v="2024-01-09T00:00:00"/>
        <d v="2024-01-08T00:00:00"/>
        <d v="2024-01-07T00:00:00"/>
        <d v="2024-01-06T00:00:00"/>
        <d v="2024-01-05T00:00:00"/>
        <d v="2024-01-04T00:00:00"/>
        <d v="2024-01-03T00:00:00"/>
        <d v="2024-01-02T00:00:00"/>
        <d v="2024-01-01T00:00:00"/>
        <d v="2023-12-31T00:00:00"/>
        <d v="2023-12-30T00:00:00"/>
        <d v="2023-12-29T00:00:00"/>
        <d v="2023-12-28T00:00:00"/>
        <d v="2023-12-27T00:00:00"/>
        <d v="2023-12-26T00:00:00"/>
        <d v="2023-12-24T00:00:00"/>
        <d v="2023-12-23T00:00:00"/>
        <d v="2023-12-22T00:00:00"/>
        <d v="2023-12-21T00:00:00"/>
        <d v="2023-12-20T00:00:00"/>
        <d v="2023-12-19T00:00:00"/>
        <d v="2023-12-18T00:00:00"/>
        <d v="2023-12-16T00:00:00"/>
        <d v="2023-12-15T00:00:00"/>
        <d v="2023-12-14T00:00:00"/>
        <d v="2023-12-13T00:00:00"/>
        <d v="2023-12-12T00:00:00"/>
        <d v="2023-12-09T00:00:00"/>
        <d v="2023-12-08T00:00:00"/>
        <d v="2023-12-07T00:00:00"/>
        <d v="2023-12-06T00:00:00"/>
        <d v="2023-12-05T00:00:00"/>
        <d v="2023-12-04T00:00:00"/>
        <d v="2023-12-03T00:00:00"/>
        <d v="2023-12-02T00:00:00"/>
        <d v="2023-12-01T00:00:00"/>
        <d v="2023-11-30T00:00:00"/>
        <d v="2023-11-29T00:00:00"/>
        <d v="2023-11-28T00:00:00"/>
        <d v="2023-11-27T00:00:00"/>
        <d v="2023-11-26T00:00:00"/>
        <d v="2023-11-25T00:00:00"/>
        <d v="2023-11-24T00:00:00"/>
        <d v="2023-11-23T00:00:00"/>
        <d v="2023-11-22T00:00:00"/>
        <d v="2023-11-21T00:00:00"/>
        <d v="2023-11-20T00:00:00"/>
        <d v="2023-11-18T00:00:00"/>
        <d v="2023-11-17T00:00:00"/>
        <d v="2023-11-16T00:00:00"/>
        <d v="2023-11-15T00:00:00"/>
        <d v="2023-11-14T00:00:00"/>
        <d v="2023-11-13T00:00:00"/>
        <d v="2023-11-12T00:00:00"/>
        <d v="2023-11-11T00:00:00"/>
        <d v="2023-11-10T00:00:00"/>
        <d v="2023-11-09T00:00:00"/>
        <d v="2023-11-08T00:00:00"/>
        <d v="2023-11-07T00:00:00"/>
        <d v="2023-11-06T00:00:00"/>
        <d v="2023-11-04T00:00:00"/>
        <d v="2023-11-03T00:00:00"/>
        <d v="2023-11-02T00:00:00"/>
        <d v="2023-11-01T00:00:00"/>
        <d v="2023-10-31T00:00:00"/>
        <d v="2023-10-30T00:00:00"/>
        <d v="2023-10-28T00:00:00"/>
        <d v="2023-10-27T00:00:00"/>
        <d v="2023-10-26T00:00:00"/>
        <d v="2023-10-25T00:00:00"/>
        <d v="2023-10-24T00:00:00"/>
        <d v="2023-10-23T00:00:00"/>
        <d v="2023-10-22T00:00:00"/>
        <d v="2023-10-21T00:00:00"/>
        <d v="2023-10-20T00:00:00"/>
        <d v="2023-10-19T00:00:00"/>
        <d v="2023-10-18T00:00:00"/>
        <d v="2023-10-17T00:00:00"/>
        <d v="2023-10-16T00:00:00"/>
        <d v="2023-10-14T00:00:00"/>
        <d v="2023-10-13T00:00:00"/>
        <d v="2023-10-12T00:00:00"/>
        <d v="2023-10-11T00:00:00"/>
        <d v="2023-10-10T00:00:00"/>
        <d v="2023-10-08T00:00:00"/>
        <d v="2023-10-07T00:00:00"/>
        <d v="2023-10-05T00:00:00"/>
        <d v="2023-10-04T00:00:00"/>
        <d v="2023-10-03T00:00:00"/>
        <d v="2023-10-02T00:00:00"/>
        <d v="2023-10-01T00:00:00"/>
        <d v="2023-09-30T00:00:00"/>
        <d v="2023-09-28T00:00:00"/>
        <d v="2023-09-27T00:00:00"/>
        <d v="2023-09-26T00:00:00"/>
        <d v="2023-09-23T00:00:00"/>
        <d v="2023-09-22T00:00:00"/>
        <d v="2023-09-21T00:00:00"/>
        <d v="2023-09-20T00:00:00"/>
        <d v="2023-09-19T00:00:00"/>
        <d v="2023-09-18T00:00:00"/>
        <d v="2023-09-17T00:00:00"/>
        <d v="2023-09-16T00:00:00"/>
        <d v="2023-09-14T00:00:00"/>
        <d v="2023-09-13T00:00:00"/>
        <d v="2023-09-12T00:00:00"/>
        <d v="2023-09-11T00:00:00"/>
        <d v="2023-09-10T00:00:00"/>
        <d v="2023-09-09T00:00:00"/>
        <d v="2023-09-07T00:00:00"/>
        <d v="2023-09-06T00:00:00"/>
        <d v="2023-09-05T00:00:00"/>
        <d v="2023-09-04T00:00:00"/>
        <d v="2023-09-03T00:00:00"/>
        <d v="2023-09-02T00:00:00"/>
        <d v="2023-09-01T00:00:00"/>
        <d v="2023-08-31T00:00:00"/>
        <d v="2023-08-30T00:00:00"/>
        <d v="2023-08-29T00:00:00"/>
        <d v="2023-08-27T00:00:00"/>
        <d v="2023-08-26T00:00:00"/>
        <d v="2023-08-25T00:00:00"/>
        <d v="2023-08-24T00:00:00"/>
        <d v="2023-08-23T00:00:00"/>
        <d v="2023-08-22T00:00:00"/>
        <d v="2023-08-21T00:00:00"/>
        <d v="2023-08-19T00:00:00"/>
        <d v="2023-08-18T00:00:00"/>
        <d v="2023-08-17T00:00:00"/>
        <d v="2023-08-16T00:00:00"/>
        <d v="2023-08-15T00:00:00"/>
        <d v="2023-08-14T00:00:00"/>
        <d v="2023-08-12T00:00:00"/>
        <d v="2023-08-10T00:00:00"/>
        <d v="2023-08-09T00:00:00"/>
        <d v="2023-08-08T00:00:00"/>
        <d v="2023-08-07T00:00:00"/>
        <d v="2023-08-04T00:00:00"/>
        <d v="2023-08-03T00:00:00"/>
        <d v="2023-08-02T00:00:00"/>
        <d v="2023-08-01T00:00:00"/>
        <d v="2023-07-30T00:00:00"/>
        <d v="2023-07-29T00:00:00"/>
        <d v="2023-07-27T00:00:00"/>
        <d v="2023-07-26T00:00:00"/>
        <d v="2023-07-22T00:00:00"/>
        <d v="2023-07-21T00:00:00"/>
        <d v="2023-07-20T00:00:00"/>
        <d v="2023-07-19T00:00:00"/>
        <d v="2023-07-18T00:00:00"/>
        <d v="2023-07-17T00:00:00"/>
        <d v="2023-07-15T00:00:00"/>
        <d v="2023-07-12T00:00:00"/>
        <d v="2023-07-11T00:00:00"/>
        <d v="2023-07-10T00:00:00"/>
        <d v="2023-07-08T00:00:00"/>
        <d v="2023-07-06T00:00:00"/>
        <d v="2023-07-04T00:00:00"/>
        <d v="2023-07-03T00:00:00"/>
        <d v="2023-07-01T00:00:00"/>
        <d v="2023-06-29T00:00:00"/>
        <d v="2023-06-28T00:00:00"/>
        <d v="2023-06-27T00:00:00"/>
        <d v="2023-06-25T00:00:00"/>
        <d v="2023-06-24T00:00:00"/>
        <d v="2023-06-23T00:00:00"/>
        <d v="2023-06-22T00:00:00"/>
        <d v="2023-06-21T00:00:00"/>
        <d v="2023-06-20T00:00:00"/>
        <d v="2023-06-17T00:00:00"/>
        <d v="2023-06-15T00:00:00"/>
        <d v="2023-06-14T00:00:00"/>
        <d v="2023-06-13T00:00:00"/>
        <d v="2023-06-12T00:00:00"/>
        <d v="2023-06-11T00:00:00"/>
        <d v="2023-06-10T00:00:00"/>
        <d v="2023-06-09T00:00:00"/>
        <d v="2023-06-08T00:00:00"/>
        <d v="2023-06-07T00:00:00"/>
        <d v="2023-06-06T00:00:00"/>
        <d v="2023-06-03T00:00:00"/>
        <d v="2023-06-02T00:00:00"/>
        <d v="2023-06-01T00:00:00"/>
        <d v="2023-05-31T00:00:00"/>
        <d v="2023-05-30T00:00:00"/>
        <d v="2023-05-28T00:00:00"/>
        <d v="2023-05-27T00:00:00"/>
        <d v="2023-05-25T00:00:00"/>
        <d v="2023-05-24T00:00:00"/>
        <d v="2023-05-23T00:00:00"/>
        <d v="2023-05-20T00:00:00"/>
        <d v="2023-05-18T00:00:00"/>
        <d v="2023-05-17T00:00:00"/>
        <d v="2023-05-16T00:00:00"/>
        <d v="2023-05-15T00:00:00"/>
        <d v="2023-05-13T00:00:00"/>
        <d v="2023-05-12T00:00:00"/>
        <d v="2023-05-11T00:00:00"/>
        <d v="2023-05-10T00:00:00"/>
        <d v="2023-05-09T00:00:00"/>
        <d v="2023-05-07T00:00:00"/>
        <d v="2023-05-06T00:00:00"/>
        <d v="2023-05-05T00:00:00"/>
        <d v="2023-05-04T00:00:00"/>
        <d v="2023-05-03T00:00:00"/>
        <d v="2023-05-02T00:00:00"/>
        <d v="2023-05-01T00:00:00"/>
        <d v="2023-04-29T00:00:00"/>
        <d v="2023-04-28T00:00:00"/>
        <d v="2023-04-27T00:00:00"/>
        <d v="2023-04-26T00:00:00"/>
        <d v="2023-04-25T00:00:00"/>
        <d v="2023-04-24T00:00:00"/>
        <d v="2023-04-21T00:00:00"/>
        <d v="2023-04-20T00:00:00"/>
        <d v="2023-04-19T00:00:00"/>
        <d v="2023-04-18T00:00:00"/>
        <d v="2023-04-17T00:00:00"/>
        <d v="2023-04-16T00:00:00"/>
        <d v="2023-04-15T00:00:00"/>
        <d v="2023-04-13T00:00:00"/>
        <d v="2023-04-12T00:00:00"/>
        <d v="2023-04-11T00:00:00"/>
        <d v="2023-04-08T00:00:00"/>
        <d v="2023-04-07T00:00:00"/>
        <d v="2023-04-05T00:00:00"/>
        <d v="2023-04-04T00:00:00"/>
        <d v="2023-04-03T00:00:00"/>
        <d v="2023-04-02T00:00:00"/>
        <d v="2023-04-01T00:00:00"/>
        <d v="2023-03-31T00:00:00"/>
        <d v="2023-03-30T00:00:00"/>
        <d v="2023-03-28T00:00:00"/>
        <d v="2023-03-27T00:00:00"/>
        <d v="2023-03-26T00:00:00"/>
        <d v="2023-03-25T00:00:00"/>
        <d v="2023-03-24T00:00:00"/>
        <d v="2023-03-23T00:00:00"/>
        <d v="2023-03-22T00:00:00"/>
        <d v="2023-03-21T00:00:00"/>
        <d v="2023-03-20T00:00:00"/>
        <d v="2023-03-19T00:00:00"/>
        <d v="2023-03-18T00:00:00"/>
        <d v="2023-03-16T00:00:00"/>
        <d v="2023-03-15T00:00:00"/>
        <d v="2023-03-14T00:00:00"/>
        <d v="2023-03-13T00:00:00"/>
        <d v="2023-03-12T00:00:00"/>
        <d v="2023-03-11T00:00:00"/>
        <d v="2023-03-10T00:00:00"/>
        <d v="2023-03-09T00:00:00"/>
        <d v="2023-03-06T00:00:00"/>
        <d v="2023-03-05T00:00:00"/>
        <d v="2023-03-04T00:00:00"/>
        <d v="2023-03-03T00:00:00"/>
        <d v="2023-03-02T00:00:00"/>
        <d v="2023-03-01T00:00:00"/>
        <d v="2023-02-28T00:00:00"/>
        <d v="2023-02-27T00:00:00"/>
        <d v="2023-02-26T00:00:00"/>
        <d v="2023-02-25T00:00:00"/>
        <d v="2023-02-24T00:00:00"/>
        <d v="2023-02-23T00:00:00"/>
        <d v="2023-02-22T00:00:00"/>
        <d v="2023-02-21T00:00:00"/>
        <d v="2023-02-20T00:00:00"/>
        <d v="2023-02-19T00:00:00"/>
        <d v="2023-02-18T00:00:00"/>
        <d v="2023-02-17T00:00:00"/>
        <d v="2023-02-16T00:00:00"/>
        <d v="2023-02-15T00:00:00"/>
        <d v="2023-02-14T00:00:00"/>
        <d v="2023-02-12T00:00:00"/>
        <d v="2023-02-11T00:00:00"/>
        <d v="2023-02-10T00:00:00"/>
        <d v="2023-02-09T00:00:00"/>
        <d v="2023-02-08T00:00:00"/>
        <d v="2023-02-07T00:00:00"/>
        <d v="2023-02-06T00:00:00"/>
        <d v="2023-02-04T00:00:00"/>
        <d v="2023-02-03T00:00:00"/>
        <d v="2023-02-02T00:00:00"/>
        <d v="2023-02-01T00:00:00"/>
        <d v="2023-01-31T00:00:00"/>
        <d v="2023-01-30T00:00:00"/>
        <d v="2023-01-29T00:00:00"/>
        <d v="2023-01-28T00:00:00"/>
        <d v="2023-01-26T00:00:00"/>
        <d v="2023-01-25T00:00:00"/>
        <d v="2023-01-24T00:00:00"/>
        <d v="2023-01-21T00:00:00"/>
        <d v="2023-01-20T00:00:00"/>
        <d v="2023-01-19T00:00:00"/>
        <d v="2023-01-18T00:00:00"/>
        <d v="2023-01-17T00:00:00"/>
        <d v="2023-01-16T00:00:00"/>
        <d v="2023-01-14T00:00:00"/>
        <d v="2023-01-13T00:00:00"/>
        <d v="2023-01-12T00:00:00"/>
        <d v="2023-01-10T00:00:00"/>
        <d v="2023-01-07T00:00:00"/>
        <d v="2023-01-06T00:00:00"/>
        <d v="2023-01-05T00:00:00"/>
        <d v="2023-01-04T00:00:00"/>
        <d v="2023-01-03T00:00:00"/>
        <d v="2023-01-01T00:00:00"/>
        <d v="2022-12-31T00:00:00"/>
        <d v="2022-12-30T00:00:00"/>
        <d v="2022-12-29T00:00:00"/>
        <d v="2022-12-28T00:00:00"/>
        <d v="2022-12-24T00:00:00"/>
        <d v="2022-12-23T00:00:00"/>
        <d v="2022-12-22T00:00:00"/>
        <d v="2022-12-21T00:00:00"/>
        <d v="2022-12-20T00:00:00"/>
        <d v="2022-12-18T00:00:00"/>
        <d v="2022-12-17T00:00:00"/>
        <d v="2022-12-16T00:00:00"/>
        <d v="2022-12-15T00:00:00"/>
        <d v="2022-12-14T00:00:00"/>
        <d v="2022-12-13T00:00:00"/>
        <d v="2022-12-10T00:00:00"/>
        <d v="2022-12-09T00:00:00"/>
        <d v="2022-12-08T00:00:00"/>
        <d v="2022-12-07T00:00:00"/>
        <d v="2022-12-06T00:00:00"/>
        <d v="2022-12-05T00:00:00"/>
        <d v="2022-12-03T00:00:00"/>
        <d v="2022-12-02T00:00:00"/>
        <d v="2022-12-01T00:00:00"/>
        <d v="2022-11-30T00:00:00"/>
        <d v="2022-11-29T00:00:00"/>
        <d v="2022-11-28T00:00:00"/>
        <d v="2022-11-25T00:00:00"/>
        <d v="2022-11-24T00:00:00"/>
        <d v="2022-11-23T00:00:00"/>
        <d v="2022-11-22T00:00:00"/>
        <d v="2022-11-19T00:00:00"/>
        <d v="2022-11-18T00:00:00"/>
        <d v="2022-11-17T00:00:00"/>
        <d v="2022-11-16T00:00:00"/>
        <d v="2022-11-15T00:00:00"/>
        <d v="2022-11-14T00:00:00"/>
        <d v="2022-11-12T00:00:00"/>
        <d v="2022-11-11T00:00:00"/>
        <d v="2022-11-10T00:00:00"/>
        <d v="2022-11-09T00:00:00"/>
        <d v="2022-11-08T00:00:00"/>
        <d v="2022-11-07T00:00:00"/>
        <d v="2022-11-05T00:00:00"/>
        <d v="2022-11-04T00:00:00"/>
        <d v="2022-11-03T00:00:00"/>
        <d v="2022-11-02T00:00:00"/>
        <d v="2022-11-01T00:00:00"/>
        <d v="2022-10-29T00:00:00"/>
        <d v="2022-10-27T00:00:00"/>
        <d v="2022-10-26T00:00:00"/>
        <d v="2022-10-25T00:00:00"/>
        <d v="2022-10-23T00:00:00"/>
        <d v="2022-10-22T00:00:00"/>
        <d v="2022-10-21T00:00:00"/>
        <d v="2022-10-20T00:00:00"/>
        <d v="2022-10-19T00:00:00"/>
        <d v="2022-10-18T00:00:00"/>
        <d v="2022-10-16T00:00:00"/>
        <d v="2022-10-15T00:00:00"/>
        <d v="2022-10-14T00:00:00"/>
        <d v="2022-10-13T00:00:00"/>
        <d v="2022-10-12T00:00:00"/>
        <d v="2022-10-11T00:00:00"/>
        <d v="2022-10-10T00:00:00"/>
        <d v="2022-10-08T00:00:00"/>
        <d v="2022-10-07T00:00:00"/>
        <d v="2022-10-06T00:00:00"/>
        <d v="2022-10-05T00:00:00"/>
        <d v="2022-10-04T00:00:00"/>
        <d v="2022-09-30T00:00:00"/>
        <d v="2022-09-29T00:00:00"/>
        <d v="2022-09-28T00:00:00"/>
        <d v="2022-09-27T00:00:00"/>
        <d v="2022-09-24T00:00:00"/>
        <d v="2022-09-23T00:00:00"/>
        <d v="2022-09-21T00:00:00"/>
        <d v="2022-09-20T00:00:00"/>
        <d v="2022-09-18T00:00:00"/>
        <d v="2022-09-17T00:00:00"/>
        <d v="2022-09-16T00:00:00"/>
        <d v="2022-09-15T00:00:00"/>
        <d v="2022-09-14T00:00:00"/>
        <d v="2022-09-13T00:00:00"/>
        <d v="2022-09-10T00:00:00"/>
        <d v="2022-09-08T00:00:00"/>
        <d v="2022-09-07T00:00:00"/>
        <d v="2022-09-06T00:00:00"/>
        <d v="2022-09-05T00:00:00"/>
        <d v="2022-09-02T00:00:00"/>
        <d v="2022-09-01T00:00:00"/>
        <d v="2022-08-31T00:00:00"/>
        <d v="2022-08-30T00:00:00"/>
        <d v="2022-08-29T00:00:00"/>
        <d v="2022-08-28T00:00:00"/>
        <d v="2022-08-26T00:00:00"/>
        <d v="2022-08-25T00:00:00"/>
        <d v="2022-08-24T00:00:00"/>
        <d v="2022-08-23T00:00:00"/>
        <d v="2022-08-21T00:00:00"/>
        <d v="2022-08-20T00:00:00"/>
        <d v="2022-08-19T00:00:00"/>
        <d v="2022-08-18T00:00:00"/>
        <d v="2022-08-17T00:00:00"/>
        <d v="2022-08-16T00:00:00"/>
        <d v="2022-08-15T00:00:00"/>
        <d v="2022-08-14T00:00:00"/>
        <d v="2022-08-13T00:00:00"/>
        <d v="2022-08-12T00:00:00"/>
        <d v="2022-08-11T00:00:00"/>
        <d v="2022-08-10T00:00:00"/>
        <d v="2022-08-09T00:00:00"/>
        <d v="2022-08-08T00:00:00"/>
        <d v="2022-08-07T00:00:00"/>
        <d v="2022-08-06T00:00:00"/>
        <d v="2022-08-05T00:00:00"/>
        <d v="2022-08-04T00:00:00"/>
        <d v="2022-08-03T00:00:00"/>
        <d v="2022-08-02T00:00:00"/>
        <d v="2022-08-01T00:00:00"/>
        <d v="2022-07-31T00:00:00"/>
        <d v="2022-07-30T00:00:00"/>
        <d v="2022-07-29T00:00:00"/>
        <d v="2022-07-28T00:00:00"/>
        <d v="2022-07-27T00:00:00"/>
        <d v="2022-07-26T00:00:00"/>
        <d v="2022-07-25T00:00:00"/>
        <d v="2022-07-21T00:00:00"/>
        <d v="2022-07-20T00:00:00"/>
        <d v="2022-07-19T00:00:00"/>
        <d v="2022-07-18T00:00:00"/>
        <d v="2022-07-17T00:00:00"/>
        <d v="2022-07-16T00:00:00"/>
        <d v="2022-07-13T00:00:00"/>
        <d v="2022-07-12T00:00:00"/>
        <d v="2022-07-09T00:00:00"/>
        <d v="2022-07-08T00:00:00"/>
        <d v="2022-07-07T00:00:00"/>
        <d v="2022-07-05T00:00:00"/>
        <d v="2022-07-03T00:00:00"/>
        <d v="2022-07-02T00:00:00"/>
        <d v="2022-07-01T00:00:00"/>
        <d v="2022-06-28T00:00:00"/>
        <d v="2022-06-27T00:00:00"/>
        <d v="2022-06-25T00:00:00"/>
        <d v="2022-06-24T00:00:00"/>
        <d v="2022-06-23T00:00:00"/>
        <d v="2022-06-22T00:00:00"/>
        <d v="2022-06-21T00:00:00"/>
        <d v="2022-06-20T00:00:00"/>
        <d v="2022-06-18T00:00:00"/>
        <d v="2022-06-17T00:00:00"/>
        <d v="2022-06-16T00:00:00"/>
        <d v="2022-06-15T00:00:00"/>
        <d v="2022-06-14T00:00:00"/>
        <d v="2022-06-13T00:00:00"/>
        <d v="2022-06-12T00:00:00"/>
        <d v="2022-06-11T00:00:00"/>
        <d v="2022-06-10T00:00:00"/>
        <d v="2022-06-09T00:00:00"/>
        <d v="2022-06-08T00:00:00"/>
        <d v="2022-06-07T00:00:00"/>
        <d v="2022-06-06T00:00:00"/>
        <d v="2022-06-05T00:00:00"/>
        <d v="2022-06-04T00:00:00"/>
        <d v="2022-06-03T00:00:00"/>
        <d v="2022-06-02T00:00:00"/>
        <d v="2022-06-01T00:00:00"/>
        <d v="2022-05-31T00:00:00"/>
        <d v="2022-05-30T00:00:00"/>
        <d v="2022-05-28T00:00:00"/>
        <d v="2022-05-27T00:00:00"/>
        <d v="2022-05-26T00:00:00"/>
        <d v="2022-05-25T00:00:00"/>
        <d v="2022-05-24T00:00:00"/>
        <d v="2022-05-23T00:00:00"/>
        <d v="2022-05-21T00:00:00"/>
        <d v="2022-05-20T00:00:00"/>
        <d v="2022-05-19T00:00:00"/>
        <d v="2022-05-18T00:00:00"/>
        <d v="2022-05-17T00:00:00"/>
        <d v="2022-05-16T00:00:00"/>
        <d v="2022-05-15T00:00:00"/>
        <d v="2022-05-14T00:00:00"/>
        <d v="2022-05-13T00:00:00"/>
        <d v="2022-05-12T00:00:00"/>
        <d v="2022-05-11T00:00:00"/>
        <d v="2022-05-10T00:00:00"/>
        <d v="2022-05-09T00:00:00"/>
        <d v="2022-05-08T00:00:00"/>
        <d v="2022-05-07T00:00:00"/>
        <d v="2022-05-06T00:00:00"/>
        <d v="2022-05-05T00:00:00"/>
        <d v="2022-05-04T00:00:00"/>
        <d v="2022-05-03T00:00:00"/>
        <d v="2022-05-02T00:00:00"/>
        <d v="2022-04-29T00:00:00"/>
        <d v="2022-04-28T00:00:00"/>
        <d v="2022-04-27T00:00:00"/>
        <d v="2022-04-25T00:00:00"/>
        <d v="2022-04-23T00:00:00"/>
        <d v="2022-04-22T00:00:00"/>
        <d v="2022-04-21T00:00:00"/>
        <d v="2022-04-20T00:00:00"/>
        <d v="2022-04-19T00:00:00"/>
        <d v="2022-04-18T00:00:00"/>
        <d v="2022-04-17T00:00:00"/>
        <d v="2022-04-16T00:00:00"/>
        <d v="2022-04-15T00:00:00"/>
        <d v="2022-04-14T00:00:00"/>
        <d v="2022-04-13T00:00:00"/>
        <d v="2022-04-12T00:00:00"/>
        <d v="2022-04-11T00:00:00"/>
        <d v="2022-04-09T00:00:00"/>
        <d v="2022-04-08T00:00:00"/>
        <d v="2022-04-06T00:00:00"/>
        <d v="2022-04-05T00:00:00"/>
        <d v="2022-04-04T00:00:00"/>
        <d v="2022-04-03T00:00:00"/>
        <d v="2022-04-02T00:00:00"/>
        <d v="2022-04-01T00:00:00"/>
        <d v="2022-03-31T00:00:00"/>
        <d v="2022-03-30T00:00:00"/>
        <d v="2022-03-29T00:00:00"/>
        <d v="2022-03-28T00:00:00"/>
        <d v="2022-03-27T00:00:00"/>
        <d v="2022-03-26T00:00:00"/>
        <d v="2022-03-25T00:00:00"/>
        <d v="2022-03-24T00:00:00"/>
        <d v="2022-03-23T00:00:00"/>
        <d v="2022-03-22T00:00:00"/>
        <d v="2022-03-21T00:00:00"/>
        <d v="2022-03-19T00:00:00"/>
        <d v="2022-03-18T00:00:00"/>
        <d v="2022-03-17T00:00:00"/>
        <d v="2022-03-16T00:00:00"/>
        <d v="2022-03-15T00:00:00"/>
        <d v="2022-03-14T00:00:00"/>
        <d v="2022-03-13T00:00:00"/>
        <d v="2022-03-12T00:00:00"/>
        <d v="2022-03-11T00:00:00"/>
        <d v="2022-03-09T00:00:00"/>
        <d v="2022-03-08T00:00:00"/>
        <d v="2022-03-04T00:00:00"/>
        <d v="2022-03-03T00:00:00"/>
        <d v="2022-03-02T00:00:00"/>
        <d v="2022-03-01T00:00:00"/>
        <d v="2022-02-26T00:00:00"/>
        <d v="2022-02-25T00:00:00"/>
        <d v="2022-02-24T00:00:00"/>
        <d v="2022-02-23T00:00:00"/>
        <d v="2022-02-22T00:00:00"/>
        <d v="2022-02-19T00:00:00"/>
        <d v="2022-02-18T00:00:00"/>
        <d v="2022-02-17T00:00:00"/>
        <d v="2022-02-16T00:00:00"/>
        <d v="2022-02-15T00:00:00"/>
        <d v="2022-02-14T00:00:00"/>
        <d v="2022-02-12T00:00:00"/>
        <d v="2022-02-11T00:00:00"/>
        <d v="2022-02-08T00:00:00"/>
        <d v="2022-02-06T00:00:00"/>
        <d v="2022-02-05T00:00:00"/>
        <d v="2022-02-04T00:00:00"/>
        <d v="2022-02-03T00:00:00"/>
        <d v="2022-02-01T00:00:00"/>
        <d v="2022-01-28T00:00:00"/>
        <d v="2022-01-25T00:00:00"/>
        <d v="2022-01-23T00:00:00"/>
        <d v="2022-01-22T00:00:00"/>
        <d v="2022-01-21T00:00:00"/>
        <d v="2022-01-20T00:00:00"/>
        <d v="2022-01-19T00:00:00"/>
        <d v="2022-01-18T00:00:00"/>
        <d v="2022-01-15T00:00:00"/>
        <d v="2022-01-14T00:00:00"/>
        <d v="2022-01-12T00:00:00"/>
        <d v="2022-01-10T00:00:00"/>
        <d v="2022-01-09T00:00:00"/>
        <d v="2022-01-07T00:00:00"/>
        <d v="2022-01-06T00:00:00"/>
        <d v="2022-01-05T00:00:00"/>
        <d v="2022-01-04T00:00:00"/>
        <d v="2022-01-01T00:00:00"/>
        <d v="2021-12-31T00:00:00"/>
        <d v="2021-12-30T00:00:00"/>
        <d v="2021-12-27T00:00:00"/>
        <d v="2021-12-26T00:00:00"/>
        <d v="2021-12-25T00:00:00"/>
        <d v="2021-12-24T00:00:00"/>
        <d v="2021-12-23T00:00:00"/>
        <d v="2021-12-22T00:00:00"/>
        <d v="2021-12-21T00:00:00"/>
        <d v="2021-12-20T00:00:00"/>
        <d v="2021-12-19T00:00:00"/>
        <d v="2021-12-18T00:00:00"/>
        <d v="2021-12-17T00:00:00"/>
        <d v="2021-12-16T00:00:00"/>
        <d v="2021-12-15T00:00:00"/>
        <d v="2021-12-14T00:00:00"/>
        <d v="2021-12-10T00:00:00"/>
        <d v="2021-12-09T00:00:00"/>
        <d v="2021-12-08T00:00:00"/>
        <d v="2021-12-07T00:00:00"/>
        <d v="2021-12-04T00:00:00"/>
        <d v="2021-12-03T00:00:00"/>
        <d v="2021-12-02T00:00:00"/>
        <d v="2021-12-01T00:00:00"/>
        <d v="2021-11-30T00:00:00"/>
        <d v="2021-11-27T00:00:00"/>
        <d v="2021-11-25T00:00:00"/>
        <d v="2021-11-24T00:00:00"/>
        <d v="2021-11-23T00:00:00"/>
        <d v="2021-11-22T00:00:00"/>
        <d v="2021-11-21T00:00:00"/>
        <d v="2021-11-20T00:00:00"/>
        <d v="2021-11-18T00:00:00"/>
        <d v="2021-11-17T00:00:00"/>
        <d v="2021-11-16T00:00:00"/>
        <d v="2021-11-11T00:00:00"/>
        <d v="2021-11-10T00:00:00"/>
        <d v="2021-11-09T00:00:00"/>
        <d v="2021-11-06T00:00:00"/>
        <d v="2021-11-03T00:00:00"/>
        <d v="2021-11-02T00:00:00"/>
        <d v="2021-11-01T00:00:00"/>
        <d v="2021-10-31T00:00:00"/>
        <d v="2021-10-30T00:00:00"/>
        <d v="2021-10-28T00:00:00"/>
        <d v="2021-10-27T00:00:00"/>
        <d v="2021-10-26T00:00:00"/>
        <d v="2021-10-25T00:00:00"/>
        <d v="2021-10-23T00:00:00"/>
        <d v="2021-10-22T00:00:00"/>
        <d v="2021-10-21T00:00:00"/>
        <d v="2021-10-20T00:00:00"/>
        <d v="2021-10-19T00:00:00"/>
        <d v="2021-10-17T00:00:00"/>
        <d v="2021-10-16T00:00:00"/>
        <d v="2021-10-15T00:00:00"/>
        <d v="2021-10-14T00:00:00"/>
        <d v="2021-10-13T00:00:00"/>
        <d v="2021-10-12T00:00:00"/>
        <d v="2021-10-11T00:00:00"/>
        <d v="2021-10-08T00:00:00"/>
        <d v="2021-10-06T00:00:00"/>
        <d v="2021-10-05T00:00:00"/>
        <d v="2021-10-04T00:00:00"/>
        <d v="2021-10-03T00:00:00"/>
        <d v="2021-10-01T00:00:00"/>
        <d v="2021-09-30T00:00:00"/>
        <d v="2021-09-29T00:00:00"/>
        <d v="2021-09-28T00:00:00"/>
        <d v="2021-09-22T00:00:00"/>
        <d v="2021-09-21T00:00:00"/>
        <d v="2021-09-19T00:00:00"/>
        <d v="2021-09-18T00:00:00"/>
        <d v="2021-09-16T00:00:00"/>
        <d v="2021-09-15T00:00:00"/>
        <d v="2021-09-14T00:00:00"/>
        <d v="2021-09-13T00:00:00"/>
        <d v="2021-09-09T00:00:00"/>
        <d v="2021-09-07T00:00:00"/>
        <d v="2021-09-05T00:00:00"/>
        <d v="2021-09-04T00:00:00"/>
        <d v="2021-09-02T00:00:00"/>
        <d v="2021-09-01T00:00:00"/>
        <d v="2021-08-31T00:00:00"/>
        <d v="2021-08-26T00:00:00"/>
        <d v="2021-08-25T00:00:00"/>
        <d v="2021-08-24T00:00:00"/>
        <d v="2021-08-23T00:00:00"/>
        <d v="2021-08-21T00:00:00"/>
        <d v="2021-08-19T00:00:00"/>
        <d v="2021-08-18T00:00:00"/>
        <d v="2021-08-16T00:00:00"/>
        <d v="2021-08-14T00:00:00"/>
        <d v="2021-08-12T00:00:00"/>
        <d v="2021-08-11T00:00:00"/>
        <d v="2021-08-10T00:00:00"/>
        <d v="2021-08-09T00:00:00"/>
        <d v="2021-08-05T00:00:00"/>
        <d v="2021-08-04T00:00:00"/>
        <d v="2021-08-03T00:00:00"/>
        <d v="2021-08-02T00:00:00"/>
        <d v="2021-07-30T00:00:00"/>
        <d v="2021-07-28T00:00:00"/>
        <d v="2021-07-27T00:00:00"/>
        <d v="2021-07-24T00:00:00"/>
        <d v="2021-07-22T00:00:00"/>
        <d v="2021-07-20T00:00:00"/>
        <d v="2021-07-19T00:00:00"/>
        <d v="2021-07-18T00:00:00"/>
        <d v="2021-07-17T00:00:00"/>
        <d v="2021-07-16T00:00:00"/>
        <d v="2021-07-15T00:00:00"/>
        <d v="2021-07-14T00:00:00"/>
        <d v="2021-07-13T00:00:00"/>
        <d v="2021-07-12T00:00:00"/>
        <d v="2021-07-11T00:00:00"/>
        <d v="2021-07-09T00:00:00"/>
        <d v="2021-07-08T00:00:00"/>
        <d v="2021-07-07T00:00:00"/>
        <d v="2021-07-06T00:00:00"/>
        <d v="2021-07-05T00:00:00"/>
        <d v="2021-07-04T00:00:00"/>
        <d v="2021-07-02T00:00:00"/>
        <d v="2021-07-01T00:00:00"/>
        <d v="2021-06-30T00:00:00"/>
        <d v="2021-06-27T00:00:00"/>
        <d v="2021-06-26T00:00:00"/>
        <d v="2021-06-25T00:00:00"/>
        <d v="2021-06-24T00:00:00"/>
        <d v="2021-06-23T00:00:00"/>
        <d v="2021-06-22T00:00:00"/>
        <d v="2021-06-21T00:00:00"/>
        <d v="2021-06-19T00:00:00"/>
        <d v="2021-06-18T00:00:00"/>
        <d v="2021-06-17T00:00:00"/>
        <d v="2021-06-16T00:00:00"/>
        <d v="2021-06-15T00:00:00"/>
        <d v="2021-06-12T00:00:00"/>
        <d v="2021-06-11T00:00:00"/>
        <d v="2021-06-10T00:00:00"/>
        <d v="2021-06-09T00:00:00"/>
        <d v="2021-06-08T00:00:00"/>
        <d v="2021-06-06T00:00:00"/>
        <d v="2021-06-05T00:00:00"/>
        <d v="2021-06-04T00:00:00"/>
        <d v="2021-06-03T00:00:00"/>
        <d v="2021-06-02T00:00:00"/>
        <d v="2021-06-01T00:00:00"/>
        <d v="2021-05-29T00:00:00"/>
        <d v="2021-05-28T00:00:00"/>
        <d v="2021-05-27T00:00:00"/>
        <d v="2021-05-26T00:00:00"/>
        <d v="2021-05-24T00:00:00"/>
        <d v="2021-05-23T00:00:00"/>
        <d v="2021-05-22T00:00:00"/>
        <d v="2021-05-21T00:00:00"/>
        <d v="2021-05-19T00:00:00"/>
        <d v="2021-05-18T00:00:00"/>
        <d v="2021-05-16T00:00:00"/>
        <d v="2021-05-15T00:00:00"/>
        <d v="2021-05-14T00:00:00"/>
        <d v="2021-05-13T00:00:00"/>
        <d v="2021-05-12T00:00:00"/>
        <d v="2021-05-11T00:00:00"/>
        <d v="2021-05-10T00:00:00"/>
        <d v="2021-05-09T00:00:00"/>
        <d v="2021-05-08T00:00:00"/>
        <d v="2021-05-07T00:00:00"/>
        <d v="2021-05-06T00:00:00"/>
        <d v="2021-05-05T00:00:00"/>
        <d v="2021-05-04T00:00:00"/>
        <d v="2021-05-03T00:00:00"/>
        <d v="2021-05-02T00:00:00"/>
        <d v="2021-05-01T00:00:00"/>
        <d v="2021-04-30T00:00:00"/>
        <d v="2021-04-29T00:00:00"/>
        <d v="2021-04-28T00:00:00"/>
        <d v="2021-04-27T00:00:00"/>
        <d v="2021-04-24T00:00:00"/>
        <d v="2021-04-23T00:00:00"/>
        <d v="2021-04-22T00:00:00"/>
        <d v="2021-04-21T00:00:00"/>
        <d v="2021-04-20T00:00:00"/>
        <d v="2021-04-18T00:00:00"/>
        <d v="2021-04-17T00:00:00"/>
        <d v="2021-04-16T00:00:00"/>
        <d v="2021-04-15T00:00:00"/>
        <d v="2021-04-14T00:00:00"/>
        <d v="2021-04-13T00:00:00"/>
        <d v="2021-04-12T00:00:00"/>
        <d v="2021-04-11T00:00:00"/>
        <d v="2021-04-10T00:00:00"/>
        <d v="2021-04-09T00:00:00"/>
        <d v="2021-04-08T00:00:00"/>
        <d v="2021-04-07T00:00:00"/>
        <d v="2021-04-06T00:00:00"/>
        <d v="2021-04-03T00:00:00"/>
        <d v="2021-04-02T00:00:00"/>
        <d v="2021-04-01T00:00:00"/>
        <d v="2021-03-31T00:00:00"/>
        <d v="2021-03-30T00:00:00"/>
        <d v="2021-03-27T00:00:00"/>
        <d v="2021-03-26T00:00:00"/>
        <d v="2021-03-25T00:00:00"/>
        <d v="2021-03-24T00:00:00"/>
        <d v="2021-03-23T00:00:00"/>
        <d v="2021-03-20T00:00:00"/>
        <d v="2021-03-19T00:00:00"/>
        <d v="2021-03-18T00:00:00"/>
        <d v="2021-03-17T00:00:00"/>
        <d v="2021-03-16T00:00:00"/>
        <d v="2021-03-15T00:00:00"/>
        <d v="2021-03-13T00:00:00"/>
        <d v="2021-03-12T00:00:00"/>
        <d v="2021-03-11T00:00:00"/>
        <d v="2021-03-10T00:00:00"/>
        <d v="2021-03-09T00:00:00"/>
        <d v="2021-03-08T00:00:00"/>
        <d v="2021-03-06T00:00:00"/>
        <d v="2021-03-05T00:00:00"/>
        <d v="2021-03-04T00:00:00"/>
        <d v="2021-03-03T00:00:00"/>
        <d v="2021-03-02T00:00:00"/>
        <d v="2021-03-01T00:00:00"/>
        <d v="2021-02-28T00:00:00"/>
        <d v="2021-02-27T00:00:00"/>
        <d v="2021-02-26T00:00:00"/>
        <d v="2021-02-25T00:00:00"/>
        <d v="2021-02-24T00:00:00"/>
        <d v="2021-02-23T00:00:00"/>
        <d v="2021-02-22T00:00:00"/>
        <d v="2021-02-20T00:00:00"/>
        <d v="2021-02-19T00:00:00"/>
        <d v="2021-02-18T00:00:00"/>
        <d v="2021-02-17T00:00:00"/>
        <d v="2021-02-16T00:00:00"/>
        <d v="2021-02-13T00:00:00"/>
        <d v="2021-02-12T00:00:00"/>
        <d v="2021-02-11T00:00:00"/>
        <d v="2021-02-10T00:00:00"/>
        <d v="2021-02-09T00:00:00"/>
        <d v="2021-02-06T00:00:00"/>
        <d v="2021-02-05T00:00:00"/>
        <d v="2021-02-04T00:00:00"/>
        <d v="2021-02-03T00:00:00"/>
        <d v="2021-02-02T00:00:00"/>
        <d v="2021-02-01T00:00:00"/>
        <d v="2021-01-31T00:00:00"/>
        <d v="2021-01-30T00:00:00"/>
        <d v="2021-01-29T00:00:00"/>
        <d v="2021-01-28T00:00:00"/>
        <d v="2021-01-26T00:00:00"/>
        <d v="2021-01-24T00:00:00"/>
        <d v="2021-01-23T00:00:00"/>
        <d v="2021-01-22T00:00:00"/>
        <d v="2021-01-21T00:00:00"/>
        <d v="2021-01-20T00:00:00"/>
        <d v="2021-01-19T00:00:00"/>
        <d v="2021-01-16T00:00:00"/>
        <d v="2021-01-15T00:00:00"/>
        <d v="2021-01-14T00:00:00"/>
        <d v="2021-01-13T00:00:00"/>
        <d v="2021-01-12T00:00:00"/>
        <d v="2021-01-11T00:00:00"/>
        <d v="2021-01-10T00:00:00"/>
        <d v="2021-01-09T00:00:00"/>
        <d v="2021-01-07T00:00:00"/>
        <d v="2021-01-06T00:00:00"/>
        <d v="2021-01-05T00:00:00"/>
        <d v="2021-01-04T00:00:00"/>
        <d v="2021-01-02T00:00:00"/>
        <d v="2021-01-01T00:00:00"/>
        <d v="2020-12-31T00:00:00"/>
        <d v="2020-12-30T00:00:00"/>
        <d v="2020-12-29T00:00:00"/>
        <d v="2020-12-26T00:00:00"/>
        <d v="2020-12-25T00:00:00"/>
        <d v="2020-12-24T00:00:00"/>
        <d v="2020-12-23T00:00:00"/>
        <d v="2020-12-22T00:00:00"/>
        <d v="2020-12-19T00:00:00"/>
        <d v="2020-12-18T00:00:00"/>
        <d v="2020-12-16T00:00:00"/>
        <d v="2020-12-14T00:00:00"/>
        <d v="2020-12-12T00:00:00"/>
        <d v="2020-12-11T00:00:00"/>
        <d v="2020-12-10T00:00:00"/>
        <d v="2020-12-09T00:00:00"/>
        <d v="2020-12-08T00:00:00"/>
        <d v="2020-12-05T00:00:00"/>
        <d v="2020-12-04T00:00:00"/>
        <d v="2020-12-03T00:00:00"/>
        <d v="2020-12-02T00:00:00"/>
        <d v="2020-12-01T00:00:00"/>
        <d v="2020-11-29T00:00:00"/>
        <d v="2020-11-28T00:00:00"/>
        <d v="2020-11-27T00:00:00"/>
        <d v="2020-11-26T00:00:00"/>
        <d v="2020-11-25T00:00:00"/>
        <d v="2020-11-24T00:00:00"/>
        <d v="2020-11-23T00:00:00"/>
        <d v="2020-11-21T00:00:00"/>
        <d v="2020-11-20T00:00:00"/>
        <d v="2020-11-19T00:00:00"/>
        <d v="2020-11-18T00:00:00"/>
        <d v="2020-11-17T00:00:00"/>
        <d v="2020-11-16T00:00:00"/>
        <d v="2020-11-14T00:00:00"/>
        <d v="2020-11-13T00:00:00"/>
        <d v="2020-11-12T00:00:00"/>
        <d v="2020-11-11T00:00:00"/>
        <d v="2020-11-10T00:00:00"/>
        <d v="2020-11-09T00:00:00"/>
        <d v="2020-11-08T00:00:00"/>
        <d v="2020-11-07T00:00:00"/>
        <d v="2020-11-04T00:00:00"/>
        <d v="2020-11-03T00:00:00"/>
        <d v="2020-11-02T00:00:00"/>
        <d v="2020-11-01T00:00:00"/>
        <d v="2020-10-31T00:00:00"/>
        <d v="2020-10-30T00:00:00"/>
        <d v="2020-10-29T00:00:00"/>
        <d v="2020-10-28T00:00:00"/>
        <d v="2020-10-26T00:00:00"/>
        <d v="2020-10-24T00:00:00"/>
        <d v="2020-10-21T00:00:00"/>
        <d v="2020-10-20T00:00:00"/>
        <d v="2020-10-19T00:00:00"/>
        <d v="2020-10-17T00:00:00"/>
        <d v="2020-10-16T00:00:00"/>
        <d v="2020-10-15T00:00:00"/>
        <d v="2020-10-14T00:00:00"/>
        <d v="2020-10-13T00:00:00"/>
        <d v="2020-10-12T00:00:00"/>
        <d v="2020-10-10T00:00:00"/>
        <d v="2020-10-09T00:00:00"/>
        <d v="2020-10-08T00:00:00"/>
        <d v="2020-10-07T00:00:00"/>
        <d v="2020-10-06T00:00:00"/>
        <d v="2020-10-05T00:00:00"/>
        <d v="2020-10-03T00:00:00"/>
        <d v="2020-10-02T00:00:00"/>
        <d v="2020-10-01T00:00:00"/>
        <d v="2020-09-30T00:00:00"/>
        <d v="2020-09-29T00:00:00"/>
        <d v="2020-09-27T00:00:00"/>
        <d v="2020-09-26T00:00:00"/>
        <d v="2020-09-24T00:00:00"/>
        <d v="2020-09-23T00:00:00"/>
        <d v="2020-09-22T00:00:00"/>
        <d v="2020-09-21T00:00:00"/>
        <d v="2020-09-19T00:00:00"/>
        <d v="2020-09-18T00:00:00"/>
        <d v="2020-09-17T00:00:00"/>
        <d v="2020-09-16T00:00:00"/>
        <d v="2020-09-14T00:00:00"/>
        <d v="2020-09-12T00:00:00"/>
        <d v="2020-09-10T00:00:00"/>
        <d v="2020-09-09T00:00:00"/>
        <d v="2020-09-08T00:00:00"/>
        <d v="2020-09-07T00:00:00"/>
        <d v="2020-09-06T00:00:00"/>
        <d v="2020-09-05T00:00:00"/>
        <d v="2020-09-04T00:00:00"/>
        <d v="2020-09-03T00:00:00"/>
        <d v="2020-09-02T00:00:00"/>
        <d v="2020-09-01T00:00:00"/>
        <d v="2020-08-29T00:00:00"/>
        <d v="2020-08-27T00:00:00"/>
        <d v="2020-08-26T00:00:00"/>
        <d v="2020-08-25T00:00:00"/>
        <d v="2020-08-23T00:00:00"/>
        <d v="2020-08-22T00:00:00"/>
        <d v="2020-08-20T00:00:00"/>
        <d v="2020-08-19T00:00:00"/>
        <d v="2020-08-18T00:00:00"/>
        <d v="2020-08-17T00:00:00"/>
        <d v="2020-08-15T00:00:00"/>
        <d v="2020-08-14T00:00:00"/>
        <d v="2020-08-13T00:00:00"/>
        <d v="2020-08-12T00:00:00"/>
        <d v="2020-08-11T00:00:00"/>
        <d v="2020-08-10T00:00:00"/>
        <d v="2020-08-09T00:00:00"/>
        <d v="2020-08-08T00:00:00"/>
        <d v="2020-08-07T00:00:00"/>
        <d v="2020-08-06T00:00:00"/>
        <d v="2020-08-05T00:00:00"/>
        <d v="2020-08-03T00:00:00"/>
        <d v="2020-08-01T00:00:00"/>
        <d v="2020-07-31T00:00:00"/>
        <d v="2020-07-30T00:00:00"/>
        <d v="2020-07-29T00:00:00"/>
        <d v="2020-07-28T00:00:00"/>
        <d v="2020-07-25T00:00:00"/>
        <d v="2020-07-23T00:00:00"/>
        <d v="2020-07-22T00:00:00"/>
        <d v="2020-07-21T00:00:00"/>
        <d v="2020-07-20T00:00:00"/>
        <d v="2020-07-18T00:00:00"/>
        <d v="2020-07-16T00:00:00"/>
        <d v="2020-07-15T00:00:00"/>
        <d v="2020-07-14T00:00:00"/>
        <d v="2020-07-13T00:00:00"/>
        <d v="2020-07-11T00:00:00"/>
        <d v="2020-07-10T00:00:00"/>
        <d v="2020-07-09T00:00:00"/>
        <d v="2020-07-08T00:00:00"/>
        <d v="2020-07-07T00:00:00"/>
        <d v="2020-07-06T00:00:00"/>
        <d v="2020-07-04T00:00:00"/>
        <d v="2020-07-02T00:00:00"/>
        <d v="2020-07-01T00:00:00"/>
        <d v="2020-06-30T00:00:00"/>
        <d v="2020-06-29T00:00:00"/>
        <d v="2020-06-27T00:00:00"/>
        <d v="2020-06-26T00:00:00"/>
        <d v="2020-06-25T00:00:00"/>
        <d v="2020-06-24T00:00:00"/>
        <d v="2020-06-23T00:00:00"/>
        <d v="2020-06-22T00:00:00"/>
        <d v="2020-06-20T00:00:00"/>
        <d v="2020-06-18T00:00:00"/>
        <d v="2020-06-17T00:00:00"/>
        <d v="2020-06-16T00:00:00"/>
        <d v="2020-06-13T00:00:00"/>
        <d v="2020-06-12T00:00:00"/>
        <d v="2020-06-11T00:00:00"/>
        <d v="2020-06-10T00:00:00"/>
        <d v="2020-06-09T00:00:00"/>
        <d v="2020-06-06T00:00:00"/>
        <d v="2020-06-05T00:00:00"/>
        <d v="2020-06-04T00:00:00"/>
        <d v="2020-06-03T00:00:00"/>
        <d v="2020-06-02T00:00:00"/>
        <d v="2020-06-01T00:00:00"/>
        <d v="2020-05-30T00:00:00"/>
        <d v="2020-05-28T00:00:00"/>
        <d v="2020-05-27T00:00:00"/>
        <d v="2020-05-26T00:00:00"/>
        <d v="2020-05-23T00:00:00"/>
        <d v="2020-05-20T00:00:00"/>
        <d v="2020-05-19T00:00:00"/>
        <d v="2020-05-16T00:00:00"/>
        <d v="2020-05-14T00:00:00"/>
        <d v="2020-05-13T00:00:00"/>
        <d v="2020-05-11T00:00:00"/>
        <d v="2020-05-10T00:00:00"/>
        <d v="2020-05-09T00:00:00"/>
        <d v="2020-05-08T00:00:00"/>
        <d v="2020-05-07T00:00:00"/>
        <d v="2020-05-06T00:00:00"/>
        <d v="2020-05-05T00:00:00"/>
        <d v="2020-05-04T00:00:00"/>
        <d v="2020-05-03T00:00:00"/>
        <d v="2020-05-02T00:00:00"/>
        <d v="2020-05-01T00:00:00"/>
        <d v="2020-04-30T00:00:00"/>
        <d v="2020-04-29T00:00:00"/>
        <d v="2020-04-28T00:00:00"/>
        <d v="2020-04-27T00:00:00"/>
        <d v="2020-04-26T00:00:00"/>
        <d v="2020-04-25T00:00:00"/>
        <d v="2020-04-22T00:00:00"/>
        <d v="2020-04-21T00:00:00"/>
        <d v="2020-04-19T00:00:00"/>
        <d v="2020-04-18T00:00:00"/>
        <d v="2020-04-17T00:00:00"/>
        <d v="2020-04-16T00:00:00"/>
        <d v="2020-04-15T00:00:00"/>
        <d v="2020-04-13T00:00:00"/>
        <d v="2020-04-11T00:00:00"/>
        <d v="2020-04-10T00:00:00"/>
        <d v="2020-04-08T00:00:00"/>
        <d v="2020-04-07T00:00:00"/>
        <d v="2020-04-04T00:00:00"/>
        <d v="2020-04-02T00:00:00"/>
        <d v="2020-04-01T00:00:00"/>
        <d v="2020-03-31T00:00:00"/>
        <d v="2020-03-30T00:00:00"/>
        <d v="2020-03-28T00:00:00"/>
        <d v="2020-03-27T00:00:00"/>
        <d v="2020-03-26T00:00:00"/>
        <d v="2020-03-25T00:00:00"/>
        <d v="2020-03-24T00:00:00"/>
        <d v="2020-03-21T00:00:00"/>
        <d v="2020-03-20T00:00:00"/>
        <d v="2020-03-19T00:00:00"/>
        <d v="2020-03-18T00:00:00"/>
        <d v="2020-03-17T00:00:00"/>
        <d v="2020-03-16T00:00:00"/>
        <d v="2020-03-15T00:00:00"/>
        <d v="2020-03-14T00:00:00"/>
        <d v="2020-03-13T00:00:00"/>
        <d v="2020-03-12T00:00:00"/>
        <d v="2020-03-11T00:00:00"/>
        <d v="2020-03-10T00:00:00"/>
        <d v="2020-03-09T00:00:00"/>
        <d v="2020-03-07T00:00:00"/>
        <d v="2020-03-06T00:00:00"/>
        <d v="2020-03-05T00:00:00"/>
        <d v="2020-03-04T00:00:00"/>
        <d v="2020-03-03T00:00:00"/>
        <d v="2020-03-02T00:00:00"/>
        <d v="2020-03-01T00:00:00"/>
        <d v="2020-02-29T00:00:00"/>
        <d v="2020-02-28T00:00:00"/>
        <d v="2020-02-27T00:00:00"/>
        <d v="2020-02-26T00:00:00"/>
        <d v="2020-02-25T00:00:00"/>
        <d v="2020-02-24T00:00:00"/>
        <d v="2020-02-23T00:00:00"/>
        <d v="2020-02-22T00:00:00"/>
        <d v="2020-02-21T00:00:00"/>
        <d v="2020-02-20T00:00:00"/>
        <d v="2020-02-19T00:00:00"/>
        <d v="2020-02-18T00:00:00"/>
        <d v="2020-02-17T00:00:00"/>
        <d v="2020-02-16T00:00:00"/>
        <d v="2020-02-15T00:00:00"/>
        <d v="2020-02-14T00:00:00"/>
        <d v="2020-02-13T00:00:00"/>
        <d v="2020-02-12T00:00:00"/>
        <d v="2020-02-11T00:00:00"/>
        <d v="2020-02-10T00:00:00"/>
        <d v="2020-02-08T00:00:00"/>
        <d v="2020-02-07T00:00:00"/>
        <d v="2020-02-06T00:00:00"/>
        <d v="2020-02-05T00:00:00"/>
        <d v="2020-02-04T00:00:00"/>
        <d v="2020-02-03T00:00:00"/>
        <d v="2020-02-01T00:00:00"/>
        <d v="2020-01-31T00:00:00"/>
        <d v="2020-01-30T00:00:00"/>
        <d v="2020-01-29T00:00:00"/>
        <d v="2020-01-28T00:00:00"/>
        <d v="2020-01-26T00:00:00"/>
        <d v="2020-01-25T00:00:00"/>
        <d v="2020-01-24T00:00:00"/>
        <d v="2020-01-23T00:00:00"/>
        <d v="2020-01-22T00:00:00"/>
        <d v="2020-01-21T00:00:00"/>
        <d v="2020-01-20T00:00:00"/>
        <d v="2020-01-19T00:00:00"/>
        <d v="2020-01-18T00:00:00"/>
        <d v="2020-01-17T00:00:00"/>
        <d v="2020-01-16T00:00:00"/>
        <d v="2020-01-15T00:00:00"/>
        <d v="2020-01-14T00:00:00"/>
        <d v="2020-01-13T00:00:00"/>
        <d v="2020-01-12T00:00:00"/>
        <d v="2020-01-11T00:00:00"/>
        <d v="2020-01-10T00:00:00"/>
        <d v="2020-01-09T00:00:00"/>
        <d v="2020-01-08T00:00:00"/>
        <d v="2020-01-07T00:00:00"/>
        <d v="2020-01-04T00:00:00"/>
        <d v="2020-01-03T00:00:00"/>
        <d v="2020-01-02T00:00:00"/>
        <d v="2020-01-01T00:00:00"/>
        <d v="2019-12-31T00:00:00"/>
        <d v="2019-12-30T00:00:00"/>
        <d v="2019-12-29T00:00:00"/>
        <d v="2019-12-28T00:00:00"/>
        <d v="2019-12-27T00:00:00"/>
        <d v="2019-12-26T00:00:00"/>
        <d v="2019-12-25T00:00:00"/>
        <d v="2019-12-24T00:00:00"/>
        <d v="2019-12-23T00:00:00"/>
        <d v="2019-12-22T00:00:00"/>
        <d v="2019-12-21T00:00:00"/>
        <d v="2019-12-20T00:00:00"/>
        <d v="2019-12-19T00:00:00"/>
        <d v="2019-12-18T00:00:00"/>
        <d v="2019-12-17T00:00:00"/>
        <d v="2019-12-16T00:00:00"/>
        <d v="2019-12-15T00:00:00"/>
        <d v="2019-12-14T00:00:00"/>
        <d v="2019-12-13T00:00:00"/>
        <d v="2019-12-12T00:00:00"/>
        <d v="2019-12-11T00:00:00"/>
        <d v="2019-12-10T00:00:00"/>
        <d v="2019-12-09T00:00:00"/>
        <d v="2019-12-07T00:00:00"/>
        <d v="2019-12-06T00:00:00"/>
        <d v="2019-12-05T00:00:00"/>
        <d v="2019-12-04T00:00:00"/>
        <d v="2019-12-03T00:00:00"/>
        <d v="2019-12-02T00:00:00"/>
        <d v="2019-12-01T00:00:00"/>
        <d v="2019-11-30T00:00:00"/>
        <d v="2019-11-29T00:00:00"/>
        <d v="2019-11-28T00:00:00"/>
        <d v="2019-11-27T00:00:00"/>
        <d v="2019-11-26T00:00:00"/>
        <d v="2019-11-25T00:00:00"/>
        <d v="2019-11-24T00:00:00"/>
        <d v="2019-11-23T00:00:00"/>
        <d v="2019-11-22T00:00:00"/>
        <d v="2019-11-21T00:00:00"/>
        <d v="2019-11-20T00:00:00"/>
        <d v="2019-11-19T00:00:00"/>
        <d v="2019-11-18T00:00:00"/>
        <d v="2019-11-16T00:00:00"/>
        <d v="2019-11-15T00:00:00"/>
        <d v="2019-11-14T00:00:00"/>
        <d v="2019-11-13T00:00:00"/>
        <d v="2019-11-12T00:00:00"/>
        <d v="2019-11-11T00:00:00"/>
        <d v="2019-11-09T00:00:00"/>
        <d v="2019-11-08T00:00:00"/>
        <d v="2019-11-07T00:00:00"/>
        <d v="2019-11-06T00:00:00"/>
        <d v="2019-11-05T00:00:00"/>
        <d v="2019-11-04T00:00:00"/>
        <d v="2019-11-03T00:00:00"/>
        <d v="2019-11-02T00:00:00"/>
        <d v="2019-11-01T00:00:00"/>
        <d v="2019-10-31T00:00:00"/>
        <d v="2019-10-30T00:00:00"/>
        <d v="2019-10-29T00:00:00"/>
        <d v="2019-10-28T00:00:00"/>
        <d v="2019-10-26T00:00:00"/>
        <d v="2019-10-25T00:00:00"/>
        <d v="2019-10-24T00:00:00"/>
        <d v="2019-10-23T00:00:00"/>
        <d v="2019-10-22T00:00:00"/>
        <d v="2019-10-21T00:00:00"/>
        <d v="2019-10-20T00:00:00"/>
        <d v="2019-10-19T00:00:00"/>
        <d v="2019-10-18T00:00:00"/>
        <d v="2019-10-17T00:00:00"/>
        <d v="2019-10-16T00:00:00"/>
        <d v="2019-10-15T00:00:00"/>
        <d v="2019-10-14T00:00:00"/>
        <d v="2019-10-13T00:00:00"/>
        <d v="2019-10-12T00:00:00"/>
        <d v="2019-10-11T00:00:00"/>
        <d v="2019-10-10T00:00:00"/>
        <d v="2019-10-09T00:00:00"/>
        <d v="2019-10-08T00:00:00"/>
        <d v="2019-10-06T00:00:00"/>
        <d v="2019-10-05T00:00:00"/>
        <d v="2019-10-04T00:00:00"/>
        <d v="2019-10-03T00:00:00"/>
        <d v="2019-10-02T00:00:00"/>
        <d v="2019-10-01T00:00:00"/>
        <d v="2019-09-30T00:00:00"/>
        <d v="2019-09-28T00:00:00"/>
        <d v="2019-09-26T00:00:00"/>
        <d v="2019-09-25T00:00:00"/>
        <d v="2019-09-24T00:00:00"/>
        <d v="2019-09-23T00:00:00"/>
        <d v="2019-09-21T00:00:00"/>
        <d v="2019-09-20T00:00:00"/>
        <d v="2019-09-19T00:00:00"/>
        <d v="2019-09-18T00:00:00"/>
        <d v="2019-09-17T00:00:00"/>
        <d v="2019-09-16T00:00:00"/>
        <d v="2019-09-14T00:00:00"/>
        <d v="2019-09-13T00:00:00"/>
        <d v="2019-09-12T00:00:00"/>
        <d v="2019-09-11T00:00:00"/>
        <d v="2019-09-10T00:00:00"/>
        <d v="2019-09-09T00:00:00"/>
        <d v="2019-09-08T00:00:00"/>
        <d v="2019-09-07T00:00:00"/>
        <d v="2019-09-06T00:00:00"/>
        <d v="2019-09-05T00:00:00"/>
        <d v="2019-09-04T00:00:00"/>
        <d v="2019-09-03T00:00:00"/>
        <d v="2019-09-02T00:00:00"/>
        <d v="2019-09-01T00:00:00"/>
        <d v="2019-08-31T00:00:00"/>
        <d v="2019-08-30T00:00:00"/>
        <d v="2019-08-29T00:00:00"/>
        <d v="2019-08-28T00:00:00"/>
        <d v="2019-08-27T00:00:00"/>
        <d v="2019-08-25T00:00:00"/>
        <d v="2019-08-24T00:00:00"/>
        <d v="2019-08-23T00:00:00"/>
        <d v="2019-08-22T00:00:00"/>
        <d v="2019-08-21T00:00:00"/>
        <d v="2019-08-20T00:00:00"/>
        <d v="2019-08-19T00:00:00"/>
        <d v="2019-08-18T00:00:00"/>
        <d v="2019-08-17T00:00:00"/>
        <d v="2019-08-16T00:00:00"/>
        <d v="2019-08-15T00:00:00"/>
        <d v="2019-08-14T00:00:00"/>
        <d v="2019-08-13T00:00:00"/>
        <d v="2019-08-12T00:00:00"/>
        <d v="2019-08-11T00:00:00"/>
        <d v="2019-08-10T00:00:00"/>
        <d v="2019-08-09T00:00:00"/>
        <d v="2019-08-08T00:00:00"/>
        <d v="2019-08-07T00:00:00"/>
        <d v="2019-08-06T00:00:00"/>
        <d v="2019-08-05T00:00:00"/>
        <d v="2019-08-03T00:00:00"/>
        <d v="2019-08-02T00:00:00"/>
        <d v="2019-08-01T00:00:00"/>
        <d v="2019-07-31T00:00:00"/>
        <d v="2019-07-30T00:00:00"/>
        <d v="2019-07-29T00:00:00"/>
        <d v="2019-07-28T00:00:00"/>
        <d v="2019-07-27T00:00:00"/>
        <d v="2019-07-26T00:00:00"/>
        <d v="2019-07-25T00:00:00"/>
        <d v="2019-07-24T00:00:00"/>
        <d v="2019-07-23T00:00:00"/>
        <d v="2019-07-22T00:00:00"/>
        <d v="2019-07-21T00:00:00"/>
        <d v="2019-07-20T00:00:00"/>
        <d v="2019-07-19T00:00:00"/>
        <d v="2019-07-18T00:00:00"/>
        <d v="2019-07-17T00:00:00"/>
        <d v="2019-07-16T00:00:00"/>
        <d v="2019-07-15T00:00:00"/>
        <d v="2019-07-14T00:00:00"/>
        <d v="2019-07-13T00:00:00"/>
        <d v="2019-07-12T00:00:00"/>
        <d v="2019-07-11T00:00:00"/>
        <d v="2019-07-10T00:00:00"/>
        <d v="2019-07-09T00:00:00"/>
        <d v="2019-07-08T00:00:00"/>
        <d v="2019-07-07T00:00:00"/>
        <d v="2019-07-06T00:00:00"/>
        <d v="2019-07-05T00:00:00"/>
        <d v="2019-07-04T00:00:00"/>
        <d v="2019-07-03T00:00:00"/>
        <d v="2019-07-02T00:00:00"/>
        <d v="2019-07-01T00:00:00"/>
        <d v="2019-06-29T00:00:00"/>
        <d v="2019-06-28T00:00:00"/>
        <d v="2019-06-27T00:00:00"/>
        <d v="2019-06-26T00:00:00"/>
        <d v="2019-06-25T00:00:00"/>
        <d v="2019-06-24T00:00:00"/>
        <d v="2019-06-22T00:00:00"/>
        <d v="2019-06-21T00:00:00"/>
        <d v="2019-06-20T00:00:00"/>
        <d v="2019-06-19T00:00:00"/>
        <d v="2019-06-18T00:00:00"/>
        <d v="2019-06-17T00:00:00"/>
        <d v="2019-06-16T00:00:00"/>
        <d v="2019-06-15T00:00:00"/>
        <d v="2019-06-14T00:00:00"/>
        <d v="2019-06-13T00:00:00"/>
        <d v="2019-06-12T00:00:00"/>
        <d v="2019-06-11T00:00:00"/>
        <d v="2019-06-10T00:00:00"/>
        <d v="2019-06-08T00:00:00"/>
        <d v="2019-06-07T00:00:00"/>
        <d v="2019-06-06T00:00:00"/>
        <d v="2019-06-05T00:00:00"/>
        <d v="2019-06-04T00:00:00"/>
        <d v="2019-06-03T00:00:00"/>
        <d v="2019-06-01T00:00:00"/>
        <d v="2019-05-31T00:00:00"/>
        <d v="2019-05-30T00:00:00"/>
        <d v="2019-05-29T00:00:00"/>
        <d v="2019-05-28T00:00:00"/>
        <d v="2019-05-27T00:00:00"/>
        <d v="2019-05-26T00:00:00"/>
        <d v="2019-05-25T00:00:00"/>
        <d v="2019-05-24T00:00:00"/>
        <d v="2019-05-23T00:00:00"/>
        <d v="2019-05-22T00:00:00"/>
        <d v="2019-05-21T00:00:00"/>
        <d v="2019-05-20T00:00:00"/>
        <d v="2019-05-19T00:00:00"/>
        <d v="2019-05-18T00:00:00"/>
        <d v="2019-05-17T00:00:00"/>
        <d v="2019-05-16T00:00:00"/>
        <d v="2019-05-15T00:00:00"/>
        <d v="2019-05-14T00:00:00"/>
        <d v="2019-05-13T00:00:00"/>
        <d v="2019-05-12T00:00:00"/>
        <d v="2019-05-11T00:00:00"/>
        <d v="2019-05-10T00:00:00"/>
        <d v="2019-05-09T00:00:00"/>
        <d v="2019-05-08T00:00:00"/>
        <d v="2019-05-07T00:00:00"/>
        <d v="2019-05-06T00:00:00"/>
        <d v="2019-05-04T00:00:00"/>
        <d v="2019-05-03T00:00:00"/>
        <d v="2019-05-02T00:00:00"/>
        <d v="2019-05-01T00:00:00"/>
        <d v="2019-04-30T00:00:00"/>
        <d v="2019-04-29T00:00:00"/>
        <d v="2019-04-27T00:00:00"/>
        <d v="2019-04-26T00:00:00"/>
        <d v="2019-04-25T00:00:00"/>
        <d v="2019-04-24T00:00:00"/>
        <d v="2019-04-23T00:00:00"/>
        <d v="2019-04-20T00:00:00"/>
        <d v="2019-04-19T00:00:00"/>
        <d v="2019-04-17T00:00:00"/>
        <d v="2019-04-16T00:00:00"/>
        <d v="2019-04-15T00:00:00"/>
        <d v="2019-04-13T00:00:00"/>
        <d v="2019-04-12T00:00:00"/>
        <d v="2019-04-11T00:00:00"/>
        <d v="2019-04-10T00:00:00"/>
        <d v="2019-04-09T00:00:00"/>
        <d v="2019-04-08T00:00:00"/>
        <d v="2019-04-06T00:00:00"/>
        <d v="2019-04-05T00:00:00"/>
        <d v="2019-04-04T00:00:00"/>
        <d v="2019-04-03T00:00:00"/>
        <d v="2019-04-02T00:00:00"/>
        <d v="2019-04-01T00:00:00"/>
        <d v="2019-03-31T00:00:00"/>
        <d v="2019-03-30T00:00:00"/>
        <d v="2019-03-29T00:00:00"/>
        <d v="2019-03-28T00:00:00"/>
        <d v="2019-03-27T00:00:00"/>
        <d v="2019-03-26T00:00:00"/>
        <d v="2019-03-25T00:00:00"/>
        <d v="2019-03-23T00:00:00"/>
        <d v="2019-03-21T00:00:00"/>
        <d v="2019-03-20T00:00:00"/>
        <d v="2019-03-19T00:00:00"/>
        <d v="2019-03-17T00:00:00"/>
        <d v="2019-03-16T00:00:00"/>
        <d v="2019-03-15T00:00:00"/>
        <d v="2019-03-14T00:00:00"/>
        <d v="2019-03-13T00:00:00"/>
        <d v="2019-03-11T00:00:00"/>
        <d v="2019-03-09T00:00:00"/>
        <d v="2019-03-08T00:00:00"/>
        <d v="2019-03-07T00:00:00"/>
        <d v="2019-03-06T00:00:00"/>
        <d v="2019-03-05T00:00:00"/>
        <d v="2019-03-04T00:00:00"/>
        <d v="2019-03-02T00:00:00"/>
        <d v="2019-03-01T00:00:00"/>
        <d v="2019-02-28T00:00:00"/>
        <d v="2019-02-27T00:00:00"/>
        <d v="2019-02-26T00:00:00"/>
        <d v="2019-02-25T00:00:00"/>
        <d v="2019-02-23T00:00:00"/>
        <d v="2019-02-22T00:00:00"/>
        <d v="2019-02-21T00:00:00"/>
        <d v="2019-02-20T00:00:00"/>
        <d v="2019-02-19T00:00:00"/>
        <d v="2019-02-18T00:00:00"/>
        <d v="2019-02-16T00:00:00"/>
        <d v="2019-02-15T00:00:00"/>
        <d v="2019-02-14T00:00:00"/>
        <d v="2019-02-13T00:00:00"/>
        <d v="2019-02-12T00:00:00"/>
        <d v="2019-02-11T00:00:00"/>
        <d v="2019-02-10T00:00:00"/>
        <d v="2019-02-09T00:00:00"/>
        <d v="2019-02-08T00:00:00"/>
        <d v="2019-02-07T00:00:00"/>
        <d v="2019-02-06T00:00:00"/>
        <d v="2019-02-05T00:00:00"/>
        <d v="2019-02-04T00:00:00"/>
        <d v="2019-02-02T00:00:00"/>
        <d v="2019-02-01T00:00:00"/>
        <d v="2019-01-31T00:00:00"/>
        <d v="2019-01-30T00:00:00"/>
        <d v="2019-01-29T00:00:00"/>
        <d v="2019-01-28T00:00:00"/>
        <d v="2019-01-27T00:00:00"/>
        <d v="2019-01-26T00:00:00"/>
        <d v="2019-01-25T00:00:00"/>
        <d v="2019-01-24T00:00:00"/>
        <d v="2019-01-23T00:00:00"/>
        <d v="2019-01-22T00:00:00"/>
        <d v="2019-01-19T00:00:00"/>
        <d v="2019-01-18T00:00:00"/>
        <d v="2019-01-17T00:00:00"/>
        <d v="2019-01-16T00:00:00"/>
        <d v="2019-01-15T00:00:00"/>
        <d v="2019-01-14T00:00:00"/>
        <d v="2019-01-12T00:00:00"/>
        <d v="2019-01-11T00:00:00"/>
        <d v="2019-01-10T00:00:00"/>
        <d v="2019-01-09T00:00:00"/>
        <d v="2019-01-08T00:00:00"/>
        <d v="2019-01-07T00:00:00"/>
        <d v="2019-01-05T00:00:00"/>
        <d v="2019-01-03T00:00:00"/>
        <d v="2019-01-02T00:00:00"/>
        <d v="2019-01-01T00:00:00"/>
        <d v="2018-12-31T00:00:00"/>
        <d v="2018-12-30T00:00:00"/>
        <d v="2018-12-29T00:00:00"/>
        <d v="2018-12-28T00:00:00"/>
        <d v="2018-12-27T00:00:00"/>
        <d v="2018-12-25T00:00:00"/>
        <d v="2018-12-24T00:00:00"/>
        <d v="2018-12-23T00:00:00"/>
        <d v="2018-12-22T00:00:00"/>
        <d v="2018-12-21T00:00:00"/>
        <d v="2018-12-20T00:00:00"/>
        <d v="2018-12-19T00:00:00"/>
        <d v="2018-12-18T00:00:00"/>
        <d v="2018-12-17T00:00:00"/>
        <d v="2018-12-15T00:00:00"/>
        <d v="2018-12-14T00:00:00"/>
        <d v="2018-12-13T00:00:00"/>
        <d v="2018-12-12T00:00:00"/>
        <d v="2018-12-11T00:00:00"/>
        <d v="2018-12-08T00:00:00"/>
        <d v="2018-12-07T00:00:00"/>
        <d v="2018-12-06T00:00:00"/>
        <d v="2018-12-05T00:00:00"/>
        <d v="2018-12-04T00:00:00"/>
        <d v="2018-12-03T00:00:00"/>
        <d v="2018-12-01T00:00:00"/>
        <d v="2018-11-30T00:00:00"/>
        <d v="2018-11-29T00:00:00"/>
        <d v="2018-11-28T00:00:00"/>
        <d v="2018-11-27T00:00:00"/>
        <d v="2018-11-24T00:00:00"/>
        <d v="2018-11-23T00:00:00"/>
        <d v="2018-11-22T00:00:00"/>
        <d v="2018-11-21T00:00:00"/>
        <d v="2018-11-20T00:00:00"/>
        <d v="2018-11-17T00:00:00"/>
        <d v="2018-11-16T00:00:00"/>
        <d v="2018-11-15T00:00:00"/>
        <d v="2018-11-14T00:00:00"/>
        <d v="2018-11-13T00:00:00"/>
        <d v="2018-11-10T00:00:00"/>
        <d v="2018-11-09T00:00:00"/>
        <d v="2018-11-08T00:00:00"/>
        <d v="2018-11-07T00:00:00"/>
        <d v="2018-11-05T00:00:00"/>
        <d v="2018-11-04T00:00:00"/>
        <d v="2018-11-03T00:00:00"/>
        <d v="2018-11-02T00:00:00"/>
        <d v="2018-11-01T00:00:00"/>
        <d v="2018-10-31T00:00:00"/>
        <d v="2018-10-30T00:00:00"/>
        <d v="2018-10-28T00:00:00"/>
        <d v="2018-10-27T00:00:00"/>
        <d v="2018-10-26T00:00:00"/>
        <d v="2018-10-25T00:00:00"/>
        <d v="2018-10-24T00:00:00"/>
        <d v="2018-10-23T00:00:00"/>
        <d v="2018-10-22T00:00:00"/>
        <d v="2018-10-20T00:00:00"/>
        <d v="2018-10-19T00:00:00"/>
        <d v="2018-10-18T00:00:00"/>
        <d v="2018-10-17T00:00:00"/>
        <d v="2018-10-16T00:00:00"/>
        <d v="2018-10-14T00:00:00"/>
        <d v="2018-10-13T00:00:00"/>
        <d v="2018-10-12T00:00:00"/>
        <d v="2018-10-11T00:00:00"/>
        <d v="2018-10-10T00:00:00"/>
        <d v="2018-10-09T00:00:00"/>
        <d v="2018-10-08T00:00:00"/>
        <d v="2018-10-07T00:00:00"/>
        <d v="2018-10-06T00:00:00"/>
        <d v="2018-10-05T00:00:00"/>
        <d v="2018-10-04T00:00:00"/>
        <d v="2018-10-03T00:00:00"/>
        <d v="2018-10-02T00:00:00"/>
        <d v="2018-10-01T00:00:00"/>
        <d v="2018-09-29T00:00:00"/>
        <d v="2018-09-28T00:00:00"/>
        <d v="2018-09-27T00:00:00"/>
        <d v="2018-09-26T00:00:00"/>
        <d v="2018-09-25T00:00:00"/>
        <d v="2018-09-24T00:00:00"/>
        <d v="2018-09-22T00:00:00"/>
        <d v="2018-09-21T00:00:00"/>
        <d v="2018-09-20T00:00:00"/>
        <d v="2018-09-19T00:00:00"/>
        <d v="2018-09-18T00:00:00"/>
        <d v="2018-09-17T00:00:00"/>
        <d v="2018-09-16T00:00:00"/>
        <d v="2018-09-15T00:00:00"/>
        <d v="2018-09-14T00:00:00"/>
        <d v="2018-09-13T00:00:00"/>
        <d v="2018-09-12T00:00:00"/>
        <d v="2018-09-11T00:00:00"/>
        <d v="2018-09-10T00:00:00"/>
        <d v="2018-09-08T00:00:00"/>
        <d v="2018-09-07T00:00:00"/>
        <d v="2018-09-06T00:00:00"/>
        <d v="2018-09-05T00:00:00"/>
        <d v="2018-09-04T00:00:00"/>
        <d v="2018-09-03T00:00:00"/>
        <d v="2018-09-01T00:00:00"/>
        <d v="2018-08-31T00:00:00"/>
        <d v="2018-08-30T00:00:00"/>
        <d v="2018-08-29T00:00:00"/>
        <d v="2018-08-28T00:00:00"/>
        <d v="2018-08-27T00:00:00"/>
        <d v="2018-08-25T00:00:00"/>
        <d v="2018-08-24T00:00:00"/>
        <d v="2018-08-23T00:00:00"/>
        <d v="2018-08-22T00:00:00"/>
        <d v="2018-08-21T00:00:00"/>
        <d v="2018-08-18T00:00:00"/>
        <d v="2018-08-17T00:00:00"/>
        <d v="2018-08-16T00:00:00"/>
        <d v="2018-08-15T00:00:00"/>
        <d v="2018-08-14T00:00:00"/>
        <d v="2018-08-11T00:00:00"/>
        <d v="2018-08-10T00:00:00"/>
        <d v="2018-08-09T00:00:00"/>
        <d v="2018-08-08T00:00:00"/>
        <d v="2018-08-07T00:00:00"/>
        <d v="2018-08-06T00:00:00"/>
        <d v="2018-08-05T00:00:00"/>
        <d v="2018-08-04T00:00:00"/>
        <d v="2018-08-03T00:00:00"/>
        <d v="2018-08-02T00:00:00"/>
        <d v="2018-08-01T00:00:00"/>
        <d v="2018-07-31T00:00:00"/>
        <d v="2018-07-28T00:00:00"/>
        <d v="2018-07-27T00:00:00"/>
        <d v="2018-07-26T00:00:00"/>
        <d v="2018-07-25T00:00:00"/>
        <d v="2018-07-24T00:00:00"/>
        <d v="2018-07-21T00:00:00"/>
        <d v="2018-07-20T00:00:00"/>
        <d v="2018-07-19T00:00:00"/>
        <d v="2018-07-18T00:00:00"/>
        <d v="2018-07-17T00:00:00"/>
        <d v="2018-07-14T00:00:00"/>
        <d v="2018-07-13T00:00:00"/>
        <d v="2018-07-12T00:00:00"/>
        <d v="2018-07-11T00:00:00"/>
        <d v="2018-07-10T00:00:00"/>
        <d v="2018-07-09T00:00:00"/>
        <d v="2018-07-07T00:00:00"/>
        <d v="2018-07-06T00:00:00"/>
        <d v="2018-07-05T00:00:00"/>
        <d v="2018-07-04T00:00:00"/>
        <d v="2018-07-03T00:00:00"/>
        <d v="2018-07-02T00:00:00"/>
        <d v="2018-07-01T00:00:00"/>
        <d v="2018-06-27T00:00:00"/>
        <d v="2018-06-20T00:00:00"/>
        <d v="2018-06-15T00:00:00"/>
        <d v="2018-05-26T00:00:00"/>
        <d v="2018-05-18T00:00:00"/>
        <d v="2018-04-24T00:00:00"/>
        <d v="2018-04-20T00:00:00"/>
        <d v="2018-03-09T00:00:00"/>
        <d v="2018-03-08T00:00:00"/>
        <d v="2017-09-21T00:00:00"/>
        <d v="2017-09-18T00:00:00"/>
        <d v="2017-09-11T00:00:00"/>
        <d v="2017-09-09T00:00:00"/>
        <d v="2017-08-05T00:00:00"/>
        <d v="2017-08-04T00:00:00"/>
        <d v="2017-07-31T00:00:00"/>
        <d v="2017-06-28T00:00:00"/>
        <d v="2017-06-09T00:00:00"/>
        <d v="2017-05-09T00:00:00"/>
        <d v="2016-01-22T00:00:00"/>
        <d v="2015-11-19T00:00:00"/>
        <d v="2010-04-29T00:00:00"/>
      </sharedItems>
    </cacheField>
    <cacheField name="Amount" numFmtId="0">
      <sharedItems containsSemiMixedTypes="0" containsString="0" containsNumber="1" minValue="-75000" maxValue="75000"/>
    </cacheField>
    <cacheField name="Transaction" numFmtId="0">
      <sharedItems count="4407">
        <s v="Transfer To Masoumeh Gholamshahi CommBank App massage chair refund"/>
        <s v="COLES 7663COLES 7663 PARRAMATTA AU AUS Card xx2869 Value Date: 19/02/2025"/>
        <s v="ERMINGTON MEATS Ermington NS AUS Card xx2869 Value Date: 19/02/2025"/>
        <s v="BUPA HI P T PHI MELBOURNE VI AUS Card xx2869 Value Date: 19/02/2025"/>
        <s v="ALDI STORES - PARRAMAT PARRAMATTA AUS Card xx2869 Value Date: 18/02/2025"/>
        <s v="Return AMAZON AU MARKETPLACE SYDNEY AUS Card xx2869 Value Date: 18/02/2025"/>
        <s v="Direct Credit 462125 APRA Limited AU Royalty W739163"/>
        <s v="COLES 0887 PARRAMATTA AU"/>
        <s v="HAAK EATERY PTY LTD SURRY HILLS AU"/>
        <s v="Transfer To menikmati CommBank App Cap x 1"/>
        <s v="UBER *EATS HELP.UBER.COM"/>
        <s v="Direct Debit 502574 THE C&amp;PSU CPSU Membership"/>
        <s v="International Transaction Fee Value Date: 10/02/2025"/>
        <s v="OPENAI *CHATGPT SUBSCR SAN FRANCISCO CA USA Card xx2869 USD 22.00 Value Date: 11/02/2025"/>
        <s v="TRANSPORTFORNSW OPAL CHIPPENDALE AUS Card xx2869 Value Date: 11/02/2025"/>
        <s v="Transfer to other Bank NetBank Mortgage Payment"/>
        <s v="Salary SERVAUPAYROLL 20504P 85920286"/>
        <s v="Google YouTube Barangaroo AU AUS Card xx2869 Value Date: 10/02/2025"/>
        <s v="PHOTOWN Alexandria AU"/>
        <s v="COLES 7663COLES 7663 PARRAMATTA AU AUS Card xx2869 Value Date: 07/02/2025"/>
        <s v="ALDI STORES - PARRAMAT PARRAMATTA AUS Card xx2869 Value Date: 07/02/2025"/>
        <s v="OPTUS BILLING AUTOPAY MACQUARIE PAR NS AUS Card xx2869 Value Date: 09/02/2025"/>
        <s v="Transfer To Masoumeh Gholamshahi CommBank App groceries"/>
        <s v="Return THE DAILY WIRE NASHVILLE TN USA Card xx2869 USD 14.99 Value Date: 03/02/2025"/>
        <s v="International Transaction Fee Value Date: 02/02/2025"/>
        <s v="THE DAILY WIRE NASHVILLE TN USA Card xx2869 USD 14.99 Value Date: 02/02/2025"/>
        <s v="eBay O*19-12647-26740 Sydney AU AUS Card xx2869 Value Date: 02/02/2025"/>
        <s v="eBay O*09-12658-12954 Sydney AU AUS Card xx2869 Value Date: 02/02/2025"/>
        <s v="SPEEDWAY WEST RYDE WEST RYDE NSWAU"/>
        <s v="Salary SERVAUPAYROLL 21531P 85920286"/>
        <s v="BUNNINGS 388000 RYDALMERE AU Card xx2869"/>
        <s v="AMAZON AU MARKETPLACE SYDNEY AUS Card xx2869 Value Date: 23/01/2025"/>
        <s v="ALDI STORES - RYDALMER RYDALMERE AUS Card xx2869 Value Date: 26/01/2025"/>
        <s v="COLES 7663 PARRAMATTA AU"/>
        <s v="PHARMACY JUNCTION PARRAMA PARRAMA NSW AU Card xx2869"/>
        <s v="RETAIL PRODIGY OPS PL PARRAMATTA NSWAU"/>
        <s v="OPTUS BILLING AUTOPAY MACQUARIE PAR NS AUS Card xx2869 Value Date: 22/01/2025"/>
        <s v="BUPA HI P T PHI MELBOURNE VI AUS Card xx2869 Value Date: 21/01/2025"/>
        <s v="MEDI CORP PTY LIMITED HABERFIELD NS AUS Card xx2869 Value Date: 17/01/2025"/>
        <s v="WWW.REEBELO.COM.AU SYDNEY NS AUS Card xx2869 Value Date: 17/01/2025"/>
        <s v="COLES 7663COLES 7663 PARRAMATTA AU AUS Card xx2869 Value Date: 18/01/2025"/>
        <s v="Direct Credit 002221 MCARE BENEFITS 382001678 AYWQ"/>
        <s v="Zag Seafood Parramatta AU"/>
        <s v="Harveys Hot Sandwiches Parramatta AU"/>
        <s v="OFFICEWORKS 0256OFFICE NORTHMEAD AU AUS Card xx2869 Value Date: 15/01/2025"/>
        <s v="Return OFFICEWORKS 0256OFFICE NORTHMEAD AU AUS Card xx2869 Value Date: 15/01/2025"/>
        <s v="TRANSPORTFORNSW OPAL CHIPPENDALE AUS Card xx2869 Value Date: 14/01/2025"/>
        <s v="Salary SERVAUPAYROLL 21495P 85920286"/>
        <s v="OPTUS BILLING AUTOPAY MACQUARIE PAR NS AUS Card xx2869 Value Date: 10/01/2025"/>
        <s v="International Transaction Fee Value Date: 10/01/2025"/>
        <s v="OPENAI *CHATGPT SUBSCR SAN FRANCISCO CA USA Card xx2869 USD 22.00 Value Date: 11/01/2025"/>
        <s v="Google YouTube Pyrmont AU AUS Card xx2869 Value Date: 06/01/2025"/>
        <s v="Google YouTube Pyrmont AU AUS Card xx2869 Value Date: 07/01/2025"/>
        <s v="AMAZON AU MARKETPLACE SYDNEY AUS Card xx2869 Value Date: 08/01/2025"/>
        <s v="Jaycar Rhodes Rhodes AU AUS Card xx2869 Value Date: 08/01/2025"/>
        <s v="Transfer to other Bank NetBank groceries"/>
        <s v="Refund Purchase Jaycar Lidcombe Lidcombe AU"/>
        <s v="AMAZON AU MARKETPLACE SYDNEY AUS Card xx2869 Value Date: 06/01/2025"/>
        <s v="International Transaction Fee Value Date: 02/01/2025"/>
        <s v="THE DAILY WIRE NASHVILLE TN USA Card xx2869 USD 14.99 Value Date: 02/01/2025"/>
        <s v="ORIGIN ENERGY BARANGAROO AUS Card xx2869 Value Date: 02/01/2025"/>
        <s v="AMAZON AU MARKETPLACE SYDNEY AUS Card xx2869 Value Date: 04/01/2025"/>
        <s v="Swing Factory T Hills Terrey Hills AU AUS Card xx2869 Value Date: 02/01/2025"/>
        <s v="GUO MAMA PTY LTD CASTLE HILL NS AUS Card xx2869 Value Date: 02/01/2025"/>
        <s v="7-ELEVEN 2048 DRUMMOYNE NS AUS Card xx2869 Value Date: 31/12/2024"/>
        <s v="LIQUORLAND 2822LIQUORL PARRAMATTA AU AUS Card xx2869 Value Date: 31/12/2024"/>
        <s v="Transfer To Z ZHANG PayID Phone from CommBank App food eastwood markets"/>
        <s v="Fast Transfer From JOHN MINAI Eastwood dinner Eastwood dinner"/>
        <s v="Transfer To JOHN MINAI PayID Phone from CommBank App golf"/>
        <s v="Transfer To RAMTEAN ROOZBEHANI CommBank App iou"/>
        <s v="UBER EATS* EATS"/>
        <s v="Salary SERVAUPAYROLL 20241P 85920286"/>
        <s v="Non CBA ATM Withdrawal Fee"/>
        <s v="Wdl ATM CAS COLES EXPRESS - PARRAMAT NS AU"/>
        <s v="COTTON ON 2931 BIRKE DRUMMOYNE NS AUS Card xx2869 Value Date: 29/12/2024"/>
        <s v="7-ELEVEN 2270 ROZELLE NS AUS Card xx2869 Value Date: 29/12/2024"/>
        <s v="SQ *FISHBOWL ROZELLE Rozelle AU"/>
        <s v="HYDROLINK CORP PTY LTD Sydney AU"/>
        <s v="COLES 0887COLES 0887 PARRAMATTA AU AUS Card xx2869 Value Date: 24/12/2024"/>
        <s v="International Transaction Fee Value Date: 24/12/2024"/>
        <s v="SP TAMUZ SAMPLES BROOKLYN NY USA Card xx2869 USD 14.95 Value Date: 25/12/2024"/>
        <s v="BUNNINGS 388000 RYDALMERE AUS Card xx2869 Value Date: 24/12/2024"/>
        <s v="STAN.COM.AU"/>
        <s v="OPTUS BILLING AUTOPAY MACQUARIE PAR NS AUS Card xx2869 Value Date: 22/12/2024"/>
        <s v="Fast Transfer From MASOUMEH GHOLAMSHAHI Merry x-mass Rodean joon. Lots of lov..."/>
        <s v="LIQUORLAND 2822LIQUORL PARRAMATTA AU AUS Card xx2869 Value Date: 21/12/2024"/>
        <s v="Nextra on5 Parramatta AU"/>
        <s v="SPEEDWAY PARRAMATTA PARRAMATTA NSWAU"/>
        <s v="BEATPORT 720-974-9500 CO USA Card xx2869 AUD 3.40 Value Date: 19/12/2024"/>
        <s v="THE GOOD GUYS WEB STOR SOUTHBANK VI AUS Card xx2869 Value Date: 19/12/2024"/>
        <s v="BUPA HI P T PHI MELBOURNE VI AUS Card xx2869 Value Date: 19/12/2024"/>
        <s v="Transfer To Masoumeh Gholamshahi CommBank App flowers"/>
        <s v="Salary SERVAUPAYROLL 19554P 85920286"/>
        <s v="COLES 0887COLES 0887 PARRAMATTA AU AUS Card xx2869 Value Date: 14/12/2024"/>
        <s v="JOHNS QUALITY MEATS PA PARRAMATTA AU AUS Card xx2869 Value Date: 14/12/2024"/>
        <s v="Transfer To Masoumeh Gholamshahi CommBank App food"/>
        <s v="MCDONALDS DRUMMOYNE DRUMMOYNE NSWAU"/>
        <s v="UNIVERSAL IMPERIAL HOT ERSKINEVILLE AU Card xx2869 Value Date: 15/12/2024"/>
        <s v="UNIVERSAL IMPERIAL HOT ERSKINEVILLE AU Card xx2869"/>
        <s v="International Transaction Fee Value Date: 10/12/2024"/>
        <s v="OPENAI *CHATGPT SUBSCR SAN FRANCISCO CA USA Card xx2869 USD 22.00 Value Date: 11/12/2024"/>
        <s v="TRANSPORTFORNSW OPAL CHIPPENDALE AUS Card xx2869 Value Date: 10/12/2024"/>
        <s v="THE HUNTERS HILL HOTEL Hunters Hill AU AUS Card xx2869 Value Date: 07/12/2024"/>
        <s v="OPTUS BILLING AUTOPAY MACQUARIE PAR NS AUS Card xx2869 Value Date: 08/12/2024"/>
        <s v="Jaycar Lidcombe Lidcombe AU"/>
        <s v="International Transaction Fee Value Date: 02/12/2024"/>
        <s v="THE DAILY WIRE NASHVILLE TN USA Card xx2869 USD 14.99 Value Date: 02/12/2024"/>
        <s v="COLES 0887COLES 0887 PARRAMATTA AU AUS Card xx2869 Value Date: 03/12/2024"/>
        <s v="ORIGIN ENERGY BARANGAROO AUS Card xx2869 Value Date: 03/12/2024"/>
        <s v="Salary SERVAUPAYROLL 18572P 85920286"/>
        <s v="Return MANNYS Alexandria NS AUS Card xx2869 Value Date: 02/12/2024"/>
        <s v="Fast Transfer From MR H ROOZBEHANI Happy birthday Love from Dad"/>
        <s v="MANNYS Alexandria AU"/>
        <s v="AMAZON AU MARKETPLACE SYDNEY AUS Card xx2869 Value Date: 25/11/2024"/>
        <s v="CENTRE COM SUNSHINE PTY LAUBURN AU (wireless receiver for keyboard)"/>
        <s v="OPTUS BILLING AUTOPAY MACQUARIE PAR NS AUS Card xx2869 Value Date: 22/11/2024"/>
        <s v="AMAZON AU RETAIL SYDNEY AUS Card xx2869 Value Date: 22/11/2024"/>
        <s v="Fast Transfer From MR JULIEN DANIEL ROBY CREDIT TO ACCOUNT"/>
        <s v="Refund Purchase UBER* TRIP"/>
        <s v="UBER* TRIP"/>
        <s v="Ivy Level 1 Sydney AU"/>
        <s v="Angel Hotel Sydney AU"/>
        <s v="Transfer To Kieran Krohn CommBank App food"/>
        <s v="BUPA HI P T PHI MELBOURNE VI AUS Card xx2869 Value Date: 19/11/2024"/>
        <s v="TRANSPORTFORNSW OPAL CHIPPENDALE AUS Card xx2869 Value Date: 19/11/2024"/>
        <s v="Salary SERVAUPAYROLL 22063P 85920286"/>
        <s v="Direct Credit 002221 MCARE BENEFITS 950055691 AYWQ"/>
        <s v="LEVEL 5 HEALTH P/L PARRAMATTA NSWAU"/>
        <s v="Transfer to other Bank CommBank app Mortgage Payment"/>
        <s v="MANNYS MUSIC STORE Crows Nest AU"/>
        <s v="COLES 0887COLES 0887 PARRAMATTA AU AUS Card xx2869 Value Date: 14/11/2024"/>
        <s v="THE GUITAR FACTORY PARRAMATTA AU Card xx2869"/>
        <s v="Fast Transfer From JACK BOSENBERG to PayID Phone dinner Jack"/>
        <s v="Fast Transfer From CoinSpot CREDIT TO ACCOUNT Value Date: 15/11/2024"/>
        <s v="LINKT SYDNEY SYDNEY AUS Card xx2869 Value Date: 13/11/2024"/>
        <s v="International Transaction Fee Value Date: 10/11/2024"/>
        <s v="OPENAI *CHATGPT SUBSCR SAN FRANCISCO CA USA Card xx2869 USD 22.00 Value Date: 11/11/2024"/>
        <s v="MENZIES WORLD CARGO 2 MATRAVILLE AU AUS Card xx2869 Value Date: 09/11/2024"/>
        <s v="BUNNINGS 388000 RYDALMERE AUS Card xx2869 Value Date: 09/11/2024"/>
        <s v="Fast Transfer From AARON D'ABRUZZO Aaron Dinner Aaron Dinner"/>
        <s v="Fast Transfer From JOHN MINAI to PayID Phone Dinner"/>
        <s v="CrownHotel Parramatta Parramatta AU"/>
        <s v="VOLCANOS PARRAMATTA Parramatta AU"/>
        <s v="OPTUS BILLING AUTOPAY MACQUARIE PAR NS AUS Card xx2869 Value Date: 07/11/2024"/>
        <s v="Parramatta City Counci Parramatta NS AUS Card xx2869 Value Date: 06/11/2024"/>
        <s v="Transfer To Customs Cargo Administrator NetBank Clavinet Clearance"/>
        <s v="Transfer To ATX taxation and accounting CommBank App tax return"/>
        <s v="Salary SERVAUPAYROLL 19375P 85920286"/>
        <s v="WOOLWORTHS 1366 ERMINGTON NS AUS Card xx2869 Value Date: 02/11/2024"/>
        <s v="COLES 0887COLES 0887 PARRAMATTA AU AUS Card xx2869 Value Date: 02/11/2024"/>
        <s v="International Transaction Fee Value Date: 02/11/2024"/>
        <s v="THE DAILY WIRE NASHVILLE TN USA Card xx2869 USD 14.99 Value Date: 02/11/2024"/>
        <s v="ERMINGTON MEATS Ermington AU"/>
        <s v="Harveys Hot Sandwiches Parramatta AU AUS Card xx2869 Value Date: 31/10/2024"/>
        <s v="TRANSPORTFORNSW OPAL CHIPPENDALE AUS Card xx2869 Value Date: 29/10/2024"/>
        <s v="MAD MEX PARRAMATTA PARRAMATTA NSW AU Card xx2869"/>
        <s v="REVERB B.V. AMSTERDAM NL NLD Card xx2869 AUD 6630.76 Value Date: 28/10/2024"/>
        <s v="EG GROUP 1296 WEST RYDE NS AUS Card xx2869 Value Date: 26/10/2024"/>
        <s v="THE BALMAIN HOTEL Sydney AU AUS Card xx2869 Value Date: 26/10/2024"/>
        <s v="COLES 7663COLES 7663 PARRAMATTA AU AUS Card xx2869 Value Date: 27/10/2024"/>
        <s v="Zag Seafood Parramatta NS AUS Card xx2869 Value Date: 27/10/2024"/>
        <s v="CHEEKY BURGERS AND KEBABGNORTH PARR AU"/>
        <s v="Direct Credit 175029 ROOZBEHANI,RODEA Hohner Clavinet e7"/>
        <s v="MCDONALDS WESTMEAD NORTHMEAD NSWAU"/>
        <s v="COLES 7663COLES 7663 PARRAMATTA AU AUS Card xx2869 Value Date: 24/10/2024"/>
        <s v="Parramatta City Counci Parramatta NS AUS Card xx2869 Value Date: 23/10/2024"/>
        <s v="LS Bobble Tea Kingsgrove AU"/>
        <s v="ENTRADA PHARMACY PARRAMATTA NS AUS Card xx2869 Value Date: 23/10/2024"/>
        <s v="OPTUS BILLING AUTOPAY MACQUARIE PAR NS AUS Card xx2869 Value Date: 23/10/2024"/>
        <s v="MOSHTIX PTY LTD SYDNEY NS AUS Card xx2869 Value Date: 22/10/2024"/>
        <s v="Salary SERVAUPAYROLL 19523P 85920286"/>
        <s v="BUPA HI P T PHI MELBOURNE VI AUS Card xx2869 Value Date: 19/10/2024"/>
        <s v="ORIGIN ENERGY BARANGAROO AUS Card xx2869 Value Date: 19/10/2024"/>
        <s v="Return SIM CARDS, ESIM - SIM CENTRAL HO HKG Card xx2869 USD 17.90 Value Date: 20/10/2024"/>
        <s v="COLES 7663COLES 7663 PARRAMATTA AU AUS Card xx2869 Value Date: 20/10/2024"/>
        <s v="International Transaction Fee Value Date: 20/10/2024"/>
        <s v="SIM CARDS, ESIM - SIM CENTRAL HO HKG Card xx2869 USD 22.90 Value Date: 19/10/2024"/>
        <s v="JASIME AUBURN AUBURN NSW AU"/>
        <s v="International Transaction Fee Value Date: 10/10/2024"/>
        <s v="OPENAI *CHATGPT SUBSCR SAN FRANCISCO CA USA Card xx2869 USD 22.00 Value Date: 11/10/2024"/>
        <s v="DAN MURPHY'S 1968 PARAMATTA AU AUS Card xx2869 Value Date: 09/10/2024"/>
        <s v="COLES 0887COLES 0887 PARRAMATTA AU AUS Card xx2869 Value Date: 09/10/2024"/>
        <s v="OPTUS BILLING AUTOPAY MACQUARIE PAR NS AUS Card xx2869 Value Date: 09/10/2024"/>
        <s v="COLES 7663COLES 7663 PARRAMATTA AU AUS Card xx2869 Value Date: 08/10/2024"/>
        <s v="Salary SERVAUPAYROLL 19544P 85920286"/>
        <s v="TRANSPORTFORNSW OPAL CHIPPENDALE AUS Card xx2869 Value Date: 08/10/2024"/>
        <s v="DAN MURPHY'S 1968 PARAMATTA AU AUS Card xx2869 Value Date: 04/10/2024"/>
        <s v="COLES 0887COLES 0887 PARRAMATTA AU AUS Card xx2869 Value Date: 04/10/2024"/>
        <s v="International Transaction Fee Value Date: 05/10/2024"/>
        <s v="MIDJOURNEY INC. SOUTH SAN FRA CA USA Card xx2869 USD 11.00 Value Date: 05/10/2024"/>
        <s v="KOUZINA GRECO PARRAMATTA AU"/>
        <s v="Fast Transfer From JONATHAN OLIVER dinner dinner"/>
        <s v="Fast Transfer From THOMAS GILMOUR to PayID Phone Dinner"/>
        <s v="Fast Transfer From Louis Wayment Greek feast"/>
        <s v="COLES 7663COLES 7663 PARRAMATTA AU AUS Card xx2869 Value Date: 30/09/2024"/>
        <s v="Direct Debit 245164 HCFLIFE 057233969SEA47RQYT"/>
        <s v="WOOLWORTHS 1341 WEST RYDE AU AUS Card xx2869 Value Date: 27/09/2024"/>
        <s v="APPLE.COM/BILL SYDNEY NS AUS Card xx2869 Value Date: 28/09/2024"/>
        <s v="INK EVENT PTY LTD DUNDAS NSW AU Card xx2869"/>
        <s v="Fast Transfer From THOMAS GILMOUR to PayID Phone DJ + Uber. Thank you!"/>
        <s v="GM TAXIPAY MASCOT NSWAU"/>
        <s v="Pontoon Bar Sydney AU"/>
        <s v="GM TAXIPAY MASCOT NSWAU Value Date: 29/09/2024"/>
        <s v="Refund Purchase UBER *TRIP HELP.UBER.COM Value Date: 29/09/2024"/>
        <s v="UBER *TRIP HELP.UBER.COM Value Date: 29/09/2024"/>
        <s v="Salary SERVAUPAYROLL 19570P 85920286"/>
        <s v="OPTUS BILLING AUTOPAY MACQUARIE PAR NS AUS Card xx2869 Value Date: 22/09/2024"/>
        <s v="NAZAR BALYOS LAZAR PARRAMATTA NSWAU"/>
        <s v="COLES 7663COLES 7663 PARRAMATTA AU AUS Card xx2869 Value Date: 21/09/2024"/>
        <s v="COLES 0887COLES 0887 PARRAMATTA AU AUS Card xx2869 Value Date: 22/09/2024"/>
        <s v="BUPA HI P T PHI MELBOURNE VI AUS Card xx2869 Value Date: 19/09/2024"/>
        <s v="Mikazuki Riverside PARRAMATTA AU AUS Card xx2869 Value Date: 18/09/2024"/>
        <s v="TRANSPORTFORNSW OPAL CHIPPENDALE AUS Card xx2869 Value Date: 17/09/2024"/>
        <s v="COLES EXPRESS 1573COLE PARRAMATTA AU AUS Card xx2869 Value Date: 14/09/2024"/>
        <s v="Mikazuki Riverside PARRAMATTA AU AUS Card xx2869 Value Date: 14/09/2024"/>
        <s v="TOXTETH HOTEL GLEBE AU AUS Card xx2869 Value Date: 14/09/2024"/>
        <s v="SUPER CHEAP AUTO NORTH PARRAMA NS AUS Card xx2869 Value Date: 14/09/2024"/>
        <s v="Fast Transfer From KIERAN KROHN to PayID Phone Dinner"/>
        <s v="RJJ AND CO PTY LTD PARRAMATTA AU"/>
        <s v="PARRAMATTA WOOLPACK HO PARRAMATTA AU Card xx2869"/>
        <s v="COLES 0887COLES 0887 PARRAMATTA AU AUS Card xx2869 Value Date: 12/09/2024"/>
        <s v="International Transaction Fee Value Date: 10/09/2024"/>
        <s v="OPENAI *CHATGPT SUBSCR SAN FRANCISCO CA USA Card xx2869 USD 22.00 Value Date: 11/09/2024"/>
        <s v="Salary SERVAUPAYROLL 21504P 85920286"/>
        <s v="JOHNS QUALITY MEATS PA PARRAMATTA AU AUS Card xx2869 Value Date: 05/09/2024"/>
        <s v="MOSHTIX PTY LTD SYDNEY NS AUS Card xx2869 Value Date: 06/09/2024"/>
        <s v="OPTUS BILLING AUTOPAY MACQUARIE PAR NS AUS Card xx2869 Value Date: 07/09/2024"/>
        <s v="SQ *MOS: BAR 7 Rozelle AU"/>
        <s v="SQ *MOS: BAR 1 Sydney Olympi AU"/>
        <s v="Sackville Hotel Rozelle AU"/>
        <s v="V/CELLARS 3401 ABBOTSFORD AU"/>
        <s v="AMAZON AU MARKETPLACE SYDNEY AUS Card xx2869 Value Date: 31/08/2024"/>
        <s v="Direct Debit 245164 HCFLIFE 057233969SJC1B39O3"/>
        <s v="ORIGIN ENERGY CommBank app BPAY 130112 782593097036 elec bill"/>
        <s v="Fast Transfer From MASOUMEH GHOLAMSHAHI Electricity bill april to Sept 2024"/>
        <s v="UNITED RYDALMERE RYDALMERE AU"/>
        <s v="COLES 0887COLES 0887 PARRAMATTA AU AUS Card xx2869 Value Date: 29/08/2024"/>
        <s v="NRMA IVR SYDNEY NS AUS Card xx2869 Value Date: 29/08/2024"/>
        <s v="PEAK AUTOMOTIVE GROU NORTH PARRAMA NS AUS Card xx2869 Value Date: 29/08/2024"/>
        <s v="SERVICE NSW SYDNEY AUS Card xx2869 Value Date: 29/08/2024"/>
        <s v="APPLE.COM/BILL SYDNEY NS AUS Card xx2869 Value Date: 28/08/2024"/>
        <s v="COLES 0887COLES 0887 PARRAMATTA AU AUS Card xx2869 Value Date: 27/08/2024"/>
        <s v="CRYSTAL PARRAMATTA"/>
        <s v="Salary SERVAUPAYROLL 19351P 85920286"/>
        <s v="KEG AND BREW HOTEL SURRY HILLS NS AUS Card xx2869 Value Date: 25/08/2024"/>
        <s v="CITYOFSYDNEY PARKING SYDNEY AUS Card xx2869 Value Date: 25/08/2024"/>
        <s v="DAN MURPHY'S 1968 PARAMATTA AU AUS Card xx2869 Value Date: 24/08/2024"/>
        <s v="COLLECTOR HOTEL PARRAMATTA AU AUS Card xx2869 Value Date: 25/08/2024"/>
        <s v="UBER *EATS Sydney AU AUS Card xx2869 Value Date: 24/08/2024"/>
        <s v="CrownHotel Parramatta Parramatta AU Value Date: 25/08/2024"/>
        <s v="Fast Transfer From ELLA ROSE to PayID Phone Booze"/>
        <s v="Fast Transfer From MASOUMEH GHOLAMSHAHI After trip till get paid"/>
        <s v="Mikazuki Riverside PARRAMATTA AU AUS Card xx2869 Value Date: 22/08/2024"/>
        <s v="OPTUS BILLING AUTOPAY MACQUARIE PAR NS AUS Card xx2869 Value Date: 22/08/2024"/>
        <s v="Syd Aprt Intnl Carp50 Sydney NS AUS Card xx2869 Value Date: 22/08/2024"/>
        <s v="Royal Oak Hotel Parra Parramatta AU"/>
        <s v="International Transaction Fee Value Date: 20/08/2024"/>
        <s v="THE PLAYA VISTA LOS ANGELES CA USA Card xx2869 USD 12.00 Value Date: 21/08/2024"/>
        <s v="BP CONNECT 2644 ROSEHILL AU"/>
        <s v="International Transaction Fee Value Date: 19/08/2024"/>
        <s v="JFK EASTWARD CB 635111 JAMAICA NY USA Card xx2869 USD 6.50 Value Date: 19/08/2024"/>
        <s v="DD DOORDASH NENESTAQU 8559731040 CA USA Card xx2869 USD 76.33 Value Date: 19/08/2024"/>
        <s v="BUPA HI P T PHI MELBOURNE VI AUS Card xx2869 Value Date: 20/08/2024"/>
        <s v="International Transaction Fee Value Date: 18/08/2024"/>
        <s v="JFK JETBOX DD B20 6356 JAMAICA NY USA Card xx2869 USD 4.40 Value Date: 19/08/2024"/>
        <s v="WHEELHOUSE BUSHWICK BROOKLYN NY USA Card xx2869 USD 45.00 Value Date: 18/08/2024"/>
        <s v="UBER TRIP 8005928996 CA USA Card xx2869 USD 16.72 Value Date: 19/08/2024"/>
        <s v="UBER TRIP 8005928996 CA USA Card xx2869 USD 21.29 Value Date: 19/08/2024"/>
        <s v="UBER TRIP 8005928996 CA USA Card xx2869 USD 74.78 Value Date: 19/08/2024"/>
        <s v="International Transaction Fee Value Date: 15/08/2024"/>
        <s v="CURB NYC TAXI QUEENS NY USA Card xx2869 USD 26.40 Value Date: 15/08/2024"/>
        <s v="TST*IL CORALLO New York NY USA Card xx2869 USD 52.34 Value Date: 16/08/2024"/>
        <s v="MTA*NYCT PAYGO NEW YORK NY USA Card xx2869 USD 2.90 Value Date: 16/08/2024"/>
        <s v="J. CREW RETAIL #756 NEW YORK NY USA Card xx2869 USD 221.79 Value Date: 16/08/2024"/>
        <s v="International Transaction Fee Value Date: 14/08/2024"/>
        <s v="FAT BLACK PUSSYCAT NEW YORK NY USA Card xx2869 USD 36.31 Value Date: 15/08/2024"/>
        <s v="FAT BLACK PUSSYCAT NEW YORK NY USA Card xx2869 USD 35.31 Value Date: 15/08/2024"/>
        <s v="International Transaction Fee Value Date: 16/08/2024"/>
        <s v="MTA*NYCT PAYGO NEW YORK NY USA Card xx2869 USD 2.10 Value Date: 16/08/2024"/>
        <s v="International Transaction Fee Value Date: 17/08/2024"/>
        <s v="TST* ANALOGUE NEW YORK NY USA Card xx2869 USD 270.59 Value Date: 17/08/2024"/>
        <s v="Bumble help@bumble.com Dublin IR IRL Card xx2869 AUD 59.99 Value Date: 15/08/2024"/>
        <s v="LA VERA PIZZA NEW YORK NY USA Card xx2869 USD 34.41 Value Date: 17/08/2024"/>
        <s v="SQ *FATHER KNOWS BEST Brooklyn NY USA Card xx2869 USD 41.89 Value Date: 18/08/2024"/>
        <s v="UBER TRIP* TRIP SAN FRANCISCO CA USA Card xx2869 USD 9.40 Value Date: 18/08/2024"/>
        <s v="AT *MOMA NEW YORK NY USA Card xx2869 USD 60.00 Value Date: 18/08/2024"/>
        <s v="UBER TRIP 8005928996 CA USA Card xx2869 USD 16.11 Value Date: 18/08/2024"/>
        <s v="TST* RUSS &amp; DAUGHTERS NEW YORK NY USA Card xx2869 USD 37.29 Value Date: 15/08/2024"/>
        <s v="MRJ NEWSTAND NEW YORK NY USA Card xx2869 USD 4.00 Value Date: 15/08/2024"/>
        <s v="MTA*NYCT PAYGO NEW YORK NY USA Card xx2869 USD 2.90 Value Date: 15/08/2024"/>
        <s v="MTA*NYCT PAYGO NEW YORK NY USA Card xx2869 USD 2.90 Value Date: 14/08/2024"/>
        <s v="UBER TRIP 8005928996 CA USA Card xx2869 USD 14.46 Value Date: 15/08/2024"/>
        <s v="International Transaction Fee Value Date: 13/08/2024"/>
        <s v="THE VILLAGE UNDERGROUN NEW YORK NY USA Card xx2869 USD 100.10 Value Date: 14/08/2024"/>
        <s v="PRINCE ST. PIZZA NEW YORK NY USA Card xx2869 USD 19.69 Value Date: 14/08/2024"/>
        <s v="Duane Reade 14410 Brooklyn NY USA Card xx2869 AUD 18.66 Value Date: 14/08/2024"/>
        <s v="BROADWAY MINI MARKET D BROOKLYN NY USA Card xx2869 USD 2.08 Value Date: 14/08/2024"/>
        <s v="Bumble help@bumble.com Dublin IR IRL Card xx2869 AUD 24.99 Value Date: 13/08/2024"/>
        <s v="PDS IRISH PUB NEW YORK NY USA Card xx2869 USD 42.82 Value Date: 15/08/2024"/>
        <s v="MAXIMUM DEALS BROOKLYN NY USA Card xx2869 USD 7.60 Value Date: 14/08/2024"/>
        <s v="SOREIKU VINYARDS BROOKLYN NY USA Card xx2869 USD 76.19 Value Date: 14/08/2024"/>
        <s v="International Transaction Fee Value Date: 12/08/2024"/>
        <s v="NATURE MARKET 1 CORP BROOKLYN NY USA Card xx2869 USD 9.36 Value Date: 13/08/2024"/>
        <s v="NATURE MARKET 1 CORP BROOKLYN NY USA Card xx2869 USD 2.08 Value Date: 13/08/2024"/>
        <s v="SQ *L'INDUSTRIE PIZZER Brooklyn NY USA Card xx2869 USD 28.10 Value Date: 14/08/2024"/>
        <s v="UBER TRIP 8005928996 CA USA Card xx2869 USD 26.14 Value Date: 14/08/2024"/>
        <s v="International ATM Withdrawal Fee"/>
        <s v="Wdl ATM 556 7TH AVENUE NEW YORK NYUS USD21.69"/>
        <s v="MTA*NYCT PAYGO NEW YORK NY USA Card xx2869 USD 4.25 Value Date: 12/08/2024"/>
        <s v="MTA*NYCT PAYGO NEW YORK NY USA Card xx2869 USD 2.90 Value Date: 12/08/2024"/>
        <s v="HUDSONNEWS ST1176 JAMAICA NY USA Card xx2869 AUD 8.64 Value Date: 12/08/2024"/>
        <s v="WORLD FAMOUS DELI BROOKLYN NY USA Card xx2869 USD 9.88 Value Date: 12/08/2024"/>
        <s v="SQ *L'INDUSTRIE PIZZER Brooklyn NY USA Card xx2869 USD 32.12 Value Date: 14/08/2024"/>
        <s v="TST*DO OR DIVE Brooklyn NY USA Card xx2869 USD 34.80 Value Date: 13/08/2024"/>
        <s v="UBER TRIP 8005928996 CA USA Card xx2869 USD 15.07 Value Date: 13/08/2024"/>
        <s v="Salary SERVAUPAYROLL 19481P 85920286"/>
        <s v="International Transaction Fee Value Date: 08/08/2024"/>
        <s v="SQ *JOE'S CORNER Fremont CA USA Card xx2869 USD 69.41 Value Date: 09/08/2024"/>
        <s v="International Transaction Fee Value Date: 09/08/2024"/>
        <s v="EVERETT &amp; JONES BBQ IN OAKLAND CA USA Card xx2869 USD 238.03 Value Date: 10/08/2024"/>
        <s v="International Transaction Fee Value Date: 10/08/2024"/>
        <s v="OPENAI *CHATGPT SUBSCR SAN FRANCISCO CA USA Card xx2869 USD 22.00 Value Date: 11/08/2024"/>
        <s v="International Transaction Fee Value Date: 07/08/2024"/>
        <s v="TRADER JOE S #071 FAIR OAKS CA USA Card xx2869 USD 79.32 Value Date: 08/08/2024"/>
        <s v="International Transaction Fee Value Date: 06/08/2024"/>
        <s v="BEL AIR MART #511 CARMICHAEL CA USA Card xx2869 USD 38.84 Value Date: 07/08/2024"/>
        <s v="SHOGUN SUSHI - CARMICH CARMICHAEL CA USA Card xx2869 USD 53.37 Value Date: 07/08/2024"/>
        <s v="OPTUS BILLING AUTOPAY MACQUARIE PAR NS AUS Card xx2869 Value Date: 07/08/2024"/>
        <s v="UBER EATS 8005928996 CA USA Card xx2869 USD 65.61 Value Date: 06/08/2024"/>
        <s v="International Transaction Fee Value Date: 01/08/2024"/>
        <s v="TM *PATTON OSWALT 800-653-8000 CA USA Card xx2869 USD 124.70 Value Date: 01/08/2024"/>
        <s v="International Transaction Fee Value Date: 03/08/2024"/>
        <s v="UBER TRIP 8005928996 CA USA Card xx2869 USD 20.00 Value Date: 03/08/2024"/>
        <s v="UBER TRIP 8005928996 CA USA Card xx2869 USD 13.92 Value Date: 03/08/2024"/>
        <s v="MARINIS CANDIES ON THE SANTA CRUZ CA USA Card xx2869 USD 19.20 Value Date: 04/08/2024"/>
        <s v="International Transaction Fee Value Date: 02/08/2024"/>
        <s v="KOKKARI SAN FRANCISCO CA USA Card xx2869 USD 160.11 Value Date: 03/08/2024"/>
        <s v="COBBS COMEDY CLUB SAN FRANCISCO CA USA Card xx2869 USD 70.39 Value Date: 03/08/2024"/>
        <s v="THE MYSTERY SPOT SANTA CRUZ CA USA Card xx2869 USD 16.00 Value Date: 04/08/2024"/>
        <s v="SQ *MISSION HILL COFFE Santa Cruz CA USA Card xx2869 USD 7.00 Value Date: 04/08/2024"/>
        <s v="TST* APRIL JEAN SAN FRANCISCO CA USA Card xx2869 USD 12.06 Value Date: 03/08/2024"/>
        <s v="TST* BRENDA'S FRENCH S SAN FRANCISCO CA USA Card xx2869 USD 108.24 Value Date: 03/08/2024"/>
        <s v="UBER TRIP 8005928996 CA USA Card xx2869 USD 10.98 Value Date: 03/08/2024"/>
        <s v="PIZZA MY HEART SANTA CRUZ CA USA Card xx2869 USD 46.32 Value Date: 04/08/2024"/>
        <s v="SAFEWAY #2968 SAN JOSE CA USA Card xx2869 USD 11.39 Value Date: 04/08/2024"/>
        <s v="MVC PULSE SAN FRANCISC SAN FRANCISCO CA USA Card xx2869 USD 422.81 Value Date: 03/08/2024"/>
        <s v="International Transaction Fee Value Date: 31/07/2024"/>
        <s v="BART-CLIPPER UNION CIT UNION CITY CA USA Card xx2869 USD 20.00 Value Date: 01/08/2024"/>
        <s v="BEST COMEDY TICKETS UTRECHT UT NLD Card xx2869 USD 62.61 Value Date: 01/08/2024"/>
        <s v="Direct Debit 245164 HCFLIFE 057233969SYQ00I7IB"/>
        <s v="International Transaction Fee Value Date: 29/07/2024"/>
        <s v="MARINA FOODS UNION CITY CA USA Card xx2869 USD 36.88 Value Date: 30/07/2024"/>
        <s v="Salary SERVAUPAYROLL 20122P 85920286"/>
        <s v="International Transaction Fee Value Date: 27/07/2024"/>
        <s v="DELTA00622556915761 BRUSSELS BE BEL Card xx2869 USD 496.94 Value Date: 28/07/2024"/>
        <s v="APPLE.COM/BILL SYDNEY AU AUS Card xx2869 Value Date: 28/07/2024"/>
        <s v="International Transaction Fee Value Date: 25/07/2024"/>
        <s v="SQ *CANDY BARREL Sacramento CA USA Card xx2869 USD 18.66 Value Date: 26/07/2024"/>
        <s v="SQ *HALALZ FAST FOOD SACRAMENTO CA USA Card xx2869 USD 19.13 Value Date: 26/07/2024"/>
        <s v="International Transaction Fee Value Date: 26/07/2024"/>
        <s v="TST* URBAN ROOTS BREWE SACRAMENTO CA USA Card xx2869 USD 88.94 Value Date: 26/07/2024"/>
        <s v="CSJ SMART METERS SAN JOSE CA USA Card xx2869 USD 2.00 Value Date: 27/07/2024"/>
        <s v="CKE*IKES SAN JOSE DT S SAN JOSE CA USA Card xx2869 USD 25.85 Value Date: 27/07/2024"/>
        <s v="CHEVRON 0352574 HAYWARD CA USA Card xx2869 USD 46.06 Value Date: 27/07/2024"/>
        <s v="CHEVRON 0352574 HAYWARD CA USA Card xx2869 USD 3.69 Value Date: 27/07/2024"/>
        <s v="The Chefs' Olive Mix SACRAMENTO CA USA Card xx2869 USD 43.85 Value Date: 26/07/2024"/>
        <s v="SQ *OLD MISSION SAN JO Fremont CA USA Card xx2869 USD 10.00 Value Date: 27/07/2024"/>
        <s v="International Transaction Fee Value Date: 28/07/2024"/>
        <s v="AIRBNB * HM2KC8RW8T 415-800-5959 GB GBR Card xx2869 USD 1260.43 Value Date: 28/07/2024"/>
        <s v="THRIFTY #0072216 OAKLAND CA USA Card xx2869 USD 375.07 Value Date: 27/07/2024"/>
        <s v="Transfer from xx8675 CommBank app"/>
        <s v="International Transaction Fee Value Date: 23/07/2024"/>
        <s v="MARINA FOODS UNION CITY CA USA Card xx2869 USD 32.37 Value Date: 24/07/2024"/>
        <s v="CHEVRON 0091166 UNION CITY CA USA Card xx2869 USD 2.24 Value Date: 24/07/2024"/>
        <s v="OPTUS BILLING SERVICES MACQUARIE PAR NS AUS Card xx2869 Value Date: 24/07/2024"/>
        <s v="SAFEWAY #1197 UNION CITY CA USA Card xx2869 USD 86.97 Value Date: 24/07/2024"/>
        <s v="AMAZON MKTPL*RJ63T81E1 Amzn.com/bill WA USA Card xx2869 AUD 75.45 Value Date: 23/07/2024"/>
        <s v="OPTUS BILLING AUTOPAY MACQUARIE PAR NS AUS Card xx2869 Value Date: 23/07/2024"/>
        <s v="AMZN Mktp US*RJ8SZ2TK1 Amzn.com/bill WA USA Card xx2869 AUD 67.37 Value Date: 20/07/2024"/>
        <s v="OPTUS BILLING SERVICES MACQUARIE PAR NS AUS Card xx2869 Value Date: 19/07/2024"/>
        <s v="BUPA HI P T PHI MELBOURNE VI AUS Card xx2869 Value Date: 19/07/2024"/>
        <s v="International Transaction Fee Value Date: 19/07/2024"/>
        <s v="CHEVRON 0308033 DIXON CA USA Card xx2869 USD 2.99 Value Date: 20/07/2024"/>
        <s v="Bumble help@bumble.com Dublin IR IRL Card xx2869 AUD 59.99 Value Date: 16/07/2024"/>
        <s v="PIER C PHARMACY MASCOT NS AUS Card xx2869 Value Date: 16/07/2024"/>
        <s v="Google Feeld Meet Cou Barangaroo AU AUS Card xx2869 Value Date: 17/07/2024"/>
        <s v="STEAMGAMES.COM 4259522 BELLEVUE WA USA Card xx2869 AUD 29.50 Value Date: 15/07/2024"/>
        <s v="BUPA TRAVEL INSURANCE NORTH SYDNEY AUS Card xx2869 Value Date: 16/07/2024"/>
        <s v="Salary SERVAUPAYROLL 19510P 85920286"/>
        <s v="DAN MURPHY'S 1968 PARAMATTA AU AUS Card xx2869 Value Date: 15/07/2024"/>
        <s v="WOOLWORTHS 1070 NORTH PARRA AU AUS Card xx2869 Value Date: 15/07/2024"/>
        <s v="COLES 0887COLES 0887 PARRAMATTA AU AUS Card xx2869 Value Date: 15/07/2024"/>
        <s v="Return CATCH DOCKLANDS VI AUS Card xx2869 Value Date: 15/07/2024"/>
        <s v="MCDONALDS INT AIR II MASCOT NSWAU"/>
        <s v="TAM PH PTY LTD PARRAMATTA NSW AU Card xx2869"/>
        <s v="TARGET 5144TARGET 5144 PARRAMATTA AU AUS Card xx2869 Value Date: 13/07/2024"/>
        <s v="Parramatta City Counci Parramatta NS AUS Card xx2869 Value Date: 13/07/2024"/>
        <s v="TRANSPORTFORNSW OPAL CHIPPENDALE AUS Card xx2869 Value Date: 14/07/2024"/>
        <s v="Uniqlo Australia Pty Ltd Parramatta AU"/>
        <s v="PLINE PH PARRAMATTA PARRAMATTA NSWAU"/>
        <s v="SQ *BERLINER BAKERY Sydney AU"/>
        <s v="SQ *L'AMUSE BOUCHE Sydney AU"/>
        <s v="SQ *GUILTLESS The Rocks AU"/>
        <s v="SQ *G I GOURMET NUTS The Rocks AU"/>
        <s v="SQ *THE ONLINE DRINKS Sydney AU"/>
        <s v="HARRIS FARM MARKETS DRUMMOYNE AU"/>
        <s v="N LEONARDO PTY LTD PARRAMATTA AU"/>
        <s v="International Transaction Fee Value Date: 10/07/2024"/>
        <s v="OPENAI *CHATGPT SUBSCR SAN FRANCISCO CA USA Card xx2869 USD 22.00 Value Date: 11/07/2024"/>
        <s v="OPTUS BILLING AUTOPAY MACQUARIE PAR NS AUS Card xx2869 Value Date: 08/07/2024"/>
        <s v="CATCH DOCKLANDS VI AUS Card xx2869 Value Date: 09/07/2024"/>
        <s v="VICS MEAT MARKET PYRMONT NS AUS Card xx2869 Value Date: 07/07/2024"/>
        <s v="SYDNEY FISH MARKET PL PYRMONT AU Card xx2869"/>
        <s v="Salary SERVAUPAYROLL 20320P 85920286"/>
        <s v="JOHNS QUALITY MEATS PA PARRAMATTA AU AUS Card xx2869 Value Date: 27/06/2024"/>
        <s v="APPLE.COM/BILL SYDNEY NS AUS Card xx2869 Value Date: 28/06/2024"/>
        <s v="DidiChuxing DidiAU pen Sydney AU AUS Card xx2869 Value Date: 30/06/2024"/>
        <s v="Direct Debit 245164 HCFLIFE 057233969S06SKR9MU"/>
        <s v="SMP*Hydrolink Plumbin South Wentwor02 AU"/>
        <s v="Abercrombie Hotel Chippendale AU"/>
        <s v="Britannia Group Pty Lt Darlington AU"/>
        <s v="COLES 0887COLES 0887 PARRAMATTA AU AUS Card xx2869 Value Date: 26/06/2024"/>
        <s v="COLES 0887COLES 0887 PARRAMATTA AU AUS Card xx2869 Value Date: 24/06/2024"/>
        <s v="TRANSPORTFORNSW OPAL CHIPPENDALE AUS Card xx2869 Value Date: 25/06/2024"/>
        <s v="Transfer To 31social club mailbox CommBank App chocolate"/>
        <s v="OPTUS BILLING AUTOPAY MACQUARIE PAR NS AUS Card xx2869 Value Date: 22/06/2024"/>
        <s v="BUPA HI P T PHI MELBOURNE VI AUS Card xx2869 Value Date: 19/06/2024"/>
        <s v="SMP*Patisserie La Gal North Parrama02 AU"/>
        <s v="Salary SERVAUPAYROLL 20062P 85920286"/>
        <s v="KARAOKE WORLD Sydney AU AUS Card xx2869 Value Date: 15/06/2024"/>
        <s v="UBER *TRIP Sydney AU AUS Card xx2869 Value Date: 16/06/2024"/>
        <s v="Transfer To FIZZAH SALAHUDDIN PayID Phone from CommBank App koreanbbq"/>
        <s v="Transfer To FIZZAH SALAHUDDIN PayID Phone from CommBank App karaoke"/>
        <s v="COLES 0887 PARRAMATTA AU AUS Card xx2869 Value Date: 12/06/2024"/>
        <s v="International Transaction Fee Value Date: 10/06/2024"/>
        <s v="OPENAI *CHATGPT SUBSCR SAN FRANCISCO CA USA Card xx2869 USD 22.00 Value Date: 11/06/2024"/>
        <s v="Camy's Chargrill SH Surry Hills AU"/>
        <s v="OPTUS BILLING AUTOPAY MACQUARIE PAR NS AUS Card xx2869 Value Date: 07/06/2024"/>
        <s v="BUNNINGS GROUP LTD HAWTHORN EAST AUS Card xx2869 Value Date: 07/06/2024"/>
        <s v="Transfer To K BENNETT PayID Phone from CommBank App amirs food"/>
        <s v="COLES 0887 PARRAMATTA AU AUS Card xx2869 Value Date: 04/06/2024"/>
        <s v="TRANSPORTFORNSW OPAL CHIPPENDALE AUS Card xx2869 Value Date: 05/06/2024"/>
        <s v="Salary SERVAUPAYROLL 20030P 85920286"/>
        <s v="Fast Transfer From RAMTEAN ROOZBEHANI standzZZz"/>
        <s v="APEX WEST RYDE WEST RYDE NS AUS Card xx2869 Value Date: 02/06/2024"/>
        <s v="DD *DOORDASH BURGERSAN MELBOURNE VI AUS Card xx2869 Value Date: 02/06/2024"/>
        <s v="Direct Debit 245164 HCFLIFE 057233969SPAU77XA9"/>
        <s v="BUNNINGS 582000 GLADESVILLE AU"/>
        <s v="JOHNS QUALITY MEATS PA PARRAMATTA AU"/>
        <s v="WW METRO 1669 SURRY HILLS AU AUS Card xx2869 Value Date: 28/05/2024"/>
        <s v="Little Greece Parra Parramatta AU"/>
        <s v="Dick's Hotel Balmain Balmain AU"/>
        <s v="JOHNS QUALITY MEATS PA PARRAMATTA AU AUS Card xx2869 Value Date: 21/05/2024"/>
        <s v="OPTUS BILLING AUTOPAY MACQUARIE PAR NS AUS Card xx2869 Value Date: 22/05/2024"/>
        <s v="Direct Debit 002619 THE C&amp;PSU CPSU Membership"/>
        <s v="COLES 0887 PARRAMATTA AU AUS Card xx2869 Value Date: 21/05/2024"/>
        <s v="TRANSPORTFORNSW OPAL CHIPPENDALE AUS Card xx2869 Value Date: 22/05/2024"/>
        <s v="Salary SERVAUPAYROLL 19501P 85920286"/>
        <s v="COLES 0887 PARRAMATTA AU AUS Card xx2869 Value Date: 17/05/2024"/>
        <s v="BUNNINGS GROUP LTD HAWTHORN EAST AUS Card xx2869 Value Date: 18/05/2024"/>
        <s v="IKEA RHODES RHODES AU"/>
        <s v="PAYPAL *MAKE NOISE 4029357733 AU AUS Card xx2869 Value Date: 15/05/2024"/>
        <s v="Transfer To rodney mazik CommBank App dannys gift"/>
        <s v="ERGOX AUSTRALIA SEAFORD VI AUS Card xx2869 Value Date: 15/05/2024"/>
        <s v="Return BUNNINGS 388000 RYDALMERE AU Card xx2869"/>
        <s v="BUNNINGS 388000 RYDALMERE AU"/>
        <s v="DAN MURPHY'S 1968 PARAMATTA AU AUS Card xx2869 Value Date: 10/05/2024"/>
        <s v="OPTUS BILLING PAY MY B MACQUARIE PAR NS AUS Card xx2869 Value Date: 10/05/2024"/>
        <s v="IKEA PTY LTD TEmpe NS AUS Card xx2869 Value Date: 10/05/2024"/>
        <s v="APPLE R253 CHATSWOOD C CHATSWOOD NS AUS Card xx2869 Value Date: 11/05/2024"/>
        <s v="International Transaction Fee Value Date: 10/05/2024"/>
        <s v="CHATGPT SUBSCRIPTION SAN FRANCISCO CA USA Card xx2869 USD 22.00 Value Date: 11/05/2024"/>
        <s v="SOUNDS EASY ARTARMON NS AUS (Platform Desk) Card xx2869 Value Date: 12/05/2024"/>
        <s v="LINKT SYDNEY SYDNEY AUS Card xx2869 Value Date: 12/05/2024"/>
        <s v="THE JERKY CO NSW 1 PTY CHATSWOOD AU Card xx2869"/>
        <s v="MCDONALDS DT 0514 DRUMMOYNE NSWAU"/>
        <s v="Transfer To kieran krohn new CommBank App food"/>
        <s v="WW METRO 1669 SURRY HILLS AU AUS Card xx2869 Value Date: 07/05/2024"/>
        <s v="MANNYS Alexandria NS AUS Card xx2869 Value Date: 07/05/2024"/>
        <s v="TRANSPORTFORNSW OPAL CHIPPENDALE AUS Card xx2869 Value Date: 07/05/2024"/>
        <s v="Salary SERVAUPAYROLL 19395P 85920286"/>
        <s v="Direct Credit 245128 HCFHEALTH R57233969000622293"/>
        <s v="CHEMIST WAREHOUSE PARRAMATTA NS AUS Card xx2869 Value Date: 05/05/2024"/>
        <s v="GREEN FARM MEAT SYDNEY HARRIS PAR NSW AU Card xx2869"/>
        <s v="APEX WEST RYDE WEST RYDE AU"/>
        <s v="Direct Debit 245164 HCFHEALTHANDLIFE 057233969SE3CW8RE0"/>
        <s v="SQ *COFFEE ON MILLER North Sydney AU"/>
        <s v="POST NORTH SYDNEY-RET NS AU Card xx2869"/>
        <s v="EZI*CASH CONVERTERS. PERTH AU AUS Card xx2869 Value Date: 29/04/2024"/>
        <s v="AMAZON AU MARKETPLACE SYDNEY AUS Card xx2869 Value Date: 29/04/2024"/>
        <s v="COLES 0887 PARRAMATTA AU AUS Card xx2869 Value Date: 27/04/2024"/>
        <s v="eBay O*15-11491-24366 San Jose CA USA Card xx2869 AUD 48.93 Value Date: 27/04/2024"/>
        <s v="International Transaction Fee Value Date: 26/04/2024"/>
        <s v="EDITOR VST HANNOVER BE DEU Card xx2869 EUR 6.90 Value Date: 27/04/2024"/>
        <s v="CONTAINER NORTH PARR NTH PARRAMATTNSWAU"/>
        <s v="CITY OF PARRAMATTA PARRAMATTA NS AUS Card xx2869 Value Date: 24/04/2024"/>
        <s v="Return CITY OF PARRAMATTA PARRAMATTA NS AUS Card xx2869 Value Date: 24/04/2024"/>
        <s v="Wdl ATM ETX ALBION HOTEL PARRA PARRAMATTA AU"/>
        <s v="Albion Hotel Parramatta AU"/>
        <s v="CITY OF PARRAMATTA PARRAMATTA NS AUS Card xx2869 Value Date: 23/04/2024"/>
        <s v="TRANSPORTFORNSW OPAL CHIPPENDALE AUS Card xx2869 Value Date: 23/04/2024"/>
        <s v="ETERNAL HEALTH GROUP RYDE NS AUS Card xx2869 Value Date: 21/04/2024"/>
        <s v="LINKT SYDNEY SYDNEY AUS Card xx2869 Value Date: 22/04/2024"/>
        <s v="Salary SERVAUPAYROLL 19253P 85920286"/>
        <s v="Return CITY OF PARRAMATTA PARRAMATTA NS AUS Card xx2869 Value Date: 22/04/2024"/>
        <s v="CITY OF PARRAMATTA PARRAMATTA NS AUS Card xx2869 Value Date: 19/04/2024"/>
        <s v="Parramatta City Counci Parramatta NS AUS Card xx2869 Value Date: 19/04/2024"/>
        <s v="BEFORE YOU* BYB: 4/9 H"/>
        <s v="AMAZON AU MARKETPLACE SYDNEY AUS Card xx2869 Value Date: 18/04/2024"/>
        <s v="Telstra Direct Debit AUSTRALIA SA AUS Card xx2869 Value Date: 17/04/2024"/>
        <s v="GREAT NORTHERN OPERA CHATSWOOD NS AUS Card xx2869 Value Date: 14/04/2024"/>
        <s v="APEX WEST RYDE WEST RYDE NS AUS Card xx2869 Value Date: 13/04/2024"/>
        <s v="CHILLNGRILLINDIANCUISI BRISBANE QL AUS Card xx2869 Value Date: 13/04/2024"/>
        <s v="REBEL TOP RYDE TOP RYDE NS AUS Card xx2869 Value Date: 11/04/2024"/>
        <s v="LIQUORLAND 3414 ERMINGTON AU"/>
        <s v="BUNNINGS 594000 ARTARMON AU Card xx2869"/>
        <s v="Transfer To we move you australia CommBank App 4/9 henry st"/>
        <s v="7-ELEVEN 2048 DRUMMOYNE AU"/>
        <s v="International Transaction Fee Value Date: 10/04/2024"/>
        <s v="CHATGPT SUBSCRIPTION SAN FRANCISCO CA USA Card xx2869 USD 22.00 Value Date: 11/04/2024"/>
        <s v="BUPA HI P T PHI MELBOURNE VI AUS Card xx2869 Value Date: 11/04/2024"/>
        <s v="AMPOL RYDALMERE 28781F RYDALMERE AU Card xx2869"/>
        <s v="WE MOVE YOU"/>
        <s v="AMPOL RYDALMERE 28781F RYDALMERE AU"/>
        <s v="CHISWICK CELLARS CHISWICK AU Card xx2869"/>
        <s v="TRANSPORTFORNSW OPAL CHIPPENDALE AUS Card xx2869 Value Date: 10/04/2024"/>
        <s v="AMAZON AU MARKETPLACE SYDNEY AUS Card xx2869 Value Date: 09/04/2024"/>
        <s v="Transfer to CBA A/c NetBank R"/>
        <s v="Salary SERVAUPAYROLL 19494P 85920286"/>
        <s v="DD *DOORDASH MADMEX MELBOURNE VI AUS Card xx2869 Value Date: 06/04/2024"/>
        <s v="Microsoft*Microsoft 36 msbill.info AU AUS Card xx2869 Value Date: 06/04/2024"/>
        <s v="IGA DRUMMOYNE DRUMMOYNE AU Card xx2869"/>
        <s v="COLES 0849 DRUMMOYNE AU"/>
        <s v="IGA DRUMMOYNE DRUMMOYNE AU"/>
        <s v="Fast Transfer From H Roozbehani Home loan to my son H Roozbehani"/>
        <s v="DD *DOORDASH CHARGRILL MELBOURNE VI AUS Card xx2869 Value Date: 04/04/2024"/>
        <s v="ULTRA TUNE DRUMMOYNE AU Card xx2869"/>
        <s v="Wdl Branch DRUMMOYNE"/>
        <s v="Transfer to xx8675 CommBank app"/>
        <s v="Fast Transfer From H Roozbehani Home loan help my son Home loan"/>
        <s v="UBER *EATS Sydney AU AUS Card xx2869 Value Date: 28/03/2024"/>
        <s v="OXFORD HOTEL Drummoyne AU AUS Card xx2869 Value Date: 30/03/2024"/>
        <s v="DD *DOORDASH CHARGRILL MELBOURNE VI AUS Card xx2869 Value Date: 31/03/2024"/>
        <s v="UBER *EATS Sydney AU AUS Card xx2869 Value Date: 01/04/2024"/>
        <s v="Belong Melbourne AU AUS Card xx2869 Value Date: 01/04/2024"/>
        <s v="Direct Debit 245164 HCFHEALTHANDLIFE 057233969SNMGT6126"/>
        <s v="Subway Druitt St 60 Druitt St AU"/>
        <s v="Fast Transfer From H Roozbehani Home Loan help Home Loan"/>
        <s v="Transfer to other Bank NetBank Test Payment Value Date: 31/03/2024"/>
        <s v="Fast Transfer From H Roozbehani H Roozbehani Home loan"/>
        <s v="Fast Transfer From H Roozbehani Rodean unit Loan Home loan"/>
        <s v="Salary SERVAUPAYROLL 19301P 85920286"/>
        <s v="Wdl ATM ETX ANCIENT BRITON HTL GLEBE AU"/>
        <s v="DD *DOORDASH JAHANPERS MELBOURNE VI AUS Card xx2869 Value Date: 22/03/2024"/>
        <s v="DD *DOORDASH MONKEYKIN MELBOURNE VI AUS Card xx2869 Value Date: 22/03/2024"/>
        <s v="DD *DOORDASH CHARGRILL MELBOURNE VI AUS Card xx2869 Value Date: 23/03/2024"/>
        <s v="Homayoun Gift Fast Transfer From H Roozbehani New Property Home Loan"/>
        <s v="Bowan Island Drummoyn Drummoyne AU"/>
        <s v="Homayoun Gift Fast Transfer From H Roozbehani CREDIT TO ACCOUNT Home loan"/>
        <s v="DESTROS PHARMACY DRUMMOYNE NS AUS Card xx2869 Value Date: 20/03/2024"/>
        <s v="Telstra Direct Debit AUSTRALIA SA AUS Card xx2869 Value Date: 20/03/2024"/>
        <s v="Transfer to CBA A/c NetBank Internet"/>
        <s v="BURWOOD COUNCIL BURWOOD AU AUS Card xx2869 Value Date: 19/03/2024"/>
        <s v="DESTROS PHARMACY DRUMMOYNE NS AUS Card xx2869 Value Date: 19/03/2024"/>
        <s v="BUPA HI PTYLTD MELBOURNE AUS Card xx2869 Value Date: 19/03/2024"/>
        <s v="Transfer To Kieran Krohn CommBank App jeff mills + dinner"/>
        <s v="AMPOL FIVE DOCK 22529F FIVE DOCK AU Card xx2869"/>
        <s v="GM TAXIPAY MASCOT NS AUS Card xx2869 Value Date: 16/03/2024"/>
        <s v="DD *DOORDASH CREPESBYH MELBOURNE VI AUS Card xx2869 Value Date: 15/03/2024"/>
        <s v="DD *DOORDASH JAHANPERS MELBOURNE VI AUS Card xx2869 Value Date: 17/03/2024"/>
        <s v="OXFORD HOTEL DRUMMOYNE AU"/>
        <s v="Messina Martin Place Sydney AU"/>
        <s v="City Recital Hall Limi Sydney AU"/>
        <s v="John dahdah Transfer To J DAHDAH PayID Phone from CommBank App furniture"/>
        <s v="Refund Purchase Adobe"/>
        <s v="Adobe (upgrade + cancellation hack: Photoshop)"/>
        <s v="Adobe (upgrade + cancellation hack: Premier pro)"/>
        <s v="LIVESIGN* YOUR REFEREN"/>
        <s v="HARRIS FARM MARKETS DRUMMOYNE AU Card xx2869"/>
        <s v="Fast Transfer From Ms Katrina T Duncan CREDIT TO ACCOUNT kat dinner"/>
        <s v="John dahdah Wdl ATM CBA ATM DRUMMOYNE A NSW 215701 AUS - John Dadah"/>
        <s v="Transfer to xx6542 CommBank app"/>
        <s v="Transfer To Universal Real Estate Sales NetBank Rodean 5/4 Henry Street Parra..."/>
        <s v="Transfer from xx8675 NetBank deposit"/>
        <s v="GYG Five Dock Five Dock AU"/>
        <s v="Transfer to xx6542 NetBank deposit"/>
        <s v="Salary SERVAUPAYROLL 19212P 85920286"/>
        <s v="Nike Drummoyne Drummoyne AU AUS Card xx2869 Value Date: 11/03/2024"/>
        <s v="THE GOVERNOR HOTEL MACQUARIE PAR AU AUS Card xx2869 Value Date: 10/03/2024"/>
        <s v="International Transaction Fee Value Date: 10/03/2024"/>
        <s v="CHATGPT SUBSCRIPTION SAN FRANCISCO CA USA Card xx2869 USD 22.00 Value Date: 11/03/2024"/>
        <s v="7-ELEVEN 2048 DRUMMOYNE NS AUS Card xx2869 Value Date: 10/03/2024"/>
        <s v="UBER *EATS Sydney AU AUS Card xx2869 Value Date: 11/03/2024"/>
        <s v="TRANSPORTFORNSW OPAL CHIPPENDALE AUS Card xx2869 Value Date: 12/03/2024"/>
        <s v="UBER *EATS Sydney AU AUS Card xx2869 Value Date: 09/03/2024"/>
        <s v="Coogee Ground Coogee AU"/>
        <s v="Transfer To RAMTEAN ROOZBEHANI CommBank App food"/>
        <s v="Fast Transfer From RAMTEAN ROOZBEHANI loans"/>
        <s v="INNER WEST COUNCIL PETERSHAM AUS Card xx2869 Value Date: 06/03/2024"/>
        <s v="GM TAXIPAY MASCOT NS AUS Card xx2869 Value Date: 02/03/2024"/>
        <s v="Helm Bar &amp; Bistro Sydney NS AUS Card xx2869 Value Date: 01/03/2024"/>
        <s v="GM CABS PTY LTD MASCOT AUS Card xx2869 Value Date: 01/03/2024"/>
        <s v="7-ELEVEN 2048 DRUMMOYNE NS AUS Card xx2869 Value Date: 02/03/2024"/>
        <s v="UBER *EATS Sydney AU AUS Card xx2869 Value Date: 02/03/2024"/>
        <s v="Homayoun Gift Fast Transfer From H Roozbehani Home Loan Help Help to buy home from Dad"/>
        <s v="Hotel CBD Sydney AU"/>
        <s v="Direct Debit 245164 HCFHEALTHANDLIFE 057233969SYOOFSA2Z"/>
        <s v="IMAX Sydney SYDNEY NSW AU Card xx2869"/>
        <s v="HELM BAR"/>
        <s v="Credit Interest"/>
        <s v="Salary SERVAUPAYROLL 20051P 85920286"/>
        <s v="Transfer To Universal Real Estate Sales NetBank 4-9 Henry Street"/>
        <s v="Fast Transfer From RAMTEAN ROOZBEHANI repayoooyoyoyoyooyo"/>
        <s v="LITTLE JACK HORNER AUSTRALIA VI AUS Card xx2869 Value Date: 25/02/2024"/>
        <s v="DD *DOORDASH JAHANPERS MELBOURNE VI AUS Card xx2869 Value Date: 25/02/2024"/>
        <s v="MCDONALDS ROSEHILL ROSEHILL NSWAU"/>
        <s v="Adobe"/>
        <s v="BEFORE YOU* BID 4/9 HE"/>
        <s v="BEFORE YOU* BID 3015/1"/>
        <s v="SUSHI OTAKU SURRY HILLS AU AUS Card xx2869 Value Date: 20/02/2024"/>
        <s v="WW METRO 1669 SURRY HILLS AU AUS Card xx2869 Value Date: 20/02/2024"/>
        <s v="Subway Haymarket 449 Pitt StreAU"/>
        <s v="COLES 0849 DRUMMOYNE AU AUS Card xx2869 Value Date: 19/02/2024"/>
        <s v="TRANSPORTFORNSW OPAL CHIPPENDALE AUS Card xx2869 Value Date: 20/02/2024"/>
        <s v="Fast Transfer From RAMTEAN ROOZBEHANI monays"/>
        <s v="BEFORE YOU* BID 8/60 A"/>
        <s v="BEFORE YOU* BID 6107/1"/>
        <s v="BEFORE YOU* BID 709/1"/>
        <s v="Telstra Direct Debit AUSTRALIA SA AUS Card xx2869 Value Date: 14/02/2024"/>
        <s v="Salary SERVAUPAYROLL 19444P 85920286"/>
        <s v="DD *DOORDASH JASMIN1 MELBOURNE VI AUS Card xx2869 Value Date: 11/02/2024"/>
        <s v="GM TAXIPAY MASCOT NS AUS Card xx2869 Value Date: 10/02/2024"/>
        <s v="Transfer To RAMTEAN ROOZBEHANI CommBank App 4 u"/>
        <s v="BWS LIQUOR 1601 DRUMMOYNE AU AUS Card xx2869 Value Date: 09/02/2024"/>
        <s v="International Transaction Fee Value Date: 10/02/2024"/>
        <s v="CHATGPT SUBSCRIPTION SAN FRANCISCO CA USA Card xx2869 USD 22.00 Value Date: 11/02/2024"/>
        <s v="DD *DOORDASH JAHANPERS MELBOURNE VI AUS Card xx2869 Value Date: 11/02/2024"/>
        <s v="LINKT SYDNEY SYDNEY AUS Card xx2869 Value Date: 11/02/2024"/>
        <s v="TRANSPORTFORNSW OPAL CHIPPENDALE AUS Card xx2869 Value Date: 12/02/2024"/>
        <s v="COLES EXPRESS 1544 DRUMMOYNE AU"/>
        <s v="NEWTOWN HOTEL NEWTOWN AU Card xx2869"/>
        <s v="BEFORE YOU* BID 403/18"/>
        <s v="COFFEE EMPIRE CO PTY LTD PETERSHA NSW AU"/>
        <s v="Transfer To Peter Johnson CommBank App food"/>
        <s v="Return QANTAS NEW SOUTH WAL NS AUS Card xx2869 Value Date: 06/02/2024"/>
        <s v="QANTAS NEW SOUTH WAL NS AUS Card xx2869 Value Date: 05/02/2024"/>
        <s v="NRMA LTD SYDNEY OLYMPI NS AUS Card xx2869 Value Date: 05/02/2024"/>
        <s v="DYMOCKS ONLINE SYDNEY AUS Card xx2869 Value Date: 05/02/2024"/>
        <s v="QANTAS AIRWAYS LIMITED MASCOT AUS Card xx2869 Value Date: 05/02/2024"/>
        <s v="BEFORE YOU* BID 12/17 SYDNEY NS AUS Card xx2869 Value Date: 02/02/2024"/>
        <s v="BWS 1693 CROWS NEST AU AUS Card xx2869 Value Date: 03/02/2024"/>
        <s v="WW METRO 1669 SURRY HILLS AU AUS Card xx2869 Value Date: 31/01/2024"/>
        <s v="Wdl Branch DRUMMOYNE AUSJ1T9R9W8"/>
        <s v="Salary SERVAUPAYROLL 20130P 85920286"/>
        <s v="Direct Debit 245164 HCFHEALTHANDLIFE 057233969SLPMFMWTZ"/>
        <s v="Debit Excess Interest"/>
        <s v="Transfer to CBA A/c NetBank Rent"/>
        <s v="Transfer To RAMTEAN ROOZBEHANI CommBank App for grunt"/>
        <s v="TRANSPORTFORNSW OPAL CHIPPENDALE AUS Card xx2869 Value Date: 30/01/2024"/>
        <s v="Subway Druitt St 36214 2/60 Druitt SAU"/>
        <s v="GM CABS PTY LTD MASCOT AUS Card xx2869 Value Date: 27/01/2024"/>
        <s v="UBER* TRIP SYDNEY NS AUS Card xx2869 Value Date: 28/01/2024"/>
        <s v="OXFORD HOTEL Drummoyne AU AUS Card xx2869 Value Date: 25/01/2024"/>
        <s v="DD *DOORDASH FRIEDCHIC MELBOURNE VI AUS Card xx2869 Value Date: 26/01/2024"/>
        <s v="Direct Debit 507156 AustCancerResear AustCance_PS1DrNXB"/>
        <s v="UBER *EATS Sydney AU AUS Card xx2869 Value Date: 24/01/2024"/>
        <s v="Adobe Systems Pty Ltd Sydney AU AUS Card xx2869 Value Date: 23/01/2024"/>
        <s v="UBER* EATS SYDNEY NS AUS Card xx2869 Value Date: 19/01/2024"/>
        <s v="UBER *EATS Sydney AU AUS Card xx2869 Value Date: 21/01/2024"/>
        <s v="Stop ez Drummoyne AU"/>
        <s v="KOJIAOKI HOLDINGS PTY LTD SYDNEY NSW AU Card xx2869"/>
        <s v="AMAZON AU MARKETPLACE SYDNEY AUS Card xx2869 Value Date: 21/01/2024"/>
        <s v="BEFORE YOU* BID 6/39 H"/>
        <s v="Telstra Direct Debit AUSTRALIA SA AUS Card xx2869 Value Date: 17/01/2024"/>
        <s v="BEFORE YOU* BID 11/220"/>
        <s v="Salary SERVAUPAYROLL 20182P 85920286"/>
        <s v="Etsy.com*CarrsCreation Sydney AU AUS Card xx2869 Value Date: 16/01/2024"/>
        <s v="TRANSPORTFORNSW OPAL CHIPPENDALE AUS Card xx2869 Value Date: 16/01/2024"/>
        <s v="COLES 0849 DRUMMOYNE AU AUS Card xx2869 Value Date: 15/01/2024"/>
        <s v="OXFORD HOTEL Drummoyne AU AUS Card xx2869 Value Date: 12/01/2024"/>
        <s v="DD *DOORDASH FRIEDCHIC MELBOURNE VI AUS Card xx2869 Value Date: 14/01/2024"/>
        <s v="JACKS HAIRDRESSING SYDNEY NSW AU"/>
        <s v="STAGE.PELUSOMICROPHONE WILLIS VA USA Card xx2869 USD 229.25 Value Date: 11/01/2024"/>
        <s v="International Transaction Fee Value Date: 10/01/2024"/>
        <s v="CHATGPT SUBSCRIPTION SAN FRANCISCO CA USA Card xx2869 USD 22.00 Value Date: 11/01/2024"/>
        <s v="UNIVERSAL AUDIO SCOTTS VALLEY CA USA Card xx2869 USD 24.00 Value Date: 08/01/2024"/>
        <s v="UBER *EATS Sydney AU AUS Card xx2869 Value Date: 09/01/2024"/>
        <s v="International Transaction Fee Value Date: 08/01/2024"/>
        <s v="DEPOSIT CASH $415.00 CHEQUE $0.00 Branch DRUMMOYNE"/>
        <s v="Unpaid NetBank Payment Fee"/>
        <s v="Panda Birkenhead Pt Drummoyne NS AUS Card xx2869 Value Date: 06/01/2024"/>
        <s v="EAST SUSHI PTY LTD LEICHHARDT NS AUS Card xx2869 Value Date: 04/01/2024"/>
        <s v="DD *DOORDASH SAKURAONW MELBOURNE VI AUS Card xx2869 Value Date: 06/01/2024"/>
        <s v="DD *DOORDASH JASMIN1 MELBOURNE VI AUS Card xx2869 Value Date: 05/01/2024"/>
        <s v="BP CNNCT S/HLS0965 REDFERN NS AUS Card xx2869 Value Date: 04/01/2024"/>
        <s v="Transfer To Jonathan K Oliver CommBank App rent"/>
        <s v="UNIVERSAL AUDIO SCOTTS VALLEY CA USA Card xx2869 USD 24.00 Value Date: 04/01/2024"/>
        <s v="PALACE CINEMAS LEICHHARDT NS AUS Card xx2869 Value Date: 04/01/2024"/>
        <s v="International Transaction Fee Value Date: 03/01/2024"/>
        <s v="7-ELEVEN 2048 DRUMMOYNE NS AUS Card xx2869 Value Date: 03/01/2024"/>
        <s v="Salary SERVAUPAYROLL 18404P 85920286"/>
        <s v="DD *DOORDASH MCDONALDS MELBOURNE VI AUS Card xx2869 Value Date: 01/01/2024"/>
        <s v="Transfer from xx6542 CommBank app"/>
        <s v="Transfer To W JAIMES OCAMPO PayID Phone from CommBank App webcam"/>
        <s v="UNIVERSAL AUDIO SCOTTS VALLEY CA USA Card xx2869 USD 123.00 Value Date: 31/12/2023"/>
        <s v="Overdraw Fee For exceeding available funds on 02 Jan"/>
        <s v="International Transaction Fee Value Date: 30/12/2023"/>
        <s v="DD *DOORDASH JASMIN1 MELBOURNE VI AUS Card xx2869 Value Date: 30/12/2023"/>
        <s v="COLES 0849 DRUMMOYNE AU AUS Card xx2869 Value Date: 29/12/2023"/>
        <s v="BUNNINGS 582000 GLADESVILLE AU Card xx2869"/>
        <s v="BIG W 0117 RYDE NSW AU"/>
        <s v="Entertainment and Rec - Transfer To Amir Ehsani CommBank App nye platters, salad, dri..."/>
        <s v="Direct Debit 245164 HCFHEALTHANDLIFE 057233969SL6L5M3EB"/>
        <s v="AMAZON AU MARKETPLACE SYDNEY AUS Card xx2869 Value Date: 28/12/2023"/>
        <s v="Fast Transfer From JONATHAN OLIVER battery"/>
        <s v="ETERNAL HEALTH GROUP RYDE NS AUS Card xx2869 Value Date: 23/12/2023"/>
        <s v="EAST SUSHI PTY LTD LEICHHARDT NS AUS Card xx2869 Value Date: 23/12/2023"/>
        <s v="UBER *EATS Sydney AU AUS Card xx2869 Value Date: 23/12/2023"/>
        <s v="STATEWIDE APPLIANCE ADELAIDE SA AUS Card xx2869 Value Date: 26/12/2023 (LG Tone Earbud)"/>
        <s v="PA RYDE ISE SUPERMARK RYDE NS AUS Card xx2869 Value Date: 23/12/2023"/>
        <s v="BEATPORT 720-974-9500 CO USA Card xx2869 AUD 6.80 Value Date: 25/12/2023"/>
        <s v="Adobe Systems Pty Ltd Sydney AU AUS Card xx2869 Value Date: 23/12/2023"/>
        <s v="V/CELLARS 3673 LEICHHARDT AU"/>
        <s v="Refund Purchase BEFORE YOU* BID 32/21"/>
        <s v="Hestia &amp; Co Leichhardt AU"/>
        <s v="DD *DOORDASH JASMIN1 MELBOURNE VI AUS Card xx2869 Value Date: 21/12/2023"/>
        <s v="Fast Transfer From H Roozbehani Merry Christmas Happy new year Merry Christmas Happy new year"/>
        <s v="BEFORE YOU* BID 32/21"/>
        <s v="Salary SERVAUPAYROLL 20033P 85920286"/>
        <s v="COLES 0849 DRUMMOYNE AU AUS Card xx2869 Value Date: 18/12/2023"/>
        <s v="WOOLWORTHS 1339 RYDE AU AUS Card xx2869 Value Date: 16/12/2023"/>
        <s v="UBER *EATS Sydney AU AUS Card xx2869 Value Date: 15/12/2023"/>
        <s v="THE HUNTERS HILL HOTEL HUNTERS HILL AU AUS Card xx2869 Value Date: 14/12/2023"/>
        <s v="Telstra Direct Debit AUSTRALIA SA AUS Card xx2869 Value Date: 15/12/2023"/>
        <s v="KMART 1251 Top Ryde AU AUS Card xx2869 Value Date: 16/12/2023"/>
        <s v="RYANS BAR SYDNEY NS AUS Card xx2869 Value Date: 12/12/2023"/>
        <s v="Hilton Sydney SYDNEY NSW AU AUS Card xx2869 Value Date: 12/12/2023"/>
        <s v="13cabs Sydney ALEXANDRIA AU"/>
        <s v="RYANS BAR SYDNEY AU"/>
        <s v="DD *DOORDASH ILOVEPIZZ MELBOURNE VI AUS Card xx2869 Value Date: 08/12/2023"/>
        <s v="DD *DOORDASH BARITALIA MELBOURNE VI AUS Card xx2869 Value Date: 09/12/2023"/>
        <s v="7-ELEVEN 2224 GRANVILLE NS AUS Card xx2869 Value Date: 09/12/2023"/>
        <s v="OFFICEWORKS 0201 FIVE DOCK AU AUS Card xx2869 Value Date: 07/12/2023"/>
        <s v="OXFORD HOTEL Drummoyne AU AUS Card xx2869 Value Date: 05/12/2023"/>
        <s v="THE HUNTERS HILL HOTEL HUNTERS HILL AU AUS Card xx2869 Value Date: 04/12/2023"/>
        <s v="Salary SERVAUPAYROLL 20070P 85920286"/>
        <s v="AMAZON AU RETAIL SYDNEY AUS Card xx2869 Value Date: 01/12/2023"/>
        <s v="TRANSPORTFORNSW OPAL CHIPPENDALE AUS Card xx2869 Value Date: 03/12/2023"/>
        <s v="SMP*The Chefs Wife Bi Burwood AU AUS Card xx2869 Value Date: 02/12/2023"/>
        <s v="Panda Birkenhead Pt Drummoyne NS AUS Card xx2869 Value Date: 01/12/2023"/>
        <s v="Orient Hotel Sydney NS AUS Card xx2869 Value Date: 03/12/2023"/>
        <s v="GOOGLE*ADS8721882091 CC GOOGLE.COM AU AUS Card xx2869 Value Date: 02/12/2023"/>
        <s v="DD *DOORDASH JASMIN1 MELBOURNE VI AUS Card xx2869 Value Date: 02/12/2023"/>
        <s v="DD *DOORDASH DOSSENORI MELBOURNE VI AUS Card xx2869 Value Date: 01/12/2023"/>
        <s v="7-ELEVEN 2048 DRUMMOYNE NS AUS Card xx2869 Value Date: 02/12/2023"/>
        <s v="Fast Transfer From H Roozbehani Happy birthday Rodean jan Birthday present"/>
        <s v="UNIVERSAL AUDIO SCOTTS VALLEY CA USA Card xx2869 USD 99.00 Value Date: 30/11/2023"/>
        <s v="Overdraw Fee For exceeding available funds on 01 Dec"/>
        <s v="International Transaction Fee Value Date: 29/11/2023"/>
        <s v="Panda Birkenhead Pt Drummoyne NS AUS Card xx2869 Value Date: 29/11/2023"/>
        <s v="Fast Transfer From JONATHAN OLIVER lunch"/>
        <s v="Direct Debit 245164 HCFHEALTHANDLIFE 057233969S3FI4NQCD"/>
        <s v="Refund from CBA"/>
        <s v="PAPERBOY CONCORD CAFE Mortlake NS AUS Card xx2869 Value Date: 25/11/2023"/>
        <s v="ADOBE PS CREATIVE CLD Sydney AU AUS Card xx2869 Value Date: 24/11/2023"/>
        <s v="Transfer To Jonathan K Oliver CommBank App wine and frozen coffee"/>
        <s v="WW METRO 1669 SURRY HILLS AU AUS Card xx2869 Value Date: 22/11/2023"/>
        <s v="ADOBE PR CREATIVE CLD Sydney AU AUS Card xx2869 Value Date: 23/11/2023"/>
        <s v="WW METRO 1669 SURRY HILLS AU AUS Card xx2869 Value Date: 21/11/2023"/>
        <s v="Salary SERVAUPAYROLL 19221P 85920286"/>
        <s v="BAR TOSCA SYDNEY NS AUS Card xx2869 Value Date: 21/11/2023"/>
        <s v="Transfer To Michael De Laroche CommBank App hotel"/>
        <s v="ZLR*Amir Baulkham Hill AU"/>
        <s v="TRANSPORTFORNSW OPAL CHIPPENDALE AUS Card xx2869 Value Date: 21/11/2023"/>
        <s v="UBER *EATS Sydney AU AUS Card xx2869 Value Date: 19/11/2023"/>
        <s v="OAKS CYPRESS LAKES RES POKOLBIN NS AUS Card xx2869 Value Date: 18/11/2023"/>
        <s v="COLES 0849 DRUMMOYNE AU AUS Card xx2869 Value Date: 17/11/2023"/>
        <s v="ZLR*Bimbadgen - Cellar Pokolbin AU"/>
        <s v="Telstra Direct Debit AUSTRALIA SA AUS Card xx2869 Value Date: 16/11/2023"/>
        <s v="PVH HERIT BRANDS AU DRUMMOYNE NS AUS Card xx2869 Value Date: 16/11/2023"/>
        <s v="PETER JACKSON DRUMMOYNE NS AUS Card xx2869 Value Date: 16/11/2023"/>
        <s v="COLES 0849 DRUMMOYNE AU AUS Card xx2869 Value Date: 16/11/2023"/>
        <s v="Wdl ATM CBA ATM DRUMMOYNE B NSW 215702 AUS"/>
        <s v="THE WHITE BARN POKO POKOLBIN AU"/>
        <s v="NEWPORTO WYONG JILLIBY AU"/>
        <s v="COLES 0849 DRUMMOYNE AU AUS Card xx2869 Value Date: 13/11/2023"/>
        <s v="DD *DOORDASH BANGKOKTH MELBOURNE VI AUS Card xx2869 Value Date: 13/11/2023"/>
        <s v="UBER *EATS Sydney AU AUS Card xx2869 Value Date: 11/11/2023"/>
        <s v="UBER *EATS Sydney AU AUS Card xx2869 Value Date: 10/11/2023"/>
        <s v="Google ADS8721882091 Sydney AU AUS Card xx2869 Value Date: 11/11/2023"/>
        <s v="TRANSPORTFORNSW TAP SYDNEY AUS Card xx2869 Value Date: 09/11/2023"/>
        <s v="MLEKO PTY LTD SURRY HILLS NS AUS Card xx2869 Value Date: 08/11/2023"/>
        <s v="Salary SERVAUPAYROLL 19432P 85920286"/>
        <s v="Transfer To Jonathan K Oliver CommBank App rent addition for prior ..."/>
        <s v="WW METRO 1669 SURRY HILLS AU AUS Card xx2869 Value Date: 07/11/2023"/>
        <s v="COLES 0849 DRUMMOYNE AU AUS Card xx2869 Value Date: 06/11/2023"/>
        <s v="tzp*BYCFURNITURESTRADI AU SGP Card xx2869 AUD 341.09 Value Date: 03/11/2023"/>
        <s v="POST DRUMMOYNE-RET NS AU Card xx2869"/>
        <s v="WW METRO 1669 SURRY HILLS AU AUS Card xx2869 Value Date: 31/10/2023"/>
        <s v="TRANSPORTFORNSW OPAL CHIPPENDALE AUS Card xx2869 Value Date: 31/10/2023"/>
        <s v="Fast Transfer From Megan Cartwright Invoice RR243 Rodean Invoice RR243"/>
        <s v="Direct Debit 245164 HCFHEALTHANDLIFE 057233969SL5HD9Q9L"/>
        <s v="UBER *EATS Sydney AU AUS Card xx2869 Value Date: 29/10/2023"/>
        <s v="UBER *EATS Sydney AU AUS Card xx2869 Value Date: 27/10/2023"/>
        <s v="SMP*Ralph Lauren 7101 Drummoyne AU AUS Card xx2869 Value Date: 28/10/2023"/>
        <s v="LOUIE Coogee AU"/>
        <s v="Deli Fresh Cafe Homebush NS AUS Card xx2869 Value Date: 28/10/2023"/>
        <s v="BAR TOSCA SYDNEY AU"/>
        <s v="GLUE WORLD SQUARE SYDNEY AU"/>
        <s v="Fast Transfer From MASOUMEH GHOLAMSHAHI Payment for lllSl laptop purchase"/>
        <s v="DRUMMOYNE CAMERA HOUSE DRUMMOYNE NSW AU"/>
        <s v="Salary SERVAUPAYROLL 19475P 85920286"/>
        <s v="Bank Hotel Newtown AU"/>
        <s v="SDRO INFRNGMNT PAYME MAITLAND NS AUS Card xx2869 Value Date: 23/10/2023"/>
        <s v="Enmore Theatre Pty Lt Enmore AU"/>
        <s v="Transfer To Louis Wayment PayID Phone from CommBank App dumplings"/>
        <s v="Transfer To Louis Wayment CommBank App dumplings"/>
        <s v="Reversal Transfer To Louis Wayment Account closed"/>
        <s v="Panda Birkenhead Pt Drummoyne AU"/>
        <s v="Transfer To Jonathan K Oliver CommBank App sultans"/>
        <s v="WW METRO 1669 SURRY HILLS AU AUS Card xx2869 Value Date: 18/10/2023"/>
        <s v="Telstra Direct Debit AUSTRALIA SA AUS Card xx2869 Value Date: 18/10/2023"/>
        <s v="TRANSPORTFORNSW OPAL CHIPPENDALE AUS Card xx2869 Value Date: 18/10/2023"/>
        <s v="COLES 0849 DRUMMOYNE AU AUS Card xx2869 Value Date: 17/10/2023"/>
        <s v="Direct Credit 245133 HCF CASHBACK 57233969/L95454"/>
        <s v="UBER *EATS Sydney AU AUS Card xx2869 Value Date: 15/10/2023"/>
        <s v="UBER *EATS Sydney AU AUS Card xx2869 Value Date: 14/10/2023"/>
        <s v="SEOG KYU CHOI DRUMMOYNE NSW AU"/>
        <s v="PAYPAL *NEWMAGICAUS Sydney AU"/>
        <s v="Oxford Hotel DRUMMOYNE AU AUS Card xx2869 Value Date: 14/10/2023"/>
        <s v="SCORPTEC COMPUTERS MACQUARIE PARAU"/>
        <s v="Oxford Hotel DRUMMOYNE AU AUS Card xx2869 Value Date: 10/10/2023"/>
        <s v="Salary SERVAUPAYROLL 19311P 85920286"/>
        <s v="UNIVERSAL HOTELS GRO DARLINGHURST AUS Card xx2869 Value Date: 08/10/2023"/>
        <s v="UNIVERSAL HOTELS GRO DARLINGHURST AUS Card xx2869 Value Date: 07/10/2023"/>
        <s v="OXFORD TOBACCONIST P/L DARLINGHURST AU AUS Card xx2869 Value Date: 08/10/2023"/>
        <s v="GM CABS PTY LTD MASCOT NSWAU"/>
        <s v="ANKARA Darlinghurst AU"/>
        <s v="SCORPTEC COMPUTERS MACQUARIE PARAU Card xx2869"/>
        <s v="TRANSPORTFORNSW OPAL CHIPPENDALE AUS Card xx2869 Value Date: 04/10/2023"/>
        <s v="7-ELEVEN 2048 DRUMMOYNE NS AUS Card xx2869 Value Date: 03/10/2023"/>
        <s v="DEPOSIT CASH $100.00 CHEQUE $0.00 Branch 300 ELIZABETH ST SYDNEY"/>
        <s v="Bowan IslandDrummoyne Drummoyne NS AUS Card xx2869 Value Date: 02/10/2023"/>
        <s v="Transfer To Jonathan K Oliver NetBank Internet x 2 + Water Bill + E..."/>
        <s v="UBER *EATS Sydney AU AUS Card xx2869 Value Date: 30/09/2023"/>
        <s v="SP LOUIS CK COLUMBIA TN USA Card xx2869 USD 30.00 Value Date: 01/10/2023"/>
        <s v="International Transaction Fee Value Date: 30/09/2023"/>
        <s v="Direct Debit 245164 HCFHEALTHANDLIFE 057233969SLWQDPG5S"/>
        <s v="DidiChuxing DidiAU pen Sydney AU AUS Card xx2869 Value Date: 30/09/2023"/>
        <s v="BWS LIQUOR 1601 DRUMMOYNE AU AUS Card xx2869 Value Date: 30/09/2023"/>
        <s v="HOTEL GREENWOOD PTY LI NORTH SYDNEY AU Card xx2869"/>
        <s v="Transfer To RAMTEAN ROOZBEHANI CommBank App maccas"/>
        <s v="UBER *TRIP Sydney AU AUS Card xx2869 Value Date: 25/09/2023"/>
        <s v="MIDJOURNEY INC. SOUTH SAN FRA CA USA Card xx2869 USD 11.00 Value Date: 25/09/2023"/>
        <s v="International Transaction Fee Value Date: 24/09/2023"/>
        <s v="UBER *TRIP Sydney AU AUS Card xx2869 Value Date: 24/09/2023"/>
        <s v="UBER *TRIP Sydney AU AUS Card xx2869 Value Date: 23/09/2023"/>
        <s v="UBER *EATS Sydney AU AUS Card xx2869 Value Date: 24/09/2023"/>
        <s v="CHARGRILL CHARLIES Drummoyne NS AUS Card xx2869 Value Date: 22/09/2023"/>
        <s v="The Sporting Globe Sydney AU"/>
        <s v="7-ELEVEN 2048 DRUMMOYNE AU Cash Out $100.00"/>
        <s v="SP LOUIS CK COLUMBIA TN USA Card xx2869 USD 15.00 Value Date: 20/09/2023"/>
        <s v="International Transaction Fee Value Date: 20/09/2023"/>
        <s v="LIQUORLAND 3301 DRUMMOYNE AU"/>
        <s v="TRANSPORTFORNSW OPAL CHIPPENDALE AUS Card xx2869 Value Date: 19/09/2023"/>
        <s v="GM CABS PTY LTD MASCOT AUS Card xx2869 Value Date: 15/09/2023"/>
        <s v="WOOLLOOMOOLOO BAY WOOLLOOMOOLOO AU AUS Card xx2869 Value Date: 15/09/2023"/>
        <s v="UBER *TRIP Sydney AU AUS Card xx2869 Value Date: 16/09/2023"/>
        <s v="UBER *EATS Sydney AU AUS Card xx2869 Value Date: 17/09/2023"/>
        <s v="Sussudio Sydney Potts Point NS AUS Card xx2869 Value Date: 16/09/2023"/>
        <s v="CHARGRILL CHARLIES Drummoyne NS AUS Card xx2869 Value Date: 15/09/2023"/>
        <s v="MCDONALDS COOGEE COOGEE NSWAU"/>
        <s v="Coogee Bay Hotel Coogee AU"/>
        <s v="COLES 0849 DRUMMOYNE AU AUS Card xx2869 Value Date: 13/09/2023"/>
        <s v="TELSTRA BILL PAYMENT MELBOURNE AUS Card xx2869 Value Date: 13/09/2023"/>
        <s v="Salary SERVAUPAYROLL 19453P 85920286"/>
        <s v="Fast Transfer From JONATHAN OLIVER MPC 7/16 MPC 7/16"/>
        <s v="WOOLWORTHS 1188 BALMAIN AU AUS Card xx2869 Value Date: 11/09/2023"/>
        <s v="EB *BNC pres.Kasper Ko 801-413-7200 VI AUS Card xx2869 Value Date: 10/09/2023"/>
        <s v="Entertainment and Rec - Transfer To Dan P CommBank App rodean nuggets bucks"/>
        <s v="WOOLWORTHS 1188 BALMAIN AU AUS Card xx2869 Value Date: 09/09/2023"/>
        <s v="UBER *EATS Sydney AU AUS Card xx2869 Value Date: 10/09/2023"/>
        <s v="TRANSPORTFORNSW OPAL CHIPPENDALE AUS Card xx2869 Value Date: 11/09/2023"/>
        <s v="QE FOODSTORES BALMAIN NS AUS Card xx2869 Value Date: 08/09/2023"/>
        <s v="SQ *T1721 GM CABS Drummoyne AU"/>
        <s v="Ivy Pool Club Sydney AU"/>
        <s v="Transfer To RAMTEAN ROOZBEHANI CommBank App jji"/>
        <s v="Entertainment and Rec - Transfer To Jonathan K Oliver CommBank App nile rodgers"/>
        <s v="SMP*Fire and Food Aus Sydney02 AU"/>
        <s v="COLES 0849 DRUMMOYNE AU AUS Card xx2869 Value Date: 04/09/2023"/>
        <s v="PEACH AUDIO ANNANDALE NS AUS Card xx2869 Value Date: 01/09/2023"/>
        <s v="COLES EXPRESS 1617 DRUMMOYNE AU AUS Card xx2869 Value Date: 02/09/2023"/>
        <s v="SQ *EAT AT ROBS - DARL Rozelle AU"/>
        <s v="The Alexandria Hotel Alexandria AU"/>
        <s v="Overdraw Fee For exceeding available funds on 01 Sep"/>
        <s v="BREWDOG SOUTH EVELEIG Eveleigh AU"/>
        <s v="Transfer To Amir Ehsani CommBank App brewdog food n drinks"/>
        <s v="QE FOODSTORES BALMAIN AU"/>
        <s v="Direct Debit 245164 HCFHEALTHANDLIFE 057233969SCTQCEVGK"/>
        <s v="TRANSPORTFORNSW OPAL CHIPPENDALE AUS Card xx2869 Value Date: 30/08/2023"/>
        <s v="Salary SERVAUPAYROLL 19265P 85920286"/>
        <s v="Fast Transfer From JONATHAN OLIVER mpc 6/16"/>
        <s v="UBER *EATS Sydney AU AUS Card xx2869 Value Date: 26/08/2023"/>
        <s v="TRANSPORTFORNSW OPAL CHIPPENDALE AUS Card xx2869 Value Date: 28/08/2023"/>
        <s v="QE FOODSTORES BALMAIN NS AUS Card xx2869 Value Date: 25/08/2023"/>
        <s v="MIDJOURNEY INC. SOUTH SAN FRA CA USA Card xx2869 USD 11.00 Value Date: 25/08/2023"/>
        <s v="International Transaction Fee Value Date: 24/08/2023"/>
        <s v="Fast Transfer From JONATHAN OLIVER brownies"/>
        <s v="TRANSPORTFORNSW TAP SYDNEY AUS Card xx2869 Value Date: 25/08/2023"/>
        <s v="QE FOODSTORES BALMAIN NS AUS Card xx2869 Value Date: 23/08/2023"/>
        <s v="B AND C PHARMACY SERVI BALMAIN NS AUS Card xx2869 Value Date: 23/08/2023"/>
        <s v="Fast Transfer From JOSEPH SALLUSTIO Dinner"/>
        <s v="PA RYDE ISE SUPERMARK RYDE NS AUS Card xx2869 Value Date: 21/08/2023"/>
        <s v="UBER* EATS SYDNEY NS AUS Card xx2869 Value Date: 19/08/2023"/>
        <s v="UBER *EATS Sydney AU AUS Card xx2869 Value Date: 18/08/2023"/>
        <s v="Oxford Hotel DRUMMOYNE AU AUS Card xx2869 Value Date: 18/08/2023"/>
        <s v="BALMAIN THE CHAR PTY BALMAIN AUS Card xx2869 Value Date: 18/08/2023"/>
        <s v="TASTE BAGUETTE BALMA BALMAIN NS AUS Card xx2869 Value Date: 17/08/2023"/>
        <s v="Fast Transfer From JONATHAN OLIVER chinese food dinner"/>
        <s v="SERVICE NSW SYDNEY AUS Card xx2869 Value Date: 15/08/2023"/>
        <s v="UBER *EATS Sydney AU AUS Card xx2869 Value Date: 15/08/2023"/>
        <s v="Salary SERVAUPAYROLL 19584P 85920286"/>
        <s v="LALALS.COM ABU DHABI AZ ARE Card xx2869 USD 24.00 Value Date: 15/08/2023"/>
        <s v="International Transaction Fee Value Date: 15/08/2023"/>
        <s v="Fast Transfer From JONATHAN OLIVER Mpc 5/16 Mpc 5/16"/>
        <s v="PEACH AUDIO ANNANDALE NS AUS Card xx2869 Value Date: 14/08/2023"/>
        <s v="NRMA WEB SYDNEY NS AUS Card xx2869 Value Date: 14/08/2023"/>
        <s v="Dumplings &amp; Momo House Sydney AU"/>
        <s v="COLES EXPRESS 1617 DRUMMOYNE AU AUS Card xx2869 Value Date: 14/08/2023"/>
        <s v="THE LOOKOUT @ ECHO POI KATOOMBA AU Card xx2869"/>
        <s v="NATIVE INSTRUMENTS BERLIN BE DEU Card xx2869 AUD 1439.20 Value Date: 11/08/2023"/>
        <s v="LEURA GOURMET LEURA AU Card xx2869"/>
        <s v="Transfer to xx6542 CommBank app Value Date: 11/08/2023"/>
        <s v="Transfer from xx8675 CommBank app Value Date: 11/08/2023"/>
        <s v="Transfer To Jonathan K Oliver NetBank Lots of Bills"/>
        <s v="Rfnd O'Seas Transaction Value Date: 22/07/2023"/>
        <s v="Adjust Purchase ADJUSTMENT TO ACCOUNT Card xx2869 AUD 49.56 Value Date: 22/07/2023"/>
        <s v="Adjust Purchase ADJUSTMENT TO ACCOUNT Card xx2869 AUD 45.39 Value Date: 22/07/2023"/>
        <s v="Adjust Purchase ADJUSTMENT TO ACCOUNT Card xx2869 AUD 35.91 Value Date: 22/07/2023"/>
        <s v="Adjust Purchase ADJUSTMENT TO ACCOUNT Card xx2869 AUD 186.59 Value Date: 22/07/2023"/>
        <s v="Adjust Purchase ADJUSTMENT TO ACCOUNT Card xx2869 AUD 11.91 Value Date: 22/07/2023"/>
        <s v="Cardless Cash return food"/>
        <s v="Cardless Cash for collection food"/>
        <s v="Transfer to xx8675 CommBank app netbank saver"/>
        <s v="Salary SERVAUPAYROLL 21070P 85920286"/>
        <s v="Fast Transfer From JONATHAN OLIVER Mpc 4/16 mpc 4/16"/>
        <s v="Fast Transfer From ARASH NIKHOUSH Music Production"/>
        <s v="Transfer from xx6542 CommBank app netbank saver"/>
        <s v="Direct Debit 245164 HCFHEALTHANDLIFE 057233969SLG7YRD1F"/>
        <s v="Transfer To Masoumeh Gholamshahi CommBank App food - movies"/>
        <s v="Cardless Cash return food and stuff"/>
        <s v="Cardless Cash for collection stuff"/>
        <s v="Cardless Cash for collection food and stuff"/>
        <s v="UBER *TRIP HELP.UBER.COM NH NLD Card xx7126 EUR 7.20 Value Date: 22/07/2023"/>
        <s v="UBER *TRIP HELP.UBER.COM NH NLD Card xx7126 EUR 29.96 Value Date: 22/07/2023"/>
        <s v="UBER *TRIP HELP.UBER.COM NH NLD Card xx7126 EUR 27.44 Value Date: 22/07/2023"/>
        <s v="UBER *TRIP HELP.UBER.COM NH NLD Card xx7126 EUR 21.71 Value Date: 22/07/2023"/>
        <s v="MIDJOURNEY INC. SOUTH SAN FRA CA USA Card xx7126 USD 11.00 Value Date: 25/07/2023"/>
        <s v="International Transaction Fee Value Date: 24/07/2023"/>
        <s v="International Transaction Fee Value Date: 22/07/2023"/>
        <s v="BANDCAMP MEEM 402-935-7733 CA USA Card xx7126 AUD 15.00 Value Date: 22/07/2023"/>
        <s v="ARTURIA MONTBONNOT ST FR FRA Card xx7126 USD 74.00 Value Date: 22/07/2023"/>
        <s v="UBER *TRIP HELP.UBER.C Amsterdam NL NLD Card xx7126 EUR 112.80 Value Date: 22/07/2023"/>
        <s v="UBER *EATS Sydney AU AUS Card xx8188 Value Date: 20/07/2023"/>
        <s v="7-ELEVEN 2048 DRUMMOYNE NS AUS Card xx8188 Value Date: 19/07/2023"/>
        <s v="Salary SERVAUPAYROLL 19371P 85920286"/>
        <s v="IGA DRUMMOYNE DRUMMOYNE AU Card xx8188"/>
        <s v="Fast Transfer From JONATHAN OLIVER MPC 3/16 MPC 3/16"/>
        <s v="Telstra Direct Debit AUSTRALIA SA AUS Card xx8188 Value Date: 17/07/2023"/>
        <s v="HARRIS FARM MARKETS DRUMMOYNE AU Card xx8188"/>
        <s v="TRANSPORTFORNSW OPAL CHIPPENDALE AUS Card xx8188 Value Date: 11/07/2023"/>
        <s v="Fast Transfer From GEOFFREY COLLINS geoff geoff"/>
        <s v="Direct Credit 617702 PAYPAL AUSTRALIA 1028072139454"/>
        <s v="TRANSPORTFORNSW OPAL CHIPPENDALE AUS Card xx8188 Value Date: 05/07/2023"/>
        <s v="Salary SERVAUPAYROLL 20120P 85920286"/>
        <s v="Fast Transfer From JONATHAN OLIVER MPC 2/16 mpc 2/16"/>
        <s v="UBER* EATS SYDNEY NS AUS Card xx8188 Value Date: 30/06/2023"/>
        <s v="TRANSPORTFORNSW OPAL CHIPPENDALE AUS Card xx8188 Value Date: 03/07/2023"/>
        <s v="CKO*Patreon INTERNET AUS Card xx8188 Value Date: 01/07/2023"/>
        <s v="Direct Debit 245164 HCFHEALTHANDLIFE 057233969SM7IZH6UO"/>
        <s v="SDRO INFRNGMNT PAYME MAITLAND NS AUS Card xx8188 Value Date: 27/06/2023"/>
        <s v="Revolut**8052* Melbourne AU AUS Card xx8188 Value Date: 26/06/2023"/>
        <s v="UBER *EATS Sydney AU AUS Card xx8188 Value Date: 23/06/2023"/>
        <s v="MIDJOURNEY INC. SOUTH SAN FRA CA USA Card xx8188 USD 11.00 Value Date: 25/06/2023"/>
        <s v="International Transaction Fee Value Date: 24/06/2023"/>
        <s v="COLES 0849 DRUMMOYNE AU AUS Card xx8188 Value Date: 21/06/2023"/>
        <s v="Fast Transfer From JONATHAN OLIVER MPC 1/16 MPC 1/16"/>
        <s v="UBER *EATS Sydney AU AUS Card xx8188 Value Date: 19/06/2023"/>
        <s v="RISE BAKEHOUSE DRUMMOYNE AU"/>
        <s v="NIKAN RESTAURANT RYDE NSW AU"/>
        <s v="UBER *EATS Sydney AU AUS Card xx8188 Value Date: 16/06/2023"/>
        <s v="Telstra Direct Debit AUSTRALIA SA AUS Card xx8188 Value Date: 15/06/2023"/>
        <s v="SILVER SPOON BISTRO SURRY HILLS NS AUS Card xx8188 Value Date: 14/06/2023"/>
        <s v="BAR TOSCA SYDNEY NS AUS Card xx8188 Value Date: 13/06/2023"/>
        <s v="TRANSPORTFORNSW OPAL CHIPPENDALE AUS Card xx8188 Value Date: 13/06/2023"/>
        <s v="UBER *EATS Sydney AU AUS Card xx8188 Value Date: 11/06/2023"/>
        <s v="UBER *EATS Sydney AU AUS Card xx8188 Value Date: 07/06/2023"/>
        <s v="UBER *EATS Sydney AU AUS Card xx8188 Value Date: 06/06/2023"/>
        <s v="Refund from CBA Value Date: 07/06/2023"/>
        <s v="WW METRO 1669 SURRY HILLS AU AUS Card xx8188 Value Date: 05/06/2023"/>
        <s v="TRANSPORTFORNSW TAP SYDNEY AUS Card xx8188 Value Date: 06/06/2023"/>
        <s v="SUSHI OTAKU SURRY HILLS NS AUS Card xx8188 Value Date: 05/06/2023"/>
        <s v="UBER* EATS SYDNEY NS AUS Card xx8188 Value Date: 03/06/2023"/>
        <s v="CHARGRILL CHARLIES Drummoyne NS AUS Card xx8188 Value Date: 02/06/2023"/>
        <s v="SILVER SPOON BISTRO SURRY HILLS NS AUS Card xx8188 Value Date: 31/05/2023"/>
        <s v="Patreon* Membership INTERNET AUS Card xx8188 Value Date: 02/06/2023"/>
        <s v="Transfer To RAMTEAN ROOZBEHANI CommBank App for u"/>
        <s v="WW METRO 1669 SURRY HILLS AU AUS Card xx8188 Value Date: 31/05/2023"/>
        <s v="TRANSPORTFORNSW OPAL CHIPPENDALE AUS Card xx8188 Value Date: 31/05/2023"/>
        <s v="LINKT SYDNEY SYDNEY AUS Card xx8188 Value Date: 30/05/2023"/>
        <s v="Fast Transfer From JONATHAN OLIVER shopping"/>
        <s v="Direct Debit 245164 HCFHEALTHANDLIFE 057233969S3L4F3XB2"/>
        <s v="BAR TOSCA SYDNEY NS AUS Card xx8188 Value Date: 30/05/2023"/>
        <s v="SUSHI OTAKU SURRY HILLS NS AUS Card xx8188 Value Date: 29/05/2023"/>
        <s v="UBER *EATS Sydney AU AUS Card xx8188 Value Date: 28/05/2023"/>
        <s v="TRANSPORTFORNSW OPAL CHIPPENDALE AUS Card xx8188 Value Date: 29/05/2023"/>
        <s v="MIDJOURNEY INC. SOUTH SAN FRA CA USA Card xx8188 USD 11.00 Value Date: 25/05/2023"/>
        <s v="International Transaction Fee Value Date: 24/05/2023"/>
        <s v="Transfer To Jonathan K Oliver CommBank App food"/>
        <s v="WW METRO 1669 SURRY HILLS AU AUS Card xx8188 Value Date: 23/05/2023"/>
        <s v="Salary SERVAUPAYROLL 19545P 85920286"/>
        <s v="WW METRO 1669 SURRY HILLS AU AUS Card xx8188 Value Date: 22/05/2023"/>
        <s v="TRANSPORTFORNSW OPAL CHIPPENDALE AUS Card xx8188 Value Date: 23/05/2023"/>
        <s v="UBER *EATS Sydney AU AUS Card xx8188 Value Date: 19/05/2023"/>
        <s v="Photown Alexandria Alexandria AU"/>
        <s v="HUNTERS HILL COUNCIL HUNTERS HILL AU AUS Card xx8188 Value Date: 20/05/2023"/>
        <s v="DECKHOUSE CAFE WOOLWICH AU AUS Card xx8188 Value Date: 20/05/2023"/>
        <s v="TIMEZONE CHATSWOOD AU Card xx8188"/>
        <s v="Transfer To Jack Bosenberg CommBank App dinner"/>
        <s v="WW METRO 1669 SURRY HILLS AU AUS Card xx8188 Value Date: 16/05/2023"/>
        <s v="Telstra Direct Debit AUSTRALIA SA AUS Card xx8188 Value Date: 16/05/2023"/>
        <s v="WW METRO 1669 SURRY HILLS AU AUS Card xx8188 Value Date: 15/05/2023"/>
        <s v="TRANSPORTFORNSW OPAL CHIPPENDALE AUS Card xx8188 Value Date: 16/05/2023"/>
        <s v="UBER *EATS Sydney AU AUS Card xx8188 Value Date: 14/05/2023"/>
        <s v="Fast Transfer From BISHOP WARREN GRANT to PayID Phone RODEAN LUNCH"/>
        <s v="MALONEYS GROCER PTY SURRY HILLS AU Card xx8188"/>
        <s v="Fast Transfer From RAMTEAN ROOZBEHANI loanies"/>
        <s v="WW METRO 1669 SURRY HILLS AU AUS Card xx8188 Value Date: 10/05/2023"/>
        <s v="Salary SERVAUPAYROLL 20194P 85920286"/>
        <s v="TRANSPORTFORNSW OPAL CHIPPENDALE AUS Card xx8188 Value Date: 09/05/2023"/>
        <s v="CAFFE CHERRY BEANS-B DRUMMOYNE NS AUS Card xx8188 Value Date: 06/05/2023"/>
        <s v="7-ELEVEN 2270 ROZELLE NS AUS Card xx8188 Value Date: 06/05/2023"/>
        <s v="Moretti Ristorante Leichhardt AU"/>
        <s v="Jaycar Electronics Croydon AU - power supply fuse"/>
        <s v="Jaycar Electronics Croydon AU - cabling"/>
        <s v="Fast Transfer From MASOUMEH GHOLAMSHAHI With Thanks for Payment for tonight"/>
        <s v="Transfer To nick irving CommBank App ns10 - studio speaker / monitor"/>
        <s v="WW METRO 1669 SURRY HILLS AU AUS Card xx8188 Value Date: 03/05/2023"/>
        <s v="WW METRO 1669 SURRY HILLS AU AUS Card xx8188 Value Date: 02/05/2023"/>
        <s v="WW METRO 1669 SURRY HILLS AU AUS Card xx8188 Value Date: 01/05/2023"/>
        <s v="TRANSPORTFORNSW OPAL CHIPPENDALE AUS Card xx8188 Value Date: 02/05/2023"/>
        <s v="REVERB.COM LLC CHICAGO IL USA Card xx8188 USD 69.85 Value Date: 01/05/2023 - Fee for transaction"/>
        <s v="Patreon* Membership INTERNET AUS Card xx8188 Value Date: 02/05/2023"/>
        <s v="International Transaction Fee Value Date: 01/05/2023"/>
        <s v="UBER* EATS SYDNEY NS AUS Card xx8188 Value Date: 30/04/2023"/>
        <s v="SQ *TENTACIONES Surry Hills AU"/>
        <s v="Direct Debit 245164 HCFHEALTHANDLIFE 057233969SEFF4S089"/>
        <s v="Direct Debit 245164 HCFHEALTH 057233969SVTU3IEOI"/>
        <s v="Direct Credit 245127 HCFHEALTH 057233969SVTU3IEOI"/>
        <s v="SDRO INFRNGMNT PAYME MAITLAND NS AUS Card xx8188 Value Date: 26/04/2023"/>
        <s v="WW METRO 1669 SURRY HILLS AU AUS Card xx8188 Value Date: 26/04/2023"/>
        <s v="COLES 0849 DRUMMOYNE AU AUS Card xx8188 Value Date: 25/04/2023"/>
        <s v="UBER* EATS SYDNEY NS AUS Card xx8188 Value Date: 24/04/2023"/>
        <s v="TRANSPORTFORNSW OPAL CHIPPENDALE AUS Card xx8188 Value Date: 26/04/2023"/>
        <s v="Salary SERVAUPAYROLL 20533P 85920286"/>
        <s v="MIDJOURNEY INC. SOUTH SAN FRA CA USA Card xx8188 USD 11.00 Value Date: 25/04/2023"/>
        <s v="International Transaction Fee Value Date: 24/04/2023"/>
        <s v="UBER *EATS Sydney AU AUS Card xx8188 Value Date: 23/04/2023"/>
        <s v="UBER *EATS Sydney AU AUS Card xx8188 Value Date: 20/04/2023"/>
        <s v="WW METRO 1669 SURRY HILLS AU AUS Card xx8188 Value Date: 19/04/2023"/>
        <s v="Telstra Direct Debit AUSTRALIA SA AUS Card xx8188 Value Date: 19/04/2023"/>
        <s v="SILVER SPOON BISTRO SURRY HILLS NS AUS Card xx8188 Value Date: 18/04/2023"/>
        <s v="UBER *EATS Sydney AU AUS Card xx8188 Value Date: 17/04/2023"/>
        <s v="WW METRO 1669 SURRY HILLS AU AUS Card xx8188 Value Date: 17/04/2023"/>
        <s v="UBER *EATS Sydney AU AUS Card xx8188 Value Date: 16/04/2023"/>
        <s v="UBER *EATS Sydney AU AUS Card xx8188 Value Date: 15/04/2023"/>
        <s v="TRANSPORTFORNSW OPAL CHIPPENDALE AUS Card xx8188 Value Date: 17/04/2023"/>
        <s v="Menulog Pty Ltd Sydney AU AUS Card xx8188 Value Date: 15/04/2023"/>
        <s v="JAKEREEDMUSIC.COM SOUTH PASADEN CA USA Card xx8188 USD 50.00 Value Date: 15/04/2023"/>
        <s v="International Transaction Fee Value Date: 15/04/2023"/>
        <s v="Fast Transfer From JONATHAN OLIVER frappe"/>
        <s v="SILVER SPOON BISTRO SURRY HILLS NS AUS Card xx8188 Value Date: 12/04/2023"/>
        <s v="Salary SERVAUPAYROLL 20303P 85920286"/>
        <s v="COLES 0849 DRUMMOYNE AU AUS Card xx8188 Value Date: 11/04/2023"/>
        <s v="BAR TOSCA SYDNEY NS AUS Card xx8188 Value Date: 11/04/2023"/>
        <s v="WAVES INC 8659099200 TN USA Card xx8188 USD 32.99 Value Date: 07/04/2023"/>
        <s v="UBER *EATS Sydney AU AUS Card xx8188 Value Date: 10/04/2023"/>
        <s v="TRANSPORTFORNSW OPAL CHIPPENDALE AUS Card xx8188 Value Date: 11/04/2023"/>
        <s v="Microsoft*Subscription msbill.info AU AUS Card xx8188 Value Date: 06/04/2023"/>
        <s v="International Transaction Fee Value Date: 07/04/2023"/>
        <s v="BP ROSE BAY CENT 7750 ROSE BAY NS AUS Card xx8188 Value Date: 05/04/2023"/>
        <s v="COLES EXPRESS 1617 DRUMMOYNE AU"/>
        <s v="Transfer from ARASH NIKHOUSH Production"/>
        <s v="TRANSPORTFORNSW OPAL CHIPPENDALE AUS Card xx8188 Value Date: 04/04/2023"/>
        <s v="BAR TOSCA SYDNEY NS AUS Card xx8188 Value Date: 03/04/2023"/>
        <s v="Patreon* Membership INTERNET AUS Card xx8188 Value Date: 02/04/2023"/>
        <s v="AMAZON MARKETPLACE AU SYDNEY SOUTH NS AUS Card xx8188 Value Date: 31/03/2023"/>
        <s v="Direct Debit 245164 HCFHEALTHANDLIFE 057233969SZD6VADV1"/>
        <s v="JB HI FI SYDNEY CITY SYDNEY NS AUS Card xx8188 Value Date: 29/03/2023"/>
        <s v="Google YouTube Videos Pyrmont AU AUS Card xx8188 Value Date: 29/03/2023"/>
        <s v="BAR TOSCA SYDNEY NS AUS Card xx8188 Value Date: 29/03/2023"/>
        <s v="TRANSPORTFORNSW OPAL CHIPPENDALE AUS Card xx8188 Value Date: 29/03/2023"/>
        <s v="Salary SERVAUPAYROLL 21050P 85920286"/>
        <s v="LINKT SYDNEY SYDNEY AUS Card xx8188 Value Date: 28/03/2023"/>
        <s v="Fast Transfer From ARASH NIKHOUSH to PayID Phone Music Production"/>
        <s v="TRANSPORTFORNSW OPAL CHIPPENDALE AUS Card xx8188 Value Date: 27/03/2023"/>
        <s v="MIDJOURNEY INC. SOUTH SAN FRA CA USA Card xx8188 USD 11.00 Value Date: 25/03/2023"/>
        <s v="International Transaction Fee Value Date: 24/03/2023"/>
        <s v="SYDMOSA PTY LTD SURRY HILLS AU"/>
        <s v="TRANSPORTFORNSW OPAL CHIPPENDALE AUS Card xx8188 Value Date: 22/03/2023"/>
        <s v="BAR TOSCA SYDNEY NS AUS Card xx8188 Value Date: 22/03/2023"/>
        <s v="Telstra Direct Debit AUSTRALIA SA AUS Card xx8188 Value Date: 21/03/2023"/>
        <s v="Google YouTube Videos Pyrmont AU AUS Card xx8188 Value Date: 21/03/2023"/>
        <s v="COLES 0849 DRUMMOYNE AU AUS Card xx8188 Value Date: 20/03/2023"/>
        <s v="Google YouTube Videos Pyrmont AU AUS Card xx8188 Value Date: 20/03/2023"/>
        <s v="GM CABS PTY LTD MASCOT AUS Card xx8188 Value Date: 19/03/2023"/>
        <s v="UBER *EATS Sydney AU AUS Card xx8188 Value Date: 19/03/2023"/>
        <s v="Menulog Pty Ltd Sydney AU AUS Card xx8188 Value Date: 19/03/2023"/>
        <s v="Google YouTube Videos Pyrmont AU AUS Card xx8188 Value Date: 19/03/2023"/>
        <s v="Fast Transfer From JONATHAN OLIVER maccers"/>
        <s v="Wdl ATM CBA ATM DARLING PARK NSW 202891 AUS"/>
        <s v="WAVES INC 8659099200 TN USA Card xx8188 USD 84.68 Value Date: 16/03/2023"/>
        <s v="SQ *MOOM LIVING Pyrmont AU"/>
        <s v="RAYVEN PTY LTD SYDNEY NSW AU"/>
        <s v="International Transaction Fee Value Date: 15/03/2023"/>
        <s v="Fast Transfer From ARASH NIKHOUSH to PayID Phone Production Session2"/>
        <s v="BEATPORT 720-974-9500 CO USA Card xx8188 AUD 1.86 Value Date: 16/03/2023"/>
        <s v="TRANSPORTFORNSW OPAL CHIPPENDALE AUS Card xx8188 Value Date: 15/03/2023"/>
        <s v="Salary SERVAUPAYROLL 21131P 85920286"/>
        <s v="UBER* EATS SYDNEY NS AUS Card xx8188 Value Date: 10/03/2023"/>
        <s v="ROSE TURKISH GOZLEME HOUS DRUMMOY NSW AU Card xx8188"/>
        <s v="Fast Transfer From ARASH NIKHOUSH to PayID Phone S01"/>
        <s v="SILVER SPOON BISTRO SURRY HILLS NS AUS Card xx8188 Value Date: 07/03/2023"/>
        <s v="TRANSPORTFORNSW TAP SYDNEY AUS Card xx8188 Value Date: 02/03/2023"/>
        <s v="SUSHI OTAKU SURRY HILLS NS AUS Card xx8188 Value Date: 01/03/2023"/>
        <s v="Return SoundCloud Yearly Next Berlin DE DEU Card xx8188 AUD 145.00 Value Date: 01/03/2023"/>
        <s v="Patreon* Membership INTERNET AUS Card xx8188 Value Date: 02/03/2023"/>
        <s v="WW METRO 1669 SURRY HILLS AU AUS Card xx8188 Value Date: 01/03/2023"/>
        <s v="TRANSPORTFORNSW OPAL CHIPPENDALE AUS Card xx8188 Value Date: 01/03/2023"/>
        <s v="SILVER SPOON BISTRO SURRY HILLS NS AUS Card xx8188 Value Date: 27/02/2023"/>
        <s v="Salary SERVAUPAYROLL 21093P 85920286"/>
        <s v="Fast Transfer From RAMTEAN ROOZBEHANI loan back"/>
        <s v="Direct Debit 245164 HCFHEALTHANDLIFE 057233969SR6ZDNYTV"/>
        <s v="TRANSPORTFORNSW TAP SYDNEY AUS Card xx8188 Value Date: 26/02/2023"/>
        <s v="TRANSPORTFORNSW OPAL CHIPPENDALE AUS Card xx8188 Value Date: 27/02/2023"/>
        <s v="BWS LIQUOR 1601 DRUMMOYNE AU AUS Card xx8188 Value Date: 24/02/2023"/>
        <s v="7-ELEVEN 2048 DRUMMOYNE NS AUS Card xx8188 Value Date: 24/02/2023"/>
        <s v="UBER *EATS Sydney AU AUS Card xx8188 Value Date: 22/02/2023"/>
        <s v="SEOG KYU CHOI DRUMMOYNE NSW AU Card xx8188"/>
        <s v="Andiamo Tr Abbotsford Abbotsford NS AUS Card xx8188 Value Date: 23/02/2023"/>
        <s v="TRANSPORTFORNSW TAP SYDNEY AUS Card xx8188 Value Date: 21/02/2023"/>
        <s v="Fast Transfer From RAMTEAN ROOZBEHANI ramen"/>
        <s v="7-ELEVEN 2117 SYDNEY NS AUS Card xx8188 Value Date: 21/02/2023"/>
        <s v="UBER *TRIP Sydney AU AUS Card xx8188 Value Date: 17/02/2023"/>
        <s v="TRANSPORTFORNSW TAP SYDNEY AUS Card xx8188 Value Date: 18/02/2023"/>
        <s v="SoundCloud Yearly Next Berlin DE DEU Card xx8188 AUD 145.00 Value Date: 17/02/2023"/>
        <s v="COLES 0849 DRUMMOYNE AU AUS Card xx8188 Value Date: 18/02/2023"/>
        <s v="Transfer To Jonathan K Oliver CommBank App maccas"/>
        <s v="UBER* EATS SYDNEY NS AUS Card xx8188 Value Date: 16/02/2023"/>
        <s v="TRANSPORTFORNSW TAP SYDNEY AUS Card xx8188 Value Date: 17/02/2023"/>
        <s v="TRANSPORTFORNSW TAP SYDNEY AUS Card xx8188 Value Date: 16/02/2023"/>
        <s v="Torotoro Ramen Bar Barangaroo AU"/>
        <s v="Fast Transfer From GEOFFREY COLLINS geoff"/>
        <s v="TRANSPORTFORNSW TAP SYDNEY AUS Card xx8188 Value Date: 14/02/2023"/>
        <s v="Telstra Direct Debit AUSTRALIA SA AUS Card xx8188 Value Date: 14/02/2023"/>
        <s v="SILVER SPOON BISTRO SURRY HILLS NS AUS Card xx8188 Value Date: 13/02/2023"/>
        <s v="Salary SERVAUPAYROLL 21363P 85920286"/>
        <s v="Wdl ATM CBA ATM 300ELIZABETH C NSW 203303 AUS"/>
        <s v="MIDJOURNEY INC. SOUTH SAN FRA CA USA Card xx8188 USD 11.00 Value Date: 13/02/2023"/>
        <s v="International Transaction Fee Value Date: 13/02/2023"/>
        <s v="COLES 0849 DRUMMOYNE AU AUS Card xx8188 Value Date: 12/02/2023"/>
        <s v="UBER *TRIP Sydney AU AUS Card xx8188 Value Date: 11/02/2023"/>
        <s v="THE GREENS NORTH SYDNEY AU AUS Card xx8188 Value Date: 11/02/2023"/>
        <s v="ALH VENUES 8733 CROWS NEST AU AUS Card xx8188 Value Date: 11/02/2023"/>
        <s v="TRANSPORTFORNSW TAP SYDNEY AUS Card xx8188 Value Date: 09/02/2023"/>
        <s v="WWW.ALIEXPRESS.COM LONDON GB GBR Card xx8188 AUD 26.02 Value Date: 08/02/2023"/>
        <s v="TRANSPORTFORNSW TAP SYDNEY AUS Card xx8188 Value Date: 07/02/2023"/>
        <s v="BAR TOSCA SYDNEY NS AUS Card xx8188 Value Date: 08/02/2023"/>
        <s v="SILVER SPOON BISTRO SURRY HILLS NS AUS Card xx8188 Value Date: 06/02/2023"/>
        <s v="Fast Transfer From Megan Cartwright RR2301 contemplate mix master RR2301 TOE"/>
        <s v="COLES 0849 DRUMMOYNE AU AUS Card xx8188 Value Date: 06/02/2023"/>
        <s v="UBER *EATS Sydney AU AUS Card xx8188 Value Date: 02/02/2023"/>
        <s v="HARRIS FARM MARKETSQPS DRUMMOYNE AUS Card xx8188 Value Date: 04/02/2023"/>
        <s v="HARRIS FARM MARKETS DRUMMOYNE AUS Card xx8188 Value Date: 05/02/2023"/>
        <s v="Transfer To Jonathan K Oliver CommBank App elec bill"/>
        <s v="TRANSPORTFORNSW TAP SYDNEY AUS Card xx8188 Value Date: 02/02/2023"/>
        <s v="TRANSPORTFORNSW TAP SYDNEY AUS Card xx8188 Value Date: 01/02/2023"/>
        <s v="Patreon* Membership INTERNET AUS Card xx8188 Value Date: 02/02/2023"/>
        <s v="NRMA LTD SYDNEY OLYMPI NS AUS Card xx8188 Value Date: 01/02/2023"/>
        <s v="MV&amp;CO THE VIETASTEZ NSWNSW AUS Card xx8188 Value Date: 01/02/2023"/>
        <s v="JOANNE WILLIAMS PTY LIMIT DRUMMOY NSW AU"/>
        <s v="Direct Credit 002221 MCARE BENEFITS 494043223 CYWQ"/>
        <s v="Salary SERVAUPAYROLL 21430P 85920286"/>
        <s v="Transfer To Jonathan K Oliver CommBank App internet"/>
        <s v="TRANSPORTFORNSW TAP SYDNEY AUS Card xx8188 Value Date: 31/01/2023"/>
        <s v="PHOTOWN Alexandria NS AUS Card xx8188 Value Date: 30/01/2023"/>
        <s v="Direct Debit 245164 HCFHEALTHANDLIFE 057233969SR9PFLEM5"/>
        <s v="UBER* EATS SYDNEY NS AUS Card xx8188 Value Date: 27/01/2023"/>
        <s v="HARRIS FARM MARKETSQPS DRUMMOYNE AUS Card xx8188 Value Date: 28/01/2023"/>
        <s v="COLES 0849 DRUMMOYNE AU AUS Card xx8188 Value Date: 29/01/2023"/>
        <s v="Fast Transfer From Krohn K R Pizza"/>
        <s v="Fast Transfer From JONATHAN OLIVER pizza"/>
        <s v="UBER *EATS Sydney AU AUS Card xx8188 Value Date: 25/01/2023"/>
        <s v="TRANSPORTFORNSW TAP SYDNEY AUS Card xx8188 Value Date: 26/01/2023"/>
        <s v="TRANSPORTFORNSW TAP SYDNEY AUS Card xx8188 Value Date: 25/01/2023"/>
        <s v="HARRIS FARM MARKETSQPS DRUMMOYNE AUS Card xx8188 Value Date: 26/01/2023"/>
        <s v="CHEMIST WAREHOUSE SYDNEY NS AUS Card xx8188 Value Date: 25/01/2023"/>
        <s v="BAR TOSCA SYDNEY NS AUS Card xx8188 Value Date: 25/01/2023"/>
        <s v="WW METRO 1669 SURRY HILLS AU AUS Card xx8188 Value Date: 25/01/2023"/>
        <s v="APPLE.COM/BILL SYDNEY AU AUS Card xx8188 Value Date: 22/01/2023"/>
        <s v="THE VINTAGE RECORD ANNANDALE NS AUS Card xx8188 Value Date: 22/01/2023"/>
        <s v="HARRIS FARM MARKETSQPS DRUMMOYNE AUS Card xx8188 Value Date: 23/01/2023"/>
        <s v="COLES 0849 DRUMMOYNE AU AUS Card xx8188 Value Date: 22/01/2023"/>
        <s v="TRANSPORTFORNSW TAP SYDNEY AUS Card xx8188 Value Date: 20/01/2023"/>
        <s v="SMP*Fat Fish Annandal Annandale AU AUS Card xx8188 Value Date: 22/01/2023"/>
        <s v="Return DISTROKID.COM NEW YORK NY USA Card xx8188 USD 35.99 Value Date: 19/01/2023"/>
        <s v="Nike Drummoyne Drummoyne AU AUS Card xx8188 Value Date: 22/01/2023"/>
        <s v="ICC Sydney Sydney NS AUS Card xx8188 Value Date: 20/01/2023"/>
        <s v="HARRY JUICE &amp; CO PTY L DRUMMOYNE AUS Card xx8188 Value Date: 22/01/2023"/>
        <s v="HARRIS FARM MARKETSQPS DRUMMOYNE AUS Card xx8188 Value Date: 21/01/2023"/>
        <s v="COLES EXPRESS 1617 DRUMMOYNE AU AUS Card xx8188 Value Date: 21/01/2023"/>
        <s v="7-ELEVEN 2048 DRUMMOYNE NS AUS Card xx8188 Value Date: 21/01/2023"/>
        <s v="HARRY JUICE &amp; CO PTY L DRUMMOYNE AU Card xx8188"/>
        <s v="HARRIS FARM MARKETS DRUMMOYNE AUS Card xx8188 Value Date: 19/01/2023"/>
        <s v="BAR TOSCA SYDNEY NS AUS Card xx8188 Value Date: 19/01/2023"/>
        <s v="Transfer To Joseph Sallustio CommBank App succulent chinese meal"/>
        <s v="TRANSPORTFORNSW TAP SYDNEY AUS Card xx8188 Value Date: 18/01/2023"/>
        <s v="NOVOTEL DARLING SQR SYDNEY AU Card xx8188"/>
        <s v="Telstra Direct Debit AUSTRALIA SA AUS Card xx8188 Value Date: 17/01/2023"/>
        <s v="Salary SERVAUPAYROLL 21233P 85920286"/>
        <s v="International Transaction Fee Value Date: 17/01/2023"/>
        <s v="DISTROKID.COM NEW YORK NY USA Card xx8188 USD 35.99 Value Date: 17/01/2023"/>
        <s v="UNIVERSAL AUDIO 8314401176 CA USA Card xx8188 USD 124.00 Value Date: 16/01/2023"/>
        <s v="TRANSPORTFORNSW TAP SYDNEY AUS Card xx8188 Value Date: 17/01/2023"/>
        <s v="Return Audible Limited AU MELBOURNE AU AUS Card xx8188 Value Date: 16/01/2023"/>
        <s v="MV&amp;CO THE VIETASTEZ NSWNSW AUS Card xx8188 Value Date: 16/01/2023"/>
        <s v="International Transaction Fee Value Date: 15/01/2023"/>
        <s v="CEX PTY LTD PARRAMATTA NS AUS Card xx8188 Value Date: 16/01/2023"/>
        <s v="UBER* EATS SYDNEY NS AUS Card xx8188 Value Date: 14/01/2023"/>
        <s v="MIDJOURNEY INC. SOUTH SAN FRA CA USA Card xx8188 USD 11.00 Value Date: 13/01/2023"/>
        <s v="International Transaction Fee Value Date: 13/01/2023"/>
        <s v="HARRIS FARM MARKETSQPS DRUMMOYNE AUS Card xx8188 Value Date: 15/01/2023"/>
        <s v="DEPOSIT CASH $655.00 CHEQUE $0.00 Branch 300 ELIZABETH ST SYDNEY"/>
        <s v="DEPOSIT CASH $101.00 CHEQUE $0.00 Branch 300 ELIZABETH ST SYDNEY"/>
        <s v="COLES 0849 DRUMMOYNE AU AUS Card xx8188 Value Date: 15/01/2023"/>
        <s v="7-ELEVEN 2048 DRUMMOYNE NS AUS Card xx8188 Value Date: 13/01/2023"/>
        <s v="NASER PTY LIMITED SYDNEY AU"/>
        <s v="OEH KIRRAWEE NS AUS Card xx8188 Value Date: 12/01/2023"/>
        <s v="MIDJOURNEY INC. SOUTH SAN FRA CA USA Card xx8188 USD 20.00 Value Date: 11/01/2023"/>
        <s v="International Transaction Fee Value Date: 10/01/2023"/>
        <s v="IGA DRUMMOYNE QPS DRUMMOYNE AUS Card xx8188 Value Date: 11/01/2023"/>
        <s v="HARRIS FARM MARKETSQPS DRUMMOYNE AUS Card xx8188 Value Date: 11/01/2023"/>
        <s v="Audible Limited AU MELBOURNE AU AUS Card xx8188 Value Date: 10/01/2023"/>
        <s v="UBER *EATS Sydney AU AUS Card xx8188 Value Date: 08/01/2023"/>
        <s v="MIDJOURNEY INC. SOUTH SAN FRA CA USA Card xx8188 USD 4.00 Value Date: 06/01/2023"/>
        <s v="International Transaction Fee Value Date: 06/01/2023"/>
        <s v="International Transaction Fee Value Date: 05/01/2023"/>
        <s v="Da Vinci's Restaurant Summer Hill NS AUS Card xx8188 Value Date: 07/01/2023"/>
        <s v="UBER *EATS Sydney AU AUS Card xx8188 Value Date: 05/01/2023"/>
        <s v="SQ *FAIR TRADE AT THE Summer Hill AU"/>
        <s v="Return Netflix.com Melbourne VI AUS Card xx8188 Value Date: 05/01/2023"/>
        <s v="Return NETFLIX.COM Melbourne AU AUS Card xx8188 Value Date: 05/01/2023"/>
        <s v="Netflix.com Melbourne VI AUS Card xx8188 Value Date: 04/01/2023"/>
        <s v="ARC AT UNSW LTD KENSINGTON AU Card xx8188"/>
        <s v="Entertainment and Rec - Transfer To Jonathan K Oliver CommBank App folamour"/>
        <s v="Salary SERVAUPAYROLL 20071P 85920286"/>
        <s v="COLES 0849 DRUMMOYNE AU AUS Card xx8188 Value Date: 03/01/2023"/>
        <s v="UBER* EATS SYDNEY NS AUS Card xx8188 Value Date: 02/01/2023"/>
        <s v="UBER *EATS Sydney AU AUS Card xx8188 Value Date: 31/12/2022"/>
        <s v="UBER *EATS Sydney AU AUS Card xx8188 Value Date: 29/12/2022"/>
        <s v="SMP*Ralph Lauren 7101 Drummoyne AU AUS Card xx8188 Value Date: 31/12/2022"/>
        <s v="Patreon* Membership INTERNET AUS Card xx8188 Value Date: 02/01/2023"/>
        <s v="IGA DRUMMOYNE QPS DRUMMOYNE AUS Card xx8188 Value Date: 30/12/2022"/>
        <s v="HUGO BOSS Australia Drummoyne AU AUS Card xx8188 Value Date: 31/12/2022"/>
        <s v="HARRIS FARM MARKETS DRUMMOYNE AUS Card xx8188 Value Date: 30/12/2022"/>
        <s v="COLES 0849 DRUMMOYNE AU AUS Card xx8188 Value Date: 02/01/2023"/>
        <s v="APPLE.COM/BILL SYDNEY AU AUS Card xx8188 Value Date: 30/12/2022"/>
        <s v="ACADEMY BRAND - BIRKEN Rosebery AU AUS Card xx8188 Value Date: 31/12/2022"/>
        <s v="Gladesville Sporties Gladesville AU"/>
        <s v="Direct Debit 245164 HCFHEALTHANDLIFE 057233969S6GIUSC4R"/>
        <s v="UBER *EATS Sydney AU AUS Card xx8188 Value Date: 28/12/2022"/>
        <s v="NETFLIX.COM Melbourne AU AUS Card xx8188 Value Date: 29/12/2022"/>
        <s v="Return Netflix.com Melbourne VI AUS Card xx8188 Value Date: 28/12/2022"/>
        <s v="WWW.LALAL.AI ZUG DU CHE Card xx8188 USD 15.00 Value Date: 27/12/2022"/>
        <s v="UNIVERSAL AUDIO 8314401176 CA USA Card xx8188 USD 49.00 Value Date: 25/12/2022"/>
        <s v="UBER *EATS Sydney AU AUS Card xx8188 Value Date: 23/12/2022"/>
        <s v="UBER *EATS Sydney AU AUS Card xx8188 Value Date: 22/12/2022"/>
        <s v="MIDJOURNEY INC. SOUTH SAN FRA CA USA Card xx8188 USD 4.00 Value Date: 23/12/2022"/>
        <s v="LIQUORLAND 3301 DRUMMOYNE AU AUS Card xx8188 Value Date: 24/12/2022"/>
        <s v="International Transaction Fee Value Date: 26/12/2022"/>
        <s v="International Transaction Fee Value Date: 24/12/2022"/>
        <s v="International Transaction Fee Value Date: 23/12/2022"/>
        <s v="DRI*iZotope iZotope.com NS AUS Card xx8188 Value Date: 26/12/2022"/>
        <s v="DESTROS PHARMACY DRUMMOYNE NS AUS Card xx8188 Value Date: 26/12/2022"/>
        <s v="COLES 0849 DRUMMOYNE AU AUS Card xx8188 Value Date: 24/12/2022"/>
        <s v="Transfer To Jonathan K Oliver CommBank App cafe"/>
        <s v="UBER *EATS Sydney AU AUS Card xx8188 Value Date: 21/12/2022"/>
        <s v="Salary SERVAUPAYROLL 20403P 85920286"/>
        <s v="CHARGRILL CHARLIES Drummoyne NS AUS Card xx8188 Value Date: 20/12/2022"/>
        <s v="UBER *EATS Sydney AU AUS Card xx8188 Value Date: 19/12/2022"/>
        <s v="HAYDEN THEATRES CREMORNE AU Card xx8188"/>
        <s v="7-ELEVEN 2048 DRUMMOYNE NS AUS Card xx8188 Value Date: 18/12/2022"/>
        <s v="UBER* EATS SYDNEY NS AUS Card xx8188 Value Date: 17/12/2022"/>
        <s v="UBER *EATS Sydney AU AUS Card xx8188 Value Date: 18/12/2022"/>
        <s v="ROSE TURKISH GOZLEME H DRUMMOYNE AUS Card xx8188 Value Date: 16/12/2022"/>
        <s v="HARRY JUICE &amp; CO PTY L DRUMMOYNE AUS Card xx8188 Value Date: 16/12/2022"/>
        <s v="PRYDE MEATS RYDE AU Card xx8188"/>
        <s v="ETERNAL HEALTH GROUP RYDE NSWAU"/>
        <s v="Telstra Direct Debit AUSTRALIA SA AUS Card xx8188 Value Date: 15/12/2022"/>
        <s v="IGA DRUMMOYNE QPS DRUMMOYNE AUS Card xx8188 Value Date: 15/12/2022"/>
        <s v="TRANSPORTFORNSW TAP SYDNEY AUS Card xx8188 Value Date: 14/12/2022"/>
        <s v="SEOG KYU CHOI DRUMMOYNE AUS Card xx8188 Value Date: 14/12/2022"/>
        <s v="Transfer To Jonathan K Oliver CommBank App bills to date excl water"/>
        <s v="MIDJOURNEY INC. SAN FRANCISCO CA USA Card xx8188 USD 29.39 Value Date: 13/12/2022"/>
        <s v="International Transaction Fee Value Date: 13/12/2022"/>
        <s v="HARRIS FARM MARKETSQPS DRUMMOYNE AUS Card xx8188 Value Date: 13/12/2022"/>
        <s v="CHARGRILL CHARLIES Drummoyne NS AUS Card xx8188 Value Date: 13/12/2022"/>
        <s v="BWS LIQUOR 1601 DRUMMOYNE AU AUS Card xx8188 Value Date: 13/12/2022"/>
        <s v="7-ELEVEN 2048 DRUMMOYNE NS AUS Card xx8188 Value Date: 13/12/2022"/>
        <s v="TRANSPORTFORNSW TAP SYDNEY AUS Card xx8188 Value Date: 13/12/2022"/>
        <s v="GM CABS PTY LTD MASCOT AUS Card xx8188 Value Date: 10/12/2022"/>
        <s v="BAR TOSCA SYDNEY NS AUS Card xx8188 Value Date: 12/12/2022"/>
        <s v="UBER *TRIP Sydney AU AUS Card xx8188 Value Date: 11/12/2022"/>
        <s v="TRANSPORTFORNSW TAP SYDNEY AUS Card xx8188 Value Date: 11/12/2022"/>
        <s v="TRANSPORTFORNSW TAP SYDNEY AUS Card xx8188 Value Date: 10/12/2022"/>
        <s v="SEOG KYU CHOI DRUMMOYNE AUS Card xx8188 Value Date: 09/12/2022"/>
        <s v="Patreon* Membership INTERNET AUS Card xx8188 Value Date: 09/12/2022"/>
        <s v="OFFICEWORKS 0201 FIVE DOCK AU AUS Card xx8188 Value Date: 09/12/2022"/>
        <s v="MEGA LIMITED AUCKLAND NZL Card xx8188 EUR 4.99 Value Date: 09/12/2022"/>
        <s v="MCDONALDS DRUMMOYNE DRUMMOYNE AUS Card xx8188 Value Date: 08/12/2022"/>
        <s v="International Transaction Fee Value Date: 09/12/2022"/>
        <s v="TRANSPORTFORNSW TAP SYDNEY AUS Card xx8188 Value Date: 08/12/2022"/>
        <s v="PHOTOWN Alexandria NS AUS Card xx8188 Value Date: 08/12/2022"/>
        <s v="Transfer To Josh Hatfield CommBank App dinner"/>
        <s v="Netflix.com Melbourne VI AUS Card xx8188 Value Date: 08/12/2022"/>
        <s v="Fast Transfer From MASOUMEH GHOLAMSHAHI Happy Birthday Azizam Mum to U"/>
        <s v="SEOG KYU CHOI DRUMMOYNE AUS Card xx8188 Value Date: 06/12/2022"/>
        <s v="Salary SERVAUPAYROLL 21243P 85920286"/>
        <s v="DRI*iZotope iZotope.com NS AUS Card xx8188 Value Date: 05/12/2022"/>
        <s v="TRANSPORTFORNSW TAP SYDNEY AUS Card xx8188 Value Date: 06/12/2022"/>
        <s v="PHOTOWN Alexandria NS AUS Card xx8188 Value Date: 05/12/2022"/>
        <s v="7-ELEVEN 2118 CAMPERDOWN NS AUS Card xx8188 Value Date: 04/12/2022"/>
        <s v="UBER *EATS Sydney AU AUS Card xx8188 Value Date: 03/12/2022"/>
        <s v="UBER *EATS Sydney AU AUS Card xx8188 Value Date: 02/12/2022"/>
        <s v="Fast Transfer From H Roozbehani Happy birthday Homayoun"/>
        <s v="UNCLE TETSU AUSTRALI SYDNEY AU"/>
        <s v="Transfer To Warren Bishop CommBank App rodney gift"/>
        <s v="REVERB.COM LLC CHICAGO IL USA Card xx8188 USD 63.29 Value Date: 01/12/2022 - Fee for transaction"/>
        <s v="International Transaction Fee Value Date: 01/12/2022"/>
        <s v="Fast Transfer From JONATHAN OLIVER pizza pizza"/>
        <s v="BP EXPRESS 2241 WEST RYDE NS AUS Card xx8188 Value Date: 29/11/2022"/>
        <s v="Direct Debit 245164 HCFHEALTHANDLIFE 057233969SFC78AD9C"/>
        <s v="COLES 0849 DRUMMOYNE AU AUS Card xx8188 Value Date: 28/11/2022"/>
        <s v="Direct Credit 012721 ATO ATO007000017224616"/>
        <s v="Transfer To RAMTEAN ROOZBEHANI CommBank App email server"/>
        <s v="WWRD AUSTRALIA PTY LTD ARNDELL PARK NS AUS Card xx8188 Value Date: 25/11/2022"/>
        <s v="UNIVERSAL AUDIO 8314401176 CA USA Card xx8188 USD 99.00 Value Date: 25/11/2022"/>
        <s v="UNIVERSAL AUDIO 8314401176 CA USA Card xx8188 USD 399.00 Value Date: 25/11/2022"/>
        <s v="UBER* EATS SYDNEY NS AUS Card xx8188 Value Date: 27/11/2022"/>
        <s v="UBER* EATS SYDNEY NS AUS Card xx8188 Value Date: 26/11/2022"/>
        <s v="UBER *EATS Sydney AU AUS Card xx8188 Value Date: 25/11/2022"/>
        <s v="SCORPTEC COMPUTERS AUBURN AU Card xx8188 - Brateck Single Monitor Pole-Mounted Gas Spring Arm,"/>
        <s v="International Transaction Fee Value Date: 24/11/2022"/>
        <s v="DOORDASH*DOS SENORITAS MELBOURNE VI AUS Card xx8188 Value Date: 27/11/2022"/>
        <s v="7-ELEVEN 2048 DRUMMOYNE NS AUS Card xx8188 Value Date: 27/11/2022"/>
        <s v="Direct Credit 617702 PAYPAL AUSTRALIA 1023753557769 Roger Linn Linnstrument"/>
        <s v="Samsung Electronics AU Sydney AU AUS Card xx8188 Value Date: 23/11/2022 - Desktop monitor"/>
        <s v="7-ELEVEN 2048 DRUMMOYNE NS AUS Card xx8188 Value Date: 23/11/2022"/>
        <s v="Salary SERVAUPAYROLL 21515P 85920286"/>
        <s v="COLES 0849 DRUMMOYNE AU AUS Card xx8188 Value Date: 22/11/2022"/>
        <s v="UBER* EATS SYDNEY NS AUS Card xx8188 Value Date: 21/11/2022"/>
        <s v="OFFICEWORKS 0209 GLEBE AU AUS Card xx8188 Value Date: 21/11/2022"/>
        <s v="eBay O*05-09371-02454 San Jose CA USA Card xx8188 AUD 1558.69 Value Date: 21/11/2022 UAD DSP Octo Card"/>
        <s v="UBER* EATS SYDNEY NS AUS Card xx8188 Value Date: 20/11/2022"/>
        <s v="UBER* EATS SYDNEY NS AUS Card xx8188 Value Date: 18/11/2022"/>
        <s v="JAKEREEDMUSIC.COM SOUTH PASADEN CA USA Card xx8188 USD 30.00 Value Date: 19/11/2022"/>
        <s v="International Transaction Fee Value Date: 19/11/2022"/>
        <s v="DOORDASH*DOS SENORITAS MELBOURNE VI AUS Card xx8188 Value Date: 20/11/2022"/>
        <s v="DOORDASH*DOS SENORITAS MELBOURNE VI AUS Card xx8188 Value Date: 19/11/2022"/>
        <s v="Transfer To Jonathan K Oliver CommBank App frappe"/>
        <s v="UBER* EATS SYDNEY NS AUS Card xx8188 Value Date: 16/11/2022"/>
        <s v="DYMOCKS ONLINE SYDNEY AUS Card xx8188 Value Date: 18/11/2022"/>
        <s v="Bowan IslandDrummoyne Drummoyne NS AUS Card xx8188 Value Date: 17/11/2022"/>
        <s v="BELFIELD MUSIC PTY LTD BASS HILL NSW AU Card xx8188 - PKS7902 Support Arm Kit Suit"/>
        <s v="Transfer To Rodney Mazik PayID Phone from CommBank App for sue"/>
        <s v="Transfer To Jonathan K Oliver CommBank App macattack"/>
        <s v="TRANSPORTFORNSW TAP SYDNEY AUS Card xx8188 Value Date: 16/11/2022"/>
        <s v="TICKETEK PTY LTD WEB SYDNEY AUS Card xx8188 Value Date: 16/11/2022"/>
        <s v="Telstra Direct Debit AUSTRALIA SA AUS Card xx8188 Value Date: 16/11/2022"/>
        <s v="PHOTOWN Alexandria NS AUS Card xx8188 Value Date: 15/11/2022"/>
        <s v="JASMIN 1 LEICHHARDT LEICHHARDT NSWAU"/>
        <s v="eBay O*04-09345-39795 Sydney AU AUS Card xx8188 Value Date: 15/11/2022"/>
        <s v="UBER* EATS SYDNEY NS AUS Card xx8188 Value Date: 14/11/2022"/>
        <s v="UBER *EATS Sydney AU AUS Card xx8188 Value Date: 13/11/2022"/>
        <s v="SoundCloud Monthly Go Berlin DE DEU Card xx8188 AUD 5.99 Value Date: 14/11/2022"/>
        <s v="UBER* EATS SYDNEY NS AUS Card xx8188 Value Date: 11/11/2022"/>
        <s v="MIDJOURNEY INC. SAN FRANCISCO CA USA Card xx8188 USD 22.85 Value Date: 13/11/2022"/>
        <s v="International Transaction Fee Value Date: 13/11/2022"/>
        <s v="Fast Transfer From James Mitchell White to PayID Phone Payment 2/2 for Roland Jupiter 80 Keyboard (second hand sale)"/>
        <s v="COLES 0849 DRUMMOYNE AU AUS Card xx8188 Value Date: 12/11/2022"/>
        <s v="Fast Transfer From James Mitchell White to PayID Phone Payment 1/2 for Roland Jupiter 80 (second hand sale)"/>
        <s v="Transfer To Jonathan K Oliver CommBank App rio"/>
        <s v="TRANSPORTFORNSW TAP SYDNEY AUS Card xx8188 Value Date: 10/11/2022"/>
        <s v="CHARGRILL CHARLIES Drummoyne NS AUS Card xx8188 Value Date: 10/11/2022"/>
        <s v="TRANSPORTFORNSW TAP SYDNEY AUS Card xx8188 Value Date: 09/11/2022"/>
        <s v="AGR SERVICES PTY LTD SYDNEY NS AUS Card xx8188 Value Date: 08/11/2022"/>
        <s v="Salary SERVAUPAYROLL 20534P 85920286"/>
        <s v="MASSAGE LINK RYDE NS AUS Card xx8188 Value Date: 07/11/2022"/>
        <s v="HAPPYFIELD Haberfield NS AUS Card xx8188 Value Date: 07/11/2022"/>
        <s v="Crystal Carwash Cafe Haberfield NS AUS Card xx8188 Value Date: 07/11/2022"/>
        <s v="COLES 0849 DRUMMOYNE AU AUS Card xx8188 Value Date: 06/11/2022"/>
        <s v="7-ELEVEN 2048 DRUMMOYNE NS AUS Card xx8188 Value Date: 07/11/2022"/>
        <s v="UBER *EATS Sydney AU AUS Card xx8188 Value Date: 05/11/2022"/>
        <s v="Your Choice Pharmacy Haberfield AU"/>
        <s v="DAVID GOJAK'S MEATS HABERFIELD AU"/>
        <s v="TRANSPORTFORNSW TAP SYDNEY AUS Card xx8188 Value Date: 03/11/2022"/>
        <s v="TRANSPORTFORNSW TAP SYDNEY AUS Card xx8188 Value Date: 02/11/2022"/>
        <s v="Camy's Chargrill SH Surry Hills NS AUS Card xx8188 Value Date: 01/11/2022"/>
        <s v="TRANSPORTFORNSW TAP SYDNEY AUS Card xx8188 Value Date: 01/11/2022"/>
        <s v="SUSHI OTAKU SURRY HILLS NS AUS Card xx8188 Value Date: 31/10/2022"/>
        <s v="UBER *EATS Sydney AU AUS Card xx8188 Value Date: 29/10/2022"/>
        <s v="Direct Debit 245164 HCFHEALTHANDLIFE 057233969SY729ZIC9"/>
        <s v="COLES 0849 DRUMMOYNE AU AUS Card xx8188 Value Date: 30/10/2022"/>
        <s v="Transfer To Jonathan K Oliver CommBank App iou"/>
        <s v="Salary SERVAUPAYROLL 20424P 85920286"/>
        <s v="COLES 0849 DRUMMOYNE AU AUS Card xx8188 Value Date: 24/10/2022"/>
        <s v="TRANSPORTFORNSW TAP SYDNEY AUS Card xx8188 Value Date: 25/10/2022"/>
        <s v="BLACKWALL CAFE CHISWICK AU"/>
        <s v="Transfer To Jonathan K Oliver CommBank App food iou"/>
        <s v="Transfer To Jonathan K Oliver CommBank App weed"/>
        <s v="UBER *EATS Sydney AU AUS Card xx8188 Value Date: 23/10/2022"/>
        <s v="UBER *EATS Sydney AU AUS Card xx8188 Value Date: 22/10/2022"/>
        <s v="UBER *EATS Sydney AU AUS Card xx8188 Value Date: 20/10/2022"/>
        <s v="TRANSPORTFORNSW TAP SYDNEY AUS Card xx8188 Value Date: 24/10/2022"/>
        <s v="Fast Transfer From ZAHRA NOURI EMAMZADEH Zahra Braza"/>
        <s v="BRAZA CHURRASCARIA PTY SYDNEY AU Card xx8188"/>
        <s v="TRANSPORTFORNSW TAP SYDNEY AUS Card xx8188 Value Date: 20/10/2022"/>
        <s v="TRANSPORTFORNSW TAP SYDNEY AUS Card xx8188 Value Date: 19/10/2022"/>
        <s v="Telstra Direct Debit AUSTRALIA SA AUS Card xx8188 Value Date: 18/10/2022"/>
        <s v="COLES 0849 DRUMMOYNE AU AUS Card xx8188 Value Date: 18/10/2022"/>
        <s v="Syd Aprt Intnl Carp50 Sydney NS AUS Card xx8188 Value Date: 17/10/2022"/>
        <s v="Syd Aprt Dom Carp54 Sydney NS AUS Card xx8188 Value Date: 17/10/2022"/>
        <s v="SUSHI OTAKU SURRY HILLS NS AUS Card xx8188 Value Date: 18/10/2022"/>
        <s v="Fast Transfer From Krohn K R to PayID Phone Dinner legend"/>
        <s v="UBER *EATS Sydney AU AUS Card xx8188 Value Date: 17/10/2022"/>
        <s v="WWW.PACIFICCONCE* ME&amp;U THE ROCKS NS AUS Card xx8188 Value Date: 16/10/2022"/>
        <s v="UBER* EATS SYDNEY NS AUS Card xx8188 Value Date: 16/10/2022"/>
        <s v="UBER *EATS Sydney AU AUS Card xx8188 Value Date: 15/10/2022"/>
        <s v="UBER *EATS Sydney AU AUS Card xx8188 Value Date: 13/10/2022"/>
        <s v="TRANSPORTFORNSW TAP SYDNEY AUS Card xx8188 Value Date: 17/10/2022"/>
        <s v="SoundCloud Monthly Go Berlin DE DEU Card xx8188 AUD 5.99 Value Date: 15/10/2022"/>
        <s v="ROSE TURKISH GOZLEME H DRUMMOYNE AUS Card xx8188 Value Date: 14/10/2022"/>
        <s v="MANNYS Alexandria NS AUS Card xx8188 Value Date: 15/10/2022"/>
        <s v="HOKKA HOKKA DRUMMOYNE NS AUS Card xx8188 Value Date: 14/10/2022"/>
        <s v="COLES 0849 DRUMMOYNE AU AUS Card xx8188 Value Date: 14/10/2022"/>
        <s v="WINGHAUS GATEWAY Sydney AU"/>
        <s v="UBER *EATS Sydney AU AUS Card xx8188 Value Date: 12/10/2022"/>
        <s v="TRANSPORTFORNSW TAP SYDNEY AUS Card xx8188 Value Date: 13/10/2022"/>
        <s v="Return MIDJOURNEY INC. SAN FRANCISCO CA USA Card xx8188 USD 11.00 Value Date: 13/10/2022"/>
        <s v="MIDJOURNEY INC. SAN FRANCISCO CA USA Card xx8188 USD 11.00 Value Date: 13/10/2022"/>
        <s v="International Transaction Fee Value Date: 13/10/2022"/>
        <s v="TRANSPORTFORNSW TAP SYDNEY AUS Card xx8188 Value Date: 12/10/2022"/>
        <s v="PHOTOWN Alexandria NS AUS Card xx8188 Value Date: 12/10/2022"/>
        <s v="Salary SERVAUPAYROLL 20263P 85920286"/>
        <s v="TRANSPORTFORNSW TAP SYDNEY AUS Card xx8188 Value Date: 11/10/2022"/>
        <s v="DESTROS PHARMACY DRUMMOYNE NS AUS Card xx8188 Value Date: 08/10/2022"/>
        <s v="COLES 0849 DRUMMOYNE AU AUS Card xx8188 Value Date: 10/10/2022"/>
        <s v="UBER *TRIP Sydney AU AUS Card xx8188 Value Date: 09/10/2022"/>
        <s v="MIDJOURNEY INC. SAN FRANCISCO CA USA Card xx8188 USD 11.00 Value Date: 07/10/2022"/>
        <s v="International Transaction Fee Value Date: 06/10/2022"/>
        <s v="EG GROUP 1296 WEST RYDE AU AUS Card xx8188 Value Date: 08/10/2022"/>
        <s v="Wdl ATM ETX Odeon Plaza OS Drummoyne AU"/>
        <s v="UBER *EATS Sydney AU AUS Card xx8188 Value Date: 03/10/2022"/>
        <s v="TRANSPORTFORNSW TAP SYDNEY AUS Card xx8188 Value Date: 05/10/2022"/>
        <s v="COLES 0849 DRUMMOYNE AU AUS Card xx8188 Value Date: 04/10/2022"/>
        <s v="UBER *EATS Sydney AU AUS Card xx8188 Value Date: 01/10/2022"/>
        <s v="DOORDASH*OPORTO MELBOURNE VI AUS Card xx8188 Value Date: 02/10/2022"/>
        <s v="Direct Debit 245164 HCFHEALTHANDLIFE 057233969SKO0YSQOB"/>
        <s v="TRANSPORTFORNSW TAP SYDNEY AUS Card xx8188 Value Date: 28/09/2022"/>
        <s v="Salary SERVAUPAYROLL 20222P 85920286"/>
        <s v="BAR TOSCA SYDNEY NS AUS Card xx8188 Value Date: 27/09/2022"/>
        <s v="UBER *EATS Sydney AU AUS Card xx8188 Value Date: 25/09/2022"/>
        <s v="TRANSPORTFORNSW TAP SYDNEY AUS Card xx8188 Value Date: 27/09/2022"/>
        <s v="SUBWAY HAYMARKET SYDNEY NS AUS Card xx8188 Value Date: 26/09/2022"/>
        <s v="PHOTOWN Alexandria NS AUS Card xx8188 Value Date: 26/09/2022"/>
        <s v="GM CABS PTY LTD MASCOT AUS Card xx8188 Value Date: 25/09/2022"/>
        <s v="UBER *TRIP Sydney AU AUS Card xx8188 Value Date: 24/09/2022"/>
        <s v="SMP*Ralph Lauren 7101 Drummoyne AU AUS Card xx8188 Value Date: 24/09/2022"/>
        <s v="Return No account or incorrect account no Kris Gusti Johns Bucks Value Date: 26/09/2022"/>
        <s v="IGA ABBOTSFORD WAREEMBA AU Card xx8188"/>
        <s v="Fast Transfer From KRISTOFER GUSTI Payback"/>
        <s v="Entertainment and Rec - Transfer To Kris Gusti CommBank App johns bucks"/>
        <s v="Entertainment and Rec - Transfer To Kris Gusti CommBank App entertainment"/>
        <s v="Transfer To Alex Grierson CommBank App dinner"/>
        <s v="Surly's Surry Hills AU"/>
        <s v="PICTON KARTING TRACK PICTON NSWAU"/>
        <s v="MCDONALDS CROYDON PRK CROYDON PARK NSWAU"/>
        <s v="LIQUOR ON OXFORD DARLINGHURST AU Card xx8188"/>
        <s v="Transfer to other Bank NetBank Johns Bucks"/>
        <s v="COLES 0849 DRUMMOYNE AU AUS Card xx8188 Value Date: 19/09/2022"/>
        <s v="UBER *EATS Sydney AU AUS Card xx8188 Value Date: 18/09/2022"/>
        <s v="SoundCloud Monthly Go Berlin DE DEU Card xx8188 AUD 5.99 Value Date: 15/09/2022"/>
        <s v="TRANSPORTFORNSW TAP SYDNEY AUS Card xx8188 Value Date: 15/09/2022"/>
        <s v="Telstra Direct Debit AUSTRALIA SA AUS Card xx8188 Value Date: 14/09/2022"/>
        <s v="BAR TOSCA SYDNEY NS AUS Card xx8188 Value Date: 14/09/2022"/>
        <s v="TRANSPORTFORNSW TAP SYDNEY AUS Card xx8188 Value Date: 14/09/2022"/>
        <s v="SUSHI OTAKU SURRY HILLS NS AUS Card xx8188 Value Date: 13/09/2022"/>
        <s v="COLES 0849 DRUMMOYNE AU AUS Card xx8188 Value Date: 12/09/2022"/>
        <s v="UBER *EATS Sydney AU AUS Card xx8188 Value Date: 11/09/2022"/>
        <s v="COLES 0849 DRUMMOYNE AU AUS Card xx8188 Value Date: 10/09/2022"/>
        <s v="Audible Limited AU MELBOURNE AU AUS Card xx8188 Value Date: 10/09/2022"/>
        <s v="BUNNINGS 370000 ALEXANDRIA AU Card xx8188"/>
        <s v="TRANSPORTFORNSW TAP SYDNEY AUS Card xx8188 Value Date: 07/09/2022"/>
        <s v="TRANSPORTFORNSW TAP SYDNEY AUS Card xx8188 Value Date: 06/09/2022"/>
        <s v="PHOTOWN Alexandria NS AUS Card xx8188 Value Date: 05/09/2022"/>
        <s v="GM CABS PTY LTD MASCOT AUS Card xx8188 Value Date: 05/09/2022"/>
        <s v="COLES 0849 DRUMMOYNE AU AUS Card xx8188 Value Date: 05/09/2022"/>
        <s v="CCWEB SDRO PARRAMATTA NS AUS Card xx8188 Value Date: 04/09/2022"/>
        <s v="ALH VENUES 8758 MANLY AU AUS Card xx8188 Value Date: 05/09/2022"/>
        <s v="MANNYS Alexandria NS AUS Card xx8188 Value Date: 02/09/2022"/>
        <s v="Opera Bar Sydney AU"/>
        <s v="TRANSPORTFORNSW TAP SYDNEY AUS Card xx8188 Value Date: 01/09/2022"/>
        <s v="PHOTOWN Alexandria NS AUS Card xx8188 Value Date: 31/08/2022"/>
        <s v="COLES 0849 DRUMMOYNE AU AUS Card xx8188 Value Date: 31/08/2022"/>
        <s v="TRANSPORTFORNSW TAP SYDNEY AUS Card xx8188 Value Date: 31/08/2022"/>
        <s v="SUSHI OTAKU SURRY HILLS NS AUS Card xx8188 Value Date: 30/08/2022"/>
        <s v="Salary SERVAUPAYROLL 20215P 85920286"/>
        <s v="Direct Debit 245164 HCFHEALTHANDLIFE 057233969SQ7DK2GGM"/>
        <s v="COLES 0849 DRUMMOYNE AU AUS Card xx8188 Value Date: 29/08/2022"/>
        <s v="TRANSPORTFORNSW TAP SYDNEY AUS Card xx8188 Value Date: 30/08/2022"/>
        <s v="AREZZO JEWELLERY TOP RYDE NS AUS Card xx8188 Value Date: 28/08/2022"/>
        <s v="Mr Cutz Top Ryde NS AUS Card xx8188 Value Date: 28/08/2022"/>
        <s v="DOORDASH*FORLI RISTORA MELBOURNE VI AUS Card xx8188 Value Date: 27/08/2022"/>
        <s v="Wdl ATM NAB NAB ATM SH LG2 1028 AU"/>
        <s v="SMP*Dominos Pizza Drum Drummoyne02 AU"/>
        <s v="Priceland Ryde AU"/>
        <s v="COVAU PTY LIMITED SYDNEY AU Card xx8188"/>
        <s v="WW METRO 1669 SURRY HILLS AU AUS Card xx8188 Value Date: 23/08/2022"/>
        <s v="WOOLWORTHS 1248 SYDNEY AU AUS Card xx8188 Value Date: 23/08/2022"/>
        <s v="TRANSPORTFORNSW TAP SYDNEY AUS Card xx8188 Value Date: 24/08/2022"/>
        <s v="SPEEDWAY WEST RYDE WEST RYDE NS AUS Card xx8188 Value Date: 22/08/2022"/>
        <s v="Umart Online Milton AU AUS Card xx8188 Value Date: 22/08/2022"/>
        <s v="TRANSPORTFORNSW TAP SYDNEY AUS Card xx8188 Value Date: 23/08/2022"/>
        <s v="SUSHI OTAKU SURRY HILLS NS AUS Card xx8188 Value Date: 22/08/2022"/>
        <s v="MCDONALDS DRUMMOYNE DRUMMOYNE AUS Card xx8188 Value Date: 21/08/2022"/>
        <s v="COLES 0849 DRUMMOYNE AU AUS Card xx8188 Value Date: 21/08/2022"/>
        <s v="Umart Online Milton AU AUS Card xx8188 Value Date: 21/08/2022"/>
        <s v="BAHAR SPRING PTY. LI RYDE NS AUS Card xx8188 Value Date: 19/08/2022"/>
        <s v="Fast Transfer From ZAHRA NOURI EMAMZADEH Zahra coffee"/>
        <s v="SP DUTCHVINYL ABBOTSFORD VI AUS Card xx8188 Value Date: 18/08/2022"/>
        <s v="Fast Transfer From ZAHRA NOURI EMAMZADEH Zahra Dinner and coffee"/>
        <s v="TRANSPORTFORNSW TAP SYDNEY AUS Card xx8188 Value Date: 18/08/2022"/>
        <s v="SQ *FARSI RESTAURANT Ryde AU"/>
        <s v="SERVICE NSW 4007 HAYMARKET AUS Card xx8188 Value Date: 17/08/2022"/>
        <s v="PHOTOWN Alexandria NS AUS Card xx8188 Value Date: 17/08/2022"/>
        <s v="ALDI STORES - GLADESVI GLADESVILLE AU Card xx8188"/>
        <s v="TRANSPORTFORNSW TAP SYDNEY AUS Card xx8188 Value Date: 17/08/2022"/>
        <s v="Telstra Direct Debit AUSTRALIA SA AUS Card xx8188 Value Date: 16/08/2022"/>
        <s v="SUBWAY HAYMARKET SYDNEY NS AUS Card xx8188 Value Date: 16/08/2022"/>
        <s v="SoundCloud Monthly Go Berlin DE DEU Card xx8188 AUD 5.99 Value Date: 16/08/2022"/>
        <s v="Salary SERVAUPAYROLL 20254P 85920286"/>
        <s v="PHOTOWN Alexandria NS AUS Card xx8188 Value Date: 16/08/2022"/>
        <s v="NRMA HUT HURSTVILLE NS AUS Card xx8188 Value Date: 16/08/2022"/>
        <s v="SDRO INFRNGMNT PAYME MAITLAND NS AUS Card xx8188 Value Date: 14/08/2022"/>
        <s v="Fast Transfer From BISHOP WARREN GRANT to PayID Phone CLINTON GIFT"/>
        <s v="COLES 0849 DRUMMOYNE AU AUS Card xx8188 Value Date: 15/08/2022"/>
        <s v="UBER *EATS Sydney AU AUS Card xx8188 Value Date: 13/08/2022"/>
        <s v="Fast Transfer From Mr Jolan Warren Clinton Monkey Power"/>
        <s v="Fast Transfer From Chris McMahon Clinton gift"/>
        <s v="DOORDASH*DOS SENORITAS MELBOURNE VI AUS Card xx8188 Value Date: 14/08/2022"/>
        <s v="Direct Credit 027571 D A ZAPPACOSTA Clinton"/>
        <s v="Fast Transfer From Sue M Hamilton From sue for clinton from Sue for Clinton"/>
        <s v="Fast Transfer From RODNEY MAZIK Rod4Clinton"/>
        <s v="Fast Transfer From YIXUAN LIAO to PayID Phone Moog Lp thanks"/>
        <s v="Transfer To Jonathan K Oliver CommBank App pizza"/>
        <s v="COLES 0849 DRUMMOYNE AU AUS Card xx8188 Value Date: 09/08/2022"/>
        <s v="Audible Limited AU MELBOURNE AU AUS Card xx8188 Value Date: 10/08/2022"/>
        <s v="WW METRO 1669 SURRY HILLS AU AUS Card xx8188 Value Date: 09/08/2022"/>
        <s v="TRANSPORTFORNSW TAP SYDNEY AUS Card xx8188 Value Date: 10/08/2022"/>
        <s v="SQ *ELIZABETH STREET Surry Hills AU AUS Card xx8188 Value Date: 08/08/2022"/>
        <s v="PHOTOWN Alexandria NS AUS Card xx8188 Value Date: 09/08/2022"/>
        <s v="7-ELEVEN 2048 DRUMMOYNE NS AUS Card xx8188 Value Date: 09/08/2022"/>
        <s v="TRANSPORTFORNSW TAP SYDNEY AUS Card xx8188 Value Date: 09/08/2022"/>
        <s v="COLES 0849 DRUMMOYNE AU AUS Card xx8188 Value Date: 07/08/2022"/>
        <s v="UBER *EATS Sydney AU AUS Card xx8188 Value Date: 07/08/2022"/>
        <s v="UBER *EATS Sydney AU AUS Card xx8188 Value Date: 04/08/2022"/>
        <s v="TRANSPORTFORNSW TAP SYDNEY AUS Card xx8188 Value Date: 06/08/2022"/>
        <s v="ROZELLE AUTOMOTIVE ROZELLE NS AUS Card xx8188 Value Date: 05/08/2022"/>
        <s v="TENKOMORI SYDNEY AU Card xx8188"/>
        <s v="Transfer To Joseph Sallustio CommBank App birthday lunch"/>
        <s v="Transfer To Peter Johnson CommBank App karaoke"/>
        <s v="TRANSPORTFORNSW TAP SYDNEY AUS Card xx8188 Value Date: 05/08/2022"/>
        <s v="KARAOKE WORLD SYDNEY NSWAU"/>
        <s v="SDRO INFRNGMNT PAYME MAITLAND NS AUS Card xx8188 Value Date: 02/08/2022"/>
        <s v="DOORDASH*MCDONALDS MELBOURNE VI AUS Card xx8188 Value Date: 03/08/2022"/>
        <s v="COLES 0849 DRUMMOYNE AU AUS Card xx8188 Value Date: 03/08/2022"/>
        <s v="Salary SERVAUPAYROLL 20274P 85920286"/>
        <s v="TRANSPORTFORNSW TAP SYDNEY AUS Card xx8188 Value Date: 02/08/2022"/>
        <s v="GM CABS PTY LTD MASCOT AUS Card xx8188 Value Date: 30/07/2022"/>
        <s v="COLES 0849 DRUMMOYNE AU AUS Card xx8188 Value Date: 31/07/2022"/>
        <s v="UBER* TRIP SYDNEY NS AUS Card xx8188 Value Date: 31/07/2022"/>
        <s v="Tickets-SUTRA SUNRISE MCMAHONS POIN AU AUS Card xx8188 Value Date: 30/07/2022"/>
        <s v="Sackville Hotel Rozelle NS AUS Card xx8188 Value Date: 30/07/2022"/>
        <s v="BRIDGE HOTEL ROZELLE ROZELLE NS AUS Card xx8188 Value Date: 31/07/2022"/>
        <s v="Direct Debit 245164 HCFHEALTHANDLIFE 057233969S8MZCF4XB"/>
        <s v="Wdl ATM CAS BOWCLIFF PTY LTD ROZELLE NS AU"/>
        <s v="Fast Transfer From NATHAN SINGH to PayID Phone Foodie"/>
        <s v="WTW FOOD PTY LTD BURWOOD NS AUS Card xx8188 Value Date: 27/07/2022"/>
        <s v="TRANSPORTFORNSW TAP SYDNEY AUS Card xx8188 Value Date: 28/07/2022"/>
        <s v="BAR TOSCA SYDNEY NS AUS Card xx8188 Value Date: 27/07/2022"/>
        <s v="WOOLWORTHS 1248 SYDNEY AU AUS Card xx8188 Value Date: 26/07/2022"/>
        <s v="TRANSPORTFORNSW TAP SYDNEY AUS Card xx8188 Value Date: 27/07/2022"/>
        <s v="TRANSPORTFORNSW TAP SYDNEY AUS Card xx8188 Value Date: 26/07/2022"/>
        <s v="EMPANADAS FACTORY ROZELLE NS AUS Card xx8188 Value Date: 24/07/2022"/>
        <s v="DA JIAN CHEN BURWOOD AU"/>
        <s v="CHEMIST WAREHOUSE BIRK DRUMMOYNE NS AUS Card xx8188 Value Date: 23/07/2022"/>
        <s v="BAR TOSCA SYDNEY NS AUS Card xx8188 Value Date: 25/07/2022"/>
        <s v="SQ *ELIZABETH STREET Surry Hills AU"/>
        <s v="MEANDU *ROCKPOOL DININ Surry Hills AU AUS Card xx8188 Value Date: 23/07/2022"/>
        <s v="LEICHHARDT MUNICIPAL C LEICHHARDT AU AUS Card xx8188 Value Date: 24/07/2022"/>
        <s v="JAIPUR SWEETS HARRIS PARK AU"/>
        <s v="DOORDASH*LITTLE NEPAL MELBOURNE VI AUS Card xx8188 Value Date: 24/07/2022"/>
        <s v="DOORDASH*DOS SENORITAS MELBOURNE VI AUS Card xx8188 Value Date: 22/07/2022"/>
        <s v="COLES 0849 DRUMMOYNE AU AUS Card xx8188 Value Date: 23/07/2022"/>
        <s v="BEATPORT 720-974-9500 CO USA Card xx8188 AUD 7.89 Value Date: 24/07/2022"/>
        <s v="UBER *EATS Sydney AU AUS Card xx8188 Value Date: 18/07/2022"/>
        <s v="Salary SERVAUPAYROLL 20074P 85920286"/>
        <s v="PASTIZZI CAFE PL NEWTOWN NS AUS Card xx8188 Value Date: 17/07/2022"/>
        <s v="Telstra Direct Debit AUSTRALIA SA AUS Card xx8188 Value Date: 15/07/2022"/>
        <s v="SoundCloud Monthly Go Berlin DE DEU Card xx8188 AUD 5.99 Value Date: 17/07/2022"/>
        <s v="Direct Debit 502642 Telecom Billing 3014468:5544121:16"/>
        <s v="Fast Transfer From ZAHRA NOURI EMAMZADEH Zahra food"/>
        <s v="Transfer To Zahra Nouri Emamzadeh CommBank App food iou"/>
        <s v="General&amp;Co Lobby Bar Lilyfield AU"/>
        <s v="UBER *EATS Sydney AU AUS Card xx8188 Value Date: 10/07/2022"/>
        <s v="DESTROS PHARMACY DRUMMOYNE NS AUS Card xx8188 Value Date: 08/07/2022"/>
        <s v="Audible Limited AU MELBOURNE AU AUS Card xx8188 Value Date: 10/07/2022"/>
        <s v="7-ELEVEN 2048 DRUMMOYNE NS AUS Card xx8188 Value Date: 07/07/2022"/>
        <s v="Salary SERVAUPAYROLL 20283P 85920286"/>
        <s v="COLES 0849 DRUMMOYNE AU AUS Card xx8188 Value Date: 04/07/2022"/>
        <s v="Winona Wine Manly NS AUS Card xx8188 Value Date: 02/07/2022"/>
        <s v="ALDI STORES - DRUMMOYN DRUMMOYNE AU Card xx8188"/>
        <s v="MCDONALDS CREMORNE CREMORNE NSWAU"/>
        <s v="SQ *LABEL Brookvale AU Value Date: 03/07/2022"/>
        <s v="Direct Debit 245164 HCFHEALTHANDLIFE 057233969SDJN6SBEJ"/>
        <s v="TRANSPORTFORNSW TAP SYDNEY AUS Card xx8188 Value Date: 26/06/2022"/>
        <s v="Menulog Pty Ltd Sydney AU AUS Card xx8188 Value Date: 24/06/2022"/>
        <s v="LIQUORLAND 3301 DRUMMOYNE AU AUS Card xx8188 Value Date: 26/06/2022"/>
        <s v="Jimmy's Falafel Sydney NS AUS Card xx8188 Value Date: 25/06/2022"/>
        <s v="COLES 0849 DRUMMOYNE AU AUS Card xx8188 Value Date: 26/06/2022"/>
        <s v="SQ *SUBWAY RESTRAUNT Sydney AU"/>
        <s v="Transfer From FIZZAH SALAHUDDIN Devina Dinner Value Date: 25/06/2022"/>
        <s v="Transfer From JOSHUA HATFIELD to PayID Phone dinner"/>
        <s v="Salary SERVAUPAYROLL 21223P 85920286"/>
        <s v="SPEEDWAY WEST RYDE WEST RYDE NS AUS Card xx8188 Value Date: 18/06/2022"/>
        <s v="COLES 0849 DRUMMOYNE AU AUS Card xx8188 Value Date: 20/06/2022"/>
        <s v="SoundCloud Monthly Go Berlin DE DEU Card xx8188 AUD 5.99 Value Date: 17/06/2022"/>
        <s v="Direct Credit 301500 Rent Trust Accou Inv Crd Gas"/>
        <s v="COLES 0849 DRUMMOYNE AU AUS Card xx8188 Value Date: 17/06/2022"/>
        <s v="Direct Debit 314011 SUMO PAYWAY3233074445"/>
        <s v="Direct Credit 371474 RENTALBONDBOARD T030465-2 2 / 3"/>
        <s v="TRANSPORTFORNSW TAP SYDNEY AUS Card xx8188 Value Date: 17/06/2022"/>
        <s v="MPAY.COM.AU ONE TAXI BELMORE NS AUS Card xx8188 Value Date: 16/06/2022"/>
        <s v="COLES 5801 RYDE AU AUS Card xx8188 Value Date: 15/06/2022"/>
        <s v="7-ELEVEN 2048 DRUMMOYNE NS AUS Card xx8188 Value Date: 15/06/2022"/>
        <s v="TICKETS* 3 HARPS SURRY HILLS NS AUS Card xx8188 Value Date: 15/06/2022"/>
        <s v="Telstra Direct Debit AUSTRALIA SA AUS Card xx8188 Value Date: 15/06/2022"/>
        <s v="UBER* EATS SYDNEY NS AUS Card xx8188 Value Date: 14/06/2022"/>
        <s v="SQ *STROOPBROS The Rocks AU"/>
        <s v="SQ *NOMAD BREWING CO. Darlinghurst AU"/>
        <s v="SQ *EMMY GOZLEME The Rocks AU"/>
        <s v="SQ *BIG TONY CANOLI BA The Rocks AU"/>
        <s v="Direct Debit 502642 Telecom Billing 3014468:5540486:16"/>
        <s v="Transfer From ZAHRA NOURI EMAMZADEH zahra joon pizza"/>
        <s v="RT &amp; SD PTY LTD RYDE AU Card xx8188"/>
        <s v="TRANSPORTFORNSW TAP SYDNEY AUS Card xx8188 Value Date: 11/06/2022"/>
        <s v="LIQUORLAND 3463 HUNTERS HILL AU AUS Card xx8188 Value Date: 12/06/2022"/>
        <s v="BEATPORT 720-974-9500 CO USA Card xx8188 AUD 2.63 Value Date: 10/06/2022"/>
        <s v="Audible Limited AU MELBOURNE AU AUS Card xx8188 Value Date: 10/06/2022"/>
        <s v="ANDERSEN'S OF DENMAR COOGEE NS AUS Card xx8188 Value Date: 10/06/2022"/>
        <s v="Transfer From MASOUMEH GHOLAMSHAHI CREDIT TO ACCOUNT"/>
        <s v="Transfer To MASOUMEH GHOLAMSHAHI CommBank App cafe iou"/>
        <s v="TRANSPORTFORNSW TAP SYDNEY AUS Card xx8188 Value Date: 09/06/2022"/>
        <s v="SURRYHILLS NEWSAGENT SURRY HILLS NS AUS Card xx8188 Value Date: 08/06/2022"/>
        <s v="SDRO INFRNGMNT PAYME MAITLAND NS AUS Card xx8188 Value Date: 08/06/2022"/>
        <s v="BAR TOSCA SYDNEY NS AUS Card xx8188 Value Date: 08/06/2022"/>
        <s v="TRANSPORTFORNSW TAP SYDNEY AUS Card xx8188 Value Date: 08/06/2022"/>
        <s v="Direct Credit 301500 Rent Trust Accou Gas"/>
        <s v="COLES 5801 RYDE AU AUS Card xx8188 Value Date: 06/06/2022"/>
        <s v="TRANSPORTFORNSW TAP SYDNEY AUS Card xx8188 Value Date: 07/06/2022"/>
        <s v="GYG Top Ryde Ryde NS AUS Card xx8188 Value Date: 06/06/2022"/>
        <s v="BAHAR SPRING PTY. LI RYDE NS AUS Card xx8188 Value Date: 06/06/2022"/>
        <s v="UBER *EATS Sydney AU AUS Card xx8188 Value Date: 05/06/2022"/>
        <s v="SDRO INFRNGMNT PAYME MAITLAND NS AUS Card xx8188 Value Date: 02/06/2022"/>
        <s v="EMPANADAS FACTORY ROZELLE NS AUS Card xx8188 Value Date: 04/06/2022"/>
        <s v="1CASTLE HILL HS 8382 CASTLE HILL NS AUS Card xx8188 Value Date: 03/06/2022"/>
        <s v="WOOLWORTHS 1339 RYDE AU AUS Card xx8188 Value Date: 02/06/2022"/>
        <s v="SILVER SPOON BISTRO SURRY HILLS NS AUS Card xx8188 Value Date: 01/06/2022"/>
        <s v="TRANSPORTFORNSW TAP SYDNEY AUS Card xx8188 Value Date: 02/06/2022"/>
        <s v="BAHAR SPRING PTY. LI RYDE NS AUS Card xx8188 Value Date: 01/06/2022"/>
        <s v="WOOLWORTHS 1339 RYDE AU AUS Card xx8188 Value Date: 31/05/2022"/>
        <s v="REBEL TOP RYDE TOP RYDE NS AUS Card xx8188 Value Date: 30/05/2022"/>
        <s v="OFFICEWORKS 0209 GLEBE AU AUS Card xx8188 Value Date: 31/05/2022"/>
        <s v="DIVVY Parking divvy.com.au AU AUS Card xx8188 Value Date: 31/05/2022"/>
        <s v="Direct Credit 301500 Rent Trust Accou Inv Crd ROOZBEHANI"/>
        <s v="WOOLWORTHS 1339 RYDE AU AUS Card xx8188 Value Date: 30/05/2022"/>
        <s v="UBER *EATS Sydney AU AUS Card xx8188 Value Date: 29/05/2022"/>
        <s v="Transfer From ZAHRA NOURI EMAMZADEH zahra food and groceries"/>
        <s v="KMART 1251 Top Ryde AU AUS Card xx8188 Value Date: 30/05/2022"/>
        <s v="Direct Debit 245164 HCFHEALTHANDLIFE 057233969S5J1IZZPM"/>
        <s v="UBER *EATS Sydney AU AUS Card xx8188 Value Date: 28/05/2022"/>
        <s v="GOOGLE*MARTIN LINDAU SYDNEY AU AUS Card xx8188 Value Date: 29/05/2022"/>
        <s v="COLES 0846 LEICHHARDT AU AUS Card xx8188 Value Date: 27/05/2022"/>
        <s v="Bowan IslandDrummoyne Drummoyne NS AUS Card xx8188 Value Date: 29/05/2022"/>
        <s v="Transfer To Jonathan K Oliver NetBank Rent"/>
        <s v="ALDI STORES - RYDE RYDE AU Card xx8188"/>
        <s v="WOOLWORTHS 1339 RYDE AU AUS Card xx8188 Value Date: 26/05/2022"/>
        <s v="SPEEDWAY WEST RYDE WEST RYDE NS AUS Card xx8188 Value Date: 26/05/2022"/>
        <s v="CHARGRILL CHARLIES Drummoyne NS AUS Card xx8188 Value Date: 26/05/2022"/>
        <s v="7-ELEVEN 2048 DRUMMOYNE NS AUS Card xx8188 Value Date: 26/05/2022"/>
        <s v="Transfer To RAMTEAN ROOZBEHANI CommBank App food iou"/>
        <s v="WOOLWORTHS 1248 SYDNEY AU AUS Card xx8188 Value Date: 25/05/2022"/>
        <s v="TRANSPORTFORNSW TAP SYDNEY AUS Card xx8188 Value Date: 26/05/2022"/>
        <s v="Hungry Jacks Ryde AU"/>
        <s v="EVENT CINEMAS MACQUA MACQUARIE PARAU Card xx8188"/>
        <s v="WOOLWORTHS 1248 SYDNEY AU AUS Card xx8188 Value Date: 24/05/2022"/>
        <s v="TRANSPORTFORNSW TAP SYDNEY AUS Card xx8188 Value Date: 25/05/2022"/>
        <s v="Salary SERVAUPAYROLL 20242P 85920286"/>
        <s v="WOOLWORTHS 1248 SYDNEY AU AUS Card xx8188 Value Date: 23/05/2022"/>
        <s v="TRANSPORTFORNSW TAP SYDNEY AUS Card xx8188 Value Date: 24/05/2022"/>
        <s v="OXFORD WORLD SQUARE SYDNEY AU AUS Card xx8188 Value Date: 23/05/2022"/>
        <s v="CITYOFSYDNEY PARKING SYDNEY AUS Card xx8188 Value Date: 21/05/2022"/>
        <s v="BP EX PENINSULA 9540 MONA VALE NS AUS Card xx8188 Value Date: 22/05/2022"/>
        <s v="UBER *EATS Sydney AU AUS Card xx8188 Value Date: 21/05/2022"/>
        <s v="UBER *EATS Sydney AU AUS Card xx8188 Value Date: 20/05/2022"/>
        <s v="The Newport Newport NS AUS Card xx8188 Value Date: 22/05/2022"/>
        <s v="THE LITTLE SNAIL RES PYRMONT NS AUS Card xx8188 Value Date: 21/05/2022"/>
        <s v="KMART 1155 BROADWAY AU AUS Card xx8188 Value Date: 21/05/2022"/>
        <s v="COLES 0839 BROADWAY AU AUS Card xx8188 Value Date: 21/05/2022"/>
        <s v="DOYTAO DRUMMOYNE PTY FIVE DOCK AU"/>
        <s v="Transfer From Miss Rozalie Lakin to PayID Phone Clothes rack"/>
        <s v="COLES 0849 DRUMMOYNE AU AUS Card xx8188 Value Date: 19/05/2022"/>
        <s v="7-ELEVEN 2048 DRUMMOYNE NS AUS Card xx8188 Value Date: 19/05/2022"/>
        <s v="SoundCloud Monthly Go Berlin DE DEU Card xx8188 AUD 5.99 Value Date: 18/05/2022"/>
        <s v="Transfer From ENZO TEIXEIRA DESTRO to PayID Phone Fridge"/>
        <s v="Telstra Direct Debit AUSTRALIA SA AUS Card xx8188 Value Date: 17/05/2022"/>
        <s v="Transfer To RAMTEAN ROOZBEHANI CommBank App SC campaign"/>
        <s v="UBER *EATS Sydney AU AUS Card xx8188 Value Date: 15/05/2022"/>
        <s v="TRANSPORTFORNSW TAP SYDNEY AUS Card xx8188 Value Date: 17/05/2022"/>
        <s v="MARBRAND PTY LTD SYDNEY NS AUS Card xx8188 Value Date: 14/05/2022"/>
        <s v="UBER *TRIP Sydney AU AUS Card xx8188 Value Date: 15/05/2022"/>
        <s v="UBER *TRIP Sydney AU AUS Card xx8188 Value Date: 14/05/2022"/>
        <s v="SURRY HILLS FINE WIN SURRY HILLS NS AUS Card xx8188 Value Date: 14/05/2022"/>
        <s v="El Loco @ Slip Inn Sydney NS AUS Card xx8188 Value Date: 14/05/2022"/>
        <s v="Direct Debit 502642 Telecom Billing 3014468:5539240:16"/>
        <s v="Wdl ATM ETX MOUBIN PTY LTD SYDNEY AU"/>
        <s v="Wdl ATM ETX MOUBIN PTY LTD SYDNEY AU Value Date: 15/05/2022"/>
        <s v="Non CBA ATM Withdrawal Fee Value Date: 15/05/2022"/>
        <s v="MCDONALDS WATERLOO WATERLOO NSWAU"/>
        <s v="B&amp;W Cabs NSW 133222 TEMPE AU"/>
        <s v="Transfer From VICKY LUKMANA to PayID Phone Washer"/>
        <s v="Salary SERVAUPAYROLL 20112P 85920286"/>
        <s v="COLES 0849 DRUMMOYNE AU AUS Card xx8188 Value Date: 10/05/2022"/>
        <s v="Audible Limited AU MELBOURNE AU AUS Card xx8188 Value Date: 10/05/2022"/>
        <s v="TRANSPORTFORNSW TAP SYDNEY AUS Card xx8188 Value Date: 10/05/2022"/>
        <s v="Transfer To Zahra Nouri Emamzadeh CommBank App iou cab"/>
        <s v="Love Crepe Russell Lea NS AUS Card xx8188 Value Date: 07/05/2022"/>
        <s v="Transfer From BISHOP WARREN GRANT to PayID Phone Dumpling"/>
        <s v="ALLEGRIA FLR &amp; HMWRE WAREEMBA NSWAU"/>
        <s v="HARRIS FARM MARKETSQPS DRUMMOYNE AUS Card xx8188 Value Date: 05/05/2022"/>
        <s v="COLES 0849 DRUMMOYNE AU AUS Card xx8188 Value Date: 03/05/2022"/>
        <s v="Transfer To Zahra Nouri Emamzadeh CommBank App flowers for pari"/>
        <s v="7-ELEVEN 2048 DRUMMOYNE NS AUS Card xx8188 Value Date: 03/05/2022"/>
        <s v="Direct Debit 314011 SUMO PAYWAY3199258548"/>
        <s v="Return AIRBNB * HMYYPBT4CY Surry Hills AU AUS Card xx8188 Value Date: 29/04/2022"/>
        <s v="Direct Debit 245164 HCFHEALTHANDLIFE 057233969SH10UZWVW"/>
        <s v="WOOLWORTHS 1188 BALMAIN AU AUS Card xx8188 Value Date: 27/04/2022"/>
        <s v="PHARMACY MANAGEMENT BALMAIN AUS Card xx8188 Value Date: 27/04/2022"/>
        <s v="ELIZABETHS BOOKSHOP NEWTOWN NS AUS Card xx8188 Value Date: 25/04/2022"/>
        <s v="UBER *TRIP Sydney AU AUS Card xx8188 Value Date: 23/04/2022"/>
        <s v="UBER *EATS Sydney AU AUS Card xx8188 Value Date: 22/04/2022"/>
        <s v="TOP FRUIT AND SONS DRUMMOYNE AU Card xx8188"/>
        <s v="ROLLING CAFE AUSTRAL DRUMMOYNE NS AUS Card xx8188 Value Date: 25/04/2022"/>
        <s v="PAYPAL *aemarks85 4029357733 AU AUS Card xx8188 Value Date: 24/04/2022"/>
        <s v="Emilio's Specialty Bu Rozelle AU"/>
        <s v="DOORDASH*JASMIN 1 MELBOURNE VI AUS Card xx8188 Value Date: 24/04/2022"/>
        <s v="CHARGRILL CHARLIES Drummoyne NS AUS Card xx8188 Value Date: 23/04/2022"/>
        <s v="BRIDGE HOTEL ROZELLE ROZELLE NS AUS Card xx8188 Value Date: 24/04/2022"/>
        <s v="SMP*Europe Grill Resta Newtown02 AU"/>
        <s v="SILVER SPOON BISTRO SURRY HILLS NS AUS Card xx8188 Value Date: 20/04/2022"/>
        <s v="BWS LIQUOR 1601 DRUMMOYNE NS AUS Card xx8188 Value Date: 21/04/2022"/>
        <s v="THE ORGNL MNTZM NOOSA NOOSA HEADS AUS Card xx8188 Value Date: 16/04/2022"/>
        <s v="Telstra Direct Debit AUSTRALIA SA AUS Card xx8188 Value Date: 19/04/2022"/>
        <s v="LIVE TAXI AUSTRALIA WEST MELBOURN AUS Card xx8188 Value Date: 17/04/2022"/>
        <s v="LIVE TAXI AUSTRALIA WEST MELBOURN AUS Card xx8188 Value Date: 16/04/2022"/>
        <s v="UNIVERSAL AUDIO 8314401176 CA USA Card xx8188 USD 64.00 Value Date: 18/04/2022"/>
        <s v="SUBWAY HAYMARKET SYDNEY NS AUS Card xx8188 Value Date: 19/04/2022"/>
        <s v="International Transaction Fee Value Date: 18/04/2022"/>
        <s v="ZLR*mount coolum Buderim AU AUS Card xx8188 Value Date: 15/04/2022"/>
        <s v="UBER *TRIP Sydney AU AUS Card xx8188 Value Date: 14/04/2022"/>
        <s v="The Coffee Club Coolum Coolum Beach QL AUS Card xx8188 Value Date: 15/04/2022"/>
        <s v="SUSHI SUSHI SCA MARCOOLA QL AUS Card xx8188 Value Date: 18/04/2022"/>
        <s v="SQ *KANU KAPERS AUSTR Boreen Point AU AUS Card xx8188 Value Date: 13/04/2022"/>
        <s v="Monthly Go Plus plan Berlin DE DEU Card xx8188 AUD 5.99 Value Date: 18/04/2022"/>
        <s v="Laguna Jacks Noosa Heads QL AUS Card xx8188 Value Date: 16/04/2022"/>
        <s v="COLES 0839 BROADWAY AU AUS Card xx8188 Value Date: 14/04/2022"/>
        <s v="BP COOLUM BEACH 1584 COOLUM BEACH QL AUS Card xx8188 Value Date: 15/04/2022"/>
        <s v="APPLE R523 BROADWAY ULTIMO NS AUS Card xx8188 Value Date: 14/04/2022"/>
        <s v="Direct Debit 502642 Telecom Billing 3014468:5535800:16"/>
        <s v="Transfer from xx8675 NetBank ua inflator"/>
        <s v="SUN COAST 131008 MARCOOLA AU"/>
        <s v="DIVAN PERSIAN REST RYDE NSW AU"/>
        <s v="Transfer to xx6542 NetBank ua inflator"/>
        <s v="Transfer From ZAHRA NOURI EMAMZADEH zahra room and kayak"/>
        <s v="CootharaBAR Boreen Point AU"/>
        <s v="COOLUM THAI SPICE COOLUM BEACH QLD AU"/>
        <s v="Transfer From ZAHRA NOURI EMAMZADEH Zahra Steak"/>
        <s v="Transfer From ZAHRA NOURI EMAMZADEH zahra seafood"/>
        <s v="Transfer From ZAHRA NOURI EMAMZADEH zahra groceries"/>
        <s v="SMP*Copenhagen Ice Cre Noosa Heads04 AU"/>
        <s v="SEASONS SUPERMARKETS 4 NOOSA HEADS AU Card xx8188"/>
        <s v="MR MANCINO Coolum Beach AU"/>
        <s v="LIVELIFE PHARMACY COOL COOLUM BEACH AU Card xx8188"/>
        <s v="GHANDA COOLUM BEACH AU Card xx8188"/>
        <s v="AIRPORT RETAIL ENTERPR MASCOT AU Card xx8188"/>
        <s v="AIRBNB * HMYYPBT4CY Surry Hills AU AUS Card xx8188 Value Date: 12/04/2022"/>
        <s v="COLES 0849 DRUMMOYNE AU AUS Card xx8188 Value Date: 12/04/2022"/>
        <s v="TRANSPORTFORNSW TAP SYDNEY AUS Card xx8188 Value Date: 11/04/2022"/>
        <s v="CHARGRILL CHARLIES Drummoyne NS AUS Card xx8188 Value Date: 11/04/2022"/>
        <s v="UBER *EATS Sydney AU AUS Card xx8188 Value Date: 08/04/2022"/>
        <s v="Audible Limited AU MELBOURNE AU AUS Card xx8188 Value Date: 10/04/2022"/>
        <s v="Transfer From ZAHRA NOURI EMAMZADEH zahra Dinner"/>
        <s v="Transfer From ZAHRA NOURI EMAMZADEH zahra Korean BBQ"/>
        <s v="TCSC PTY LTD HAYMARKET AU Card xx8188"/>
        <s v="Microsoft*Microsoft 36 msbill.info AU AUS Card xx8188 Value Date: 06/04/2022"/>
        <s v="TRANSPORTFORNSW TAP SYDNEY AUS Card xx8188 Value Date: 05/04/2022"/>
        <s v="SUBWAY HAYMARKET SYDNEY NS AUS Card xx8188 Value Date: 04/04/2022"/>
        <s v="FISH MARKET CAFE PYRMONT NS AUS Card xx8188 Value Date: 02/04/2022"/>
        <s v="BLACKWALL CAFE CHISWICK NS AUS Card xx8188 Value Date: 02/04/2022"/>
        <s v="SYDNEY FISH MARKET P PYRMONT AUS Card xx8188 Value Date: 02/04/2022"/>
        <s v="Transfer From ZAHRA NOURI EMAMZADEH Zahra lunch"/>
        <s v="OIDEN 11 PTY LTD SYDNEY NS AUS Card xx8188 Value Date: 30/03/2022"/>
        <s v="TRANSPORTFORNSW TAP SYDNEY AUS Card xx8188 Value Date: 31/03/2022"/>
        <s v="The Erko Hotel Erskineville NS AUS Card xx8188 Value Date: 30/03/2022"/>
        <s v="SUBWAY HAYMARKET SYDNEY NS AUS Card xx8188 Value Date: 30/03/2022"/>
        <s v="Direct Debit 245164 HCFHEALTHANDLIFE 057233969SOJ0V9EXB"/>
        <s v="TRANSPORTFORNSW TAP SYDNEY AUS Card xx8188 Value Date: 30/03/2022"/>
        <s v="Salary SERVAUPAYROLL 20511P 85920286"/>
        <s v="COLES 4788 FIVE DOCK AU AUS Card xx8188 Value Date: 28/03/2022"/>
        <s v="TRANSPORTFORNSW TAP SYDNEY AUS Card xx8188 Value Date: 29/03/2022"/>
        <s v="CR MACQUARIE NORTH RYDE NS AUS Card xx8188 Value Date: 26/03/2022"/>
        <s v="UNIVERSAL AUDIO 8314401176 CA USA Card xx8188 USD 548.00 Value Date: 25/03/2022"/>
        <s v="UBER *EATS Sydney AU AUS Card xx8188 Value Date: 25/03/2022"/>
        <s v="KMART 1368 NORTH RYDE AU AUS Card xx8188 Value Date: 26/03/2022"/>
        <s v="JETSTARKI768M MELBOURNE VI AUS Card xx8188 Value Date: 26/03/2022"/>
        <s v="International Transaction Fee Value Date: 25/03/2022"/>
        <s v="7-ELEVEN 2048 DRUMMOYNE NS AUS Card xx8188 Value Date: 26/03/2022"/>
        <s v="Transfer From BISHOP WARREN GRANT to PayID Phone Dumpling _"/>
        <s v="Transfer To Zahra Nouri Emamzadeh CommBank App difference for noosa fli..."/>
        <s v="Transfer From ZAHRA NOURI EMAMZADEH Zahra Morgh"/>
        <s v="Transfer From ZAHRA NOURI EMAMZADEH Trip to sunshine"/>
        <s v="LINDT AND SPRUNGLI AUS NORTH RYDE AU Card xx8188"/>
        <s v="JD SPORTS FASHION AUST MACQUARIE PARAU Card xx8188"/>
        <s v="H&amp;M Sydney AU0004 197-223 HerriAU"/>
        <s v="TRANSPORTFORNSW TAP SYDNEY AUS Card xx8188 Value Date: 24/03/2022"/>
        <s v="Direct Debit 314011 SUMO PAYWAY3172774116"/>
        <s v="TRANSPORTFORNSW TAP SYDNEY AUS Card xx8188 Value Date: 23/03/2022"/>
        <s v="TRANSPORTFORNSW TAP SYDNEY AUS Card xx8188 Value Date: 22/03/2022"/>
        <s v="Transfer From ZAHRA NOURI EMAMZADEH Zahra Flowers for Valentine"/>
        <s v="Telstra Direct Debit AUSTRALIA SA AUS Card xx8188 Value Date: 18/03/2022"/>
        <s v="Monthly Go Plus plan Berlin DE DEU Card xx8188 AUD 5.99 Value Date: 19/03/2022"/>
        <s v="GOU SUSHI SURRY HILLS AU"/>
        <s v="Direct Debit 314011 SUMO PAYWAY3170191901"/>
        <s v="AMAZON MARKETPLACE AU SYDNEY SOUTH NS AUS Card xx8188 Value Date: 18/03/2022"/>
        <s v="TRANSPORTFORNSW TAP SYDNEY AUS Card xx8188 Value Date: 17/03/2022"/>
        <s v="TRANSPORTFORNSW TAP SYDNEY AUS Card xx8188 Value Date: 16/03/2022"/>
        <s v="Transfer From ZAHRA NOURI EMAMZADEH Zahra dinner farsi"/>
        <s v="PA RYDE ISE SUPERMARK RYDE NSW AU"/>
        <s v="Transfer to other Bank NetBank netflix"/>
        <s v="WW METRO 1669 SURRY HILLS NS AUS Card xx8188 Value Date: 15/03/2022"/>
        <s v="Salary SERVAUPAYROLL 20415P 85920286"/>
        <s v="MLEKO PTY LTD SURRY HILLS NS AUS Card xx8188 Value Date: 15/03/2022"/>
        <s v="COLES 0849 DRUMMOYNE AU AUS Card xx8188 Value Date: 15/03/2022"/>
        <s v="Direct Debit 502642 Telecom Billing 3014468:5534867:16"/>
        <s v="IGA DRUMMOYNE DRUMMOYNE AUS Card xx8188 Value Date: 11/03/2022"/>
        <s v="HARE G PTY LTD SURRY HILLS AU Card xx8188"/>
        <s v="CHARGRILL MOSMAN Mosman NS AUS Card xx8188 Value Date: 13/03/2022"/>
        <s v="Transfer From ZAHRA NOURI EMAMZADEH Lunch and coffee"/>
        <s v="UBER *EATS Sydney AU AUS Card xx8188 Value Date: 10/03/2022"/>
        <s v="Audible Limited AU MELBOURNE AU AUS Card xx8188 Value Date: 10/03/2022"/>
        <s v="DOORDASH*JASMIN 1 MELBOURNE VI AUS Card xx8188 Value Date: 09/03/2022"/>
        <s v="SCORPTEC COMPUTERS CLAYTON AUS Card xx8188 Value Date: 08/03/2022"/>
        <s v="SCORPTEC COMPUTERS AUBURN NSWAU"/>
        <s v="Transfer From RAMTEAN ROOZBEHANI dirtyfeet"/>
        <s v="DOORDASH*JASMIN 1 MELBOURNE VI AUS Card xx8188 Value Date: 02/03/2022"/>
        <s v="COLES 0849 DRUMMOYNE AU AUS Card xx8188 Value Date: 01/03/2022"/>
        <s v="Salary SERVAUPAYROLL 21105P 85920286"/>
        <s v="Transfer From Mr Louis Robert Reynolds W Jasmine one dinner"/>
        <s v="COLES 0849 DRUMMOYNE AU AUS Card xx8188 Value Date: 28/02/2022"/>
        <s v="TURRAMURRA SUPERMARK TURRAMURRA NS AUS Card xx8188 Value Date: 26/02/2022"/>
        <s v="Telstra Direct Debit AUSTRALIA SA AUS Card xx8188 Value Date: 24/02/2022"/>
        <s v="DOORDASH*JASMIN 1 MELBOURNE VI AUS Card xx8188 Value Date: 28/02/2022"/>
        <s v="Direct Debit 245164 HCFHEALTHANDLIFE 057233969SDSSRHU8K"/>
        <s v="7-ELEVEN 2048 DRUMMOYNE NS AUS Card xx8188 Value Date: 26/02/2022"/>
        <s v="The Party People - Dr Drummoyne AU"/>
        <s v="Subway Birkenhead Point 19 Roseby StrAU"/>
        <s v="Direct Debit 314011 SUMO PAYWAY3153037621"/>
        <s v="Hurricane's Top Ryde Ryde NS AUS Card xx8188 Value Date: 22/02/2022"/>
        <s v="DESTROS PHARMACY DRUMMOYNE NS AUS Card xx8188 Value Date: 19/02/2022"/>
        <s v="Transfer To CoinSpot NetBank 996312644268"/>
        <s v="UBER *EATS Sydney AU AUS Card xx8188 Value Date: 20/02/2022"/>
        <s v="DOORDASH*JASMIN 1 MELBOURNE VI AUS Card xx8188 Value Date: 20/02/2022"/>
        <s v="SoundCloud Berlin DE DEU Card xx8188 AUD 145.00 Value Date: 17/02/2022"/>
        <s v="COLES 0849 DRUMMOYNE AU AUS Card xx8188 Value Date: 16/02/2022"/>
        <s v="UBER *EATS Sydney AU AUS Card xx8188 Value Date: 15/02/2022"/>
        <s v="Salary SERVAUPAYROLL 20385P 85920286"/>
        <s v="GM CABS PTY LTD MASCOT AUS Card xx8188 Value Date: 14/02/2022"/>
        <s v="Direct Debit 502642 Telecom Billing 3014468:5531678:16"/>
        <s v="UBER *TRIP Sydney AU AUS Card xx8188 Value Date: 14/02/2022"/>
        <s v="DESTROS PHARMACY DRUMMOYNE NS AUS Card xx8188 Value Date: 14/02/2022"/>
        <s v="The General &amp; Co. Lilyfield NS AUS Card xx8188 Value Date: 13/02/2022"/>
        <s v="CHARGRILL CHARLIES Drummoyne NS AUS Card xx8188 Value Date: 11/02/2022"/>
        <s v="MANTA WHARF PL WOOLLOOMOOLOO NSW AU Card xx8188"/>
        <s v="Audible Australia MELBOURNE AU AUS Card xx8188 Value Date: 10/02/2022"/>
        <s v="TOP FRUIT MARKET DRUMMOYNE NS AUS Card xx8188 Value Date: 04/02/2022"/>
        <s v="COLES 0849 DRUMMOYNE AU AUS Card xx8188 Value Date: 05/02/2022"/>
        <s v="FARSI RESTAURANT PTY RYDE AU"/>
        <s v="UBER *EATS Sydney AU AUS Card xx8188 Value Date: 03/02/2022"/>
        <s v="SUBMITHUB HOLDINGS LLC 2183964074 DE USA Card xx8188 USD 72.00 Value Date: 03/02/2022"/>
        <s v="International Transaction Fee Value Date: 03/02/2022"/>
        <s v="FiverrEU Nicosia CY CYP Card xx8188 AUD 23.95 Value Date: 03/02/2022"/>
        <s v="PLINEPH BIRKENHEADPOI DRUMMOYNE NSWAU"/>
        <s v="HARRY JUICE &amp; CO PTY L DRUMMOYNE AU"/>
        <s v="DOORDASH*JASMIN 1 MELBOURNE VI AUS Card xx8188 Value Date: 02/02/2022"/>
        <s v="Salary SERVAUPAYROLL 20491P 85920286"/>
        <s v="FiverrEU Nicosia CY CYP Card xx8188 AUD 142.17 Value Date: 01/02/2022"/>
        <s v="Transfer To CoinSpot NetBank 996311638519"/>
        <s v="UBER *EATS Sydney AU AUS Card xx8188 Value Date: 28/01/2022"/>
        <s v="IGA DRUMMOYNE QPS DRUMMOYNE AUS Card xx8188 Value Date: 29/01/2022"/>
        <s v="Direct Debit 245164 HCFHEALTHANDLIFE 057233969S10W8QA6W"/>
        <s v="7-ELEVEN 2048 DRUMMOYNE NS AUS Card xx8188 Value Date: 29/01/2022"/>
        <s v="2CO.COM*- 173639085 89 AMSTERDAM NL NLD Card xx8188 AUD 394.28 Value Date: 28/01/2022 - SWAM Flutes"/>
        <s v="COLES 4788 FIVE DOCK AU AUS Card xx8188 Value Date: 25/01/2022"/>
        <s v="TOP FRUIT MARKET DRUMMOYNE NS AUS Card xx8188 Value Date: 23/01/2022"/>
        <s v="KADMUS ON THE GO P/L DRUMMOYNE NS AUS Card xx8188 Value Date: 20/01/2022"/>
        <s v="IL POLLO FIVE DOCK FIVE DOCK NS AUS Card xx8188 Value Date: 21/01/2022"/>
        <s v="Direct Debit 314011 SUMO PAYWAY3130950061"/>
        <s v="Dick's Hotel Balmain Balmain NS AUS Card xx8188 Value Date: 22/01/2022"/>
        <s v="COLES 4788 FIVE DOCK AU AUS Card xx8188 Value Date: 21/01/2022"/>
        <s v="COLES 0849 DRUMMOYNE AU AUS Card xx8188 Value Date: 23/01/2022"/>
        <s v="Transfer To Louis Wayment CommBank App iou"/>
        <s v="Direct Debit 502642 Telecom Billing 3014468:5530949:21"/>
        <s v="Salary SERVAUPAYROLL 20402P 85920286"/>
        <s v="OFFICEWORKS BENTLEIGH EAS AUS Card xx8188 Value Date: 18/01/2022"/>
        <s v="OFFICEWORKS 0209 GLEBE AU AUS Card xx8188 Value Date: 18/01/2022"/>
        <s v="NATIVE INSTRUMENTS BERLIN BE DEU Card xx8188 AUD 388.00 Value Date: 18/01/2022"/>
        <s v="PAYPAL *TECONTROLAB 4029357733 AU AUS Card xx8188 Value Date: 17/01/2022"/>
        <s v="International Transaction Fee Value Date: 16/01/2022"/>
        <s v="DISTROKID.COM NEW YORK CITY NY USA Card xx8188 USD 35.99 Value Date: 16/01/2022"/>
        <s v="PA RYDE ISE SUPERMARK RYDE NS AUS Card xx8188 Value Date: 14/01/2022"/>
        <s v="Transfer From ZAHRA NOURI EMAMZADEH Zahra Nikan dinner"/>
        <s v="COLES 4788 FIVE DOCK AU AUS Card xx8188 Value Date: 11/01/2022"/>
        <s v="DOMINOS DRUMMOYNE DRUMMOYNE NS AUS Card xx8188 Value Date: 08/01/2022"/>
        <s v="DESTROS PHARMACY DRUMMOYNE NS AUS Card xx8188 Value Date: 09/01/2022"/>
        <s v="Transfer From ZAHRA NOURI EMAMZADEH ZahraLunch"/>
        <s v="CHARGRILL CHARLIES Drummoyne AU"/>
        <s v="Salary SERVAUPAYROLL 19263P 85920286"/>
        <s v="COLES 0849 DRUMMOYNE AU AUS Card xx8188 Value Date: 04/01/2022"/>
        <s v="Transfer From ZAHRA NOURI EMAMZADEH Zahra Burger Value Date: 06/01/2022"/>
        <s v="MCDONALDS DRUMMOYNE DRUMMOYNE NSWAU Value Date: 06/01/2022"/>
        <s v="LIQUORLAND 3301 DRUMMOYNE AU AUS Card xx8188 Value Date: 31/12/2021"/>
        <s v="COLES 0849 DRUMMOYNE AU AUS Card xx8188 Value Date: 31/12/2021"/>
        <s v="Transfer To CoinSpot NetBank 996310271949"/>
        <s v="Transfer from xx8675 CommBank app transfer"/>
        <s v="Direct Debit 245164 HCFHEALTHANDLIFE 057233969SIJC37JKB"/>
        <s v="Transfer To CoinSpot NetBank 996310272076"/>
        <s v="Return MECCA COFFEE ROASTERS ALEXANDRIA NS AUS Card xx8188 Value Date: 30/12/2021"/>
        <s v="BED BATH N TABLE DRUMMOYNE AU"/>
        <s v="Return NATIVE INSTRUMENTS BERLIN BE DEU Card xx8188 AUD 219.00 Value Date: 23/12/2021"/>
        <s v="MECCA COFFEE ROASTERS ALEXANDRIA NS AUS Card xx8188 Value Date: 24/12/2021"/>
        <s v="DOORDASH*IGA SUPERMARK MELBOURNE VI AUS Card xx8188 Value Date: 25/12/2021"/>
        <s v="DESTROS PHARMACY DRUMMOYNE NS AUS Card xx8188 Value Date: 27/12/2021"/>
        <s v="7-ELEVEN 2048 DRUMMOYNE NS AUS Card xx8188 Value Date: 25/12/2021"/>
        <s v="SQ *SHILA KITCHEN Balmain AU"/>
        <s v="Transfer To Zahra Nouri Emamzadeh CommBank App iou"/>
        <s v="NATIVE INSTRUMENTS BERLIN BE DEU Card xx8188 AUD 299.00 Value Date: 23/12/2021"/>
        <s v="DYMOCKS ONLINE SYDNEY AUS Card xx8188 Value Date: 24/12/2021"/>
        <s v="Transfer From H Roozbehani Merry Christmas and Happy New"/>
        <s v="Direct Debit 507426 ENERGY LOCALS 424273"/>
        <s v="Salary SERVAUPAYROLL 20291P 85920286"/>
        <s v="PASTICCERIA PAPA FIV FIVE DOCK AU Card xx8188"/>
        <s v="Love Crepe Russell Lea NS AUS Card xx8188 Value Date: 21/12/2021"/>
        <s v="Direct Debit 314011 SUMO PAYWAY3111514892"/>
        <s v="INTERNATIONAL PARKING RANDWICK AU Card xx8188"/>
        <s v="DESTROS PHARMACY DRUMMOYNE NS AUS Card xx8188 Value Date: 19/12/2021"/>
        <s v="CHEMIST WAREHOUSE BIRK DRUMMOYNE NS AUS Card xx8188 Value Date: 18/12/2021"/>
        <s v="The Oaks Hotel Neutral Bay NS AUS Card xx8188 Value Date: 19/12/2021"/>
        <s v="NATIVE INSTRUMENTS BERLIN BE DEU Card xx8188 AUD 893.25 Value Date: 17/12/2021"/>
        <s v="NATIVE INSTRUMENTS BERLIN BE DEU Card xx8188 AUD 149.00 Value Date: 18/12/2021"/>
        <s v="DOORDASH*JASMIN 1 MELBOURNE VI AUS Card xx8188 Value Date: 17/12/2021"/>
        <s v="COLES 0829 NEUTRAL BAY AU AUS Card xx8188 Value Date: 19/12/2021"/>
        <s v="AMAZON MKTPLC AU SYDNEY SOUTH NS AUS Card xx8188 Value Date: 18/12/2021"/>
        <s v="Direct Debit 502642 Telecom Billing 3014468:5527669:16"/>
        <s v="Transfer To MASOUMEH GHOLAMSHAHI CommBank App iou"/>
        <s v="Return PAYPAL *SOREMIX 4029357733 AU AUS Card xx8188 Value Date: 16/12/2021"/>
        <s v="PAYPAL *SOREMIX 4029357733 AU AUS Card xx8188 Value Date: 15/12/2021"/>
        <s v="DOORDASH*JASMIN 1 MELBOURNE VI AUS Card xx8188 Value Date: 16/12/2021"/>
        <s v="Direct Debit 314011 SUMO PAYWAY3108005352"/>
        <s v="Transfer To Soheyla Gholamshahi CommBank App paying halves for dinner"/>
        <s v="Transfer To MASOUMEH GHOLAMSHAHI CommBank App halves for dinner"/>
        <s v="Reversal Transfer To Soheyla Gholamshahi Invalid creditor account"/>
        <s v="Transfer From RODNEY MAZIK Too the moon"/>
        <s v="Direct Debit 617704 PAYPAL AUSTRALIA 1017409756114"/>
        <s v="UBER *EATS Sydney AU AUS Card xx8188 Value Date: 13/12/2021"/>
        <s v="UBER *EATS Sydney AU AUS Card xx8188 Value Date: 11/12/2021"/>
        <s v="Oxford Hotel DRUMMOYNE AU AUS Card xx8188 Value Date: 09/12/2021"/>
        <s v="Salary SERVAUPAYROLL 20113P 85920286"/>
        <s v="Transfer From Homayoun Happy Birthday Rodean Jan"/>
        <s v="UBER *EATS Sydney AU AUS Card xx8188 Value Date: 05/12/2021"/>
        <s v="EASTWOOD NEW YEN YEN EASTWOOD NS AUS Card xx8188 Value Date: 04/12/2021"/>
        <s v="DOORDASH*JASMIN 1 MELBOURNE VI AUS Card xx8188 Value Date: 05/12/2021"/>
        <s v="Transfer To CoinSpot NetBank 996308729615"/>
        <s v="UBER *EATS Sydney AU AUS Card xx8188 Value Date: 30/11/2021"/>
        <s v="UBER *EATS Sydney AU AUS Card xx8188 Value Date: 29/11/2021"/>
        <s v="Direct Debit 245164 HCFHEALTHANDLIFE 057233969S9NDPRQ6E"/>
        <s v="Direct Debit 502642 Telecom Billing 3014468:5527156:30"/>
        <s v="COLES 0849 DRUMMOYNE AU AUS Card xx8188 Value Date: 25/11/2021"/>
        <s v="AMAZON MKTPLC AU SYDNEY SOUTH NS AUS Card xx8188 Value Date: 28/11/2021"/>
        <s v="7-ELEVEN 2048 DRUMMOYNE NS AUS Card xx8188 Value Date: 25/11/2021"/>
        <s v="Transfer To RAMTEAN ROOZBEHANI CommBank App gig and domain"/>
        <s v="Salary SERVAUPAYROLL 20171P 85920286"/>
        <s v="UBER *EATS Sydney AU AUS Card xx8188 Value Date: 22/11/2021"/>
        <s v="SETTLERS ARMS INN ST ALBANS NS AUS Card xx8188 Value Date: 20/11/2021"/>
        <s v="7-ELEVEN 2048 DRUMMOYNE NS AUS Card xx8188 Value Date: 20/11/2021"/>
        <s v="Transfer From Sofie Teh Thnx 5eva"/>
        <s v="MCDONALDS DURAL DURAL NSWAU"/>
        <s v="POLITIX BIRKIN HEAD DRUMMOYNE NS AUS Card xx8188 Value Date: 18/11/2021"/>
        <s v="COLES 0849 DRUMMOYNE AU AUS Card xx8188 Value Date: 18/11/2021"/>
        <s v="COLES 0849 DRUMMOYNE AU AUS Card xx8188 Value Date: 16/11/2021"/>
        <s v="TELSTRA CORP LTD CommBank app BPAY 23796 2000710343987 telatra bill"/>
        <s v="ROLLING CAFE AUSTRAL DRUMMOYNE NS AUS Card xx8188 Value Date: 14/11/2021"/>
        <s v="Direct Debit 314011 SUMO PAYWAY3086493381"/>
        <s v="COLES 0849 DRUMMOYNE AU AUS Card xx8188 Value Date: 13/11/2021"/>
        <s v="ALDI STORES - DRUMMOYN DRUMMOYNE AUS Card xx8188 Value Date: 13/11/2021"/>
        <s v="Salary SERVAUPAYROLL 20073P 85920286"/>
        <s v="MINSKYS HOTEL CREMORNE AUS Card xx8188 Value Date: 07/11/2021"/>
        <s v="MCDONALDS CREMORNE CREMORNE AUS Card xx8188 Value Date: 07/11/2021"/>
        <s v="GM CABS PTY LTD MASCOT AUS Card xx8188 Value Date: 05/11/2021"/>
        <s v="ENOTECA 128 NEUTRAL BAY NS AUS Card xx8188 Value Date: 06/11/2021"/>
        <s v="CAMINETTO ITALIAN RE THE ROCKS NS AUS Card xx8188 Value Date: 05/11/2021"/>
        <s v="UBER *TRIP Sydney AU AUS Card xx8188 Value Date: 06/11/2021"/>
        <s v="UBER *EATS Sydney AU AUS Card xx8188 Value Date: 06/11/2021"/>
        <s v="The Oaks Hotel Neutral Bay NS AUS Card xx8188 Value Date: 07/11/2021"/>
        <s v="The Oaks Hotel Neutral Bay NS AUS Card xx8188 Value Date: 06/11/2021"/>
        <s v="COLES EXPRESS 1607 CREMORNE AU AUS Card xx8188 Value Date: 07/11/2021"/>
        <s v="Transfer From JOHN MINAI Italian dinner"/>
        <s v="Transfer From JACK BOSENBERG dinner"/>
        <s v="Transfer From DANIEL LOLLBACK Dan Lollback share of dinner"/>
        <s v="Transfer From AARON D'ABRUZZO Boyz Dinner Aaron"/>
        <s v="UNIVERSAL NEWTOWN PT NEWTOWN AUS Card xx8188 Value Date: 30/10/2021"/>
        <s v="GM CABS PTY LTD MASCOT AUS Card xx8188 Value Date: 30/10/2021"/>
        <s v="Wdl ATM CUS AB HOTEL GLEBE NS AU"/>
        <s v="UBER *TRIP Sydney AU AUS Card xx8188 Value Date: 30/10/2021"/>
        <s v="LIQUORLAND 3301 DRUMMOYNE AU AUS Card xx8188 Value Date: 29/10/2021"/>
        <s v="Dick's Hotel Balmain Balmain NS AUS Card xx8188 Value Date: 30/10/2021"/>
        <s v="COLES 0849 DRUMMOYNE AU AUS Card xx8188 Value Date: 29/10/2021"/>
        <s v="Transfer To CoinSpot NetBank 996306738178"/>
        <s v="Direct Debit 245164 HCFHEALTHANDLIFE 057233969SHMNETX2J"/>
        <s v="SQ *ANYTHING BUT HUMBL Erskineville AU"/>
        <s v="SQ *ANYTHING BUT HUMBL Alexandria AU"/>
        <s v="NYMP PTY LTD NEWTOWN NSWAU"/>
        <s v="Salary SERVAUPAYROLL 20351P 85920286"/>
        <s v="PAPADINOS KATOOMBA KATOOMBA NS AUS Card xx8188 Value Date: 22/10/2021"/>
        <s v="Transfer To Kieran Krohn CommBank App accomodation"/>
        <s v="SMP*Victory Cafe Blackheath AU AUS Card xx8188 Value Date: 24/10/2021"/>
        <s v="IGA BLACKHEATH BLACKHEATH AUS Card xx8188 Value Date: 23/10/2021"/>
        <s v="NEW IVANHOE HOTEL Blackheath AU"/>
        <s v="Bottle Shop Blackheath AU"/>
        <s v="7-ELEVEN 2048 DRUMMOYNE NS AUS Card xx8188 Value Date: 21/10/2021"/>
        <s v="TELECOM BILLING SOUTH MELBOUR VI AUS Card xx8188 Value Date: 20/10/2021"/>
        <s v="KATOOMBA WINES KATOOMBA NSWAU"/>
        <s v="SUMO POWER SOUTH MELBOUR AUS Card xx8188 Value Date: 19/10/2021"/>
        <s v="UBER *TRIP Sydney AU AUS Card xx8188 Value Date: 17/10/2021"/>
        <s v="TRANSPORTFORNSW TAP SYDNEY AUS Card xx8188 Value Date: 18/10/2021"/>
        <s v="LIQUORLAND 3301 DRUMMOYNE AU AUS Card xx8188 Value Date: 16/10/2021"/>
        <s v="Transfer From H Roozbehani Soon will be your Birthday"/>
        <s v="CommBank app TFR from ZAHRA NOURI EMAM Ubee"/>
        <s v="Wdl ATM CBA ATM DRUMMOYNE A NSW 215701 AUS"/>
        <s v="COLES 0849 DRUMMOYNE AU AUS Card xx8188 Value Date: 12/10/2021"/>
        <s v="BEATPORT 720-974-9500 CO USA Card xx8188 AUD 1.86 Value Date: 13/10/2021"/>
        <s v="Salary SERVAUPAYROLL 20081P 85920286"/>
        <s v="UBER *EATS Sydney AU AUS Card xx8188 Value Date: 10/10/2021"/>
        <s v="7-ELEVEN 2048 DRUMMOYNE NS AUS Card xx8188 Value Date: 09/10/2021"/>
        <s v="Transfer To Sue Maree Hamilton PayID Phone from CommBank App for rodney"/>
        <s v="STEAMGAMES.COM 4259522 Hamburg DE DEU Card xx8882 AUD 42.95 Value Date: 01/10/2021"/>
        <s v="CommBank app TFR to 0451757385 iou"/>
        <s v="Cardless Cash return petrol"/>
        <s v="Cardless Cash for collection petrol"/>
        <s v="Cardless Cash for collection shopping"/>
        <s v="Direct Debit 245164 HCFHEALTHANDLIFE 057233969SG52ZKZ4X"/>
        <s v="Direct Credit 301500 Rent Trust Accou REIM GAS BILL"/>
        <s v="UBER *EATS Sydney AU AUS Card xx8882 Value Date: 27/09/2021"/>
        <s v="UBER *EATS Sydney AU AUS Card xx8882 Value Date: 26/09/2021"/>
        <s v="Transfer To CoinSpot NetBank 996304227309"/>
        <s v="COLES 0849 DRUMMOYNE AU AUS Card xx8882 Value Date: 19/09/2021"/>
        <s v="ALDI STORES - DRUMMOYN DRUMMOYNE AU Card xx8882"/>
        <s v="TELECOM BILLING SOUTH MELBOUR VI AUS Card xx8882 Value Date: 16/09/2021"/>
        <s v="COLES 0849 DRUMMOYNE AU AUS Card xx8882 Value Date: 15/09/2021"/>
        <s v="Telstra Direct Debit AUSTRALIA SA AUS Card xx8882 Value Date: 14/09/2021"/>
        <s v="Salary SERVAUPAYROLL 20235P 85920286"/>
        <s v="AGL RETAIL ENERGY NetBank BPAY 208892 70804298439409530129 Victoria Pl gas"/>
        <s v="UTS HABERFIELD CLUB HABERFIELD NS AUS Card xx8882 Value Date: 11/09/2021"/>
        <s v="UBER *EATS Sydney AU AUS Card xx8882 Value Date: 11/09/2021"/>
        <s v="LIQUORLAND 3301 DRUMMOYNE AU AUS Card xx8882 Value Date: 10/09/2021"/>
        <s v="COLES 0849 DRUMMOYNE AU AUS Card xx8882 Value Date: 10/09/2021"/>
        <s v="Transfer To CoinSpot NetBank 996303386356"/>
        <s v="AMAZON MKTPLC AU SYDNEY SOUTH NS AUS Card xx8882 Value Date: 07/09/2021"/>
        <s v="UBER *EATS Sydney AU AUS Card xx8882 Value Date: 05/09/2021"/>
        <s v="UBER *EATS Sydney AU AUS Card xx8882 Value Date: 04/09/2021"/>
        <s v="UBER *EATS Sydney AU AUS Card xx8882 Value Date: 03/09/2021"/>
        <s v="COLES 0849 DRUMMOYNE AU AUS Card xx8882 Value Date: 05/09/2021"/>
        <s v="SUMO POWER SOUTH MELBOUR AUS Card xx8882 Value Date: 02/09/2021"/>
        <s v="Salary SERVAUPAYROLL 21151P 85920286"/>
        <s v="Direct Debit 245164 HCFHEALTHANDLIFE 057233969SXTF8KW6K"/>
        <s v="7-ELEVEN 2048 DRUMMOYNE NS AUS Card xx8882 Value Date: 27/08/2021"/>
        <s v="International Transaction Fee Value Date: 22/08/2021"/>
        <s v="BANDCAMP S THE DJ 402-935-7733 CA USA Card xx8882 EUR 1.43 Value Date: 22/08/2021"/>
        <s v="Transfer To CoinSpot NetBank 996302431482"/>
        <s v="PLUGINFOX PORTLAND OR USA Card xx8882 USD 139.00 Value Date: 22/08/2021"/>
        <s v="Transfer From H Roozbehani Present from Father"/>
        <s v="Transfer To CoinSpot NetBank 996302268718"/>
        <s v="HARRIS FARM MARKETS DRUMMOYNE AU Card xx8882"/>
        <s v="Salary SERVAUPAYROLL 20414P 85920286"/>
        <s v="Telstra Direct Debit AUSTRALIA SA AUS Card xx8882 Value Date: 16/08/2021"/>
        <s v="TELECOM BILLING SOUTH MELBOUR VI AUS Card xx8882 Value Date: 16/08/2021"/>
        <s v="IGA DRUMMOYNE DRUMMOYNE AU Card xx8882"/>
        <s v="CONQUEST PTY LTD DRUMMOYNE NS AUS Card xx8882 Value Date: 10/08/2021"/>
        <s v="CITYOFSYDNEY PARKING SYDNEY AUS Card xx8882 Value Date: 10/08/2021"/>
        <s v="LIQUORLAND 3301 DRUMMOYNE AU AUS Card xx8882 Value Date: 09/08/2021"/>
        <s v="COLES 0849 DRUMMOYNE AU AUS Card xx8882 Value Date: 09/08/2021"/>
        <s v="Transfer To CoinSpot NetBank 996301576640"/>
        <s v="Transfer To CoinSpot NetBank 996301576672"/>
        <s v="WWW.DEVICEDEAL.COM.AU VERMONT VI AUS Card xx8882 Value Date: 07/08/2021"/>
        <s v="SUMO POWER SOUTH MELBOUR AUS Card xx8882 Value Date: 03/08/2021"/>
        <s v="Salary SERVAUPAYROLL 20095P 85920286"/>
        <s v="JIMS COMPUTER SERVIC GUILDFORD AU"/>
        <s v="DESTROS PHARMACY DRUMMOYNE NS AUS Card xx8882 Value Date: 31/07/2021"/>
        <s v="THE REJECT SHOP 2299 GLEBE NS AUS Card xx8882 Value Date: 31/07/2021"/>
        <s v="COLES 0849 DRUMMOYNE AU AUS Card xx8882 Value Date: 30/07/2021"/>
        <s v="Direct Debit 245164 HCFHEALTHANDLIFE 057233969SNGZEO00H"/>
        <s v="Transfer To Danny Vardanega CommBank App gamblor"/>
        <s v="Transfer From VARDANEGA DANIEL Winnings"/>
        <s v="Transfer From Homayoun Present"/>
        <s v="SIENELLA PTY LTD RODD POINT NS AUS Card xx8882 Value Date: 25/07/2021"/>
        <s v="COLES 0849 DRUMMOYNE AU AUS Card xx8882 Value Date: 24/07/2021"/>
        <s v="BUNNINGS 595000 ASHFIELD AU Card xx8882"/>
        <s v="Salary SERVAUPAYROLL 20264P 85920286"/>
        <s v="7-ELEVEN 2048 DRUMMOYNE NS AUS Card xx8882 Value Date: 20/07/2021"/>
        <s v="UBER *EATS Sydney AU AUS Card xx8882 Value Date: 16/07/2021"/>
        <s v="TELECOM BILLING SOUTH MELBOUR VI AUS Card xx8882 Value Date: 16/07/2021"/>
        <s v="Wdl ATM CAS CASHCARD DRUMMOYNENS AU"/>
        <s v="Telstra Direct Debit AUSTRALIA SA AUS Card xx8882 Value Date: 15/07/2021"/>
        <s v="FS *Akai Pro Amsterdam NL NLD Card xx8882 AUD 15.99 Value Date: 14/07/2021"/>
        <s v="COLES 0849 DRUMMOYNE AU AUS Card xx8882 Value Date: 12/07/2021"/>
        <s v="UBER *EATS Sydney AU AUS Card xx8882 Value Date: 11/07/2021"/>
        <s v="ROLAND TECHNICAL SER DEE WHY NS AUS Card xx8882 Value Date: 09/07/2021"/>
        <s v="7-ELEVEN 2048 DRUMMOYNE NS AUS Card xx8882 Value Date: 10/07/2021"/>
        <s v="Direct Debit 314011 SUMO PAYWAY3004036904"/>
        <s v="Salary SERVAUPAYROLL 20185P 85920286"/>
        <s v="SERVICE NSW SYDNEY AUS_x000a_Card xx8882_x000a_Value Date: 02/07/2021"/>
        <s v="NRMA WEB SYDNEY NS AUS_x000a_Card xx8882_x000a_Value Date: 02/07/2021"/>
        <s v="UBER *EATS Sydney AU AUS_x000a_Card xx8882_x000a_Value Date: 04/07/2021 "/>
        <s v="D&amp;B Drummoyne Drummoyne NS AUS_x000a_Tap and Pay xx2711_x000a_Value Date: 04/07/2021 "/>
        <s v="IGA DRUMMOYNE DRUMMOYNE AU_x000a_Card xx8882 "/>
        <s v="Transfer From JONATHAN OLIVER_x000a_lunch "/>
        <s v="IGA DRUMMOYNE DRUMMOYNE AU Card xx8882 "/>
        <s v="Trattoria Casa Chiswick NS AUS Card xx8882 Value Date: 30/06/2021"/>
        <s v="UBER *EATS Sydney AU AUS Card xx8882 Value Date: 29/06/2021"/>
        <s v="Direct Debit 245164 HCFHEALTHANDLIFE 057233969SAQXWRXQN"/>
        <s v="7-ELEVEN 2048 DRUMMOYNE NS AUS Card xx8882 Value Date: 29/06/2021"/>
        <s v="Transfer From MASOUMEH GHOLAMSHAHI faciliatete car rego"/>
        <s v="Transfer To RAMTEAN ROOZBEHANI NetBank removalist and cleaner"/>
        <s v=" Transfer from xx8675 NetBank"/>
        <s v="Transfer To Drummoyne Properties Pty Ltd CommBank App 2309vic"/>
        <s v="Salary SERVAUPAYROLL 21013P 85920286"/>
        <s v="UBER *EATS Sydney AU AUS Card xx8882 Value Date: 21/06/2021"/>
        <s v="UBER* TRIP SYDNEY NS AUS Card xx8882 Value Date: 19/06/2021"/>
        <s v="UBER *EATS Sydney AU AUS Card xx8882 Value Date: 19/06/2021"/>
        <s v="UBER *EATS Sydney AU AUS Card xx8882 Value Date: 18/06/2021"/>
        <s v="Transfer to xx8675 NetBank House Deposit"/>
        <s v="BAR TOSCA SYDNEY NS AUS Card xx8882 Value Date: 17/06/2021"/>
        <s v="ARC AT UNSW LTD KENSINGTON AU Card xx8882"/>
        <s v="ULTRA TUNE DRUMMOYNE AU Card xx8882"/>
        <s v="UBER *EATS Sydney AU AUS Card xx8882 Value Date: 16/06/2021"/>
        <s v="Transfer From Ms Katrina T Duncan Kat"/>
        <s v="Telstra Direct Debit AUSTRALIA SA AUS Card xx8882 Value Date: 16/06/2021"/>
        <s v="Menulog Pty Ltd Sydney AU AUS Card xx8882 Value Date: 17/06/2021"/>
        <s v="UBER *EATS Sydney AU AUS Card xx8882 Value Date: 15/06/2021"/>
        <s v="Transfer From GEOFFREY COLLINS G electric"/>
        <s v="UBER *TRIP Sydney AU AUS Card xx8882 Value Date: 13/06/2021"/>
        <s v="UBER *EATS Sydney AU AUS Card xx8882 Value Date: 14/06/2021"/>
        <s v="7-ELEVEN 2048 DRUMMOYNE NS AUS Card xx8882 Value Date: 13/06/2021"/>
        <s v="WOOLWORTHS 1248 SYDNEY NS AUS Card xx8882 Value Date: 12/06/2021"/>
        <s v="UME Restaurant Surry Hills NS AUS Card xx8882 Value Date: 12/06/2021"/>
        <s v="UBER* EATS SYDNEY NS AUS Card xx8882 Value Date: 13/06/2021"/>
        <s v="UBER *EATS Sydney AU AUS Card xx8882 Value Date: 11/06/2021"/>
        <s v="Menulog Pty Ltd Sydney AU AUS Card xx8882 Value Date: 12/06/2021"/>
        <s v="CARRINGTON 565 PTY L SURRY HILLS NS AUS Card xx8882 Value Date: 12/06/2021"/>
        <s v="UBER *EATS Sydney AU AUS Card xx8882 Value Date: 10/06/2021"/>
        <s v="CommBank app TFR to 0426276026 iou"/>
        <s v="Direct Debit 314011 SUMO PAYWAY2983079229"/>
        <s v="Transfer From RAMTEAN ROOZBEHANI old rent return"/>
        <s v="TELECOM BILLING SOUTH MELBOUR VI AUS Card xx8882 Value Date: 08/06/2021"/>
        <s v="Salary SERVAUPAYROLL 21345P 85920286"/>
        <s v="Transfer To Katrina Duncan PayID Phone from CommBank App food iou"/>
        <s v="Transfer From RAMTEAN ROOZBEHANI electricity"/>
        <s v="LINKT SYDNEY SYDNEY AUS Card xx8882 Value Date: 08/06/2021"/>
        <s v="COLES 0849 DRUMMOYNE AU AUS Tap and Pay xx2711 Value Date: 06/06/2021"/>
        <s v="SILVER SPOON BISTRO SURRY HILLS NS AUS Card xx8882 Value Date: 03/06/2021"/>
        <s v="COLES 0849 DRUMMOYNE AU AUS Card xx8882 Value Date: 06/06/2021"/>
        <s v="NSW RENTAL BOND PARRAMATTA AUS Card xx8882 Value Date: 03/06/2021"/>
        <s v="WOOLWORTHS 1248 SYDNEY NS AUS Card xx8882 Value Date: 02/06/2021"/>
        <s v="PHOTOWN Alexandria NS AUS Card xx8882 Value Date: 02/06/2021"/>
        <s v="TRANSPORTFORNSW OPAL CHIPPENDALE AUS Card xx8882 Value Date: 02/06/2021"/>
        <s v="TAXI COMBINED 133300 ALEXANDRIA NS AUS Card xx8882 Value Date: 29/05/2021"/>
        <s v="UBER *TRIP Sydney AU AUS Card xx8882 Value Date: 29/05/2021"/>
        <s v="UBER *EATS Sydney AU AUS Card xx8882 Value Date: 29/05/2021"/>
        <s v="UBER *EATS Sydney AU AUS Card xx8882 Value Date: 28/05/2021"/>
        <s v="STEAMGAMES.COM 4259522 Hamburg DE DEU Card xx8882 AUD 28.95 Value Date: 29/05/2021"/>
        <s v="Internet share"/>
        <s v="Direct Debit 245164 HCFHEALTHANDLIFE 057233969SX0QN422Z"/>
        <s v="Dick's Hotel Balmain Balmain NS AUS Card xx8882 Value Date: 29/05/2021"/>
        <s v="BWS LIQUOR 1601 DRUMMOYNE NS AUS Card xx8882 Value Date: 28/05/2021"/>
        <s v="BRIDGE HOTEL ROZELLE ROZELLE NS AUS Card xx8882 Value Date: 30/05/2021"/>
        <s v="AGR SERVICES PTY LTD SYDNEY NS AUS Card xx8882 Value Date: 28/05/2021"/>
        <s v="Transfer From GEOFFREY COLLINS geoff shake"/>
        <s v="BAR TOSCA SYDNEY NS AUS Card xx8882 Value Date: 27/05/2021"/>
        <s v="BAR TOSCA SYDNEY NS AUS Card xx8882 Value Date: 26/05/2021"/>
        <s v="Salary SERVAUPAYROLL 20343P 85920286"/>
        <s v="Menulog Pty Ltd Sydney AU AUS Card xx8882 Value Date: 25/05/2021"/>
        <s v="Menulog Pty Ltd Sydney AU AUS Card xx8882 Value Date: 23/05/2021"/>
        <s v="International Transaction Fee Value Date: 24/05/2021"/>
        <s v="BEYOU CHAIR 2362576589 DE USA Card xx8882 USD 329.00 Value Date: 24/05/2021"/>
        <s v="Transfer From RAMTEAN ROOZBEHANI food"/>
        <s v="WW METRO 1669 SURRY HILLS NS AUS Card xx8882 Value Date: 20/05/2021"/>
        <s v="BAR TOSCA SYDNEY NS AUS Card xx8882 Value Date: 20/05/2021"/>
        <s v="TRANSPORTFORNSW OPAL CHIPPENDALE AUS Card xx8882 Value Date: 20/05/2021"/>
        <s v="BAR TOSCA SYDNEY NS AUS Card xx8882 Value Date: 19/05/2021"/>
        <s v="Telstra Direct Debit AUSTRALIA SA AUS Card xx8882 Value Date: 17/05/2021"/>
        <s v="SPOTTO NSW DARLINGHURSTN NS AUS Card xx8882 Value Date: 16/05/2021"/>
        <s v="SPEEDW AY ROSEVILLE ROSEVILLE NS AUS Card xx8882 Value Date: 14/05/2021"/>
        <s v="UBER *EATS Sydney AU AUS Card xx8882 Value Date: 16/05/2021"/>
        <s v="STRIKE AUSTRALIA PTY SYDNEY NS AUS Card xx8882 Value Date: 15/05/2021"/>
        <s v="SHWARMAMA PTY LTD SURRY HILLS NS AUS Tap and Pay xx2711 Value Date: 12/05/2021"/>
        <s v="NBC-PAY &amp; DISPLAY PARK DEE WHY AUS Card xx8882 Value Date: 14/05/2021"/>
        <s v="BETTYS BURGERS AUSTRAL BONDI JUNCTIOAU Card xx8882"/>
        <s v="Barangaroo House Barangaroo AU"/>
        <s v="BAR TOSCA SYDNEY NS AUS Card xx8882 Value Date: 13/05/2021"/>
        <s v="ALDI STORES - DRUMMOYN DRUMMOYNE AUS Tap and Pay xx2711 Value Date: 11/05/2021"/>
        <s v="Transfer to CBA A/c CommBank app gig iou"/>
        <s v="TRANSPORTFORNSW OPAL CHIPPENDALE AUS Card xx8882 Value Date: 12/05/2021"/>
        <s v="Transfer From GEOFFREY COLLINS electricity"/>
        <s v="Salary SERVAUPAYROLL 20223P 85920286"/>
        <s v="Menulog Pty Ltd Sydney AU AUS Card xx8882 Value Date: 12/05/2021"/>
        <s v="Direct Debit 314011 SUMO PAYWAY2961317502"/>
        <s v="UBER *EATS Sydney AU AUS Card xx8882 Value Date: 10/05/2021"/>
        <s v="RAMTEAN  food"/>
        <s v="Menulog Pty Ltd Sydney AU AUS Card xx8882 Value Date: 11/05/2021"/>
        <s v="WW METRO 1669 SURRY HILLS NS AUS Tap and Pay xx2711 Value Date: 07/05/2021"/>
        <s v="UBER *EATS Sydney AU AUS Card xx8882 Value Date: 09/05/2021"/>
        <s v="UBER *EATS Sydney AU AUS Card xx8882 Value Date: 08/05/2021"/>
        <s v="SHWARMAMA PTY LTD SURRY HILLS NS AUS Tap and Pay xx2711 Value Date: 07/05/2021"/>
        <s v="Netbank to Complete Access CommBank app crpyto"/>
        <s v="Katrina Duncan PayID Phone from CommBank App food iou"/>
        <s v="House Deposit"/>
        <s v="BAR TOSCA SYDNEY NS AUS Tap and Pay xx2711 Value Date: 06/05/2021"/>
        <s v="Camy's Chargrill SH Surry Hills NS AUS Tap and Pay xx2711 Value Date: 05/05/2021"/>
        <s v="H Roozbehani Gift to Rodean from Dad"/>
        <s v="Oxford Hotel DRUMMOYNE AU AUS Tap and Pay xx2711 Value Date: 02/05/2021"/>
        <s v="UBER *EATS Sydney AU AUS Card xx8882 Value Date: 02/05/2021"/>
        <s v="TENKOMORI SYDNEY AUS Tap and Pay xx2711 Value Date: 30/04/2021"/>
        <s v="Katrina Duncan PayID Phone from CommBank App VR"/>
        <s v="grunt electricity"/>
        <s v="Direct Debit 245164 HCFHEALTHANDLIFE 057233969SV6VQ6565"/>
        <s v="Rio Ticket Louis Wayment"/>
        <s v="PHOTOWN Alexandria NS AUS Tap and Pay xx2711 Value Date: 29/04/2021"/>
        <s v="Camy's Chargrill SH Surry Hills NS AUS Tap and Pay xx2711 Value Date: 29/04/2021"/>
        <s v="UBER *EATS Sydney AU AUS Card xx8882 Value Date: 28/04/2021"/>
        <s v="TAXI COMBINED 133300 ALEXANDRIA NS AUS Tap and Pay xx2711 Value Date: 28/04/2021"/>
        <s v="DOORDASH*DOS SENORITAS MELBOURNE VI AUS Card xx8882 Value Date: 29/04/2021"/>
        <s v="CITY CONVENIENCE STORE HAYMARKET NS AUS Tap and Pay xx2711 Value Date: 27/04/2021"/>
        <s v="BAR BROADWAY BROADWAY AUS Tap and Pay xx2711 Value Date: 27/04/2021"/>
        <s v="TRANSPORTFORNSW OPAL CHIPPENDALE AUS Card xx8882 Value Date: 27/04/2021"/>
        <s v="Salary SERVAUPAYROLL 19431P 85920286"/>
        <s v="Rent"/>
        <s v="Kyo-To Spice Alley Chippendale NS AUS Tap and Pay xx2711 Value Date: 27/04/2021"/>
        <s v="Ground Floor Estab Sydney NS AUS Tap and Pay xx2711 Value Date: 28/04/2021"/>
        <s v="ACTIVE8 POOL TABLES KIRRAWEE NS AUS Tap and Pay xx2711 Value Date: 27/04/2021"/>
        <s v="MCDONALDS NAMBUCCA HD VALLA AUS Tap and Pay xx2711 Value Date: 23/04/2021"/>
        <s v="MCDONALDS F3 NORTHBOU JILLIBY AUS Tap and Pay xx2711 Value Date: 23/04/2021"/>
        <s v="COLES 0849 DRUMMOYNE AU AUS Tap and Pay xx2711 Value Date: 26/04/2021"/>
        <s v="BVL PARTNERSHIP PL BELLINGEN NS AUS Card xx8882 Value Date: 23/04/2021"/>
        <s v="BP NAMBUCCA TRVL CTR 7 VALLA NS AUS Tap and Pay xx2711 Value Date: 23/04/2021"/>
        <s v="UNITED DORRIGO DORRIGO NS AUS Tap and Pay xx2711 Value Date: 23/04/2021"/>
        <s v="RAMTEAN  loan"/>
        <s v="Netbank to Complete Access CommBank app"/>
        <s v="Hilltop at the Lodge Bellingen NS AUS Tap and Pay xx2711 Value Date: 25/04/2021"/>
        <s v="EBOR PUB PL EBOR AUS Tap and Pay xx2711 Value Date: 23/04/2021"/>
        <s v="CALTEX COOLONGOLOOK COOLONGOLOOK AUS Tap and Pay xx2711 Value Date: 25/04/2021"/>
        <s v="Overdraw Fee For exceeding available funds on 23 Apr"/>
        <s v="MANGO COCO THAI DESSER HAYMARKET AUS Tap and Pay xx2711 Value Date: 22/04/2021"/>
        <s v="7-ELEVEN 2048 DRUMMOYNE NS AUS Tap and Pay xx2711 Value Date: 22/04/2021"/>
        <s v="Menulog Pty Ltd Sydney AU AUS Card xx8882 Value Date: 22/04/2021"/>
        <s v="BAR TOSCA SYDNEY NS AUS Tap and Pay xx2711 Value Date: 21/04/2021"/>
        <s v="Dick Smith FKFBJM9Y Melbourne AU AUS Card xx8882 Value Date: 20/04/2021 (Kogan Fridge)"/>
        <s v="Telstra Direct Debit AUSTRALIA SA AUS Card xx8882 Value Date: 19/04/2021"/>
        <s v="RAMTEAN  fridge"/>
        <s v="Menulog Pty Ltd Sydney AU AUS Card xx8882 Value Date: 19/04/2021"/>
        <s v="COLES 0849 DRUMMOYNE AU AUS Card xx8882 Value Date: 19/04/2021"/>
        <s v="WW METRO 1669 SURRY HILLS NS AUS Card xx8882 Value Date: 16/04/2021"/>
        <s v="UBER* TRIP SYDNEY NS AUS Card xx8882 Value Date: 18/04/2021"/>
        <s v="UBER *TRIP Sydney AU AUS Card xx8882 Value Date: 17/04/2021"/>
        <s v="UBER *EATS Sydney AU AUS Card xx8882 Value Date: 17/04/2021"/>
        <s v="UBER *EATS Sydney AU AUS Card xx8882 Value Date: 16/04/2021"/>
        <s v="OXFORD WORLD SQUARE SYDNEY AU AUS Card xx8882 Value Date: 16/04/2021"/>
        <s v="geoff fridge"/>
        <s v="Coinspot Deposit 996194599870"/>
        <s v="PHOTOWN Alexandria NS AUS Card xx8882 Value Date: 15/04/2021"/>
        <s v="TRANSPORTFORNSW OPAL CHIPPENDALE AUS Card xx8882 Value Date: 15/04/2021"/>
        <s v="SHWARMAMA PTY LTD SURRY HILLS AU"/>
        <s v="Menulog Pty Ltd Sydney AU AUS Card xx8882 Value Date: 14/04/2021"/>
        <s v="BAR TOSCA SYDNEY NS AUS Card xx8882 Value Date: 14/04/2021"/>
        <s v="Salary SERVAUPAYROLL 20043P 85920286"/>
        <s v="UBER *EATS Sydney AU AUS Card xx8882 Value Date: 11/04/2021"/>
        <s v="UBER *EATS Sydney AU AUS Card xx8882 Value Date: 10/04/2021"/>
        <s v="COLES 0849 DRUMMOYNE AU AUS Tap and Pay xx2711 Value Date: 11/04/2021"/>
        <s v="UBER *EATS Sydney AU AUS Card xx8882 Value Date: 09/04/2021"/>
        <s v="RAMTEAN  foods"/>
        <s v="geoff wedges"/>
        <s v="H Roozbehani Gift"/>
        <s v="Coinspot Deposit 996194104530"/>
        <s v="MASOUMEH GHOLAMSHAHI To Rodean for business"/>
        <s v="MASOUMEH GHOLAMSHAHI the rest for investment business"/>
        <s v="MASOUMEH GHOLAMSHAHI CREDIT TO ACCOUNT"/>
        <s v="Coinspot Deposit 996194070673"/>
        <s v="Coinspot Deposit 996194069976"/>
        <s v="Jonathan K Oliver CommBank App iou"/>
        <s v="Coinspot Deposit 996194045018"/>
        <s v="BAR TOSCA SYDNEY NS AUS Card xx8882 Value Date: 07/04/2021"/>
        <s v="UBER *EATS Sydney AU AUS Card xx8882 Value Date: 05/04/2021"/>
        <s v="UBER *EATS Sydney AU AUS Card xx8882 Value Date: 04/04/2021"/>
        <s v="TENKOMORI SYDNEY AU Card xx8882"/>
        <s v="Return ETORO INTERNET AU AUS Card xx8882 Value Date: 05/04/2021"/>
        <s v="Microsoft*Microsoft 36 msbill.info AU AUS Card xx8882 Value Date: 06/04/2021"/>
        <s v="COLES 0849 DRUMMOYNE AU AUS Card xx8882 Value Date: 06/04/2021"/>
        <s v="UBER *EATS Sydney AU AUS Card xx8882 Value Date: 03/04/2021"/>
        <s v="Direct Credit 067596 OZFOREX LIMITED HELLOSTAKE.COM"/>
        <s v="Coinspot Deposit 996193760461"/>
        <s v="Jonathan K Oliver CommBank App food"/>
        <s v="RAMTEAN  CommBank App iou"/>
        <s v="RAMTEAN  CommBank App facebook ad spend"/>
        <s v="UBER *EATS Sydney AU AUS Card xx8882 Value Date: 29/03/2021"/>
        <s v="TRANSPORTFORNSW OPAL CHIPPENDALE AUS Card xx8882 Value Date: 31/03/2021"/>
        <s v="Direct Debit 245164 HCFHEALTHANDLIFE 057233969SMD0W3KGM"/>
        <s v="COLES 0849 DRUMMOYNE AU AUS Tap and Pay xx2711 Value Date: 29/03/2021"/>
        <s v="xx0814 CommBank app"/>
        <s v="UBER* EATS SYDNEY NS AUS Card xx8882 Value Date: 27/03/2021"/>
        <s v="UBER *EATS Sydney AU AUS Card xx8882 Value Date: 28/03/2021"/>
        <s v="Direct Debit 314011 SUMO PAYWAY2926416056"/>
        <s v="ETORO INTERNET AU AUS Card xx8882 Value Date: 26/03/2021"/>
        <s v="CENTENNIAL PLAZA PHR SYDNEY NS AUS Card xx8882 Value Date: 25/03/2021"/>
        <s v="BAR TOSCA SYDNEY NS AUS Card xx8882 Value Date: 26/03/2021"/>
        <s v="COLES 0849 DRUMMOYNE AU AUS Card xx8882 Value Date: 24/03/2021"/>
        <s v="WW METRO 1669 SURRY HILLS NS AUS Card xx8882 Value Date: 24/03/2021"/>
        <s v="SQ *SURRY HILLS DUMPLI Surry Hills AU"/>
        <s v="UBER *EATS Sydney AU AUS Card xx8882 Value Date: 21/03/2021"/>
        <s v="Return AIRBNB * HMKYJT9CSQ Surry Hills AU AUS Card xx8882 Value Date: 20/03/2021"/>
        <s v="geoff electricity p1"/>
        <s v="Telstra Direct Debit AUSTRALIA SA AUS Card xx8882 Value Date: 18/03/2021"/>
        <s v="ESEL Pty Ltd Lidcombe AU AUS Card xx8882 Value Date: 20/03/2021"/>
        <s v="AIRBNB * HMKYJT9CSQ Surry Hills AU AUS Card xx8882 Value Date: 18/03/2021"/>
        <s v="WW METRO 1669 SURRY HILLS NS AUS Card xx8882 Value Date: 18/03/2021"/>
        <s v="PHOTOWN Alexandria NS AUS Card xx8882 Value Date: 18/03/2021"/>
        <s v="NETFLIX.COM Melbourne AU AUS Card xx8882 Value Date: 18/03/2021"/>
        <s v="TRANSPORTFORNSW OPAL CHIPPENDALE AUS Card xx8882 Value Date: 18/03/2021"/>
        <s v="Salary SERVAUPAYROLL 19560P 85920286"/>
        <s v="Woolwich Pier Woolwich AU AUS Card xx8882 Value Date: 13/03/2021"/>
        <s v="UBER *EATS Sydney AU AUS Card xx8882 Value Date: 14/03/2021"/>
        <s v="COLES 0849 DRUMMOYNE AU AUS Card xx8882 Value Date: 15/03/2021"/>
        <s v="Unpaid Payment Fee Value Date: 15/03/2021"/>
        <s v="Return 15/03/21 Direct Debit 314011 SUMO PAYWAY2913696277 Value Date: 15/03/2021"/>
        <s v="Overdraw Fee For exceeding available funds on 15 Mar"/>
        <s v="Menulog Pty Ltd Sydney AU AUS Card xx8882 Value Date: 13/03/2021"/>
        <s v="CITY MART 525 PTY LT SYDNEY NS AUS Card xx8882 Value Date: 12/03/2021"/>
        <s v="BAR TOSCA SYDNEY NS AUS Card xx8882 Value Date: 12/03/2021"/>
        <s v="Direct Debit 314011 SUMO PAYWAY2913696277"/>
        <s v="PHOTOWN Alexandria NS AUS Tap and Pay xx2711 Value Date: 11/03/2021"/>
        <s v="WW METRO 1669 CENTRAL STATN NS AUS Card xx8882 Value Date: 10/03/2021"/>
        <s v="COLES 0849 DRUMMOYNE AU AUS Card xx8882 Value Date: 08/03/2021"/>
        <s v="7-ELEVEN 2048 DRUMMOYNE NS AUS Card xx8882 Value Date: 09/03/2021"/>
        <s v="Coinspot Deposit 996192019081"/>
        <s v="WW METRO 1669 CENTRAL STATN NS AUS Card xx8882 Value Date: 05/03/2021"/>
        <s v="UBER *TRIP Sydney AU AUS Card xx8882 Value Date: 04/03/2021"/>
        <s v="TRANSPORTFORNSW OPAL CHIPPENDALE AUS Card xx8882 Value Date: 05/03/2021"/>
        <s v="PHOTOWN Alexandria NS AUS Card xx8882 Value Date: 05/03/2021"/>
        <s v="Jonathan K Oliver CommBank App food iou"/>
        <s v="RELISH FOOD CO. PTY. L SURRY HILLS AU Card xx8882"/>
        <s v="UBER *EATS Sydney AU AUS Card xx8882 Value Date: 28/02/2021"/>
        <s v="WW METRO 1669 CENTRAL STATN NS AUS Card xx8882 Value Date: 26/02/2021"/>
        <s v="RAMTEAN  CommBank App food iou"/>
        <s v="Direct Debit 245164 HCFHEALTHANDLIFE 057233969SUJREZY8W"/>
        <s v="WW METRO 1669 CENTRAL STATN NS AUS Card xx8882 Value Date: 25/02/2021"/>
        <s v="PHOTOWN Alexandria NS AUS Card xx8882 Value Date: 25/02/2021"/>
        <s v="TRANSPORTFORNSW OPAL CHIPPENDALE AUS Card xx8882 Value Date: 25/02/2021"/>
        <s v="Direct Credit 012721 ATO ATO005000014206811"/>
        <s v="UBER* EATS SYDNEY NS AUS Card xx8882 Value Date: 21/02/2021"/>
        <s v="UBER *EATS Sydney AU AUS Card xx8882 Value Date: 20/02/2021"/>
        <s v="Oxford Hotel DRUMMOYNE AU AUS Card xx8882 Value Date: 21/02/2021"/>
        <s v="COLES 0849 DRUMMOYNE AU AUS Card xx8882 Value Date: 22/02/2021"/>
        <s v="7-ELEVEN 2048 DRUMMOYNE NS AUS Card xx8882 Value Date: 22/02/2021"/>
        <s v="WW METRO 1669 CENTRAL STATN NS AUS Card xx8882 Value Date: 19/02/2021"/>
        <s v="geoff dinner"/>
        <s v="WW METRO 1669 CENTRAL STATN NS AUS Card xx8882 Value Date: 17/02/2021"/>
        <s v="TRANSPORTFORNSW OPAL CHIPPENDALE AUS Card xx8882 Value Date: 18/02/2021"/>
        <s v="PHOTOWN Alexandria NS AUS Card xx8882 Value Date: 17/02/2021"/>
        <s v="UBER *EATS Sydney AU AUS Card xx8882 Value Date: 15/02/2021"/>
        <s v="Telstra Direct Debit AUSTRALIA SA AUS Card xx8882 Value Date: 16/02/2021"/>
        <s v="Salary SERVAUPAYROLL 20172P 85920286"/>
        <s v="UBER* EATS SYDNEY NS AUS Card xx8882 Value Date: 14/02/2021"/>
        <s v="WW METRO 1669 CENTRAL STATN NS AUS Card xx8882 Value Date: 12/02/2021"/>
        <s v="Dick's Hotel Balmain Balmain NS AUS Card xx8882 Value Date: 12/02/2021"/>
        <s v="xx0814 CommBank app stock"/>
        <s v="WW METRO 1669 CENTRAL STATN NS AUS Card xx8882 Value Date: 11/02/2021"/>
        <s v="Coinspot Deposit 135209500 815C8A09"/>
        <s v="WW METRO 1669 CENTRAL STATN NS AUS Card xx8882 Value Date: 10/02/2021"/>
        <s v="PHOTOWN Alexandria NS AUS Card xx8882 Value Date: 10/02/2021"/>
        <s v="TRANSPORTFORNSW OPAL CHIPPENDALE AUS Card xx8882 Value Date: 10/02/2021"/>
        <s v="Direct Debit 314011 SUMO PAYWAY2887933873"/>
        <s v="COLES 0849 DRUMMOYNE AU AUS Card xx8882 Value Date: 09/02/2021"/>
        <s v="UBER *EATS Sydney AU AUS Card xx8882 Value Date: 07/02/2021"/>
        <s v="WW METRO 1669 CENTRAL STATN NS AUS Card xx8882 Value Date: 05/02/2021"/>
        <s v="WW METRO 1669 CENTRAL STATN NS AUS Card xx8882 Value Date: 04/02/2021"/>
        <s v="SQ *THE TASTE OF BEES Drummoyne AU"/>
        <s v="PHOTOWN Alexandria NS AUS Card xx8882 Value Date: 04/02/2021"/>
        <s v="WW METRO 1669 CENTRAL STATN NS AUS Card xx8882 Value Date: 03/02/2021"/>
        <s v="Salary SERVAUPAYROLL 19331P 85920286"/>
        <s v="UBER* EATS SYDNEY NS AUS Card xx8882 Value Date: 31/01/2021"/>
        <s v="UBER *EATS Sydney AU AUS Card xx8882 Value Date: 31/01/2021"/>
        <s v="UBER *EATS Sydney AU AUS Card xx8882 Value Date: 30/01/2021"/>
        <s v="COLES 0849 DRUMMOYNE AU AUS Card xx8882 Value Date: 01/02/2021"/>
        <s v="BAR TOSCA SYDNEY NS AUS Card xx8882 Value Date: 29/01/2021"/>
        <s v="7-ELEVEN 2048 DRUMMOYNE NS AUS Card xx8882 Value Date: 29/01/2021"/>
        <s v="Direct Debit 245164 HCFHEALTHANDLIFE 057233969S4GPZVYTG"/>
        <s v="Coinspot Deposit 996189508621"/>
        <s v="Coinspot Deposit 996189508474"/>
        <s v="WW METRO 1669 CENTRAL STATN NS AUS Card xx8882 Value Date: 28/01/2021"/>
        <s v="WW METRO 1669 CENTRAL STATN NS AUS Card xx8882 Value Date: 27/01/2021"/>
        <s v="TRANSPORTFORNSW OPAL CHIPPENDALE AUS Card xx8882 Value Date: 28/01/2021"/>
        <s v="PHOTOWN Alexandria NS AUS Card xx8882 Value Date: 27/01/2021"/>
        <s v="POLITIX BIRKIN HEAD DRUMMOYNE NS AUS Card xx8882 Value Date: 23/01/2021"/>
        <s v="ME-AND-U 0290578500 NS AUS Card xx8882 Value Date: 25/01/2021"/>
        <s v="CONQUEST PTY LTD DRUMMOYNE NS AUS Card xx8882 Value Date: 24/01/2021"/>
        <s v="Bendooley Estate Berrima NS AUS Card xx8882 Value Date: 25/01/2021"/>
        <s v="WW METRO 1669 CENTRAL STATN NS AUS Card xx8882 Value Date: 22/01/2021"/>
        <s v="UBER *EATS Sydney AU AUS Card xx8882 Value Date: 21/01/2021"/>
        <s v="SUMO POWER SOUTH MELBOUR AUS Card xx8882 Value Date: 21/01/2021"/>
        <s v="SERVICE NSW 4007 HAYMARKET AUS Card xx8882 Value Date: 22/01/2021"/>
        <s v="Royal Hotel Bowral Bowral AU"/>
        <s v="Katrina Duncan PayID Phone from CommBank App iou"/>
        <s v="SOUTHERN HT 4872480 SYDNEY NSW AU"/>
        <s v="CENTENNIAL VINEYARDS BOWRAL AU Card xx8882"/>
        <s v="Camy's Chargrill SH Surry Hills NS AUS Tap and Pay xx2711 Value Date: 21/01/2021"/>
        <s v="WW METRO 1669 CENTRAL STATN NS AUS Card xx8882 Value Date: 20/01/2021"/>
        <s v="PHOTOWN Alexandria NS AUS Card xx8882 Value Date: 20/01/2021"/>
        <s v="TRANSPORTFORNSW OPAL CHIPPENDALE AUS Card xx8882 Value Date: 20/01/2021"/>
        <s v="TOP FRUIT MARKET DRUMMOYNE NS AUS Card xx8882 Value Date: 19/01/2021"/>
        <s v="Telstra Direct Debit AUSTRALIA SA AUS Card xx8882 Value Date: 18/01/2021"/>
        <s v="SUMO POWER SOUTH MELBOUR AUS Card xx8882 Value Date: 18/01/2021"/>
        <s v="Salary SERVAUPAYROLL 20092P 85920286"/>
        <s v="MASOUMEH GHOLAMSHAHI Dinner order"/>
        <s v="GM CABS PTY LTD MASCOT AUS Card xx8882 Value Date: 17/01/2021"/>
        <s v="LEGION CAB SY 131451 DARLINGHURST NS AUS Card xx8882 Value Date: 16/01/2021"/>
        <s v="HOLEY MOLEY AUSTRALI POTTS POINT NS AUS Card xx8882 Value Date: 16/01/2021"/>
        <s v="UBER* EATS SYDNEY NS AUS Card xx8882 Value Date: 15/01/2021"/>
        <s v="Withdrawal   ATMCAS POTTS POINT NSW NS AU"/>
        <s v="ROZELLE PHARMACY PTY ROZELLE AU Card xx8882"/>
        <s v="Potts Point Hotel Potts Point AU"/>
        <s v="COLES 0849 DRUMMOYNE AU AUS Card xx8882 Value Date: 11/01/2021"/>
        <s v="WW METRO 1669 CENTRAL STATN NS AUS Card xx8882 Value Date: 11/01/2021"/>
        <s v="UBER *EATS Sydney AU AUS Card xx8882 Value Date: 10/01/2021"/>
        <s v="UBER* EATS SYDNEY NS AUS Card xx8882 Value Date: 08/01/2021"/>
        <s v="MANNYS Alexandria NS AUS Card xx8882 Value Date: 09/01/2021 (Behringer Ultragain, Presonous USB interface for Grunt, HOSA Snake cable, Toslink cables, Coax cables, Akai Fire)"/>
        <s v="Direct Credit 398088 OPTUS BILLING 62103618682"/>
        <s v="RAMTEAN  music equipment"/>
        <s v="food iou"/>
        <s v="KHANS IGA GERRINGONG GERRINGONG AUS Card xx8882 Value Date: 06/01/2021"/>
        <s v="BLOOMS THE CHEMIST LEICHHARDT AU Card xx8882"/>
        <s v="Salary SERVAUPAYROLL 20103P 85920286"/>
        <s v="OVOLO WOOLOOMOOLOO WOOLLOOMOOLOO NS AUS Card xx8882 Value Date: 02/01/2021"/>
        <s v="UBER *TRIP Sydney AU AUS Card xx8882 Value Date: 02/01/2021"/>
        <s v="JB HI FI LEICHHARDT NS AUS Card xx8882 Value Date: 03/01/2021"/>
        <s v="Direct Debit 245164 HCFHEALTHANDLIFE 057233969SOIBTBIBY"/>
        <s v="Withdrawal   ATMETX DASH ATM FORBES ST SYDNEY AU"/>
        <s v="THE LORD NELSON BREW THE ROCKS NSWAU"/>
        <s v="GLENMORE ROOFTOP HOT THE ROCKS AU Card xx8882"/>
        <s v="UBER *EATS Sydney AU AUS Card xx8882 Value Date: 29/12/2020"/>
        <s v="TELSTRA PAYBYPHONE MELBOURNE VI AUS Card xx8882 Value Date: 30/12/2020"/>
        <s v="LIQUORLAND 3301 DRUMMOYNE AU AUS Card xx8882 Value Date: 30/12/2020"/>
        <s v="COLES 0849 DRUMMOYNE AU AUS Card xx8882 Value Date: 30/12/2020"/>
        <s v="UBER *EATS Sydney AU AUS Card xx8882 Value Date: 28/12/2020"/>
        <s v="JB HI FI LEICHHARDT NS AUS Card xx8882 Value Date: 26/12/2020 (Drone Accessories: SD Card + Propellors)"/>
        <s v="7-ELEVEN 2205 WEST PENNANT NS AUS Card xx8882 Value Date: 25/12/2020"/>
        <s v="Thendro Pty Ltd Melbourne AUS Card xx8882 Value Date: 23/12/2020"/>
        <s v="PRIME QUALITY MEATS LEICHHARDT NS AUS Card xx8882 Value Date: 23/12/2020"/>
        <s v="JB HI FI LEICHHARDT NS AUS Card xx8882 Value Date: 23/12/2020 (Drone + Propellors [$1491.15 EFTPOS + 600 paid in cash])"/>
        <s v="Dick Smith (CStand Bracket Monitor Mount Arm + Laptop Tray Holder Adapter LCD Screen Desktop) Q47NEXG7 Melbourne AU AUS Card xx8882 Value Date: 24/12/2020 "/>
        <s v="CATCH BENTLEIGH EAS VI AUS Card xx8882 Value Date: 24/12/2020 (DJI Mavic 2 Fly more Pack)"/>
        <s v="UBER* EATS SYDNEY NS AUS Card xx8882 Value Date: 23/12/2020"/>
        <s v="COLES 0846 LEICHHARDT AU AUS Card xx8882 Value Date: 23/12/2020"/>
        <s v="SDRO INFRNGMNT PAYME MAITLAND NS AUS Card xx8882 Value Date: 21/12/2020"/>
        <s v="Salary SERVAUPAYROLL 20204P 85920286"/>
        <s v="RevenueNSW Fine BPAY 36848 89460952529832 Revenue NSW"/>
        <s v="RAMTEAN  grunt fine"/>
        <s v="CLRK RUBER HABERFLD HABERFIELD AUS Card xx8882 Value Date: 20/12/2020 (Rubber for microphone repair)"/>
        <s v="CITYOFSYDNEY PARKING SYDNEY AUS Card xx8882 Value Date: 21/12/2020"/>
        <s v="UBER* EATS SYDNEY NS AUS Card xx8882 Value Date: 20/12/2020"/>
        <s v="UBER *EATS Sydney AU AUS Card xx8882 Value Date: 20/12/2020"/>
        <s v="HARRIS FARM MARKETS LEICHHARDT AU Card xx8882"/>
        <s v="BP CONNECT 9562 ROZELLE NS AUS Card xx8882 Value Date: 18/12/2020"/>
        <s v="Sanders Subramani CommBank App sherwins bucks rodean"/>
        <s v="LEICHHARDT MUNICIPAL C LEICHHARDT AU AUS Card xx8882 Value Date: 18/12/2020"/>
        <s v="Withdrawal   ATMETX COOGEE PAVILION 1 COOGEE AU"/>
        <s v="ST VIN DE PAUL SOC NSW GLEBE AU Card xx8882"/>
        <s v="IKEA PTY LTD TEMPE NS AUS Card xx8882 Value Date: 17/12/2020  - standup desk (mum)"/>
        <s v="ST VIN DE PAUL SOC NSW ROZELLE AU Card xx8882"/>
        <s v="MASOUMEH GHOLAMSHAHI Your BD present &amp; my chair"/>
        <s v="UBER* EATS SYDNEY NS AUS Card xx8882 Value Date: 13/12/2020"/>
        <s v="UBER* EATS SYDNEY NS AUS Card xx8882 Value Date: 08/12/2020"/>
        <s v="OXFORD OPERATIONS PTY MILSONS POINTAU Card xx8882"/>
        <s v="Salary SERVAUPAYROLL 19211P 85920286"/>
        <s v="Withdrawal   ATMCBA ATM ROZELLE B NSW 224302 AUS"/>
        <s v="UBER* EATS SYDNEY NS AUS Card xx8882 Value Date: 06/12/2020"/>
        <s v="Netbank to Complete Access Chair HrmnMiller Beyou"/>
        <s v="Direct Debit 494894 OPTUS BILLING 62103618682"/>
        <s v="COLES 0849 DRUMMOYNE AU AUS Card xx8882 Value Date: 05/12/2020"/>
        <s v="7-ELEVEN 2048 DRUMMOYNE NS AUS Card xx8882 Value Date: 03/12/2020"/>
        <s v="SUMO POWER SOUTH MELBOUR AUS Card xx8882 Value Date: 01/12/2020"/>
        <s v="RAMTEAN  mum dinner"/>
        <s v="UBER *EATS Sydney AU AUS Card xx8882 Value Date: 30/11/2020"/>
        <s v="THE MALAYA RESTAURANT SYDNEY AU"/>
        <s v="UBER* EATS SYDNEY NS AUS Card xx8882 Value Date: 28/11/2020"/>
        <s v="UBER *EATS Sydney AU AUS Card xx8882 Value Date: 28/11/2020"/>
        <s v="Menulog Pty Ltd Sydney AU AUS Card xx8882 Value Date: 30/11/2020"/>
        <s v="DOORDASH*GRINGOS FRESH MELBOURNE VI AUS Card xx8882 Value Date: 29/11/2020"/>
        <s v="UBER *EATS Sydney AU AUS Card xx8882 Value Date: 27/11/2020"/>
        <s v="MCDONALDS STANMORE STANMORE AUS Tap and Pay xx2711 Value Date: 25/11/2020"/>
        <s v="geoff electricity"/>
        <s v="Direct Debit 245164 HCFHEALTHANDLIFE 057233969SC3MXCA6R"/>
        <s v="geoff geoff Value Date: 30/11/2020"/>
        <s v="Direct Credit 012721 ATO ATO008000014141635"/>
        <s v="RAMTEAN  CommBank App server"/>
        <s v="IGA DRUMMOYNE QPS DRUMMOYNE AUS Tap and Pay xx2711 Value Date: 25/11/2020"/>
        <s v="Coinspot Deposit 996185680350"/>
        <s v="Salary SERVAUPAYROLL 19454P 85920286"/>
        <s v="General&amp;Co Lobby Bar Lilyfield NS AUS Tap and Pay xx2711 Value Date: 24/11/2020"/>
        <s v="COLES EXPRESS 1617 DRUMMOYNE AU AUS Tap and Pay xx2711 Value Date: 24/11/2020"/>
        <s v="Coinspot Deposit 996185613633"/>
        <s v="UBER* EATS SYDNEY NS AUS Card xx8882 Value Date: 23/11/2020"/>
        <s v="UBER* EATS SYDNEY NS AUS Card xx8882 Value Date: 22/11/2020"/>
        <s v="UBER *EATS Sydney AU AUS Card xx8882 Value Date: 21/11/2020"/>
        <s v="7-ELEVEN 2048 DRUMMOYNE NS AUS Tap and Pay xx2711 Value Date: 19/11/2020"/>
        <s v="Withdrawal   ATMCBA ATM DRUMMOYNE B NSW 215702 AUS"/>
        <s v="SDRO INFRNGMNT PAYME MAITLAND NS AUS Card xx8882 Value Date: 17/11/2020"/>
        <s v="GM CABS PTY LTD MASCOT AUS Card xx8882 Value Date: 15/11/2020"/>
        <s v="COLES EXPRESS 1588 STANMORE AU AUS Card xx8882 Value Date: 17/11/2020"/>
        <s v="COLES 0849 DRUMMOYNE AU AUS Card xx8882 Value Date: 17/11/2020"/>
        <s v="UBER* EATS SYDNEY NS AUS Card xx8882 Value Date: 16/11/2020"/>
        <s v="UBER *EATS Sydney AU AUS Card xx8882 Value Date: 15/11/2020"/>
        <s v="UBER *EATS Sydney AU AUS Card xx8882 Value Date: 14/11/2020"/>
        <s v="Withdrawal   ATMCAS STANMORE NSW NS AU"/>
        <s v="UBER *EATS Sydney AU AUS Card xx8882 Value Date: 13/11/2020"/>
        <s v="International Transaction Fee Value Date: 12/11/2020"/>
        <s v="ExpressVPN 13106018492 GI GIB Card xx8882 USD 99.95 Value Date: 12/11/2020"/>
        <s v="STEVES SELECT MEATS DRUMMOYNE AU Card xx8882"/>
        <s v="Withdrawal   ATMCAS 7-11 DRUMMOYNE DRUMMOYN NS AU"/>
        <s v="UBER* EATS SYDNEY NS AUS Card xx8882 Value Date: 11/11/2020"/>
        <s v="SUMO POWER South Melbour AUS Card xx8882 Value Date: 10/11/2020"/>
        <s v="UBER* EATS SYDNEY NS AUS Card xx8882 Value Date: 09/11/2020"/>
        <s v="UBER *EATS Sydney AU AUS Card xx8882 Value Date: 08/11/2020"/>
        <s v="RAMTEAN  CommBank app foods"/>
        <s v="UBER* EATS SYDNEY NS AUS Card xx8882 Value Date: 07/11/2020"/>
        <s v="UBER *EATS Sydney AU AUS Card xx8882 Value Date: 05/11/2020"/>
        <s v="Justin Bradley CommBank App iou thx"/>
        <s v="Reversal of transaction Louis Wayment Account closed"/>
        <s v="Louis Wayment CommBank App iou pizza"/>
        <s v="NETFLIX COM MELBOURNE AUS Card xx8882 Value Date: 04/11/2020"/>
        <s v="BEATPORT 720-974-9500 CO USA Card xx8882 AUD 1.86 Value Date: 05/11/2020"/>
        <s v="Menulog Pty Ltd Sydney AU AUS Card xx8882 Value Date: 01/11/2020"/>
        <s v="DESTROS PHARMACY DRUMMOYNE NS AUS Card xx8882 Value Date: 30/10/2020"/>
        <s v="Direct Debit 245164 HCFHEALTHANDLIFE 057233969S1VWI1HTS"/>
        <s v="Trattoria Casa Chiswick NS AUS Card xx8882 Value Date: 29/10/2020"/>
        <s v="COLES 0849 DRUMMOYNE AU AUS Card xx8882 Value Date: 28/10/2020"/>
        <s v="Salary SERVAUPAYROLL 20245P 85920286"/>
        <s v="UBER *EATS Sydney AU AUS Card xx8882 Value Date: 25/10/2020"/>
        <s v="UBER *EATS Sydney AU AUS Card xx8882 Value Date: 24/10/2020"/>
        <s v="DOORDASH*DOS SENORITAS MELBOURNE VI AUS Card xx8882 Value Date: 24/10/2020"/>
        <s v="UBER *EATS Sydney AU AUS Card xx8882 Value Date: 21/10/2020"/>
        <s v="geoff CommBank app Geoff"/>
        <s v="LINKT SYDNEY SYDNEY AUS Card xx8882 Value Date: 20/10/2020"/>
        <s v="UBER* EATS SYDNEY NS AUS Card xx8882 Value Date: 17/10/2020"/>
        <s v="Return CRAZYDOMAINSHOSTING 61290372826 SG SGP Card xx8882 AUD 20.12 Value Date: 15/10/2020"/>
        <s v="ALDI STORES - DRUMMOYN DRUMMOYNE AUS Tap and Pay xx2711 Value Date: 14/10/2020"/>
        <s v="RAMTEAN  CommBank App food"/>
        <s v="Coinspot Deposit tax return 17 18"/>
        <s v="Jonathan K Oliver CommBank App kfc"/>
        <s v="UBER *EATS Sydney AU AUS Card xx8882 Value Date: 10/10/2020"/>
        <s v="COLES 0849 DRUMMOYNE AU AUS Tap and Pay xx2711 Value Date: 14/10/2020"/>
        <s v="Salary SERVAUPAYROLL 19434P 85920286"/>
        <s v="UBER *EATS Sydney AU AUS Card xx8882 Value Date: 11/10/2020"/>
        <s v="CUPITT ULLADULLA NS AUS Card xx8882 Value Date: 08/10/2020"/>
        <s v="geoff CommBank app geoff rod"/>
        <s v="WOOLWORTHS 1136 ULLADULLA NS AUS Card xx8882 Value Date: 06/10/2020"/>
        <s v="WOOLWORTHS      1136 ULLADULLA NS AUS Card xx8882 Value Date: 06/10/2020"/>
        <s v="NETFLIX COM MELBOURNE AUS Card xx8882 Value Date: 04/10/2020"/>
        <s v="NETFLIX COM MELBOURNE  AUS Card xx8882 Value Date: 04/10/2020"/>
        <s v="UBER* EATS SYDNEY NS AUS Card xx8882 Value Date: 04/10/2020"/>
        <s v="UBER   *EATS Sydney AU AUS Card xx8882 Value Date: 03/10/2020"/>
        <s v="LIQUORLAND 3301 DRUMMOYNE AU AUS Card xx8882 Value Date: 05/10/2020"/>
        <s v="Kieran Krohn CommBank App iou"/>
        <s v="INSPORT DRUMMOYNE NS AUS Card xx8882 Value Date: 03/10/2020"/>
        <s v="AUTHENTICS FACTORY O DRUMMOYNE NS AUS Card xx8882 Value Date: 03/10/2020"/>
        <s v="UBER* EATS SYDNEY NS AUS Card xx8882 Value Date: 03/10/2020"/>
        <s v="TILLY &amp; MO               LAKE CONJOLA AU Card xx8882"/>
        <s v="SUMO POWER South Melbour  AUS Card xx8882 Value Date: 02/10/2020"/>
        <s v="LAKE CONJOLA LIQUOR      LAKE CONJOLA AU Card xx8882"/>
        <s v="MYRA NOOR PTY LTD        DRUMMOYNE    AU Card xx8882"/>
        <s v="METRO PETROLEUM PUNCHB   PUNCHBOWL    AU"/>
        <s v="Hungry Jacks             South Nowra  AU"/>
        <s v="CHARGRILL CHARLIES       Drummoyne    AU"/>
        <s v="ALDI STORES - DRUMMOYN   DRUMMOYNE    AU Card xx8882"/>
        <s v="Withdrawal   ATMCBA ATM  DRUMMOYNE B    NSW 215702   AUS"/>
        <s v="TOP FRUIT MARKET DRUMMOYNE NS AUS Card xx8882 Value Date: 01/10/2020"/>
        <s v="RALPH LAUREN AUSTRA DRUMMOYNE         AU"/>
        <s v="IGA DRUMMOYNE            DRUMMOYNE    AU Card xx8882"/>
        <s v="COLES 0849 DRUMMOYNE AU AUS Card xx8882 Value Date: 01/10/2020"/>
        <s v="UBER   *EATS Sydney AU AUS Card xx8882 Value Date: 28/09/2020"/>
        <s v="Salary SERVAUPAYROLL 19352P 85920286"/>
        <s v="NELSON HOTEL BONDI JUNCTIO NS AUS Card xx8882 Value Date: 26/09/2020"/>
        <s v="GM CABS PTY LTD MASCOT  AUS Card xx8882 Value Date: 26/09/2020"/>
        <s v="Direct Debit 245164 HCF 5723396980626A0000"/>
        <s v="UBER* TRIP SYDNEY NS AUS Card xx8882 Value Date: 26/09/2020"/>
        <s v="UBER   *EATS Sydney AU AUS Card xx8882 Value Date: 27/09/2020"/>
        <s v="UBER* EATS SYDNEY NS AUS Card xx8882 Value Date: 26/09/2020"/>
        <s v="7-ELEVEN 2048 DRUMMOYNE NS AUS Card xx8882 Value Date: 25/09/2020"/>
        <s v="Coinspot Deposit accomodation"/>
        <s v="UBER   *EATS Sydney AU AUS Card xx8882 Value Date: 20/09/2020"/>
        <s v="UBER   *EATS Sydney AU AUS Card xx8882 Value Date: 19/09/2020"/>
        <s v="UBER* EATS SYDNEY NS AUS Card xx8882 Value Date: 18/09/2020"/>
        <s v="Louis Wayment CommBank App food"/>
        <s v="COLES 0849 DRUMMOYNE AU AUS Card xx8882 Value Date: 16/09/2020"/>
        <s v="UBER* EATS SYDNEY NS AUS Card xx8882 Value Date: 15/09/2020"/>
        <s v="Salary SERVAUPAYROLL 19281P 85920286"/>
        <s v="UBER* EATS SYDNEY NS AUS Card xx8882 Value Date: 13/09/2020"/>
        <s v="UBER   *EATS Sydney AU AUS Card xx8882 Value Date: 12/09/2020"/>
        <s v="COLES 0849 DRUMMOYNE AU AUS Card xx8882 Value Date: 14/09/2020"/>
        <s v="SUMO POWER South Melbour  AUS Card xx8882 Value Date: 05/09/2020"/>
        <s v="UBER* EATS SYDNEY NS AUS Card xx8882 Value Date: 05/09/2020"/>
        <s v="DESTROS PHARMACY DRUMMOYNE NS AUS Card xx8882 Value Date: 07/09/2020"/>
        <s v="CommBank app iou"/>
        <s v="COLES 0849 DRUMMOYNE AU AUS Card xx8882 Value Date: 07/09/2020"/>
        <s v="COLES 0849 DRUMMOYNE AU AUS Card xx8882 Value Date: 06/09/2020"/>
        <s v="NETFLIX COM MELBOURNE  AUS Card xx8882 Value Date: 04/09/2020"/>
        <s v="MASOUMEH GHOLAMSHAHI Shoping for mum second time"/>
        <s v="CHISWICK CELLARS         CHISWICK     AU Card xx8882"/>
        <s v="Mr Louis Robert Reynolds W Pizza tip"/>
        <s v="CommBank app food iou"/>
        <s v="BART JR Redfern NS AUS Card xx8882 Value Date: 03/09/2020"/>
        <s v="7-ELEVEN 2048 DRUMMOYNE NS AUS Card xx8882 Value Date: 03/09/2020"/>
        <s v="CRAZYDOMAINSHOSTING 61290372826 SG SGP Card xx8882 AUD 21.95 Value Date: 01/09/2020"/>
        <s v="Salary SERVAUPAYROLL 19443P 85920286"/>
        <s v="UberUAE_EATS Sydney AU AUS Card xx8882 Value Date: 30/08/2020"/>
        <s v="UBER   *EATS Sydney AU AUS Card xx8882 Value Date: 29/08/2020"/>
        <s v="Direct Debit 245164 HCF 5723396980595A0000"/>
        <s v="COLES 0849 DRUMMOYNE AU AUS Card xx8882 Value Date: 25/08/2020"/>
        <s v="UBER   *EATS Sydney AU AUS Card xx8882 Value Date: 23/08/2020"/>
        <s v="MASOUMEH GHOLAMSHAHI Shoping for mum"/>
        <s v="7-ELEVEN 2048 DRUMMOYNE NS AUS Card xx8882 Value Date: 23/08/2020"/>
        <s v="BWS LIQUOR      1601 DRUMMOYNE NS AUS Card xx8882 Value Date: 22/08/2020"/>
        <s v="HARRIS FARM MARKETS      DRUMMOYNE    AU Card xx8882"/>
        <s v="UBER   *EATS Sydney AU AUS Card xx8882 Value Date: 15/08/2020"/>
        <s v="Menulog Pty Ltd Sydney AU AUS Card xx8882 Value Date: 16/08/2020"/>
        <s v="Menulog Pty Ltd Sydney AU AUS Card xx8882 Value Date: 15/08/2020"/>
        <s v="FISHHEADS AT BYRON BYRON BAY NS AUS Card xx8882 Value Date: 14/08/2020"/>
        <s v="COLES 0849 DRUMMOYNE AU AUS Card xx8882 Value Date: 17/08/2020"/>
        <s v="Menulog Pty Ltd Sydney AU AUS Card xx8882 Value Date: 14/08/2020"/>
        <s v="FISHHEADS AT BYRON BYRON BAY NS AUS Card xx8882 Value Date: 13/08/2020"/>
        <s v="THE HIDEOUT BYRON BAY BYRON BAY AU AUS Card xx8882 Value Date: 13/08/2020"/>
        <s v="OZAKMAN BROTHERS PL BYRON BAY NS AUS Card xx8882 Value Date: 12/08/2020"/>
        <s v="Northern Bar Byron Bay NS AUS Card xx8882 Value Date: 13/08/2020"/>
        <s v="KIERAN ROSS KROHN Dinner"/>
        <s v="BWS LIQUOR W1601         DRUMMOYNE    AU Card xx8882"/>
        <s v="MCDONALDS NAMBUCCA HD VALLA        NSWAU"/>
        <s v="Direct Credit 462125 APRA Limited AU Royalty"/>
        <s v="CELLAR BYRON PLAZA BYRON BAY NS AUS Card xx8882 Value Date: 11/08/2020"/>
        <s v="BP NAMBUCCA TRVL CT VALLA             AU"/>
        <s v="YAMBA YHA BACKPACKER YAMBA NS AUS Card xx8882 Value Date: 10/08/2020"/>
        <s v="BYRON BAY HOT BREAD      BYRON BAY    AU Card xx8882"/>
        <s v="SQ *THE TASTE OF BEES Drummoyne AU AUS Card xx8882 Value Date: 09/08/2020"/>
        <s v="KFC TAREE SERVICE CE GLENTHORNE NS AUS Card xx8882 Value Date: 09/08/2020"/>
        <s v="CENTRE COM SUNSHINE VI AUS Card xx8882 Value Date: 08/08/2020"/>
        <s v="WOOLWORTHS 2611 BYRON    BYRON BAY    AU Card xx8882"/>
        <s v="DOORDASH*DOS SENORITAS MELBOURNE VI AUS Card xx8882 Value Date: 06/08/2020"/>
        <s v="COLES 0849 DRUMMOYNE AU AUS Card xx8882 Value Date: 08/08/2020"/>
        <s v="YAMBA BOWLING AND RECR   YAMBA        AU Card xx8882"/>
        <s v="SLICE PIZZERIA           BYRON BAY    AU"/>
        <s v="YAMBA TAVERN PTY LTD     YAMBA        AU Card xx8882"/>
        <s v="MCDONALDS TAREE SOUTH GLENTHORNE   NSWAU"/>
        <s v="THE GUITAR FACTORY A     PARRAMATTA   AU Card xx8882 (Rack Mount)"/>
        <s v="MCDONALDS DRUMMOYNE   DRUMMOYNE    NSWAU"/>
        <s v="Jaycar                   Chippendale  AU"/>
        <s v="SUMO POWER South Melbour  AUS Card xx8882 Value Date: 03/08/2020"/>
        <s v="Salary SERVAUPAYROLL 21390P 85920286"/>
        <s v="NETFLIX.COM Melbourne AU AUS Card xx8882 Value Date: 03/08/2020"/>
        <s v="UBER   *TRIP Sydney AU AUS Card xx8882 Value Date: 01/08/2020"/>
        <s v="MANNYS                   Alexandria   AU - Furman Merit Series M Power Conditioner"/>
        <s v="Direct Debit 245164 HCF 5723396980565A0000"/>
        <s v="SYDNEY FINE FOOD&amp;WINE    WAVERTON     AU Card xx8882"/>
        <s v="Withdrawal   ATMETX IGA DRUMMOYNE      DRUMMOYNE      AU"/>
        <s v="GM CABS PTY LTD MASCOT  AUS Card xx8882 Value Date: 26/07/2020"/>
        <s v="GM CABS PTY LTD MASCOT  AUS Card xx8882 Value Date: 25/07/2020"/>
        <s v="COLES 0849 DRUMMOYNE AU AUS Card xx8882 Value Date: 28/07/2020"/>
        <s v="BOURBON OPERATIONS POTTS POINT  AUS Card xx8882 Value Date: 25/07/2020"/>
        <s v="Sue Maree Hamilton PayID Phone from CommBank App Thereses gift"/>
        <s v="Coinspot Deposit CommBank app food iou"/>
        <s v="Salary SERVAUPAYROLL 19322P 85920286"/>
        <s v="Menulog Pty Ltd Sydney AU AUS Card xx8882 Value Date: 18/07/2020"/>
        <s v="Kieran Krohn CommBank App kieran bday"/>
        <s v="DOORDASH*DOS SENORITAS MELBOURNE VI AUS Card xx8882 Value Date: 19/07/2020"/>
        <s v="COLES 0849 DRUMMOYNE AU AUS Card xx8882 Value Date: 20/07/2020"/>
        <s v="Louis Wayment iou Value Date: 20/07/2020 - return as account closed"/>
        <s v="BAHAR PERSIAN FOOD RYDE NS AUS Card xx8882 Value Date: 16/07/2020"/>
        <s v="Louis iou"/>
        <s v="PA RYDE ISE SUPERMARK RYDE NSW        AU"/>
        <s v="GM CABS PTY LTD MASCOT  AUS Card xx8882 Value Date: 11/07/2020"/>
        <s v="Jonny food"/>
        <s v="Micky's Cafe Paddington NS AUS Card xx8882 Value Date: 11/07/2020"/>
        <s v="DOORDASH*DOS SENORITAS MELBOURNE VI AUS Card xx8882 Value Date: 10/07/2020"/>
        <s v="STEPHEN DONOHOE CREDIT TO ACCOUNT - Mickys Café"/>
        <s v="KIERAN ROSS KROHN Dinner - Mickys Café"/>
        <s v="MANNYS                   Alexandria   AU"/>
        <s v="SUMO POWER South Melbour  AUS Card xx8882 Value Date: 04/07/2020"/>
        <s v="Salary SERVAUPAYROLL 19564P 85920286"/>
        <s v="LIV*THE CHIPPO HOTEL CHIPPENDALE  AUS Card xx8882 Value Date: 04/07/2020"/>
        <s v="UBER   *TRIP Sydney AU AUS Card xx8882 Value Date: 04/07/2020"/>
        <s v="COLES 0849 DRUMMOYNE AU AUS Card xx8882 Value Date: 06/07/2020"/>
        <s v="NETFLIX.COM Melbourne AU AUS Card xx8882 Value Date: 03/07/2020"/>
        <s v="HARRIS FARM MARKETS      DRUMMOYNE    AU"/>
        <s v="COLES 0849 DRUMMOYNE AU AUS Card xx8882 Value Date: 30/06/2020"/>
        <s v="Milkwood Bakery Berry NS AUS Card xx8882 Value Date: 28/06/2020"/>
        <s v="Direct Debit 245164 HCF 5723396980534A0000"/>
        <s v="iou - Dan Arnamnart"/>
        <s v="7-ELEVEN 2320 ALBION PARK R NS AUS Card xx8882 Value Date: 26/06/2020"/>
        <s v="STEVES SELECT MEATS      DRUMMOYNE    AU Card xx8882"/>
        <s v="RAMTEAN ROOZBEHA CommBank app berry nice"/>
        <s v="Ms Katrina T Duncan Kat"/>
        <s v="GREAT SOUTHERN HOTEL     BERRY        AU Card xx8882"/>
        <s v="BERRY IGA PLUS LIQUO     BERRY        AU Card xx8882"/>
        <s v="BWS LIQUOR W1735         ALBION PARK RAU Card xx8882"/>
        <s v="Salary SERVAUPAYROLL 19392P 85920286"/>
        <s v="Rodean food berry - Daniel Arnamnart"/>
        <s v="MANNYS Alexandria NS AUS Card xx8882 Value Date: 23/06/2020 - MPC Live"/>
        <s v="iou - Grunt"/>
        <s v="GM CABS PTY LTD MASCOT  AUS Card xx8882 Value Date: 21/06/2020"/>
        <s v="COLES 0849 DRUMMOYNE AU AUS Card xx8882 Value Date: 22/06/2020"/>
        <s v="SMP*Chiswick Cellars Chiswick AU AUS Card xx8882 Value Date: 18/06/2020"/>
        <s v="Withdrawal   ATMRed NP-Five Star Toba  Potts Poin     AU"/>
        <s v="iou - Kirkby IOU"/>
        <s v="COLES 0849 DRUMMOYNE AU AUS Card xx8882 Value Date: 16/06/2020"/>
        <s v="iou - Berry - Ashleigh Smith"/>
        <s v="DOORDASH*SAKURA ON WHE MELBOURNE VI AUS Card xx8882 Value Date: 12/06/2020"/>
        <s v="Louis Wayment Burger tip"/>
        <s v="Salary SERVAUPAYROLL 19210P 85920286"/>
        <s v="COLES 0849 DRUMMOYNE AU AUS Card xx8882 Value Date: 09/06/2020"/>
        <s v="7-ELEVEN 2048 DRUMMOYNE NS AUS Card xx8882 Value Date: 07/06/2020"/>
        <s v="NETFLIX COM MELBOURNE  AUS Card xx8882 Value Date: 04/06/2020"/>
        <s v="SUMO POWER South Melbour  AUS Card xx8882 Value Date: 02/06/2020"/>
        <s v="COLES 0849 DRUMMOYNE AU AUS Card xx8882 Value Date: 02/06/2020"/>
        <s v="JB HI FI LEICHHARDT NS AUS Card xx8882 Value Date: 30/05/2020"/>
        <s v="7-ELEVEN 2048 DRUMMOYNE NS AUS Tap and Pay xx2711 Value Date: 31/05/2020"/>
        <s v="COLES 0846 LEICHHARDT AU AUS Card xx8882 Value Date: 30/05/2020"/>
        <s v="Direct Debit 245164 HCF 5723396980502A0000"/>
        <s v="Salary SERVAUPAYROLL 19404P 85920286"/>
        <s v="SQ *THE TASTE OF BEES Drummoyne AU AUS Card xx8882 Value Date: 23/05/2020"/>
        <s v="COLES 0849 DRUMMOYNE AU AUS Card xx8882 Value Date: 25/05/2020"/>
        <s v="SERVICE NSW SYDNEY  AUS Card xx8882 Value Date: 22/05/2020"/>
        <s v="SDRO INFRNGMNT PAYME MAITLAND NS AUS Card xx8882 Value Date: 22/05/2020 - Parking ticket: Loading Zone"/>
        <s v="PAYPAL *CHINATERA EBAY 4029357733 AU AUS Card xx8882 Value Date: 16/05/2020 - USB Gender Converter for Keyboard to Synth"/>
        <s v="Menulog Pty Ltd Sydney AU AUS Card xx8882 Value Date: 17/05/2020"/>
        <s v="DOORDASH*JASMIN 1 MELBOURNE VI AUS Card xx8882 Value Date: 16/05/2020"/>
        <s v="COLES 0849 DRUMMOYNE AU AUS Card xx8882 Value Date: 18/05/2020"/>
        <s v="DOORDASH*DOS SENORITAS MELBOURNE VI AUS Card xx8882 Value Date: 15/05/2020"/>
        <s v="Salary SERVAUPAYROLL 20220P 85920286"/>
        <s v="Menulog Pty Ltd Sydney AU AUS Card xx8882 Value Date: 09/05/2020"/>
        <s v="COLES 0849 DRUMMOYNE AU AUS Card xx8882 Value Date: 11/05/2020"/>
        <s v="SUMO POWER South Melbour  AUS Card xx8882 Value Date: 05/05/2020"/>
        <s v="NETFLIX.COM Melbourne AU AUS Card xx8882 Value Date: 04/05/2020"/>
        <s v="MANNYS                   Alexandria   AU - MIDI Thru Box"/>
        <s v="Big Music Australia Crows Nest NS AUS Card xx8882 Value Date: 05/05/2020 - MIDI Cables"/>
        <s v="MANNYS                   Alexandria   AU - Headphone Splitter"/>
        <s v="Jaycar Electronics       Sydney       AU - Various adaptors and cables for studio setup"/>
        <s v="DHL Express AU Brisbane AU AUS Card xx8882 Value Date: 03/05/2020 - Import Duties for Squarp Pyramid"/>
        <s v="WOOLWORTHS 1318          CROWS NEST   AU Card xx8882"/>
        <s v="Direct Debit 245164 HCF 5723396980473A0000"/>
        <s v="Salary SERVAUPAYROLL 20503P 85920286"/>
        <s v="AMAZON MKTPLC AU SYDNEY SOUTH NS AUS Card xx8882 Value Date: 28/04/2020"/>
        <s v="SQUARP INSTRUMENTS PARIS FR FRA Card xx8882 EUR 619.00 Value Date: 25/04/2020"/>
        <s v="International Transaction Fee Value Date: 25/04/2020"/>
        <s v="COLES 0849 DRUMMOYNE AU AUS Card xx8882 Value Date: 27/04/2020"/>
        <s v="Katrina IOU - Grunt present"/>
        <s v="Elektron Machinedrum - PAYPAL *JOSHOLINI EBAY 4029357733 AU AUS Card xx8882 Value Date: 23/04/2020"/>
        <s v="Homayoun Roozbehani Roozbeh Gift from Homayoun"/>
        <s v="COLES 0849 DRUMMOYNE AU AUS Card xx8882 Value Date: 19/04/2020"/>
        <s v="7-ELEVEN 2048 DRUMMOYNE NS AUS Card xx8882 Value Date: 19/04/2020"/>
        <s v="IGA DRUMMOYNE      QPS DRUMMOYNE  AUS Tap and Pay xx2711 Value Date: 16/04/2020"/>
        <s v="7-ELEVEN 2048 DRUMMOYNE NS AUS Tap and Pay xx2711 Value Date: 17/04/2020"/>
        <s v="SUMO POWER South Melbour  AUS Card xx8882 Value Date: 15/04/2020"/>
        <s v="NRMA WEB SYDNEY NS AUS Card xx8882 Value Date: 15/04/2020"/>
        <s v="Salary SERVAUPAYROLL 19411P 85920286"/>
        <s v="SP * SOFTWARE.ORG.AU - SPRING FARM NS AUS Card xx8882 Value Date: 09/04/2020"/>
        <s v="Katrina Duncan iou + food"/>
        <s v="UberUAE_EATS Sydney AU AUS Card xx8882 Value Date: 04/04/2020"/>
        <s v="RAMTEAN ROOZBEHA CommBank app food"/>
        <s v="COLES 0849 DRUMMOYNE AU AUS Card xx8882 Value Date: 04/04/2020"/>
        <s v="7-ELEVEN 2048 DRUMMOYNE NS AUS Card xx8882 Value Date: 03/04/2020"/>
        <s v="SQ *THE TASTE OF BEES Drummoyne AU AUS Card xx8882 Value Date: 30/03/2020"/>
        <s v="Salary SERVAUPAYROLL 20221P 85920286"/>
        <s v="DOORDASH*PABLOS KITCHE MELBOURNE VI AUS Card xx8882 Value Date: 30/03/2020"/>
        <s v="COLES 0839 BROADWAY AU AUS Card xx8882 Value Date: 31/03/2020"/>
        <s v="ADVANCE OPEN TECHNOL BROADWAY NS AUS Card xx8882 Value Date: 31/03/2020"/>
        <s v="SQ *THE TASTE OF BEES Drummoyne AU AUS Card xx8882 Value Date: 29/03/2020"/>
        <s v="DOORDASH*JASMIN 1 MELBOURNE VI AUS Card xx8882 Value Date: 28/03/2020"/>
        <s v="Direct Debit 245164 HCF 5723396980443A0000"/>
        <s v="7-ELEVEN 2048 DRUMMOYNE NS AUS Tap and Pay xx2711 Value Date: 28/03/2020"/>
        <s v="OFFICEWORKS 0209 GLEBE AU AUS Card xx8882 Value Date: 27/03/2020"/>
        <s v="IKEA TEMPE TEMPE NS AUS Card xx8882 Value Date: 27/03/2020 - food"/>
        <s v="UberUAE_EATS Sydney AU AUS Card xx8882 Value Date: 25/03/2020"/>
        <s v="DOORDASH*DOS SENORITAS MELBOURNE VI AUS Card xx8882 Value Date: 26/03/2020"/>
        <s v="PHOTOWN Alexandria NS AUS Card xx8882 Value Date: 25/03/2020"/>
        <s v="NETFLIX COM MELBOURNE  AUS Card xx8882 Value Date: 24/03/2020"/>
        <s v="IKEA TEMPE               TEMPE        AU - standup desk"/>
        <s v="Return MY CHOICE SOFTWARE LLC 800-3181439 CA USA Card xx8882 USD 89.99 Value Date: 22/03/2020"/>
        <s v="MY CHOICE SOFTWARE LLC 800-3181439 CA USA Card xx8882 USD 89.99 Value Date: 21/03/2020"/>
        <s v="International Transaction Fee Value Date: 21/03/2020"/>
        <s v="UberUAE_EATS Sydney AU AUS Card xx8882 Value Date: 22/03/2020"/>
        <s v="UBER   *EATS Sydney AU AUS Card xx8882 Value Date: 21/03/2020"/>
        <s v="SOFTWARE MART AUS TRUGANINA VI AUS Card xx8882 Value Date: 21/03/2020"/>
        <s v="PHOTOWN Alexandria NS AUS Card xx8882 Value Date: 23/03/2020"/>
        <s v="DOORDASH*DOS SENORITAS MELBOURNE VI AUS Card xx8882 Value Date: 22/03/2020"/>
        <s v="7-ELEVEN 2048 DRUMMOYNE NS AUS Card xx8882 Value Date: 23/03/2020"/>
        <s v="WOOLWORTHS 1669          SURRY HILLS  AU Card xx8882"/>
        <s v="TRANSPORTFORNSW OPAL CHIPPENDALE  AUS Card xx8882 Value Date: 23/03/2020"/>
        <s v="PHOTOWN Alexandria NS AUS Card xx8882 Value Date: 20/03/2020"/>
        <s v="DOORDASH*DOS SENORITAS MELBOURNE VI AUS Card xx8882 Value Date: 20/03/2020"/>
        <s v="Camy's Chargrill SH      Surry Hills  AU"/>
        <s v="UBER   *EATS Sydney AU AUS Card xx8882 Value Date: 18/03/2020"/>
        <s v="ASH ADAMS SURRY HILL SURRY HILLS NS AUS Card xx8882 Value Date: 19/03/2020"/>
        <s v="Salary SERVAUPAYROLL 20072P 85920286"/>
        <s v="PHOTOWN Alexandria NS AUS Card xx8882 Value Date: 17/03/2020"/>
        <s v="UberUAE_EATS Sydney AU AUS Card xx8882 Value Date: 15/03/2020"/>
        <s v="UBER   *EATS Sydney AU AUS Card xx8882 Value Date: 15/03/2020"/>
        <s v="UBER   *EATS Sydney AU AUS Card xx8882 Value Date: 14/03/2020"/>
        <s v="TRANSPORTFORNSW OPAL CHIPPENDALE  AUS Card xx8882 Value Date: 17/03/2020"/>
        <s v="Camy's Chargrill SH Surry Hills NS AUS Tap and Pay xx2711 Value Date: 16/03/2020"/>
        <s v="PHOTOWN Alexandria NS AUS Card xx8882 Value Date: 13/03/2020"/>
        <s v="HudsonMeatsDrummoyne     Drummoyne    AU"/>
        <s v="GOLDEN PIDE SURRY HILLS NS AUS Card xx8882 Value Date: 11/03/2020"/>
        <s v="geoff food"/>
        <s v="SQ *THE HORDERN CON1 Moore Park AU AUS Card xx8882 Value Date: 11/03/2020"/>
        <s v="PLAYBILL MERCHNDS MOORE PARK NS AUS Card xx8882 Value Date: 11/03/2020"/>
        <s v="PHOTOWN Alexandria NS AUS Card xx8882 Value Date: 12/03/2020"/>
        <s v="ARCADIA LIQUORS REDFERN NS AUS Card xx8882 Value Date: 11/03/2020"/>
        <s v="UberUAE_EATS Sydney AU AUS Card xx8882 Value Date: 10/03/2020"/>
        <s v="UBER   *EATS Sydney AU AUS Card xx8882 Value Date: 10/03/2020"/>
        <s v="INGOGO LTD SYDNEY NS AUS Tap and Pay xx2711 Value Date: 07/03/2020"/>
        <s v="INGOGO LTD SYDNEY NS AUS Card xx8882 Value Date: 07/03/2020"/>
        <s v="GM CABS PTY LTD MASCOT  AUS Card xx8882 Value Date: 08/03/2020"/>
        <s v="UberUAE_EATS Sydney AU AUS Card xx8882 Value Date: 09/03/2020"/>
        <s v="UBER   *TRIP Sydney AU AUS Card xx8882 Value Date: 07/03/2020"/>
        <s v="UBER   *EATS Sydney AU AUS Card xx8882 Value Date: 08/03/2020"/>
        <s v="TRANSPORTFORNSW TAP SYDNEY  AUS Tap and Pay xx2711 Value Date: 07/03/2020"/>
        <s v="TRANSPORTFORNSW OPAL CHIPPENDALE  AUS Card xx8882 Value Date: 09/03/2020"/>
        <s v="TASTE OF SAIGON          SURRY HILLS  AU Card xx8882"/>
        <s v="GALLAGHERS GBS PTY LTD   MOORE PARK   AU Card xx8882"/>
        <s v="BRIDGE HOTEL ROZELLE ROZELLE NS AUS Card xx8882 Value Date: 08/03/2020"/>
        <s v="UberUAE_EATS Sydney AU AUS Card xx8882 Value Date: 07/03/2020"/>
        <s v="UBER   *EATS Sydney AU AUS Card xx8882 Value Date: 06/03/2020"/>
        <s v="TRANSPORTFORNSW TAP SYDNEY  AUS Tap and Pay xx2711 Value Date: 06/03/2020"/>
        <s v="SPOTTO NSW             Sydney         AU"/>
        <s v="SHWARMAMA PTY LTD SURRY HILLS NS AUS Tap and Pay xx2711 Value Date: 05/03/2020"/>
        <s v="PHOTOWN Alexandria NS AUS Tap and Pay xx2711 Value Date: 06/03/2020"/>
        <s v="HARRIS FARM MARKETSQPS DRUMMOYNE  AUS Tap and Pay xx2711 Value Date: 05/03/2020"/>
        <s v="CENTENNIAL PLAZA PHR SYDNEY NS AUS Tap and Pay xx2711 Value Date: 05/03/2020"/>
        <s v="BEATPORT 720-974-9500 CO USA Card xx8882 AUD 28.99 Value Date: 06/03/2020"/>
        <s v="THE TUDOR REDFERN        REDFERN      AU Card xx8882"/>
        <s v="Kat Duncan Food"/>
        <s v="CALTEX ROZELLE           ROZELLE      AU Card xx8882"/>
        <s v="Direct Debit 314011 SUMO PAYWAY2651387958"/>
        <s v="BAR TOSCA SYDNEY NS AUS Card xx8882 Value Date: 04/03/2020"/>
        <s v="Kieran Krohn CommBank App holiday bookings"/>
        <s v="ART GALLERY OF NSW SYDNEY NS AUS Card xx8882 Value Date: 29/02/2020"/>
        <s v="WILLIAM HOTEL EAST SYDNEY NS AUS Card xx8882 Value Date: 29/02/2020"/>
        <s v="UBER   *TRIP Sydney AU AUS Card xx8882 Value Date: 29/02/2020"/>
        <s v="UBER   *EATS Sydney AU AUS Card xx8882 Value Date: 01/03/2020"/>
        <s v="PHOTOWN Alexandria NS AUS Card xx8882 Value Date: 02/03/2020"/>
        <s v="ADOBE PR CREATIVE CLD 1800614863 IR IRL Card xx8882 AUD 29.99 Value Date: 28/02/2020"/>
        <s v="WW TOWN HALL  W1248      SYDNEY       AU Card xx8882"/>
        <s v="Tokyo Bird               Surry Hills  AU"/>
        <s v="Direct Debit 245164 HCF 5723396980411A0000"/>
        <s v="Withdrawal   ATMCBA ATM  DRUMMOYNE A    NSW 215701   AUS"/>
        <s v="SQ *BLOC145                   Redfern AU"/>
        <s v="TRANSPORTFORNSW OPAL CHIPPENDALE  AUS Card xx8882 Value Date: 27/02/2020"/>
        <s v="SPAR REDFERN             REDFERN      AU Card xx8882"/>
        <s v="PHOTOWN Alexandria NS AUS Card xx8882 Value Date: 27/02/2020"/>
        <s v="UBER   *EATS Sydney AU AUS Card xx8882 Value Date: 25/02/2020"/>
        <s v="Kieran Krohn CommBank App airbnb"/>
        <s v="ADDLY PTY LTD            SURRY HILLS  AU Card xx8882"/>
        <s v="PHOTOWN Alexandria NS AUS Tap and Pay xx2711 Value Date: 25/02/2020"/>
        <s v="NETFLIX COM MELBOURNE  AUS Card xx8882 Value Date: 24/02/2020"/>
        <s v="LAKIN J Josie"/>
        <s v="iou"/>
        <s v="GM CABS PTY LTD MASCOT  AUS Card xx8882 Value Date: 21/02/2020"/>
        <s v="CommBank app pari gift"/>
        <s v="UBER   *EATS Sydney AU AUS Card xx8882 Value Date: 23/02/2020"/>
        <s v="SQ *THE TASTE OF BEES Drummoyne AU AUS Card xx8882 Value Date: 22/02/2020"/>
        <s v="7-ELEVEN 2048 DRUMMOYNE NS AUS Card xx8882 Value Date: 22/02/2020"/>
        <s v="TRANSPORTFORNSW OPAL CHIPPENDALE  AUS Card xx8882 Value Date: 21/02/2020"/>
        <s v="Goros                    Surry Hills  AU"/>
        <s v="grunt uber"/>
        <s v="PHOTOWN Alexandria NS AUS Card xx8882 Value Date: 20/02/2020"/>
        <s v="DESTROS PHARMACY DRUMMOYNE NS AUS Card xx8882 Value Date: 20/02/2020"/>
        <s v="grunt armaforce"/>
        <s v="Direct Credit 463131 APRA NZ Limited NZ Royalty"/>
        <s v="AURORA HOTEL             Surry Hills  AU"/>
        <s v="Salary SERVAUPAYROLL 20393P 85920286"/>
        <s v="PHOTOWN Alexandria NS AUS Card xx8882 Value Date: 18/02/2020"/>
        <s v="INGOGO LTD SYDNEY NS AUS Card xx8882 Value Date: 16/02/2020"/>
        <s v="UBER TRIP HELP.UBER.CO 14518236738 AU AUS Card xx8882 Value Date: 15/02/2020"/>
        <s v="UBER   *EATS Sydney AU AUS Card xx8882 Value Date: 15/02/2020"/>
        <s v="SHWARMAMA PTY LTD        SURRY HILLS  AU"/>
        <s v="PHOTOWN Alexandria NS AUS Card xx8882 Value Date: 17/02/2020"/>
        <s v="TRANSPORTFORNSW OPAL CHIPPENDALE  AUS Card xx8882 Value Date: 17/02/2020"/>
        <s v="PHOTOWN Alexandria NS AUS Card xx8882 Value Date: 14/02/2020"/>
        <s v="CommBank app social budget"/>
        <s v="Entertainment and Rec - Transfer To Megan Cartwright IOU "/>
        <s v="Coinspot Deposit"/>
        <s v="Transfer To Kat Duncan IOU"/>
        <s v="Withdrawal   ATMWES ODEON PLZA O/S     DRUMMOYNENS    AU"/>
        <s v="TASTE BAKERY &amp; RESTAU SURRY HILLS  AUS Card xx8882 Value Date: 12/02/2020"/>
        <s v="REDFERN AND CO OPERATI   REDFERN      AU Card xx8882"/>
        <s v="JB HI FI STRAND ARCA SYDNEY NS AUS Card xx8882 Value Date: 11/02/2020"/>
        <s v="7-ELEVEN 2048 DRUMMOYNE NS AUS Card xx8882 Value Date: 12/02/2020"/>
        <s v="UBER   *EATS Sydney AU AUS Card xx8882 Value Date: 09/02/2020"/>
        <s v="Return UBER   *EATS Sydney AU AUS Card xx8882 Value Date: 10/02/2020"/>
        <s v="NewsLink SYD912 Sydney NS AUS Card xx8882 Value Date: 11/02/2020"/>
        <s v="ASH ADAMS SURRY HILL SURRY HILLS NS AUS Card xx8882 Value Date: 11/02/2020"/>
        <s v="TRANSPORTFORNSW OPAL CHIPPENDALE  AUS Card xx8882 Value Date: 11/02/2020"/>
        <s v="BAR TOSCA SYDNEY NS AUS Card xx8882 Value Date: 10/02/2020"/>
        <s v="UberUAE_EATS Sydney AU AUS Card xx8882 Value Date: 08/02/2020"/>
        <s v="TASTE BAKERY &amp; RESTAU SURRY HILLS  AUS Card xx8882 Value Date: 05/02/2020"/>
        <s v="SUMO POWER South Melbour  AUS Card xx8882 Value Date: 06/02/2020"/>
        <s v="Withdrawal   ATMCBA ATM  300ELIZABETH B NSW 203302   AUS"/>
        <s v="CommBank app food"/>
        <s v="TRANSPORTFORNSW OPAL CHIPPENDALE  AUS Card xx8882 Value Date: 05/02/2020"/>
        <s v="CENTENNIAL PLAZA PHR SYDNEY NS AUS Card xx8882 Value Date: 03/02/2020"/>
        <s v="UberUAE_EATS Sydney AU AUS Card xx8882 Value Date: 01/02/2020"/>
        <s v="UBER   *EATS Sydney AU AUS Card xx8882 Value Date: 02/02/2020"/>
        <s v="UBER   *EATS Sydney AU AUS Card xx8882 Value Date: 01/02/2020"/>
        <s v="Return No account or incorrect account no Megan Cartwright iou Value Date: 03/02/2020"/>
        <s v="BAR TOSCA SYDNEY NS AUS Card xx8882 Value Date: 31/01/2020"/>
        <s v="(T) DE Reject Return Fee"/>
        <s v="Direct Debit 245164 HCF 5723396980383A0000"/>
        <s v="TASTE BAKERY &amp; RESTAU SURRY HILLS  AUS Card xx8882 Value Date: 28/01/2020"/>
        <s v="MLEKO PTY LTD SURRY HILLS NS AUS Card xx8882 Value Date: 30/01/2020"/>
        <s v="ADOBE PR CREATIVE CLD 1800614863 IR IRL Card xx8882 AUD 29.99 Value Date: 30/01/2020"/>
        <s v="TRANSPORTFORNSW OPAL CHIPPENDALE  AUS Card xx8882 Value Date: 30/01/2020"/>
        <s v="GM CABS PTY LTD MASCOT  AUS Card xx8882 Value Date: 27/01/2020"/>
        <s v="UBER   *EATS Sydney AU AUS Card xx8882 Value Date: 27/01/2020"/>
        <s v="UberUAE_EATS Sydney AU AUS Card xx8882 Value Date: 26/01/2020"/>
        <s v="UBER   *TRIP Sydney AU AUS Card xx8882 Value Date: 26/01/2020"/>
        <s v="UBER   *TRIP Sydney AU AUS Card xx8882 Value Date: 25/01/2020"/>
        <s v="UBER   *EATS Sydney AU AUS Card xx8882 Value Date: 26/01/2020"/>
        <s v="NETFLIX COM MELBOURNE  AUS Card xx8882 Value Date: 24/01/2020"/>
        <s v="GM CABS PTY LTD MASCOT  AUS Tap and Pay xx6067 Value Date: 24/01/2020"/>
        <s v="BP CONNECT 0964     REDFERN           AU Value Date: 27/01/2020"/>
        <s v="Bank Hotel               Newtown      AU"/>
        <s v="RANA MEHDI HASSAN MINTO NS AUS Card xx8882 Value Date: 23/01/2020"/>
        <s v="LINKT SYDNEY SYDNEY  AUS Card xx8882 Value Date: 24/01/2020"/>
        <s v="TRANSPORTFORNSW OPAL CHIPPENDALE  AUS Card xx8882 Value Date: 23/01/2020"/>
        <s v="MLEKO PTY LTD SURRY HILLS NS AUS Card xx8882 Value Date: 22/01/2020"/>
        <s v="CommBank app "/>
        <s v="BMSH PTY LTD             SURRY HILLS  AU Card xx8882"/>
        <s v="SUMO POWER South Melbour  AUS Card xx8882 Value Date: 19/01/2020"/>
        <s v="Salary DHS PAYROLL 17340P 85920286"/>
        <s v="IGA EVERYDAY ENMORE PT   ENMORE       AU Cash Out $100.50"/>
        <s v="UberUAE_EATS Sydney AU AUS Card xx8882 Value Date: 19/01/2020"/>
        <s v="UBER   *EATS Sydney AU AUS Card xx8882 Value Date: 18/01/2020"/>
        <s v="ACTIVE8 POOL TABLES KIRRAWEE NS AUS Card xx8882 Value Date: 19/01/2020"/>
        <s v="TASTE BAKERY &amp; RESTAU SURRY HILLS  AUS Card xx8882 Value Date: 16/01/2020"/>
        <s v="TASTE BAKERY &amp; RESTAU SURRY HILLS  AUS Card xx8882 Value Date: 15/01/2020"/>
        <s v="media spend"/>
        <s v="ASH ADAMS SURRY HILL SURRY HILLS NS AUS Card xx8882 Value Date: 17/01/2020"/>
        <s v="OXFORD OPERATIONS PTY    MILSONS POINTAU Card xx8882"/>
        <s v="TRANSPORTFORNSW OPAL CHIPPENDALE  AUS Card xx8882 Value Date: 17/01/2020"/>
        <s v="UberUAE_EATS Sydney AU AUS Card xx8882 Value Date: 12/01/2020"/>
        <s v="UBER   *EATS Sydney AU AUS Card xx8882 Value Date: 11/01/2020"/>
        <s v="TRANSPORTFORNSW OPAL CHIPPENDALE  AUS Card xx8882 Value Date: 13/01/2020"/>
        <s v="UberUAE_EATS Sydney AU AUS Card xx8882 Value Date: 10/01/2020"/>
        <s v="UBER   *TRIP Sydney AU AUS Card xx8882 Value Date: 09/01/2020"/>
        <s v="UBER   *EATS Sydney AU AUS Card xx8882 Value Date: 09/01/2020"/>
        <s v="SUNPAC LTD PORT VILA  VUT Card xx8882 VUV 4140 Value Date: 09/01/2020"/>
        <s v="SUNPAC LTD PORT VILA  VUT Card xx8882 VUV 3960 Value Date: 09/01/2020"/>
        <s v="POPPY'S ON THE LAGOO PORT VILA VU VUT Card xx8882 VUV 3622 Value Date: 09/01/2020"/>
        <s v="POPPY'S ON THE LAGOO PORT VILA VU VUT Card xx8882 VUV 14335 Value Date: 09/01/2020"/>
        <s v="International Transaction Fee Value Date: 09/01/2020"/>
        <s v="grunt food"/>
        <s v="Salary DHS PAYROLL 19404P 85920286"/>
        <s v="grunt iou"/>
        <s v="Withdrawal   ATMTROPICAL MARKET        PORT VILA      VU VUV12800"/>
        <s v="Heinemann Duty Free Mascot NS AUS Card xx8882 Value Date: 03/01/2020"/>
        <s v="UBER   *TRIP Sydney AU AUS Card xx8882 Value Date: 31/12/2019"/>
        <s v="TK MAXX TOP RYDE RYDE  AUS Card xx8882 Value Date: 30/12/2019"/>
        <s v="Guzman y Gomez Crows Nest NS AUS Card xx8882 Value Date: 31/12/2019"/>
        <s v="BOOST JUICE PTY LTD      MASCOT       AU Card xx8882"/>
        <s v="AIRPORT RETAIL ENTERPR   MASCOT       AU"/>
        <s v="Direct Debit 245164 HCF 5723396980352A0000"/>
        <s v="UberUAE_EATS Sydney AU AUS Card xx8882 Value Date: 29/12/2019"/>
        <s v="HAPS HOTELS PTY LTD GLADESVILLE NS AUS Card xx8882 Value Date: 27/12/2019"/>
        <s v="ACTIVE8 POOL TABLES KIRRAWEE NS AUS Tap and Pay xx6067 Value Date: 29/12/2019"/>
        <s v="ACTIVE8 POOL TABLES KIRRAWEE NS AUS Card xx8882 Value Date: 29/12/2019"/>
        <s v="UberUAE_EATS Sydney AU AUS Card xx8882 Value Date: 27/12/2019"/>
        <s v="UberUAE_EATS Sydney AU AUS Card xx8882 Value Date: 26/12/2019"/>
        <s v="UBER   *TRIP Sydney AU AUS Card xx8882 Value Date: 27/12/2019"/>
        <s v="JB HI FI LEICHHARDT NS AUS Card xx8882 Value Date: 24/12/2019"/>
        <s v="EB GAMES DRUMMOYNE  AUS Card xx8882 Value Date: 27/12/2019"/>
        <s v="TAROCASH PTY LTD 154     RYDE         AU Card xx8882"/>
        <s v="OXFORD SHOP PTY LTD      RYDE         AU Card xx8882"/>
        <s v="boat ticket - Dosem Airway boatcruise"/>
        <s v="Withdrawal   ATMCAS THE OXFORD DRUMMOYNDRUM     NS    AU"/>
        <s v="POST LEICHHARDT POSTLE LEICHHARDT WA AUS Card xx8882 Value Date: 24/12/2019"/>
        <s v="NETFLIX COM MELBOURNE  AUS Card xx8882 Value Date: 24/12/2019"/>
        <s v="INGOGO LTD SYDNEY NS AUS Card xx8882 Value Date: 23/12/2019"/>
        <s v="HAIR CO 96 PTY LTD BROADWAY NS AUS Card xx8882 Value Date: 23/12/2019"/>
        <s v="ROSE TURKISH GOZLEME H   DRUMMOYNE    AU Card xx8882"/>
        <s v="UberUAE_EATS Sydney AU AUS Card xx8882 Value Date: 22/12/2019"/>
        <s v="UBER   *TRIP Sydney AU AUS Card xx8882 Value Date: 21/12/2019"/>
        <s v="UBER   *TRIP Sydney AU AUS Card xx8882 Value Date: 20/12/2019"/>
        <s v="UBER   *EATS Sydney AU AUS Card xx8882 Value Date: 22/12/2019"/>
        <s v="AUTHENTICS FACTORY O DRUMMOYNE NS AUS Card xx8882 Value Date: 21/12/2019"/>
        <s v="TASTE BAKERY &amp; RESTAU SURRY HILLS  AUS Card xx8882 Value Date: 18/12/2019"/>
        <s v="Salary DHS PAYROLL 16590P 85920286"/>
        <s v="grunt xmas shopping"/>
        <s v="food"/>
        <s v="BALMAIN HTL PROPERTY BALMAIN AU AUS Card xx8882 Value Date: 20/12/2019"/>
        <s v="HYPEDC BIRKENHEAD   DRUMMOYNE         AU"/>
        <s v="CONNOR CLOTHING PTY      DRUMMOYNE    AU Card xx8882"/>
        <s v="WOLLONGONG NIGHTSPOT     WOLLONGONG   AU Card xx8882"/>
        <s v="PLINE PH TOWN HALL SYDNEY  AUS Card xx8882 Value Date: 14/12/2019"/>
        <s v="MCDONALDS SYD AIR GAT MASCOT       NSWAU"/>
        <s v="BOURBON OPERATIONS POTTS POINT  AUS Card xx8882 Value Date: 14/12/2019"/>
        <s v="UBER   *TRIP Sydney AU AUS Card xx8882 Value Date: 14/12/2019"/>
        <s v="TRANSPORTFORNSW OPAL CHIPPENDALE  AUS Card xx8882 Value Date: 17/12/2019"/>
        <s v="TAXI COMBINED 133300 ALEXANDRIA NS AUS Card xx8882 Value Date: 14/12/2019"/>
        <s v="UberUAE_EATS Sydney AU AUS Card xx8882 Value Date: 14/12/2019"/>
        <s v="SUMO POWER South Melbour  AUS Card xx8882 Value Date: 11/12/2019"/>
        <s v="Homayoun Roozbehani Christmas gift"/>
        <s v="SYDNEY CONSTELLATION C   KOGARAH BAY  AU Card xx8882"/>
        <s v="MILITARY ROAD 23 PTY L   POTTS POINT  AU Card xx8882"/>
        <s v="UBER   *EATS Sydney AU AUS Card xx8882 Value Date: 09/12/2019"/>
        <s v="TRANSPORTFORNSW OPAL CHIPPENDALE  AUS Card xx8882 Value Date: 11/12/2019"/>
        <s v="THE DRUMM BRKNHD HTL DRUMMOYNE NS AUS Card xx8882 Value Date: 08/12/2019"/>
        <s v="Salary DHS PAYROLL 20210P 85920286"/>
        <s v="DHS - Lianna Going Away Gift"/>
        <s v="UBER   *EATS Sydney AU AUS Card xx8882 Value Date: 07/12/2019"/>
        <s v="mum present"/>
        <s v="Domain Registration To Grunt"/>
        <s v="BIRKENHEAD GRILL DRUMMOYNE NS AUS Card xx8882 Value Date: 08/12/2019"/>
        <s v="UNIVERSAL AUDIO 8314401176 CA USA Card xx8882 USD 274.00 Value Date: 05/12/2019"/>
        <s v="UberUAE_EATS Sydney AU AUS Card xx8882 Value Date: 07/12/2019"/>
        <s v="UberUAE_EATS Sydney AU AUS Card xx8882 Value Date: 06/12/2019"/>
        <s v="International Transaction Fee Value Date: 05/12/2019"/>
        <s v="CALTEX DRUMMOYNE         DRUMMOYNE    AU Card xx8882"/>
        <s v="MASOUMEH GHOLAMSHAHI the rest of ur BD present"/>
        <s v="TRANSPORTFORNSW OPAL CHIPPENDALE  AUS Card xx8882 Value Date: 04/12/2019"/>
        <s v="Homayoun Roozbehani Happy Birthday Rodean"/>
        <s v="TASTE BAKERY &amp; RESTAU SURRY HILLS  AUS Card xx8882 Value Date: 28/11/2019"/>
        <s v="Sneaky Burger            Wollongong   AU"/>
        <s v="MASOUMEH GHOLAMSHAHI Paying back ur money"/>
        <s v="Direct Debit 245164 HCF 5723396980320A0000"/>
        <s v="TRANSPORTFORNSW OPAL CHIPPENDALE  AUS Card xx8882 Value Date: 27/11/2019"/>
        <s v="Salary DHS PAYROLL 20195P 85920286"/>
        <s v="UberUAE_EATS Sydney AU AUS Card xx8882 Value Date: 24/11/2019"/>
        <s v="UBER   *EATS Sydney AU AUS Card xx8882 Value Date: 23/11/2019"/>
        <s v="NETFLIX.COM Melbourne AU AUS Card xx8882 Value Date: 24/11/2019"/>
        <s v="COLES EXPRESS 1617 DRUMMOYNE AU AUS Card xx8882 Value Date: 25/11/2019"/>
        <s v="COLES 4788 FIVE DOCK AU AUS Card xx8882 Value Date: 25/11/2019"/>
        <s v="TASTE BAKERY &amp; RESTAU SURRY HILLS  AUS Card xx8882 Value Date: 21/11/2019"/>
        <s v="TRANSPORTFORNSW OPAL CHIPPENDALE  AUS Card xx8882 Value Date: 21/11/2019"/>
        <s v="CommBank app elec bill"/>
        <s v="UberUAE_EATS Sydney AU AUS Card xx8882 Value Date: 17/11/2019"/>
        <s v="TASTE BAKERY &amp; RESTAU SURRY HILLS  AUS Card xx8882 Value Date: 14/11/2019"/>
        <s v="KEG  BREW HOTEL SURRY HILLS NS AUS Card xx8882 Value Date: 15/11/2019"/>
        <s v="BAR TOSCA SYDNEY NS AUS Card xx8882 Value Date: 15/11/2019"/>
        <s v="Direct Credit 245127 HCF 57233969DC-DRCR"/>
        <s v="TASTE BAKERY &amp; RESTAU SURRY HILLS  AUS Card xx8882 Value Date: 12/11/2019"/>
        <s v="TRANSPORTFORNSW OPAL CHIPPENDALE  AUS Card xx8882 Value Date: 14/11/2019"/>
        <s v="BAR TOSCA SYDNEY NS AUS Card xx8882 Value Date: 13/11/2019"/>
        <s v="UberUAE_EATS Sydney AU AUS Card xx8882 Value Date: 12/11/2019"/>
        <s v="Salary DHS PAYROLL 19235P 85920286"/>
        <s v="UberUAE_EATS Sydney AU AUS Card xx8882 Value Date: 10/11/2019"/>
        <s v="UberUAE_EATS Sydney AU AUS Card xx8882 Value Date: 09/11/2019"/>
        <s v="PAYPAL *MENTALNUTRI 4029357733 AU AUS Card xx8882 Value Date: 08/11/2019"/>
        <s v="IYASHI REMEDIES CO P/L DRUMMOYNE NS AUS Card xx8882 Value Date: 08/11/2019"/>
        <s v="UNIVERSAL AUDIO 8314401176 CA USA Card xx8882 USD 249.00 Value Date: 06/11/2019"/>
        <s v="TRANSPORTFORNSW OPAL CHIPPENDALE  AUS Card xx8882 Value Date: 08/11/2019"/>
        <s v="SMP*Ze Pickle Surry Hills AU AUS Card xx8882 Value Date: 05/11/2019"/>
        <s v="International Transaction Fee Value Date: 06/11/2019"/>
        <s v="CDKEYS.COM CDK2156  GBR Card xx8882 AUD 34.19 Value Date: 06/11/2019"/>
        <s v="TASTE BAKERY &amp; RESTAU SURRY HILLS  AUS Card xx8882 Value Date: 04/11/2019"/>
        <s v="Shift Eatery             Surry Hills  AU"/>
        <s v="GM CABS PTY LTD MASCOT  AUS Card xx8882 Value Date: 05/11/2019"/>
        <s v="UNIVERSAL HOTELS DARLINGHURST  AUS Card xx8882 Value Date: 02/11/2019"/>
        <s v="INGOGO LTD SYDNEY NS AUS Card xx8882 Value Date: 02/11/2019"/>
        <s v="UBER   *EATS Sydney AU AUS Card xx8882 Value Date: 03/11/2019"/>
        <s v="TRANSPORTFORNSW OPAL CHIPPENDALE  AUS Card xx8882 Value Date: 04/11/2019"/>
        <s v="KADMUS ON THE GO P/L DRUMMOYNE NS AUS Card xx8882 Value Date: 31/10/2019"/>
        <s v="GM CABS PTY LTD MASCOT  AUS Card xx8882 Value Date: 01/11/2019"/>
        <s v="jono food"/>
        <s v="TASTE BAKERY &amp; RESTAU SURRY HILLS  AUS Card xx8882 Value Date: 29/10/2019"/>
        <s v="Withdrawal   ATMCUS EZYMART OXFORD     DARLINGHUNS    AU Value Date: 02/11/2019"/>
        <s v="The Forresters           Surry Hills  AU"/>
        <s v="Non CBA ATM Withdrawal Fee Value Date: 02/11/2019"/>
        <s v="El Loco Excelsior Surry Hills NS AUS Card xx8882 Value Date: 30/10/2019"/>
        <s v="Direct Debit 245164 HCF 5723396980291A0000"/>
        <s v="Salary DHS PAYROLL 20035P 85920286"/>
        <s v="UBER   *EATS Sydney AU AUS Card xx8882 Value Date: 26/10/2019"/>
        <s v="TRANSPORTFORNSW TAP SYDNEY  AUS Tap and Pay xx6067 Value Date: 26/10/2019"/>
        <s v="TRANSPORTFORNSW TAP SYDNEY  AUS Tap and Pay xx6067 Value Date: 25/10/2019"/>
        <s v="TRANSPORTFORNSW OPAL CHIPPENDALE  AUS Card xx8882 Value Date: 28/10/2019"/>
        <s v="SMP*Chiswick Cellars Chiswick AU AUS Card xx8882 Value Date: 24/10/2019"/>
        <s v="Cash Dep Branch 300 ELIZABETH ST SYDNEY"/>
        <s v="Camy's Chargrill SH Surry Hills NS AUS Tap and Pay xx6067 Value Date: 24/10/2019"/>
        <s v="Vanuatu Hotel Payment to mum (Return Account Closed Soheyla Gholamshahi hotel Value Date: 24/10/2019)"/>
        <s v="TASTE BAKERY &amp; RESTAU SURRY HILLS  AUS Card xx8882 Value Date: 21/10/2019"/>
        <s v="TASTE BAKERY &amp; RESTAU SURRY HILLS  AUS Card xx8882 Value Date: 18/10/2019"/>
        <s v="Vanuatu Hotel Payment to mum"/>
        <s v="UBER   *EATS Sydney AU AUS Card xx8882 Value Date: 19/10/2019"/>
        <s v="NETFLIX.COM Melbourne AU AUS Card xx8882 Value Date: 20/10/2019"/>
        <s v="7-ELEVEN 2048 DRUMMOYNE NS AUS Card xx8882 Value Date: 19/10/2019"/>
        <s v="TRANSPORTFORNSW OPAL CHIPPENDALE  AUS Card xx8882 Value Date: 21/10/2019"/>
        <s v="BMSH PTY LTD SURRY HILLS  AUS Tap and Pay xx6067 Value Date: 17/10/2019"/>
        <s v="TASTE BAKERY &amp; RESTAU SURRY HILLS  AUS Card xx8882 Value Date: 15/10/2019"/>
        <s v="UBER   *EATS Sydney AU AUS Card xx8882 Value Date: 15/10/2019"/>
        <s v="SQUARESPACE INC. 6465803456 NY USA Card xx8882 USD 17.60 Value Date: 15/10/2019"/>
        <s v="International Transaction Fee Value Date: 15/10/2019"/>
        <s v="Salary DHS PAYROLL 19281P 85920286"/>
        <s v="UBER   *EATS Sydney AU AUS Card xx8882 Value Date: 13/10/2019"/>
        <s v="TRANSPORTFORNSW OPAL CHIPPENDALE  AUS Card xx8882 Value Date: 15/10/2019"/>
        <s v="JB HI FI LEICHHARDT NS AUS Card xx8882 Value Date: 12/10/2019"/>
        <s v="7-ELEVEN 2048 DRUMMOYNE NS AUS Card xx8882 Value Date: 13/10/2019"/>
        <s v="TASTE BAKERY &amp; RESTAU SURRY HILLS  AUS Card xx8882 Value Date: 10/10/2019"/>
        <s v="UBER   *EATS Sydney AU AUS Card xx8882 Value Date: 09/10/2019"/>
        <s v="grunt blueprint gig money"/>
        <s v="TRANSPORTFORNSW OPAL CHIPPENDALE  AUS Card xx8882 Value Date: 09/10/2019"/>
        <s v="TASTE BAKERY &amp; RESTAU SURRY HILLS  AUS Card xx8882 Value Date: 08/10/2019"/>
        <s v="UNIVERSAL CIVIC PTY SYDNEY  AUS Card xx8882 Value Date: 06/10/2019"/>
        <s v="UberUAE_EATS Sydney AU AUS Card xx8882 Value Date: 07/10/2019"/>
        <s v="UberUAE_EATS Sydney AU AUS Card xx8882 Value Date: 05/10/2019"/>
        <s v="Gozleme King Darling Sydney NS AUS Card xx8882 Value Date: 06/10/2019"/>
        <s v="CITY MART RANDWICK SYDNEY NS AUS Card xx8882 Value Date: 07/10/2019"/>
        <s v="Cafe Del Mar Sydney NS AUS Card xx8882 Value Date: 06/10/2019"/>
        <s v="UBER   *EATS Sydney AU AUS Card xx8882 Value Date: 04/10/2019"/>
        <s v="UBER   *EATS Sydney AU AUS Card xx8882 Value Date: 03/10/2019"/>
        <s v="TASTE BAKERY &amp; RESTAU SURRY HILLS  AUS Card xx8882 Value Date: 02/10/2019"/>
        <s v="Withdrawal   ATMANZ THE STAR SYDNEY 235PYRMONT        AU"/>
        <s v="SPORTS 24 7 THE STAR     PYRMONT      AU Card xx8882"/>
        <s v="JACKS HAIRDRESSING SYDNEY NS AUS Card xx8882 Value Date: 02/10/2019"/>
        <s v="UberUAE_EATS Sydney AU AUS Card xx8882 Value Date: 01/10/2019"/>
        <s v="TASTE BAKERY &amp; RESTAU SURRY HILLS  AUS Card xx8882 Value Date: 30/09/2019"/>
        <s v="Salary HAYSPERS 676442"/>
        <s v="RYDGES SYDNEY CENTRAL    SURRY HILLS  AU Card xx8882"/>
        <s v="TRANSPORTFORNSW OPAL CHIPPENDALE  AUS Card xx8882 Value Date: 02/10/2019"/>
        <s v="GORO'S                   SURRY HILLS  AU Card xx8882"/>
        <s v="UBER   *EATS Sydney AU AUS Card xx8882 Value Date: 29/09/2019"/>
        <s v="UBER   *EATS Sydney AU AUS Card xx8882 Value Date: 28/09/2019"/>
        <s v="UberUAE_EATS Sydney AU AUS Card xx8882 Value Date: 28/09/2019"/>
        <s v="UBER   *EATS Sydney AU AUS Card xx8882 Value Date: 27/09/2019"/>
        <s v="TASTE BAKERY &amp; RESTAU SURRY HILLS  AUS Card xx8882 Value Date: 26/09/2019"/>
        <s v="Direct Debit 245164 HCF 5723396980259A0000"/>
        <s v="TRANSPORTFORNSW OPAL CHIPPENDALE  AUS Card xx8882 Value Date: 25/09/2019"/>
        <s v="GM CABS PTY LTD MASCOT  AUS Card xx8882 Value Date: 21/09/2019"/>
        <s v="UberUAE_EATS Sydney AU AUS Card xx8882 Value Date: 22/09/2019"/>
        <s v="BALMAIN HTL PROPERTY BALMAIN AU AUS Card xx8882 Value Date: 21/09/2019"/>
        <s v="Withdrawal   ATMCBA ATM  300ELIZABETH C NSW 203303   AUS"/>
        <s v="WW METRO        1669 CENTRAL STAT NSW AU"/>
        <s v="TRANSPORTFORNSW OPAL CHIPPENDALE  AUS Card xx8882 Value Date: 18/09/2019"/>
        <s v="TASTE BAKERY &amp; RESTAU SURRY HILLS  AUS Card xx8882 Value Date: 16/09/2019"/>
        <s v="THE ORCHARD TAVERN CHATSWOOD  AUS Card xx8882 Value Date: 14/09/2019"/>
        <s v="UBER   *EATS SYDNEY NS AUS Card xx8882 Value Date: 15/09/2019"/>
        <s v="STRIKE AUSTRALIA PTY CHATSWOOD NS AUS Card xx8882 Value Date: 14/09/2019"/>
        <s v="SMP*Makanai Chatwsood Chatswood AU AUS Card xx8882 Value Date: 14/09/2019"/>
        <s v="PLAYTIME CHATSWOOD CHATSWOOD NS AUS Card xx8882 Value Date: 14/09/2019"/>
        <s v="SILVER SPOON BISTRO SURRY HILLS NS AUS Card xx8882 Value Date: 12/09/2019"/>
        <s v="UBER   *EATS SYDNEY NS AUS Card xx8882 Value Date: 11/09/2019"/>
        <s v="TASTE BAKERY &amp; RESTAU SURRY HILLS  AUS Card xx8882 Value Date: 10/09/2019"/>
        <s v="Withdrawal   ATMCAS 7-11 DRUMMOYNE     DRUMMOYN NS    AU"/>
        <s v="TRANSPORTFORNSW OPAL CHIPPENDALE  AUS Card xx8882 Value Date: 12/09/2019"/>
        <s v="Direct Credit 333732 INDESIGN PUB INDE FRONT DJ"/>
        <s v="UberUAE_EATS Sydney AU AUS Card xx8882 Value Date: 08/09/2019"/>
        <s v="UberUAE_EATS Sydney AU AUS Card xx8882 Value Date: 07/09/2019"/>
        <s v="850 RMS NCC1 NEWCASTLE  AUS Card xx8882 Value Date: 06/09/2019"/>
        <s v="geoff pay"/>
        <s v="Untied                   Millers PointAU"/>
        <s v="TRANSPORTFORNSW OPAL CHIPPENDALE  AUS Card xx8882 Value Date: 05/09/2019"/>
        <s v="TASTE BAKERY &amp; RESTAU SURRY HILLS  AUS Card xx8882 Value Date: 03/09/2019"/>
        <s v="Store Dj Invoice - 635671 - Behringer Ultrapatch"/>
        <s v="Return HYPEDC PITT ST MALL SYDNEY NS AUS Card xx8882 Value Date: 04/09/2019"/>
        <s v="GFM*GOFUNDME AUSTRALIA Sydney AU AUS Card xx8882 Value Date: 04/09/2019"/>
        <s v="CRAZYDOMAINSHOSTING 61290372826 SG SGP Card xx8882 AUD 21.95 Value Date: 03/09/2019"/>
        <s v="KADMUS PTY LTD           DRUMMOYNE    AU Card xx8882"/>
        <s v="UBER   *EATS SYDNEY NS AUS Card xx8882 Value Date: 01/09/2019"/>
        <s v="UberUAE_EATS Sydney AU AUS Card xx8882 Value Date: 31/08/2019"/>
        <s v="UberUAE_EATS Sydney AU AUS Card xx8882 Value Date: 30/08/2019"/>
        <s v="International Transaction Fee Value Date: 30/08/2019"/>
        <s v="GM CABS PTY LTD MASCOT  AUS Card xx8882 Value Date: 30/08/2019"/>
        <s v="BANDCAMP LATE NIGHT TA BANDCAMP.CO CA USA Card xx8882 GBP 8.99 Value Date: 30/08/2019"/>
        <s v="BANDCAMP KHRUANGBIN BANDCAMP.CO CA USA Card xx8882 GBP 8.99 Value Date: 30/08/2019"/>
        <s v="Direct Debit 245164 HCF 5723396980229A0000"/>
        <s v="TRANSPORTFORNSW OPAL CHIPPENDALE  AUS Card xx8882 Value Date: 30/08/2019"/>
        <s v="MCDONALDS LIVERPOOL S LIVERPOOL SOU  AUS Tap and Pay xx6067 Value Date: 27/08/2019"/>
        <s v="El Loco @ Slip Inn Sydney NS AUS Card xx8882 Value Date: 29/08/2019"/>
        <s v="GM CABS PTY LTD MASCOT  AUS Tap and Pay xx6067 Value Date: 27/08/2019"/>
        <s v="WOOLWORTHS 1669 SURRY HILLS NS AUS Tap and Pay xx6067 Value Date: 27/08/2019"/>
        <s v="UBER   *EATS SYDNEY NS AUS Card xx8882 Value Date: 26/08/2019"/>
        <s v="TASTE BAKERY &amp; RESTAU SURRY HILLS  AUS Card xx8882 Value Date: 23/08/2019"/>
        <s v="GM CABS PTY LTD MASCOT  AUS Tap and Pay xx6067 Value Date: 25/08/2019"/>
        <s v="GM CABS PTY LTD MASCOT  AUS Card xx8882 Value Date: 23/08/2019"/>
        <s v="Direct Debit 342190 FITNESS PLAY SH 172011202"/>
        <s v="7-ELEVEN 2048 DRUMMOYNE NS AUS Tap and Pay xx6067 Value Date: 27/08/2019"/>
        <s v="UBER   *EATS SYDNEY NS AUS Card xx8882 Value Date: 25/08/2019"/>
        <s v="7-ELEVEN 2048 DRUMMOYNE NS AUS Card xx8882 Value Date: 24/08/2019"/>
        <s v="UBER   *TRIP SYDNEY NS AUS Card xx8882 Value Date: 23/08/2019"/>
        <s v="LIV*THE WILD ROVER SURRY HILLS  AUS Card xx8882 Value Date: 22/08/2019"/>
        <s v="A BASAULA AND S SHAHI NEWTOWN AU AUS Card xx8882 Value Date: 23/08/2019"/>
        <s v="iou food"/>
        <s v="MYER  SYDNEY CITY SYDNEY NS AUS Card xx8882 Value Date: 22/08/2019"/>
        <s v="HYPEDC PITT ST MALL SYDNEY NS AUS Card xx8882 Value Date: 22/08/2019"/>
        <s v="LAS VEGAS GAMING INT     NEWTOWN      AU Card xx8882"/>
        <s v="JACKS HAIRDRESSING SYDNEY NS AUS Card xx8882 Value Date: 19/08/2019"/>
        <s v="UBER   *EATS SYDNEY NS AUS Card xx8882 Value Date: 18/08/2019"/>
        <s v="TRANSPORTFORNSW OPAL CHIPPENDALE  AUS Card xx8882 Value Date: 20/08/2019"/>
        <s v="UberUAE_EATS Sydney AU AUS Card xx8882 Value Date: 16/08/2019"/>
        <s v="TASTE BAKERY &amp; RESTAU SURRY HILLS  AUS Card xx8882 Value Date: 14/08/2019"/>
        <s v="Elec Bill"/>
        <s v="TAXI COMBINED 133300 ALEXANDRIA NS AUS Card xx8882 Value Date: 12/08/2019"/>
        <s v="TASTE BAKERY &amp; RESTAU SURRY HILLS  AUS Card xx8882 Value Date: 09/08/2019"/>
        <s v="RIBS AND BURGERS DRUMM   DRUMMOYNE    AU Card xx8882"/>
        <s v="GM CABS PTY LTD MASCOT  AUS Card xx8882 Value Date: 11/08/2019"/>
        <s v="Direct Debit 342190 FITNESS PLAY SH 169500209"/>
        <s v="UBER   *TRIP SYDNEY NS AUS Card xx8882 Value Date: 11/08/2019"/>
        <s v="UBER   *EATS SYDNEY NS AUS Card xx8882 Value Date: 11/08/2019"/>
        <s v="TRANSPORTFORNSW OPAL CHIPPENDALE  AUS Card xx8882 Value Date: 13/08/2019"/>
        <s v="Menulog Pty Ltd Sydney AU AUS Card xx8882 Value Date: 10/08/2019"/>
        <s v="El Loco Excelsior Surry Hills NS AUS Card xx8882 Value Date: 12/08/2019"/>
        <s v="7-ELEVEN 2048 DRUMMOYNE NS AUS Card xx8882 Value Date: 11/08/2019"/>
        <s v="UberUAE_EATS Sydney AU AUS Card xx8882 Value Date: 10/08/2019"/>
        <s v="Thaifood"/>
        <s v="TASTE BAKERY &amp; RESTAU SURRY HILLS  AUS Card xx8882 Value Date: 07/08/2019"/>
        <s v="International Transaction Fee Value Date: 08/08/2019"/>
        <s v="BEATPORT 720-974-9500 CO USA Card xx8882 AUD 7.44 Value Date: 10/08/2019"/>
        <s v="2334271OntarioLtd 855-2348273 ON CAN Card xx8882 USD 327.69 Value Date: 08/08/2019 (Zeus Arc)"/>
        <s v="ZEUS SURRY HILLS PTY L   SURRY HILLS  AU Card xx8882"/>
        <s v="KOUKLA GROUP PTY LTD     SURRY HILLS  AU Card xx8882"/>
        <s v="sunday lunch order"/>
        <s v="Withdrawal   ATMRed CEXP DRUMMOYNE NT  Drummoyne      AU"/>
        <s v="TASTE BAKERY &amp; RESTAU SURRY HILLS  AUS Card xx8882 Value Date: 06/08/2019"/>
        <s v="UberUAE_EATS Sydney AU AUS Card xx8882 Value Date: 05/08/2019"/>
        <s v="TRANSPORTFORNSW OPAL CHIPPENDALE  AUS Card xx8882 Value Date: 07/08/2019"/>
        <s v="UberUAE_EATS Sydney AU AUS Card xx8882 Value Date: 02/08/2019"/>
        <s v="TASTE BAKERY &amp; RESTAU SURRY HILLS  AUS Card xx8882 Value Date: 01/08/2019"/>
        <s v="TASTE BAKERY &amp; RESTAU SURRY HILLS  AUS Card xx8882 Value Date: 30/07/2019"/>
        <s v="TRANSPORTFORNSW OPAL CHIPPENDALE  AUS Card xx8882 Value Date: 01/08/2019"/>
        <s v="SALT MEATS CHEESE DRUMMOYNE NS AUS Card xx8882 Value Date: 29/07/2019"/>
        <s v="GM CABS PTY LTD MASCOT  AUS Card xx8882 Value Date: 28/07/2019"/>
        <s v="Direct Debit 342190 FITNESS PLAY SH 167079573"/>
        <s v="Direct Debit 245164 HCF 5723396980199A0000"/>
        <s v="BIG D S DINER NEWTOW NEWTOWN  AUS Card xx8882 Value Date: 26/07/2019"/>
        <s v="UBER   *TRIP SYDNEY NS AUS Card xx8882 Value Date: 28/07/2019"/>
        <s v="Town Hall Hotel Newtown NS AUS Card xx8882 Value Date: 26/07/2019"/>
        <s v="The Strand Hotel Darlinghurst NS AUS Card xx8882 Value Date: 27/07/2019"/>
        <s v="TASTE BAKERY &amp; RESTAU SURRY HILLS  AUS Card xx8882 Value Date: 25/07/2019"/>
        <s v="Louisa"/>
        <s v="A HANKIN COMPANY WICKHAM NS AUS Card xx8882 Value Date: 26/07/2019"/>
        <s v="77 CONVENIENCE STOR DARLINGHURST      AU Cash Out $76.95"/>
        <s v="TASTE BAKERY &amp; RESTAU SURRY HILLS  AUS Card xx8882 Value Date: 23/07/2019"/>
        <s v="STANLEYS BAR PTY LTD     DARLINGHURST AU Card xx8882"/>
        <s v="CENTENNIAL PLAZA PHR SYDNEY NS AUS Card xx8882 Value Date: 24/07/2019"/>
        <s v="TRANSPORTFORNSW OPAL CHIPPENDALE  AUS Card xx8882 Value Date: 25/07/2019"/>
        <s v="TASTE BAKERY &amp; RESTAU SURRY HILLS  AUS Card xx8882 Value Date: 22/07/2019"/>
        <s v="LIME APPLE 132227      SYDNEY    NSW  AU"/>
        <s v="GM CABS PTY LTD MASCOT  AUS Card xx8882 Value Date: 20/07/2019"/>
        <s v="UBER TRIP HELP.UBER.CO 14518236738 AU AUS Card xx8882 Value Date: 21/07/2019"/>
        <s v="UBER TRIP HELP.UBER.CO 14518236738 AU AUS Card xx8882 Value Date: 20/07/2019"/>
        <s v="UBER   *TRIP SYDNEY NS AUS Card xx8882 Value Date: 21/07/2019"/>
        <s v="UBER TRIP HELP.UBER.CO 14518236738 AU AUS Card xx8882 Value Date: 18/07/2019"/>
        <s v="TASTE BAKERY &amp; RESTAU SURRY HILLS  AUS Card xx8882 Value Date: 17/07/2019"/>
        <s v="Internet Share 2 months"/>
        <s v="East Village Sydney Darlinghurst NS AUS Card xx8882 Value Date: 20/07/2019"/>
        <s v="SILVER SERVIC 13310    Sydney         AU"/>
        <s v="BP PLANNING PTY LTD      BALMAIN      AU Card xx8882"/>
        <s v="TRANSPORTFORNSW OPAL CHIPPENDALE  AUS Card xx8882 Value Date: 18/07/2019"/>
        <s v="LINKT SYDNEY SYDNEY  AUS Card xx8882 Value Date: 18/07/2019"/>
        <s v="Direct Debit 165969 FITNESS PLAY SH 20198238122"/>
        <s v="UberUAE_EATS Sydney AU AUS Card xx8882 Value Date: 14/07/2019"/>
        <s v="UBER   *EATS SYDNEY NS AUS Card xx8882 Value Date: 12/07/2019"/>
        <s v="SALT MEATS CHEESE DRUMMOYNE NS AUS Card xx8882 Value Date: 13/07/2019"/>
        <s v="IYASHI REMEDIES CO P/L DRUMMOYNE NS AUS Card xx8882 Value Date: 13/07/2019"/>
        <s v="7-ELEVEN 2048 DRUMMOYNE NS AUS Card xx8882 Value Date: 13/07/2019"/>
        <s v="SMP*Bar Tosca Surry Hills AU AUS Card xx8882 Value Date: 11/07/2019"/>
        <s v="TRANSPORTFORNSW OPAL CHIPPENDALE  AUS Card xx8882 Value Date: 12/07/2019"/>
        <s v="SMP*Bar Tosca Surry Hills AU AUS Card xx8882 Value Date: 10/07/2019"/>
        <s v="DUMPLING HUT AUS PL SURRY HILLS NS AUS Card xx8882 Value Date: 09/07/2019"/>
        <s v="Withdrawal   ATMANZ GOROS              SURRY HIL      AU"/>
        <s v="UBER   *EATS SYDNEY NS AUS Card xx8882 Value Date: 07/07/2019"/>
        <s v="TRANSPORTFORNSW OPAL CHIPPENDALE  AUS Card xx8882 Value Date: 08/07/2019"/>
        <s v="TASTE BAKERY &amp; RESTAU SURRY HILLS  AUS Card xx8882 Value Date: 05/07/2019"/>
        <s v="TASTE BAKERY &amp; RESTAU SURRY HILLS  AUS Card xx8882 Value Date: 04/07/2019"/>
        <s v="UBER   *EATS SYDNEY NS AUS Card xx8882 Value Date: 03/07/2019"/>
        <s v="maccas 06/07/2019"/>
        <s v="GM CABS PTY LTD MASCOT  AUS Card xx8882 Value Date: 29/06/2019"/>
        <s v="Direct Debit 165969 FITNESS PLAY SH 20197729127"/>
        <s v="UNI OF SYDNEY UNIO UNIVERSITY OF NS AUS Card xx8882 Value Date: 29/06/2019"/>
        <s v="UBER TRIP HELP.UBER.CO 14518236738 AU AUS Card xx8882 Value Date: 28/06/2019"/>
        <s v="TRANSPORTFORNSW OPAL CHIPPENDALE  AUS Card xx8882 Value Date: 01/07/2019"/>
        <s v="TASTE BAKERY &amp; RESTAU SURRY HILLS  AUS Card xx8882 Value Date: 27/06/2019"/>
        <s v="POWERDIRECT PTY LTD NORTH SYDNEY  AUS Card xx8882 Value Date: 27/06/2019"/>
        <s v="AGL SALES P/L 0308 MELBOURNE  AUS Card xx8882 Value Date: 27/06/2019"/>
        <s v="Direct Debit 245164 HCF 5723396980166A0000"/>
        <s v="DUMPLING HUT AUS PL SURRY HILLS NS AUS Card xx8882 Value Date: 25/06/2019"/>
        <s v="Withdrawal   ATMBOQ NEWTOWN            NEWTOWN  NS    AU Value Date: 29/06/2019"/>
        <s v="MELANIE AND ANNIE PT     HAYMARKET    AU Card xx8882"/>
        <s v="DUMPLING HUT AUS PL SURRY HILLS NS AUS Card xx8882 Value Date: 24/06/2019"/>
        <s v="UNIVERSAL HOTELS PTY DARLINGHURST  AUS Card xx8882 Value Date: 22/06/2019"/>
        <s v="TRANSPORTFORNSW OPAL CHIPPENDALE  AUS Card xx8882 Value Date: 26/06/2019"/>
        <s v="GM CABS PTY LTD MASCOT  AUS Card xx8882 Value Date: 22/06/2019"/>
        <s v="CASH DEPOSIT CBA ATM  300ELIZABETH A NSW 203301   AUS"/>
        <s v="Goodbar Paddington NS AUS Card xx8882 Value Date: 23/06/2019"/>
        <s v="SKYBUS COACH SERVICE     MELBOURNE AIRAU Card xx8882"/>
        <s v="NJ GROUP PTY LTD         MELBOURNE AIRAU Card xx8882"/>
        <s v="Camy's Chargrill SH Surry Hills NS AUS Card xx8882 Value Date: 20/06/2019"/>
        <s v="Camy's Chargrill SH Surry Hills NS AUS Card xx8882 Value Date: 19/06/2019"/>
        <s v="7-ELEVEN 2048 DRUMMOYNE NS AUS Card xx8882 Value Date: 19/06/2019"/>
        <s v="TRANSPORTFORNSW OPAL     CHIPPENDALE  AU Card xx8882"/>
        <s v="DUMPLING HUT AUS PL SURRY HILLS NS AUS Card xx8882 Value Date: 17/06/2019"/>
        <s v="Direct Debit 165969 FITNESS PLAY SH 20197196210"/>
        <s v="Camy's Chargrill SH Surry Hills NS AUS Card xx8882 Value Date: 18/06/2019"/>
        <s v="RAMTEAN ROOZBEHA CommBank app rabies vaccine"/>
        <s v="Direct Credit 371474 RENTALBONDBOARD S162210-X 1 / 9"/>
        <s v="BKNG SNSTN BKRY CF DRUMMOYNE NS AUS Card xx8882 Value Date: 15/06/2019"/>
        <s v="DUMPLING HUT AUS PL SURRY HILLS NS AUS Card xx8882 Value Date: 13/06/2019"/>
        <s v="Camy's Chargrill SH Surry Hills NS AUS Card xx8882 Value Date: 14/06/2019"/>
        <s v="Refund of Disputes Fees and or interest"/>
        <s v="Sunday food"/>
        <s v="TWG AT JOAN SUTHERLAND SYDNEY  AUS Tap and Pay xx6067 Value Date: 10/06/2019"/>
        <s v="Camy's Chargrill SH Surry Hills NS AUS Card xx8882 Value Date: 12/06/2019"/>
        <s v="MENYA CHINATOWN HAYMARKET NS AUS Card xx8882 Value Date: 10/06/2019"/>
        <s v="Camy's Chargrill SH Surry Hills NS AUS Card xx8882 Value Date: 11/06/2019"/>
        <s v="Annandale Hotel          Annandale    AU"/>
        <s v="TFNSW RAIL OPAL          HAYMARKET    AU Card xx8882"/>
        <s v="Cash Dep Branch 300ElizabethSt Syd"/>
        <s v="Camy's Chargrill SH Surry Hills NS AUS Card xx8882 Value Date: 07/06/2019"/>
        <s v="TWG AT JOAN SUTHERLAND   SYDNEY       AU Card xx8882"/>
        <s v="Opera Bar                Sydney       AU"/>
        <s v="WW METRO 1360            BORONIA PARK AU Card xx8882"/>
        <s v="SUTTONS MOTORS ARNCL ARNCLIFFE NS AUS Card xx8882 Value Date: 05/06/2019"/>
        <s v="HFM BORONIA PARK         BORONIA PARK AU Card xx8882"/>
        <s v="Camy's Chargrill SH Surry Hills NS AUS Card xx8882 Value Date: 06/06/2019"/>
        <s v="DUMPLING HUT AUS PL SURRY HILLS NS AUS Tap and Pay xx6067 Value Date: 04/06/2019"/>
        <s v="Camy's Chargrill SH Surry Hills NS AUS Card xx8882 Value Date: 05/06/2019"/>
        <s v="RMSTOLLNOTICEPH13186 PARRAMATTA  AUS Card xx8882 Value Date: 31/05/2019"/>
        <s v="MCDONALDS DRUMMOYNE DRUMMOYNE  AUS Card xx8882 Value Date: 01/06/2019"/>
        <s v="Direct Debit 165969 FITNESS PLAY SH 20196685299"/>
        <s v="UBER   *EATS SYDNEY NS AUS Card xx8882 Value Date: 01/06/2019"/>
        <s v="SQ *THE TASTE OF BEES Drummoyne AU AUS Card xx8882 Value Date: 02/06/2019"/>
        <s v="Return UBER   *EATS SYDNEY NS AUS Card xx8882 Value Date: 02/06/2019"/>
        <s v="GREAT LIGHTING AUSTR LEICHHARDT NS AUS Card xx8882 Value Date: 03/06/2019"/>
        <s v="COLES 4788 FIVE DOCK AU AUS Card xx8882 Value Date: 03/06/2019"/>
        <s v="Camy's Chargrill SH Surry Hills NS AUS Card xx8882 Value Date: 03/06/2019"/>
        <s v="7-ELEVEN 2048 DRUMMOYNE NS AUS Card xx8882 Value Date: 31/05/2019"/>
        <s v="PRIME QUALITY MEATS LEICHHARDT NS AUS Card xx8882 Value Date: 29/05/2019"/>
        <s v="DUMPLING HUT AUS PL SURRY HILLS NS AUS Card xx8882 Value Date: 31/05/2019"/>
        <s v="BOND CLEANING IN YOUR ASHMORE AU AUS Card xx8882 Value Date: 01/06/2019"/>
        <s v="Direct Debit 245164 HCF 5723396980138A0000"/>
        <s v="BUNNINGS 595000          ASHFIELD     AU Card xx8882 - home supplies"/>
        <s v="Withdrawal   ATMCBA ATM  PETERSHAM A    NSW 222701   AUS"/>
        <s v="ref340 96a Audley"/>
        <s v="PRIME QUALITY MEATS LEICHHARDT NS AUS Card xx8882 Value Date: 28/05/2019"/>
        <s v="PETERSHAM PHARMACY       PETERSHAM    AU Card xx8882"/>
        <s v="CommBank app"/>
        <s v="Camy's Chargrill SH Surry Hills NS AUS Card xx8882 Value Date: 30/05/2019"/>
        <s v="CENTENNIAL PLAZA PHR SYDNEY NS AUS Card xx8882 Value Date: 28/05/2019"/>
        <s v="SILVER SPOON BISTRO SURRY HILLS NS AUS Card xx8882 Value Date: 24/05/2019"/>
        <s v="DMD FUELS PTY LTD        PETERSHAM    AU Card xx8882"/>
        <s v="COLES 0846 LEICHHARDT AU AUS Card xx8882 Value Date: 28/05/2019"/>
        <s v="CIVIC HOTEL SYDNEY  AUS Tap and Pay xx6067 Value Date: 25/05/2019"/>
        <s v="CIVIC HOTEL SYDNEY  AUS Card xx8882 Value Date: 25/05/2019"/>
        <s v="CIVIC HOTEL SYDNEY  AUS Card xx8882 Value Date: 24/05/2019"/>
        <s v="UBER EATS HELP.UBER.CO 14518236738 AU AUS Card xx8882 Value Date: 26/05/2019"/>
        <s v="UBER   *TRIP SYDNEY NS AUS Card xx8882 Value Date: 26/05/2019"/>
        <s v="UBER   *EATS SYDNEY NS AUS Card xx8882 Value Date: 26/05/2019"/>
        <s v="TAXI4UR SERVICE PTYLTD CROYDON PARK NS AUS Card xx8882 Value Date: 25/05/2019"/>
        <s v="TAXI COMBINED 133300 ALEXANDRIA NS AUS Card xx8882 Value Date: 25/05/2019"/>
        <s v="MED CAFE PETERSHAM NS AUS Card xx8882 Value Date: 25/05/2019"/>
        <s v="KENNARDS SELF STORAGE    PETERSHAM    AU Card xx8882"/>
        <s v="CULTIVATE (T1) PTY L DARLINGHURST NS AUS Card xx8882 Value Date: 26/05/2019"/>
        <s v="CULTIVATE (T1) PTY L DARLINGHURST NS AUS Card xx8882 Value Date: 25/05/2019"/>
        <s v="Camy's Chargrill SH Surry Hills NS AUS Card xx8882 Value Date: 27/05/2019"/>
        <s v="LEGION CAB SY 131451 DARLINGHURST NS AUS Card xx8882 Value Date: 24/05/2019"/>
        <s v="THE FAT CHOOK LEICHHAR   LEICHHARDT   AU Card xx8882"/>
        <s v="MR CRACKLES              DARLINGHURST AU Card xx8882"/>
        <s v="YULIA ANGESTI &amp; MICH LEICHHARDT NS AUS Card xx8882 Value Date: 22/05/2019 (Norton Seafoods)"/>
        <s v="Withdrawal   ATMWES RAILWAY SQ O/S     RAILWAY SNS    AU"/>
        <s v="The Winery               Surry Hills  AU"/>
        <s v="Camy's Chargrill SH Surry Hills NS AUS Card xx8882 Value Date: 23/05/2019"/>
        <s v="7-ELEVEN 2153 PETERSHAM NS AUS Card xx8882 Value Date: 23/05/2019"/>
        <s v="Withdrawal   ATMWES CIVIC HOTEL        SYDNEY         AU"/>
        <s v="COLES 0846 LEICHHARDT AU AUS Card xx8882 Value Date: 21/05/2019"/>
        <s v="PRIME QUALITY MEATS LEICHHARDT NS AUS Card xx8882 Value Date: 19/05/2019"/>
        <s v="MASSAGE LINK BROADWA ULTIMO NS AUS Card xx8882 Value Date: 18/05/2019"/>
        <s v="Direct Debit 165969 FITNESS PLAY SH 20196177772"/>
        <s v="Camy's Chargrill SH Surry Hills NS AUS Card xx8882 Value Date: 21/05/2019"/>
        <s v="NETFLIX.COM Melbourne AU AUS Card xx8882 Value Date: 19/05/2019"/>
        <s v="HARRIS FARM MARKETS      LEICHHARDT   AU Card xx8882"/>
        <s v="H&amp;M AUSTRALIA 0011 SYDNEY NS AUS Card xx8882 Value Date: 18/05/2019"/>
        <s v="Camy's Chargrill SH Surry Hills NS AUS Card xx8882 Value Date: 20/05/2019"/>
        <s v="PRIME QUALITY MEATS LEICHHARDT NS AUS Card xx8882 Value Date: 15/05/2019"/>
        <s v="COLES 0846 LEICHHARDT AU AUS Card xx8882 Value Date: 17/05/2019"/>
        <s v="CITYOFSYDNEY PARKING SYDNEY  AUS Card xx8882 Value Date: 16/05/2019"/>
        <s v="Camy's Chargrill SH Surry Hills NS AUS Card xx8882 Value Date: 17/05/2019"/>
        <s v="LINKT SYDNEY SYDNEY  AUS Card xx8882 Value Date: 17/05/2019"/>
        <s v="JUST CUTS BROADWAY BROADWAY NSW       AU"/>
        <s v="JOJOS VENTURE PTY LT     PETERSHAM    AU Card xx8882"/>
        <s v="CAFE SYDNEY NSW Sydney NS AUS Card xx8882 Value Date: 16/05/2019"/>
        <s v="TASTE BAKERY &amp; RESTAU SURRY HILLS  AUS Card xx8882 Value Date: 14/05/2019"/>
        <s v="PRIME QUALITY MEATS LEICHHARDT NS AUS Card xx8882 Value Date: 13/05/2019"/>
        <s v="COLES 0846 LEICHHARDT AU AUS Card xx8882 Value Date: 15/05/2019"/>
        <s v="Camy's Chargrill SH Surry Hills NS AUS Card xx8882 Value Date: 15/05/2019"/>
        <s v="YULIA ANGESTI &amp; MICH LEICHHARDT NS AUS Card xx8882 Value Date: 13/05/2019 (Norton Seafoods)"/>
        <s v="TASTE BAKERY &amp; RESTAU SURRY HILLS  AUS Card xx8882 Value Date: 13/05/2019"/>
        <s v="Homayoun Roozbehani Dads Present"/>
        <s v="UBER EATS HELP.UBER.CO 14518236738 AU AUS Card xx8882 Value Date: 12/05/2019"/>
        <s v="UBER EATS HELP.UBER.CO 14518236738 AU AUS Card xx8882 Value Date: 11/05/2019"/>
        <s v="UBER   *EATS SYDNEY NS AUS Card xx8882 Value Date: 11/05/2019"/>
        <s v="COLES 0846 LEICHHARDT AU AUS Card xx8882 Value Date: 13/05/2019"/>
        <s v="TASTE BAKERY &amp; RESTAU SURRY HILLS  AUS Card xx8882 Value Date: 10/05/2019"/>
        <s v="POWERDIRECT PTY LTD NORTH SYDNEY  AUS Card xx8882 Value Date: 09/05/2019"/>
        <s v="SCORPION TECH       MACQUARIE PAR     AU - Nvidia P2000 Graphics Card"/>
        <s v="SCORPION TECH       MACQUARIE PAR     AU"/>
        <s v="PRIME QUALITY MEATS LEICHHARDT NS AUS Card xx8882 Value Date: 07/05/2019"/>
        <s v="PHOTO SHOP STUDIO ASHFIELD NS AUS Card xx8882 Value Date: 09/05/2019"/>
        <s v="LEICHHARDT DSCNT CHE LEICHHARDT NS AUS Card xx8882 Value Date: 07/05/2019"/>
        <s v="BOND CLEANING IN YOUR ASHMORE AU AUS Card xx8882 Value Date: 09/05/2019"/>
        <s v="7-ELEVEN 2153 PETERSHAM NS AUS Card xx8882 Value Date: 09/05/2019"/>
        <s v="Withdrawal   ATMWES MADISON HOTEL      SURRY H        AU"/>
        <s v="TASTE BAKERY &amp; RESTAU SURRY HILLS  AUS Card xx8882 Value Date: 06/05/2019"/>
        <s v="PLINE PH LEICHHARDT LEICHHARDT  AUS Card xx8882 Value Date: 06/05/2019"/>
        <s v="ONE TONG PTY LTD    SYDNEY            AU"/>
        <s v="MADISON HOTEL            SURRY HILLS  AU Card xx8882"/>
        <s v="EVENING STAR OPERATI     SURRY HILLS  AU Card xx8882"/>
        <s v="CENTENNIAL PLAZA PHR SYDNEY NS AUS Card xx8882 Value Date: 07/05/2019"/>
        <s v="YULIA ANGESTI &amp; MICH LEICHHARDT NS AUS Card xx8882 Value Date: 06/05/2019 (Norton Seafoods)"/>
        <s v="MCDONALDS DRUMMOYNE DRUMMOYNE  AUS Card xx8882 Value Date: 05/05/2019"/>
        <s v="Direct Debit 165969 FITNESS PLAY SH 20195621644"/>
        <s v="COLES 0846 LEICHHARDT AU AUS Card xx8882 Value Date: 07/05/2019"/>
        <s v="Camy's Chargrill SH Surry Hills NS AUS Card xx8882 Value Date: 07/05/2019"/>
        <s v="COLES 0846 LEICHHARDT AU AUS Card xx8882 Value Date: 06/05/2019"/>
        <s v="TASTE BAKERY &amp; RESTAU SURRY HILLS  AUS Card xx8882 Value Date: 02/05/2019"/>
        <s v="PRIME QUALITY MEATS LEICHHARDT NS AUS Card xx8882 Value Date: 01/05/2019"/>
        <s v="LEICHHARDT CHEMIST LEICHHARDT NS AUS Card xx8882 Value Date: 03/05/2019"/>
        <s v="COLES 0846 LEICHHARDT AU AUS Card xx8882 Value Date: 03/05/2019"/>
        <s v="TASTE BAKERY &amp; RESTAU SURRY HILLS  AUS Card xx8882 Value Date: 29/04/2019"/>
        <s v="Belong * Service PADDINGTON NS AUS Card xx8882 Value Date: 01/05/2019"/>
        <s v="WARWICK L EVERINGHAM LEICHHARDT  AUS Tap and Pay xx6067 Value Date: 27/04/2019"/>
        <s v="SUSHI OTAKU SURRY HILLS NS AUS Card xx8882 Value Date: 30/04/2019"/>
        <s v="AUTO TCH CR &amp; TRCK R PETERSHAM NOR NS AUS Card xx8882 Value Date: 26/04/2019"/>
        <s v="LEICHHARDT CHEMIST LEICHHARDT NS AUS Tap and Pay xx6067 Value Date: 27/04/2019"/>
        <s v="Direct Debit 245164 HCF 5723396980107A0000"/>
        <s v="COLES 0846 LEICHHARDT AU AUS Card xx8882 Value Date: 29/04/2019"/>
        <s v="TASTE BAKERY &amp; RESTAU SURRY HILLS  AUS Card xx8882 Value Date: 24/04/2019"/>
        <s v="SERVICE NSW SYDNEY  AUS Card xx8882 Value Date: 26/04/2019 - Car Registration"/>
        <s v="NRMA WEB SYDNEY NS AUS Card xx8882 Value Date: 26/04/2019"/>
        <s v="COLES 0846 LEICHHARDT AU AUS Tap and Pay xx6067 Value Date: 27/04/2019"/>
        <s v="Camy's Chargrill SH Surry Hills NS AUS Card xx8882 Value Date: 26/04/2019"/>
        <s v="SYDNEY OPERA HOUSE TRU SYDNEY NS AUS Card xx8882 Value Date: 24/04/2019"/>
        <s v="Sushi Hub Balmain Balmain NS AUS Card xx8882 Value Date: 25/04/2019"/>
        <s v="REVENUE NSWFINE MAITLAND  AUS Card xx8882 Value Date: 23/04/2019"/>
        <s v="RELISH FOODS LEICHHARDT NS AUS Card xx8882 Value Date: 23/04/2019"/>
        <s v="PRIME QUALITY MEATS LEICHHARDT NS AUS Card xx8882 Value Date: 23/04/2019"/>
        <s v="Dick's Hotel Balmain Balmain NS AUS Card xx8882 Value Date: 25/04/2019"/>
        <s v="CIVIC HOTEL SYDNEY  AUS Card xx8882 Value Date: 21/04/2019"/>
        <s v="CIVIC HOTEL SYDNEY  AUS Card xx8882 Value Date: 20/04/2019"/>
        <s v="Netbank to Complete Access "/>
        <s v="Direct Debit 165969 FITNESS PLAY SH 20195072088"/>
        <s v="WWW.INGOGO SYDNEY NS AUS Card xx8882 Value Date: 21/04/2019"/>
        <s v="Withdrawal   ATMCBA ATM  BALMAIN D      NSW 211004   AUS"/>
        <s v="MENYA CHINATOWN HAYMARKET NS AUS Card xx8882 Value Date: 18/04/2019"/>
        <s v="ACT HOLDINGS PTY LTD     ROZELLE      AU Card xx8882"/>
        <s v="7-ELEVEN 2153 PETERSHAM NS AUS Card xx8882 Value Date: 18/04/2019"/>
        <s v="7-ELEVEN 2048 DRUMMOYNE NS AUS Card xx8882 Value Date: 21/04/2019"/>
        <s v="White Cockatoo Hotel Petersham NS AUS Card xx8882 Value Date: 20/04/2019"/>
        <s v="UBER EATS HELP.UBER.CO 14518236738 AU AUS Card xx8882 Value Date: 21/04/2019"/>
        <s v="UBER EATS HELP.UBER.CO 14518236738 AU AUS Card xx8882 Value Date: 19/04/2019"/>
        <s v="UBER   *EATS SYDNEY NS AUS Card xx8882 Value Date: 22/04/2019"/>
        <s v="Republic Bar, Taylors Sydney NS AUS Card xx8882 Value Date: 20/04/2019"/>
        <s v="PRIME QUALITY MEATS LEICHHARDT NS AUS Card xx8882 Value Date: 17/04/2019"/>
        <s v="REVENUE NSWFINE MAITLAND  AUS Card xx8882 Value Date: 16/04/2019"/>
        <s v="Withdrawal   ATMANZ NEWTOWN RAILWAY STANEWTOWN        AU"/>
        <s v="TFNSW RAIL OPAL          PETERSHAM    AU Card xx8882"/>
        <s v="SOFTWARE PRO WORLD LONDON LN GBR Card xx8882 USD 47.49 Value Date: 14/04/2019"/>
        <s v="International Transaction Fee Value Date: 14/04/2019"/>
        <s v="COLES 0846 LEICHHARDT AU AUS Card xx8882 Value Date: 15/04/2019"/>
        <s v="TASTE BAKERY &amp; RESTAU SURRY HILLS  AUS Card xx8882 Value Date: 11/04/2019"/>
        <s v="RESIDENT ADVISOR TICKE LONDON GB GBR Card xx8882 AUD 27.10 Value Date: 12/04/2019"/>
        <s v="COLES 0846 LEICHHARDT AU AUS Card xx8882 Value Date: 12/04/2019"/>
        <s v="Camy's Chargrill SH Surry Hills NS AUS Card xx8882 Value Date: 12/04/2019"/>
        <s v="H Roozbehani Present from Dad"/>
        <s v="Camy's Chargrill SH Surry Hills NS AUS Card xx8882 Value Date: 10/04/2019"/>
        <s v="YULIA ANGESTI &amp; MICH LEICHHARDT NS AUS Card xx8882 Value Date: 07/04/2019 (Norton Seafoods)"/>
        <s v="EAST SUSHI PTY LTD LEICHHARDT NS AUS Card xx8882 Value Date: 07/04/2019"/>
        <s v="Direct Debit 165969 FITNESS PLAY SH 20194503683"/>
        <s v="COLES 0846 LEICHHARDT AU AUS Card xx8882 Value Date: 09/04/2019"/>
        <s v="UBER EATS HELP.UBER.CO 14518236738 AU AUS Card xx8882 Value Date: 06/04/2019"/>
        <s v="PRIME QUALITY MEATS LEICHHARDT NS AUS Card xx8882 Value Date: 03/04/2019"/>
        <s v="Newslink SYD903 Sydney NS AUS Card xx8882 Value Date: 05/04/2019"/>
        <s v="NEIGHBORHOOD MASSAGE     LEICHHARDT   AU Card xx8882"/>
        <s v="Camy's Chargrill SH Surry Hills NS AUS Card xx8882 Value Date: 05/04/2019"/>
        <s v="ALDI STORES - LEICHHAR   LEICHHARDT   AU Card xx8882"/>
        <s v="Camy's Chargrill SH Surry Hills NS AUS Card xx8882 Value Date: 04/04/2019"/>
        <s v="TRANSPORT FOR NSW        CHIPPENDALE  AU Card xx8882"/>
        <s v="STRAWBERY HILLS HOTEL SURRY HILLS  AUS Card xx8882 Value Date: 31/03/2019"/>
        <s v="KABUTO PTY LTD           BALMAIN      AU Card xx8882"/>
        <s v="GM CABS PTY LTD MASCOT  AUS Card xx8882 Value Date: 31/03/2019"/>
        <s v="COLES 0846 LEICHHARDT AU AUS Card xx8882 Value Date: 01/04/2019"/>
        <s v="UBER   *EATS SYDNEY NS AUS Card xx8882 Value Date: 31/03/2019"/>
        <s v="UBER   *EATS SYDNEY NS AUS Card xx8882 Value Date: 29/03/2019"/>
        <s v="Camy's Chargrill SH Surry Hills NS AUS Card xx8882 Value Date: 01/04/2019"/>
        <s v="Belong * Service PADDINGTON NS AUS Card xx8882 Value Date: 01/04/2019"/>
        <s v="7-ELEVEN 2127 SURRY HILLS NS AUS Card xx8882 Value Date: 31/03/2019"/>
        <s v="Soheyla petrol Value Date: 01/04/2019"/>
        <s v="Clock Hotel Surry Hills NS AUS Card xx8882 Value Date: 30/03/2019"/>
        <s v="Direct Debit 245164 HCF 5723396980075A0000"/>
        <s v="BP LANE COVE 2212   LANE COVE         AU"/>
        <s v="COLES 0846 LEICHHARDT AU AUS Card xx8882 Value Date: 27/03/2019"/>
        <s v="Clock Hotel              Surry Hills  AU"/>
        <s v="Camy's Chargrill SH Surry Hills NS AUS Card xx8882 Value Date: 28/03/2019"/>
        <s v="UBER   *EATS SYDNEY NS AUS Card xx8882 Value Date: 26/03/2019"/>
        <s v="petrol"/>
        <s v="P AND J WADE CHEMISTS LANE COVE NSW   AU"/>
        <s v="Camy's Chargrill SH Surry Hills NS AUS Card xx8882 Value Date: 27/03/2019"/>
        <s v="PRIME QUALITY MEATS LEICHHARDT NS AUS Card xx8882 Value Date: 23/03/2019"/>
        <s v="Direct Debit 165969 FITNESS PLAY SH 20193946527"/>
        <s v="UBER   *EATS SYDNEY NS AUS Card xx8882 Value Date: 24/03/2019"/>
        <s v="KEG &amp; BREW HOTEL SURRY HILLS NS AUS Card xx8882 Value Date: 22/03/2019"/>
        <s v="CRAZYDOMAINSHOSTING 61290372826 SG SGP Card xx8882 AUD 31.88 Value Date: 24/03/2019"/>
        <s v="7-ELEVEN 2105 LEICHHARDT NS AUS Card xx8882 Value Date: 23/03/2019"/>
        <s v="KEG &amp; BREW HOTEL SURRY HILLS NS AUS Card xx8882 Value Date: 18/03/2019"/>
        <s v="UBER   *EATS SYDNEY NS AUS Card xx8882 Value Date: 15/03/2019"/>
        <s v="Camy's Chargrill SH Surry Hills NS AUS Card xx8882 Value Date: 15/03/2019"/>
        <s v="NRMA LTD SYDNEY OLYMPI NS AUS Card xx8882 Value Date: 13/03/2019"/>
        <s v="Homayoun Roozbehani Present from Dad"/>
        <s v="Direct Debit 165969 FITNESS PLAY SH 20193379091"/>
        <s v="COLES 0846 LEICHHARDT AU AUS Card xx8882 Value Date: 11/03/2019"/>
        <s v="UBER EATS HELP.UBER.CO 14518236738 AU AUS Card xx8882 Value Date: 09/03/2019"/>
        <s v="UBER   *EATS SYDNEY NS AUS Card xx8882 Value Date: 10/03/2019"/>
        <s v="Camy's Chargrill SH Surry Hills NS AUS Card xx8882 Value Date: 11/03/2019"/>
        <s v="COLES 0846 LEICHHARDT AU AUS Card xx8882 Value Date: 06/03/2019"/>
        <s v="SNEAKY BURGER CO         ALBION PARK  AU Card xx8882"/>
        <s v="MCDONALDS F3 NORTHBOU JILLIBY  AUS Card xx8882 Value Date: 01/03/2019"/>
        <s v="GM CABS PTY LTD MASCOT  AUS Card xx8882 Value Date: 03/03/2019"/>
        <s v="COLES 0846 LEICHHARDT AU AUS Card xx8882 Value Date: 04/03/2019"/>
        <s v="Withdrawal   ATMCBA ATM  GLEBE B        NSW 217202   AUS"/>
        <s v="JACKS HAIRDRESSING SYDNEY NS AUS Card xx8882 Value Date: 01/03/2019"/>
        <s v="TFNSW RAIL               HAYMARKET    AU"/>
        <s v="Direct Credit 481128 Tax Today (Parra PAR1903030744346"/>
        <s v="Camy's Chargrill SH Surry Hills NS AUS Card xx8882 Value Date: 28/02/2019"/>
        <s v="Belong * Service PADDINGTON NS AUS Card xx8882 Value Date: 28/02/2019"/>
        <s v="Direct Debit 245164 HCF 5723396980047A0000"/>
        <s v="COLES 0846 LEICHHARDT AU AUS Card xx8882 Value Date: 26/02/2019"/>
        <s v="NV PETERS INMNT PL BROADWAY NS AUS Card xx8882 Value Date: 23/02/2019"/>
        <s v="Direct Debit 165969 FITNESS PLAY SH 20192763390"/>
        <s v="7-ELEVEN 2048 DRUMMOYNE NS AUS Card xx8882 Value Date: 25/02/2019"/>
        <s v="REBEL BROADWAY BROADWAY NS AUS Card xx8882 Value Date: 23/02/2019"/>
        <s v="SUSHI OTAKU SURRY HILLS NS AUS Card xx8882 Value Date: 22/02/2019"/>
        <s v="COLES 0839 BROADWAY AU AUS Card xx8882 Value Date: 23/02/2019"/>
        <s v="MCDONALDS DRUMMOYNE DRUMMOYNE  AUS Card xx8882 Value Date: 19/02/2019"/>
        <s v="COLES 0846 LEICHHARDT AU AUS Card xx8882 Value Date: 20/02/2019"/>
        <s v="CHARLIES DELI            PETERSHAM    AU Card xx8882"/>
        <s v="Return UBER   *EATS SYDNEY NS AUS Card xx8882 Value Date: 20/02/2019"/>
        <s v="NORTONS ON NORTON LEICHHARDT NS AUS Card xx8882 Value Date: 18/02/2019"/>
        <s v="EAST SUSHI PTY LTD LEICHHARDT NS AUS Card xx8882 Value Date: 18/02/2019"/>
        <s v="YULIA ANGESTI &amp; MICH LEICHHARDT NS AUS Card xx8882 Value Date: 16/02/2019 (Norton Seafoods)"/>
        <s v="UBER   *EATS SYDNEY NS AUS Card xx8882 Value Date: 19/02/2019"/>
        <s v="PRIME QUALITY MEATS LEICHHARDT NS AUS Card xx8882 Value Date: 16/02/2019"/>
        <s v="The Grounds Alexandria NS AUS Card xx8882 Value Date: 16/02/2019"/>
        <s v="COLES 0846 LEICHHARDT AU AUS Card xx8882 Value Date: 16/02/2019"/>
        <s v="Direct Debit 165969 FITNESS PLAY SH 20192110090"/>
        <s v="COLES 0846 LEICHHARDT AU AUS Card xx8882 Value Date: 11/02/2019"/>
        <s v="Belong * Service PADDINGTON NS AUS Card xx8882 Value Date: 12/02/2019"/>
        <s v="UBER   *TRIP 4ECZJ SYDNEY NS AUS Card xx8882 Value Date: 09/02/2019"/>
        <s v="THE GRUMPY BAKER NEW NEWTOWN NS AUS Card xx8882 Value Date: 09/02/2019"/>
        <s v="FOODWORKS PETERSHAM      PETERSHAM    AU Card xx8882"/>
        <s v="7-ELEVEN 2118 CAMPERDOWN NS AUS Card xx8882 Value Date: 10/02/2019"/>
        <s v="Withdrawal   ATMCUS AB HOTEL           GLEBE    NS    AU"/>
        <s v="Withdrawal   ATMCAS 7-11 CAMPERDOWN    CAMPERD  NS    AU"/>
        <s v="PETERSHAM LIQUOR MART    PETERSHAM    AU Card xx8882"/>
        <s v="Camy's Chargrill SH Surry Hills NS AUS Card xx8882 Value Date: 07/02/2019"/>
        <s v="Camy's Chargrill SH Surry Hills NS AUS Card xx8882 Value Date: 06/02/2019"/>
        <s v="YULIA ANGESTI &amp; MICH LEICHHARDT NS AUS Card xx8882 Value Date: 02/02/2019 (Norton Seafoods)"/>
        <s v="EAST SUSHI PTY LTD LEICHHARDT NS AUS Card xx8882 Value Date: 02/02/2019"/>
        <s v="COLES 0846 LEICHHARDT AU AUS Card xx8882 Value Date: 04/02/2019"/>
        <s v="UBER EATS HELP.UBER.CO 14518236738 AU AUS Card xx8882 Value Date: 03/02/2019"/>
        <s v="JB HI FI LEICHHARDT NS AUS Card xx8882 Value Date: 02/02/2019"/>
        <s v="UBER   *EATS SYDNEY NS AUS Card xx8882 Value Date: 01/02/2019"/>
        <s v="PRIME QUALITY MEATS LEICHHARDT NS AUS Card xx8882 Value Date: 31/01/2019"/>
        <s v="COLES 0846 LEICHHARDT AU AUS Card xx8882 Value Date: 31/01/2019"/>
        <s v="Direct Debit 245164 HCF 5723396980018A0000"/>
        <s v="Camy's Chargrill SH Surry Hills NS AUS Card xx8882 Value Date: 30/01/2019"/>
        <s v="WWW.INGOGO SYDNEY NS AUS Card xx8882 Value Date: 28/01/2019"/>
        <s v="UBER   *EATS SYDNEY NS AUS Card xx8882 Value Date: 28/01/2019"/>
        <s v="TRANSPORT FOR NSW CHIPPENDALE  AUS Tap and Pay xx4622 Value Date: 25/01/2019"/>
        <s v="HAPPY KITCHEN 4 U SURRY HILLS  AUS Tap and Pay xx4622 Value Date: 25/01/2019"/>
        <s v="H&amp;M AUSTRALIA 0011 SYDNEY NS AUS Card xx8882 Value Date: 27/01/2019"/>
        <s v="Direct Debit 165969 FITNESS PLAY SH 20191449235"/>
        <s v="BMSH PTY LTD SURRY HILLS  AUS Tap and Pay xx4622 Value Date: 24/01/2019"/>
        <s v="WOOLWORTHS 1669 SURRY HILLS NS AUS Tap and Pay xx4622 Value Date: 24/01/2019"/>
        <s v="UBER   *EATS SYDNEY NS AUS Card xx8882 Value Date: 26/01/2019"/>
        <s v="Different Drummer Glebe NS AUS Card xx8882 Value Date: 27/01/2019"/>
        <s v="BMSH PTY LTD SURRY HILLS  AUS Tap and Pay xx4622 Value Date: 23/01/2019"/>
        <s v="RSL CABS 9581 1111     SYDNEY    NSW  AU"/>
        <s v="AGINCOURT HOTEL          SYDNEY       AU Card xx8882"/>
        <s v="Toxteth Hotel            Glebe        AU"/>
        <s v="RIVERSDALE PUB CO NO     BALMAIN      AU Card xx8882"/>
        <s v="GUZMAN Y GOMEZ BROADWA   BROADWAY     AU Card xx8882"/>
        <s v="AGINCOURT HOTEL          SYDNEY       AU Card xx8882 Value Date: 28/01/2019"/>
        <s v="JOJOS VENTURE PTY LT     PETERSHAM    AU"/>
        <s v="WOOLWORTHS 1669 SURRY HILLS NS AUS Tap and Pay xx4622 Value Date: 23/01/2019"/>
        <s v="DMD FUELS PTY LTD  QPS PETERSHAM  AUS Tap and Pay xx4622 Value Date: 22/01/2019"/>
        <s v="COLES 0846 LEICHHARDT AU AUS Tap and Pay xx4622 Value Date: 22/01/2019"/>
        <s v="WOOLWORTHS 1669 SURRY HILLS NS AUS Tap and Pay xx4622 Value Date: 22/01/2019"/>
        <s v="COLES 0846 LEICHHARDT AU AUS Tap and Pay xx4622 Value Date: 21/01/2019"/>
        <s v="Camy's Chargrill SH Surry Hills NS AUS Tap and Pay xx4622 Value Date: 22/01/2019"/>
        <s v="BMSH PTY LTD SURRY HILLS  AUS Tap and Pay xx4622 Value Date: 21/01/2019"/>
        <s v="WOOLWORTHS 1669 SURRY HILLS NS AUS Tap and Pay xx4622 Value Date: 21/01/2019"/>
        <s v="UBER   *EATS SYDNEY NS AUS Card xx0052 Value Date: 20/01/2019"/>
        <s v="SONY AUSTRALIA CASTLE HILL NS AUS Tap and Pay xx4622 Value Date: 19/01/2019"/>
        <s v="NETFLIX.COM Melbourne AU AUS Card xx0052 Value Date: 20/01/2019"/>
        <s v="7-ELEVEN 2048 DRUMMOYNE NS AUS Tap and Pay xx4622 Value Date: 19/01/2019"/>
        <s v="WOOLWORTHS 1669 SURRY HILLS NS AUS Tap and Pay xx4622 Value Date: 18/01/2019"/>
        <s v="TRANSPORT FOR NSW CHIPPENDALE  AUS Tap and Pay xx4622 Value Date: 17/01/2019"/>
        <s v="Camy's Chargrill SH Surry Hills NS AUS Tap and Pay xx4622 Value Date: 18/01/2019"/>
        <s v="BMSH PTY LTD SURRY HILLS  AUS Tap and Pay xx4622 Value Date: 17/01/2019"/>
        <s v="Store DJ Invoice - 889096 - Cables"/>
        <s v="BMSH PTY LTD SURRY HILLS  AUS Tap and Pay xx4622 Value Date: 16/01/2019"/>
        <s v="WOOLWORTHS 1669 SURRY HILLS NS AUS Tap and Pay xx4622 Value Date: 16/01/2019"/>
        <s v="YULIA ANGESTI &amp; MICH LEICHHARDT NS AUS Tap and Pay xx4622 Value Date: 12/01/2019"/>
        <s v="WOOLWORTHS 1669 SURRY HILLS NS AUS Tap and Pay xx4622 Value Date: 15/01/2019"/>
        <s v="UBER   *EATS SYDNEY NS AUS Card xx0052 Value Date: 15/01/2019"/>
        <s v="NORTON PLAZA LEICHHARDT NS AUS Tap and Pay xx4622 Value Date: 14/01/2019"/>
        <s v="Direct Debit 165969 FITNESS PLAY SH 2019814730"/>
        <s v="COLES 0846 LEICHHARDT AU AUS Tap and Pay xx4622 Value Date: 14/01/2019"/>
        <s v="Camy's Chargrill SH Surry Hills NS AUS Tap and Pay xx4622 Value Date: 15/01/2019"/>
        <s v="WOOLWORTHS 1669 SURRY HILLS NS AUS Tap and Pay xx4622 Value Date: 14/01/2019"/>
        <s v="YOUI - PREMIUM SIPPY DOWNS  AUS Card xx0052 Value Date: 14/01/2019"/>
        <s v="WOOLWORTHS 1669 SURRY HILLS NS AUS Tap and Pay xx4622 Value Date: 11/01/2019"/>
        <s v="WOOLWORTHS 1669 SURRY HILLS NS AUS Tap and Pay xx4622 Value Date: 10/01/2019"/>
        <s v="UBER   *EATS SYDNEY NS AUS Card xx0052 Value Date: 10/01/2019"/>
        <s v="TRANSPORT FOR NSW CHIPPENDALE  AUS Tap and Pay xx4622 Value Date: 09/01/2019"/>
        <s v="JACKS HAIRDRESSING SYDNEY NS AUS Tap and Pay xx4622 Value Date: 10/01/2019"/>
        <s v="HAPPY KITCHEN 4 U SURRY HILLS  AUS Tap and Pay xx4622 Value Date: 11/01/2019"/>
        <s v="COLES 0846 LEICHHARDT AU AUS Tap and Pay xx4622 Value Date: 12/01/2019"/>
        <s v="Sando Bar Surry Hills NS AUS Tap and Pay xx4622 Value Date: 10/01/2019"/>
        <s v="BMSH PTY LTD SURRY HILLS  AUS Tap and Pay xx4622 Value Date: 09/01/2019"/>
        <s v="NEW MILLENNIUM 2 PTY L SURRY HILLS  AUS Tap and Pay xx4622 Value Date: 08/01/2019 (Camys Chicken)"/>
        <s v="GRILLD LEICHHARDT LEICHHARDT  AUS Tap and Pay xx4622 Value Date: 07/01/2019"/>
        <s v="WOOLWORTHS 1669 SURRY HILLS NS AUS Tap and Pay xx4622 Value Date: 08/01/2019"/>
        <s v="HARRIS FARM MARKETSQPS LEICHHARDT  AUS Tap and Pay xx4622 Value Date: 07/01/2019"/>
        <s v="BMSH PTY LTD SURRY HILLS  AUS Tap and Pay xx4622 Value Date: 07/01/2019"/>
        <s v="WOOLWORTHS 1669 SURRY HILLS NS AUS Tap and Pay xx4622 Value Date: 07/01/2019"/>
        <s v="POWERDIRECT P/L      BPAY 254714 70563072709406088924 elec bill"/>
        <s v="EAST SUSHI PTY LTD LEICHHARDT NS AUS Tap and Pay xx4622 Value Date: 02/01/2019"/>
        <s v="COLES 0846 LEICHHARDT AU AUS Tap and Pay xx4622 Value Date: 04/01/2019"/>
        <s v="COLES 0846               LEICHHARDT   AU"/>
        <s v="CHISWICK CELLARS CHISWICK NS AUS Tap and Pay xx4622 Value Date: 03/01/2019"/>
        <s v="PRIME QUALITY MEATS LEICHHARDT NS AUS Tap and Pay xx4622 Value Date: 31/12/2018"/>
        <s v="HARRIS FARM MARKETSQPS LEICHHARDT  AUS Tap and Pay xx4622 Value Date: 02/01/2019"/>
        <s v="YULIA ANGESTI &amp; MICH LEICHHARDT NS AUS Tap and Pay xx4622 Value Date: 31/12/2018"/>
        <s v="UBER   *EATS SYDNEY NS AUS Card xx0052 Value Date: 30/12/2018"/>
        <s v="Return UBER   *EATS SYDNEY NS AUS Card xx0052 Value Date: 30/12/2018"/>
        <s v="EAST SUSHI PTY LTD LEICHHARDT NS AUS Tap and Pay xx4622 Value Date: 28/12/2018"/>
        <s v="Direct Debit 165969 FITNESS PLAY SH 2019175306"/>
        <s v="COLES 0846 LEICHHARDT AU AUS Tap and Pay xx4622 Value Date: 30/12/2018"/>
        <s v="Belong * Service PADDINGTON NS AUS Card xx0052 Value Date: 01/01/2019"/>
        <s v="Direct Debit 245164 HCF 5723396979986A0000"/>
        <s v="UBER   *EATS SYDNEY NS AUS Card xx0052 Value Date: 28/12/2018"/>
        <s v="UBER EATS HELP.UBER.CO 14518236738 AU AUS Card xx0052 Value Date: 26/12/2018"/>
        <s v="JB HI FI LEICHHARDT NS AUS Tap and Pay xx4622 Value Date: 24/12/2018"/>
        <s v="7-ELEVEN 2153            PETERSHAM    AU"/>
        <s v="UBER   *TRIP MHC7G SYDNEY NS AUS Card xx0052 Value Date: 22/12/2018"/>
        <s v="PETERSHAM LIQUOR MART PETERSHAM  AUS Tap and Pay xx4622 Value Date: 22/12/2018"/>
        <s v="OUTPUT INC 8186726902 CA USA Card xx0052 USD 10.00 Value Date: 25/12/2018"/>
        <s v="NEXTRA NORTON PLAZA LEICHHARDT NS AUS Tap and Pay xx4622 Value Date: 24/12/2018"/>
        <s v="International Transaction Fee Value Date: 25/12/2018"/>
        <s v="EAST SUSHI PTY LTD LEICHHARDT NS AUS Tap and Pay xx4622 Value Date: 23/12/2018"/>
        <s v="COLES 0846 LEICHHARDT AU AUS Tap and Pay xx4622 Value Date: 23/12/2018"/>
        <s v="TRANSPORT FOR NSW CHIPPENDALE  AUS Tap and Pay xx4622 Value Date: 20/12/2018"/>
        <s v="present"/>
        <s v="NEW MILLENNIUM 2 PTY L SURRY HILLS  AUS Tap and Pay xx4622 Value Date: 21/12/2018 (Camys Chicken)"/>
        <s v="NEW MILLENNIUM 2 PTY L SURRY HILLS  AUS Tap and Pay xx4622 Value Date: 20/12/2018 (Camys Chicken)"/>
        <s v="Homayoun Roozbehani Merry x-mass and happy new year"/>
        <s v="FOODWORKS PETERSHAM PETERSHAM  AUS Tap and Pay xx4622 Value Date: 21/12/2018"/>
        <s v="WWW.INGOGO               SYDNEY       AU"/>
        <s v="7-ELEVEN 2048            DRUMMOYNE    AU"/>
        <s v="UBER EATS HELP.UBER.CO 14518236738 AU AUS Card xx0052 Value Date: 19/12/2018"/>
        <s v="PRIME QUALITY MEATS LEICHHARDT NS AUS Tap and Pay xx4622 Value Date: 18/12/2018"/>
        <s v="NEW MILLENNIUM 2 PTY L SURRY HILLS  AUS Tap and Pay xx4622 Value Date: 19/12/2018 (Camys Chicken)"/>
        <s v="AGL SALES PTY LTD SYDNEY  AUS Card xx0052 Value Date: 19/12/2018"/>
        <s v="YULIA ANGESTI &amp; MICH LEICHHARDT NS AUS Tap and Pay xx4622 Value Date: 18/12/2018"/>
        <s v="HAPPY KITCHEN 4 U SURRY HILLS  AUS Tap and Pay xx4622 Value Date: 18/12/2018"/>
        <s v="WARWICK L EVERINGHAM LEICHHARDT  AUS Tap and Pay xx4622 Value Date: 16/12/2018"/>
        <s v="PRIME QUALITY MEATS LEICHHARDT NS AUS Tap and Pay xx4622 Value Date: 16/12/2018"/>
        <s v="NEW MILLENNIUM 2 PTY L SURRY HILLS  AUS Tap and Pay xx4622 Value Date: 17/12/2018 (Camys Chicken)"/>
        <s v="Direct Debit 165969 FITNESS PLAY SH 201822938643"/>
        <s v="FOSAUX PTY LTD SURRY HILLS  AUS Tap and Pay xx4622 Value Date: 14/12/2018"/>
        <s v="COLES 0846 LEICHHARDT AU AUS Tap and Pay xx4622 Value Date: 16/12/2018"/>
        <s v="UBER EATS HELP.UBER.CO 14518236738 AU AUS Card xx0052 Value Date: 15/12/2018"/>
        <s v="NEW MILLENNIUM 2 PTY L SURRY HILLS  AUS Tap and Pay xx4622 Value Date: 13/12/2018 (Camys Chicken)"/>
        <s v="MASSAGE LINK BROADWA ULTIMO NS AUS Tap and Pay xx4622 Value Date: 13/12/2018"/>
        <s v="COLES 0846 LEICHHARDT AU AUS Tap and Pay xx4622 Value Date: 14/12/2018"/>
        <s v="YOUI - PREMIUM SIPPY DOWNS  AUS Card xx0052 Value Date: 14/12/2018"/>
        <s v="HAPPY KITCHEN 4 U SURRY HILLS  AUS Tap and Pay xx4622 Value Date: 12/12/2018"/>
        <s v="TFNSW RAIL HAYMARKET  AUS Tap and Pay xx4622 Value Date: 10/12/2018"/>
        <s v="NEW MILLENNIUM 2 PTY L SURRY HILLS  AUS Tap and Pay xx4622 Value Date: 10/12/2018 (Camys Chicken)"/>
        <s v="BMSH PTY LTD SURRY HILLS  AUS Tap and Pay xx4622 Value Date: 11/12/2018"/>
        <s v="PRIME QUALITY MEATS LEICHHARDT NS AUS Tap and Pay xx4622 Value Date: 08/12/2018"/>
        <s v="EAST SUSHI PTY LTD LEICHHARDT NS AUS Tap and Pay xx4622 Value Date: 08/12/2018"/>
        <s v="COLES 0846 LEICHHARDT AU AUS Tap and Pay xx4622 Value Date: 10/12/2018"/>
        <s v="OXFORD TAVERN PETERSHAM NS AUS Tap and Pay xx4622 Value Date: 09/12/2018"/>
        <s v="UBER   *EATS Q3PBY SYDNEY NS AUS Card xx0052 Value Date: 07/12/2018"/>
        <s v="HAPPY KITCHEN 4 U SURRY HILLS  AUS Tap and Pay xx4622 Value Date: 07/12/2018"/>
        <s v="HAPPY KITCHEN 4 U SURRY HILLS  AUS Tap and Pay xx4622 Value Date: 06/12/2018"/>
        <s v="GM CABS PTY LTD MASCOT  AUS Tap and Pay xx4622 Value Date: 06/12/2018"/>
        <s v="COLES 0846 LEICHHARDT AU AUS Tap and Pay xx4622 Value Date: 08/12/2018"/>
        <s v="Redfern Surf Club Alexandria NS AUS Tap and Pay xx4622 Value Date: 06/12/2018"/>
        <s v="Redfern Surf Club Alexandria NS AUS Card xx0052 Value Date: 06/12/2018"/>
        <s v="HAPPY KITCHEN 4 U SURRY HILLS  AUS Tap and Pay xx4622 Value Date: 05/12/2018"/>
        <s v="Withdrawal   ATMCBA ATM  PETERSHAM B    NSW 222702   AUS"/>
        <s v="NEW MILLENNIUM 2 PTY L SURRY HILLS  AUS Tap and Pay xx4622 Value Date: 04/12/2018 (Camys Chicken)"/>
        <s v="DELISH TRAN CAFE         SURRY HILLS  AU"/>
        <s v="COLES 0846 LEICHHARDT AU AUS Tap and Pay xx4622 Value Date: 04/12/2018"/>
        <s v="YULIA ANGESTI &amp; MICH LEICHHARDT NS AUS Tap and Pay xx4622 Value Date: 01/12/2018"/>
        <s v="WOOLWORTHS 1669 SURRY HILLS NS AUS Tap and Pay xx4622 Value Date: 04/12/2018"/>
        <s v="Redfern Surf Club        Alexandria   AU"/>
        <s v="PRIME QUALITY MEATS LEICHHARDT NS AUS Tap and Pay xx4622 Value Date: 01/12/2018"/>
        <s v="Homayoun Roozbehani Happy Birthday"/>
        <s v="Direct Debit 165969 FITNESS PLAY SH 201822262502"/>
        <s v="UBER   *EATS SC3TL SYDNEY NS AUS Card xx0052 Value Date: 02/12/2018"/>
        <s v="JB HI FI BROADWAY BROADWAY NS AUS Tap and Pay xx4622 Value Date: 02/12/2018"/>
        <s v="Belong * Service PADDINGTON NS AUS Card xx0052 Value Date: 01/12/2018"/>
        <s v="APPLE STORE R523 BROADWAY AU AUS Tap and Pay xx4622 Value Date: 02/12/2018"/>
        <s v="7-ELEVEN 2153 PETERSHAM NS AUS Tap and Pay xx4622 Value Date: 02/12/2018"/>
        <s v="TRANSPORT FOR NSW CHIPPENDALE  AUS Tap and Pay xx4622 Value Date: 29/11/2018"/>
        <s v="PRIME QUALITY MEATS LEICHHARDT NS AUS Tap and Pay xx4622 Value Date: 28/11/2018"/>
        <s v="COLES 0846 LEICHHARDT AU AUS Tap and Pay xx4622 Value Date: 01/12/2018"/>
        <s v="BMSH PTY LTD SURRY HILLS  AUS Tap and Pay xx4622 Value Date: 30/11/2018"/>
        <s v="Direct Debit 245164 HCF 5723396979956A0000"/>
        <s v="WOOLWORTHS 1669 SURRY HILLS NS AUS Tap and Pay xx4622 Value Date: 29/11/2018"/>
        <s v="NETFLIX.COM Melbourne AU AUS Card xx0052 Value Date: 28/11/2018"/>
        <s v="COLES 0846 LEICHHARDT AU AUS Tap and Pay xx4622 Value Date: 28/11/2018"/>
        <s v="BMSH PTY LTD SURRY HILLS  AUS Tap and Pay xx4622 Value Date: 27/11/2018"/>
        <s v="YULIA ANGESTI &amp; MICH LEICHHARDT NS AUS Tap and Pay xx4622 Value Date: 25/11/2018"/>
        <s v="PRIME QUALITY MEATS LEICHHARDT NS AUS Tap and Pay xx4622 Value Date: 23/11/2018"/>
        <s v="JEEVES AU PTY LTD LEICHHARDT NS AUS Tap and Pay xx4622 Value Date: 25/11/2018"/>
        <s v="FOODWORKS PETERSHAM PETERSHAM  AUS Tap and Pay xx4622 Value Date: 26/11/2018"/>
        <s v="EAST SUSHI PTY LTD LEICHHARDT NS AUS Tap and Pay xx4622 Value Date: 25/11/2018"/>
        <s v="COLES 0846 LEICHHARDT AU AUS Tap and Pay xx4622 Value Date: 25/11/2018"/>
        <s v="YULIA ANGESTI &amp; MICH LEICHHARDT NS AUS Tap and Pay xx4622 Value Date: 23/11/2018"/>
        <s v="WOOLWORTHS 1669 SURRY HILLS NS AUS Tap and Pay xx4622 Value Date: 23/11/2018"/>
        <s v="MLEKO BAR ESSPRESSO SYDNEY NS AUS Tap and Pay xx4622 Value Date: 23/11/2018"/>
        <s v="IN T MD FOR THAI S H SURRY HILLS NS AUS Tap and Pay xx4622 Value Date: 22/11/2018"/>
        <s v="COLES 0846 LEICHHARDT AU AUS Tap and Pay xx4622 Value Date: 23/11/2018"/>
        <s v="WOOLWORTHS 1669 SURRY HILLS NS AUS Tap and Pay xx4622 Value Date: 21/11/2018"/>
        <s v="WARWICK L EVERINGHAM LEICHHARDT  AUS Tap and Pay xx4622 Value Date: 19/11/2018"/>
        <s v="TRANSPORT FOR NSW CHIPPENDALE  AUS Tap and Pay xx4622 Value Date: 19/11/2018"/>
        <s v="PRIME QUALITY MEATS LEICHHARDT NS AUS Tap and Pay xx4622 Value Date: 19/11/2018"/>
        <s v="BMSH PTY LTD SURRY HILLS  AUS Tap and Pay xx4622 Value Date: 20/11/2018"/>
        <s v="YULIA ANGESTI &amp; MICH LEICHHARDT NS AUS Tap and Pay xx4622 Value Date: 19/11/2018"/>
        <s v="WOOLWORTHS 1669 SURRY HILLS NS AUS Tap and Pay xx4622 Value Date: 20/11/2018"/>
        <s v="Direct Debit 165969 FITNESS PLAY SH 201821547887"/>
        <s v="BMSH PTY LTD SURRY HILLS  AUS Tap and Pay xx4622 Value Date: 19/11/2018"/>
        <s v="UNI OF SYD UNION THE UNI OF SY NS AUS Tap and Pay xx4622 Value Date: 18/11/2018"/>
        <s v="UNI OF SYD UNION THE UNI OF SY NS AUS Tap and Pay xx4622 Value Date: 17/11/2018"/>
        <s v="UBER EATS RX7MV HELP.U 14518236738 AU AUS Card xx0052 Value Date: 18/11/2018"/>
        <s v="TFNSW RAIL HAYMARKET  AUS Tap and Pay xx4622 Value Date: 16/11/2018"/>
        <s v="COLES 0846 LEICHHARDT AU AUS Tap and Pay xx4622 Value Date: 19/11/2018"/>
        <s v="UBER   *EATS R6UJV SYDNEY NS AUS Card xx0052 Value Date: 15/11/2018"/>
        <s v="KEG &amp; BREW HOTEL SURRY HILLS NS AUS Tap and Pay xx4622 Value Date: 16/11/2018"/>
        <s v="BMSH PTY LTD SURRY HILLS  AUS Tap and Pay xx4622 Value Date: 15/11/2018"/>
        <s v="BAR TOSCA SYDNEY NS AUS Tap and Pay xx4622 Value Date: 16/11/2018"/>
        <s v="UNI OF SYDNEY UNIN  UNI OF SYDNEY     AU"/>
        <s v="UNI OF SYD UNION    THE UNI OF SY     AU"/>
        <s v="The Lansdowne Hotel      Chippendale  AU"/>
        <s v="Direct Credit 002962 CITIGROUP PTYLTD MEZZE BLAY"/>
        <s v="BMSH PTY LTD SURRY HILLS  AUS Tap and Pay xx4622 Value Date: 13/11/2018"/>
        <s v="YOUI - PREMIUM SIPPY DOWNS  AUS Card xx0052 Value Date: 14/11/2018"/>
        <s v="NEW MILLENNIUM 2 PTY L SURRY HILLS  AUS Tap and Pay xx4622 Value Date: 12/11/2018 (Camys Chicken)"/>
        <s v="UBER EATS ECHB3 HELP.U 14518236738 AU AUS Card xx0052 Value Date: 10/11/2018"/>
        <s v="UBER   *EATS QKUOT SYDNEY NS AUS Card xx0052 Value Date: 11/11/2018"/>
        <s v="COLES 0846 LEICHHARDT AU AUS Tap and Pay xx4622 Value Date: 12/11/2018"/>
        <s v="YULIA ANGESTI &amp; MICH LEICHHARDT NS AUS Tap and Pay xx4622 Value Date: 08/11/2018"/>
        <s v="WOOLWORTHS 1669 SURRY HILLS NS AUS Tap and Pay xx4622 Value Date: 09/11/2018"/>
        <s v="TRANSPORT FOR NSW CHIPPENDALE  AUS Tap and Pay xx4622 Value Date: 07/11/2018"/>
        <s v="PRIME QUALITY MEATS LEICHHARDT NS AUS Tap and Pay xx4622 Value Date: 08/11/2018"/>
        <s v="Frankies Pizza Sydney NS AUS Tap and Pay xx4622 Value Date: 09/11/2018"/>
        <s v="WOOLWORTHS 1669 SURRY HILLS NS AUS Tap and Pay xx4622 Value Date: 08/11/2018"/>
        <s v="WOOLWORTHS 1669 SURRY HILLS NS AUS Tap and Pay xx4622 Value Date: 07/11/2018"/>
        <s v="Spotify P0825393E5 Sydney AU AUS Card xx0052 Value Date: 07/11/2018"/>
        <s v="CIGNALL PETERSHAM PETERSHAM NSW       AU"/>
        <s v="Sando Bar Surry Hills NS AUS Tap and Pay xx4622 Value Date: 06/11/2018"/>
        <s v="NEW MILLENNIUM 2 PTY L SURRY HILLS  AUS Tap and Pay xx4622 Value Date: 05/11/2018 (Camys Chicken)"/>
        <s v="Direct Debit 165969 FITNESS PLAY SH 201820745487"/>
        <s v="COLES 0846 LEICHHARDT AU AUS Tap and Pay xx4622 Value Date: 05/11/2018"/>
        <s v="UBER   *EATS TCM5N SYDNEY NS AUS Card xx0052 Value Date: 04/11/2018"/>
        <s v="Menulog Pty Ltd Sydney AU AUS Card xx0052 Value Date: 04/11/2018"/>
        <s v="Direct Credit 002962 CITIGROUP PTYLTD CHOCOLATE SUNDAY"/>
        <s v="Withdrawal   ATMANZ ERSKINVILLE HOTEL  ERSKINVIL      AU"/>
        <s v="Sando Bar Surry Hills NS AUS Tap and Pay xx4622 Value Date: 01/11/2018"/>
        <s v="ERSKO PTY LIMITED        ERSKINEVILLE AU"/>
        <s v="Belong * Service PADDINGTON NS AUS Card xx0052 Value Date: 01/11/2018"/>
        <s v="TRANSPORT FOR NSW CHIPPENDALE  AUS Tap and Pay xx4622 Value Date: 29/10/2018"/>
        <s v="KEG &amp; BREW HOTEL    SURRY HILLS       AU"/>
        <s v="BMSH PTY LTD SURRY HILLS  AUS Tap and Pay xx4622 Value Date: 30/10/2018"/>
        <s v="YULIA ANGESTI &amp; MICH LEICHHARDT NS AUS Tap and Pay xx4622 Value Date: 27/10/2018"/>
        <s v="UBER EATS MM2HS HELP.U 14518236738 AU AUS Card xx0052 Value Date: 30/10/2018"/>
        <s v="PRIME QUALITY MEATS LEICHHARDT NS AUS Tap and Pay xx4622 Value Date: 27/10/2018"/>
        <s v="NEW MILLENNIUM 2 PTY L SURRY HILLS  AUS Tap and Pay xx4622 Value Date: 29/10/2018 (Camys Chicken)"/>
        <s v="MASSAGE LINK BROADWA  ULTIMO       NSWAU"/>
        <s v="Direct Debit 245164 HCF 5723396979926A0000"/>
        <s v="COLES 0839               BROADWAY     AU"/>
        <s v="White Horse Hotel Surry Hills NS AUS Tap and Pay xx4622 Value Date: 28/10/2018"/>
        <s v="NEW MILLENNIUM 2 PTY L   SURRY HILLS  AU (Camys Chicken)"/>
        <s v="NETFLIX.COM Melbourne AU AUS Card xx0052 Value Date: 28/10/2018"/>
        <s v="CENTENNIAL PLAZA PHR  SYDNEY       NSWAU"/>
        <s v="SURRYHILLS NEWSAGENT SURRY HILLS NS AUS Tap and Pay xx4622 Value Date: 25/10/2018"/>
        <s v="Return -THE-ICONIC-*787000000 SURRY HILLS NS AUS Card xx0052 Value Date: 26/10/2018"/>
        <s v="NEW MILLENNIUM 2 PTY L SURRY HILLS  AUS Tap and Pay xx4622 Value Date: 26/10/2018 (Camys Chicken)"/>
        <s v="COLES 0846 LEICHHARDT AU AUS Tap and Pay xx4622 Value Date: 27/10/2018"/>
        <s v="White Horse Hotel        Surry Hills  AU"/>
        <s v="ERCIYES TURKISH R PL  SURRY HILLS  NSWAU"/>
        <s v="PRIME QUALITY MEATS LEICHHARDT NS AUS Tap and Pay xx4622 Value Date: 23/10/2018"/>
        <s v="NEW MILLENNIUM 2 PTY L SURRY HILLS  AUS Tap and Pay xx4622 Value Date: 24/10/2018 (Camys Chicken)"/>
        <s v="MCDONALDS DRUMMOYNE DRUMMOYNE  AUS Tap and Pay xx4622 Value Date: 24/10/2018"/>
        <s v="EAST SUSHI PTY LTD    LEICHHARDT   NSWAU"/>
        <s v="WOOLWORTHS 1669 SURRY HILLS NS AUS Tap and Pay xx4622 Value Date: 24/10/2018"/>
        <s v="POST HAYMARKET-RET  SY SYDNEY WA AUS Tap and Pay xx4622 Value Date: 23/10/2018"/>
        <s v="WOOLWORTHS 1669 SURRY HILLS NS AUS Tap and Pay xx4622 Value Date: 23/10/2018"/>
        <s v="Sando Bar                Surry Hills  AU"/>
        <s v="Direct Debit 165969 FITNESS PLAY SH 201819932431"/>
        <s v="COLES 0846 LEICHHARDT AU AUS Tap and Pay xx4622 Value Date: 23/10/2018"/>
        <s v="BMSH PTY LTD SURRY HILLS  AUS Tap and Pay xx4622 Value Date: 22/10/2018"/>
        <s v="Menulog Pty Ltd Sydney AU AUS Card xx0052 Value Date: 21/10/2018"/>
        <s v="geoff iou"/>
        <s v="BMSH PTY LTD SURRY HILLS  AUS Tap and Pay xx4622 Value Date: 19/10/2018"/>
        <s v="International Transaction Fee Value Date: 16/10/2018"/>
        <s v="DRI iZotope orderfind com  IRL Card xx0052 USD 108.90 Value Date: 16/10/2018"/>
        <s v="HARRIS FARM MARKETS      LEICHHARDT   AU"/>
        <s v="-THE-ICONIC-*787000000 SURRY HILLS NS AUS Card xx0052 Value Date: 16/10/2018"/>
        <s v="JACKS HAIRDRESSING SYDNEY NS AUS Tap and Pay xx4622 Value Date: 15/10/2018"/>
        <s v="COLES 0846 LEICHHARDT AU AUS Tap and Pay xx4622 Value Date: 15/10/2018"/>
        <s v="AGL SALES PTY LTD SYDNEY  AUS Card xx0052 Value Date: 14/10/2018"/>
        <s v="Sando Bar Surry Hills NS AUS Tap and Pay xx4622 Value Date: 15/10/2018"/>
        <s v="DOS SENORITAS GLADESVILLE NSW         AU"/>
        <s v="YOUI - PREMIUM SIPPY DOWNS  AUS Card xx0052 Value Date: 15/10/2018"/>
        <s v="TRANSPORT FOR NSW        CHIPPENDALE  AU"/>
        <s v="Withdrawal   ATMRed NP-City Convenien  Sydney         AU"/>
        <s v="PETERSHAM LIQUOR MART    PETERSHAM    AU"/>
        <s v="KING ST BREWHOUSE PT     SYDNEY       AU"/>
        <s v="BRISTOL ARMS OPERATING   BRIGHTON-LE-SAU"/>
        <s v="BLACK AND BRONZE      SYDNEY       NSWAU"/>
        <s v="FOODWORKS PETERSHAM      PETERSHAM    AU"/>
        <s v="Direct Debit 165969 FITNESS PLAY SH 201819124955"/>
        <s v="Spotify P07BE6E1C3 Sydney AU AUS Card xx0052 Value Date: 07/10/2018"/>
        <s v="Menulog Pty Ltd Sydney AU AUS Card xx0052 Value Date: 06/10/2018"/>
        <s v="NEW MILLENNIUM 2 PTY L SURRY HILLS  AUS Tap and Pay xx4622 Value Date: 04/10/2018 (Camys Chicken)"/>
        <s v="boat"/>
        <s v="TFNSW RAIL               PETERSHAM    AU"/>
        <s v="NETFLIX COM MELBOURNE  AUS Card xx0052 Value Date: 29/09/2018"/>
        <s v="Menulog Pty Ltd Sydney AU AUS Card xx0052 Value Date: 29/09/2018"/>
        <s v="Belong * Service PADDINGTON NS AUS Card xx0052 Value Date: 01/10/2018"/>
        <s v="ROYAL FLYING DOC SES BROKEN HILL  AUS Card xx0052 Value Date: 28/09/2018"/>
        <s v="Direct Debit 245164 HCF 5723396979893A0000"/>
        <s v="BMSH PTY LTD             SURRY HILLS  AU"/>
        <s v="Direct Credit 518032 OPEN DOOR PUB CO AUS VENUE CO"/>
        <s v="Menulog Pty Ltd Sydney AU AUS Card xx0052 Value Date: 25/09/2018"/>
        <s v="Direct Debit 165969 FITNESS PLAY SH 201818304768"/>
        <s v="Menulog Pty Ltd Sydney AU AUS Card xx0052 Value Date: 23/09/2018"/>
        <s v="BMSH PTY LTD SURRY HILLS  AUS Tap and Pay xx4622 Value Date: 18/09/2018"/>
        <s v="6 MARY STREET         NEWTOWN      NSWAU"/>
        <s v="COLES 0846 LEICHHARDT AU AUS Tap and Pay xx4622 Value Date: 18/09/2018"/>
        <s v="DMD FUELS PTY LTD        PETERSHAM    AU"/>
        <s v="Direct Credit 364581 69188 Maxxia00069188"/>
        <s v="Direct Credit 141000 Homayoun Roozbehani For Rodean"/>
        <s v="RSJG PTY LTD             DARLINGHURST AU"/>
        <s v="GM CABS PTY LTD       MASCOT       NSWAU"/>
        <s v="BURDEKIN HOTEL GROUP P   DARLINGHURST AU"/>
        <s v="YOUI - PREMIUM SIPPY DOWNS  AUS Card xx0052 Value Date: 14/09/2018"/>
        <s v="LA SUERTE PTY LTD        NEWTOWN      AU"/>
        <s v="EARLS JUKE JOINT      NEWTOWN      NSWAU"/>
        <s v="BURDEKIN HOTEL GROUP P   DARLINGHURST AU Value Date: 16/09/2018"/>
        <s v="BANK HOTEL NEWTOWN       NEWTOWN      AU"/>
        <s v="YULIA ANGESTI &amp; MICH LEICHHARDT NS AUS Tap and Pay xx4622 Value Date: 11/09/2018"/>
        <s v="TASTE BAKERY &amp; RESTAU SURRY HILLS  NSWAU"/>
        <s v="SUSHI OTAKU              SURRY HILLS  AU"/>
        <s v="MCDONALDS STANMORE STANMORE  AUS Card xx0052 Value Date: 08/09/2018"/>
        <s v="KEG &amp; BREW HOTEL SURRY HILLS NS AUS Card xx0052 Value Date: 10/09/2018"/>
        <s v="EXPEC PTY LIMITED SYDNEY  AUS Card xx0052 Value Date: 08/09/2018"/>
        <s v="Direct Debit 165969 FITNESS PLAY SH 201817457871"/>
        <s v="RSL CABS 9581 1111 ALEXANDRIA NS AUS Card xx0052 Value Date: 08/09/2018"/>
        <s v="Menulog Pty Ltd Sydney AU AUS Card xx0052 Value Date: 09/09/2018"/>
        <s v="BAIA THE ITALIAN SYDNEY NS AUS Card xx0052 Value Date: 08/09/2018"/>
        <s v="PRIME QUALITY MEATS LEICHHARDT NS AUS Card xx0052 Value Date: 05/09/2018"/>
        <s v="PRIME QUALITY MEATS   LEICHHARDT   NSWAU"/>
        <s v="Menulog Pty Ltd Sydney AU AUS Card xx0052 Value Date: 07/09/2018"/>
        <s v="CHISWICK CELLARS CHISWICK NS AUS Card xx0052 Value Date: 06/09/2018"/>
        <s v="Withdrawal   ATMCBA ATM  DARLING QUARTERNSW 270597   AUS"/>
        <s v="MALONEYS HOTEL           SYDNEY       AU"/>
        <s v="COLES 0846 LEICHHARDT AU AUS Card xx0052 Value Date: 05/09/2018"/>
        <s v="YULIA ANGESTI &amp; MICH LEICHHARDT NS AUS Card xx0052 Value Date: 03/09/2018 (Norton Seafoods)"/>
        <s v="TRANSPORT FOR NSW CHIPPENDALE  AUS Card xx0052 Value Date: 04/09/2018"/>
        <s v="PRIME QUALITY MEATS LEICHHARDT NS AUS Card xx0052 Value Date: 01/09/2018"/>
        <s v="LEICHHARDT ESPRES LEICHHARDT NS AUS Card xx0052 Value Date: 01/09/2018"/>
        <s v="COLES 0846 LEICHHARDT AU AUS Card xx0052 Value Date: 03/09/2018"/>
        <s v="COLES 0839 BROADWAY AU AUS Card xx0052 Value Date: 02/09/2018"/>
        <s v="BMSH PTY LTD SURRY HILLS  AUS Card xx0052 Value Date: 04/09/2018"/>
        <s v="Belong * Service PADDINGTON NS AUS Card xx0052 Value Date: 01/09/2018"/>
        <s v="SURRYHILLS NEWSAGENT SURRY HILLS NS AUS Card xx0052 Value Date: 31/08/2018"/>
        <s v="Sando Bar Surry Hills NS AUS Card xx0052 Value Date: 31/08/2018"/>
        <s v="COLES 0846 LEICHHARDT AU AUS Card xx0052 Value Date: 01/09/2018"/>
        <s v="NEW MILLENNIUM 2 PTY L   SURRY HILLS  AU Card xx0052 (Camys Chicken)"/>
        <s v="Direct Debit 245164 HCF 5723396979866A0000"/>
        <s v="Direct Debit 165969 FITNESS PLAY SH 201816794158"/>
        <s v="Direct Debit 165969 FITNESS PLAY SH 201816794157"/>
        <s v="PRIME QUALITY MEATS LEICHHARDT NS AUS Card xx0052 Value Date: 28/08/2018"/>
        <s v="NETFLIX COM MELBOURNE  AUS Card xx0052 Value Date: 29/08/2018"/>
        <s v="YULIA ANGESTI &amp; MICH LEICHHARDT NS AUS Card xx0052 Value Date: 28/08/2018 (Norton Seafoods)"/>
        <s v="MADISON HOTEL            SURRY HILLS  AU Card xx0052"/>
        <s v="COLES 0846 LEICHHARDT AU AUS Card xx0052 Value Date: 29/08/2018"/>
        <s v="YULIA ANGESTI &amp; MICH LEICHHARDT NS AUS Card xx0052 Value Date: 25/08/2018 (Norton Seafoods)"/>
        <s v="PRIME QUALITY MEATS LEICHHARDT NS AUS Card xx0052 Value Date: 25/08/2018"/>
        <s v="MCDONALDS STANMORE STANMORE  AUS Card xx0052 Value Date: 24/08/2018"/>
        <s v="COLES 0846 LEICHHARDT AU AUS Card xx0052 Value Date: 28/08/2018"/>
        <s v="WOOLWORTHS 1669          SURRY HILLS  AU Card xx0052"/>
        <s v="WILSON PARKING AUSTRAL SYDNEY NS AUS Card xx0052 Value Date: 25/08/2018"/>
        <s v="Sando Bar Surry Hills NS AUS Card xx0052 Value Date: 24/08/2018"/>
        <s v="MCDONALDS SUTTON FRST SUTTON FOREST  AUS Card xx0052 Value Date: 22/08/2018"/>
        <s v="FOODWORKS PETERSHAM PETERSHAM  AUS Card xx0052 Value Date: 26/08/2018"/>
        <s v="COLES 0846 LEICHHARDT AU AUS Card xx0052 Value Date: 25/08/2018"/>
        <s v="BMSH PTY LTD             SURRY HILLS  AU Card xx0052"/>
        <s v="TRANSPORT FOR NSW CHIPPENDALE  AUS Card xx0052 Value Date: 23/08/2018"/>
        <s v="Sando Bar Surry Hills NS AUS Card xx0052 Value Date: 23/08/2018"/>
        <s v="International Transaction Fee Value Date: 22/08/2018"/>
        <s v="GOSPELMUSICIANS 8882241511 TX USA Card xx0052 USD 199.99 Value Date: 22/08/2018"/>
        <s v="D LISH CAFE BITES GREENWAY AC AUS Card xx0052 Value Date: 22/08/2018"/>
        <s v="7-ELEVEN 2153 PETERSHAM NS AUS Card xx0052 Value Date: 23/08/2018"/>
        <s v="LITTLE ISTANBUL GREENWAY AC AUS Card xx0052 Value Date: 21/08/2018"/>
        <s v="D LISH CAFE BITES GREENWAY AC AUS Card xx0052 Value Date: 21/08/2018"/>
        <s v="YULIA ANGESTI &amp; MICH LEICHHARDT NS AUS Card xx0052 Value Date: 19/08/2018 (Norton Seafoods)"/>
        <s v="PRIME QUALITY MEATS LEICHHARDT NS AUS Card xx0052 Value Date: 19/08/2018"/>
        <s v="MCDONALDS CREMORNE CREMORNE  AUS Card xx0052 Value Date: 17/08/2018"/>
        <s v="GM CABS PTY LTD MASCOT  AUS Card xx0052 Value Date: 18/08/2018"/>
        <s v="EAST SUSHI PTY LTD LEICHHARDT NS AUS Card xx0052 Value Date: 19/08/2018"/>
        <s v="CANBERRA SOUTHERN CR TUGGERANONG D AC AUS Card xx0052 Value Date: 21/08/2018"/>
        <s v="CANBERRA SOUTHERN CR TUGGERANONG D AC AUS Card xx0052 Value Date: 20/08/2018"/>
        <s v="WWW.INGOGO SYDNEY NS AUS Card xx0052 Value Date: 17/08/2018"/>
        <s v="SPOTTO NSW EAST SYDNEY NS AUS Card xx0052 Value Date: 19/08/2018"/>
        <s v="LADY HAMPSHIRE CAMPERDOWN NS AUS Card xx0052 Value Date: 19/08/2018"/>
        <s v="Direct Credit 364581 67858 Maxxia00067858"/>
        <s v="WOOLWORTHS W1198 TUGGERANONG D  AUS Card xx0052 Value Date: 20/08/2018"/>
        <s v="WOOLWORTHS LIQ W1198 TUGGERANONG D  AUS Card xx0052 Value Date: 20/08/2018"/>
        <s v="stan.com.au Sydney AU AUS Card xx0052 Value Date: 17/08/2018"/>
        <s v="ST VIN DE PAUL SOC NSW SURRY HILLS  AUS Card xx0052 Value Date: 18/08/2018"/>
        <s v="RETRO A GO GO PETERSHAM  AUS Card xx0052 Value Date: 18/08/2018"/>
        <s v="MEMET  ARSLAN MANLY  AUS Card xx0052 Value Date: 17/08/2018"/>
        <s v="JOJOS VENTURE PTY LQPS PETERSHAM  AUS Card xx0052 Value Date: 18/08/2018"/>
        <s v="DEE WHY RSL CLUB LTD DEE WHY  AUS Card xx0052 Value Date: 17/08/2018"/>
        <s v="CHISWICK CELLARS CHISWICK NS AUS Card xx0052 Value Date: 16/08/2018"/>
        <s v="Camperdown Cellars       Camperdown   AU"/>
        <s v="BMSH PTY LTD SURRY HILLS  AUS Card xx0052 Value Date: 17/08/2018"/>
        <s v="PRIME QUALITY MEATS LEICHHARDT NS AUS Card xx0052 Value Date: 13/08/2018"/>
        <s v="BMSH PTY LTD SURRY HILLS  AUS Card xx0052 Value Date: 16/08/2018"/>
        <s v="ZEUS STREET GREEK - SU SURRY HILLS  AUS Card xx0052 Value Date: 15/08/2018"/>
        <s v="YULIA ANGESTI &amp; MICH LEICHHARDT NS AUS Card xx0052 Value Date: 13/08/2018 (Norton Seafoods)"/>
        <s v="SURRYHILLS NEWSAGENT SURRY HILLS NS AUS Card xx0052 Value Date: 13/08/2018"/>
        <s v="MCDONALDS STANMORE STANMORE  AUS Card xx0052 Value Date: 10/08/2018"/>
        <s v="YOUI - PREMIUM SIPPY DOWNS  AUS Card xx0052 Value Date: 14/08/2018"/>
        <s v="WOOLWORTHS 1669 SURRY HILLS  AUS Card xx0052 Value Date: 14/08/2018"/>
        <s v="WILSON PARKING AUSTRAL SYDNEY NS AUS Card xx0052 Value Date: 11/08/2018"/>
        <s v="NEW MILLENNIUM 2 PTY L SURRY HILLS  AUS Card xx0052 Value Date: 14/08/2018 (Camys Chicken)"/>
        <s v="Menulog Pty Ltd Sydney AU AUS Card xx0052 Value Date: 12/08/2018"/>
        <s v="COLES 0846 LEICHHARDT AU AUS Card xx0052 Value Date: 13/08/2018"/>
        <s v="SURRYHILLS NEWSAGENT SURRY HILLS NS AUS Card xx0052 Value Date: 09/08/2018"/>
        <s v="Sando Bar Surry Hills NS AUS Card xx0052 Value Date: 10/08/2018"/>
        <s v="Return JB HI FI BROADWAY BROADWAY NS AUS Card xx0052 Value Date: 09/08/2018"/>
        <s v="NV PETERS INMNT PL BROADWAY NS AUS Card xx0052 Value Date: 09/08/2018"/>
        <s v="JB HI FI BROADWAY BROADWAY NS AUS Card xx0052 Value Date: 09/08/2018"/>
        <s v="International Transaction Fee Value Date: 10/08/2018"/>
        <s v="COLES 0846 LEICHHARDT AU AUS Card xx0052 Value Date: 11/08/2018"/>
        <s v="BMSH PTY LTD SURRY HILLS  AUS Card xx0052 Value Date: 13/08/2018"/>
        <s v="BANDCAMP KON 4029357733 CA USA Card xx0052 USD 3.00 Value Date: 10/08/2018"/>
        <s v="Menulog Pty Ltd Sydney AU AUS Card xx0052 Value Date: 08/08/2018"/>
        <s v="KMART 1155 BROADWAY AU AUS Card xx0052 Value Date: 09/08/2018"/>
        <s v="BING LEE HAYMARKET HAYMARKET NS AUS Card xx0052 Value Date: 09/08/2018"/>
        <s v="TRANSPORT FOR NSW CHIPPENDALE  AUS Card xx0052 Value Date: 08/08/2018"/>
        <s v="NEW MILLENNIUM 2 PTY L SURRY HILLS  AUS Card xx0052 Value Date: 09/08/2018 (Camys Chicken)"/>
        <s v="JACKS HAIRDRESSING SYDNEY NS AUS Card xx0052 Value Date: 07/08/2018"/>
        <s v="Sando Bar Surry Hills NS AUS Card xx0052 Value Date: 07/08/2018"/>
        <s v="NEW MILLENNIUM 2 PTY L SURRY HILLS  AUS Card xx0052 Value Date: 08/08/2018 (Camys Chicken)"/>
        <s v="COLES 0846 LEICHHARDT AU AUS Card xx0052 Value Date: 06/08/2018"/>
        <s v="OXFORD TAVERN PETERSHAM NS AUS Card xx0052 Value Date: 05/08/2018"/>
        <s v="KEG  BREW HOTEL SURRY HILLS NS AUS Card xx0052 Value Date: 03/08/2018"/>
        <s v="V/CELLARS 3673 LEICHHARDT AU AUS Card xx0052 Value Date: 04/08/2018"/>
        <s v="LINKT TN PAYT SYDNEY  AUS Card xx0052 Value Date: 04/08/2018"/>
        <s v="COLES 0846 LEICHHARDT AU AUS Card xx0052 Value Date: 04/08/2018"/>
        <s v="CHISWICK CELLARS CHISWICK NS AUS Card xx0052 Value Date: 02/08/2018"/>
        <s v="BMSH PTY LTD SURRY HILLS  AUS Card xx0052 Value Date: 06/08/2018"/>
        <s v="SURRYHILLS NEWSAGENT SURRY HILLS NS AUS Card xx0052 Value Date: 01/08/2018"/>
        <s v="Menulog Pty Ltd Sydney AU AUS Card xx0052 Value Date: 01/08/2018"/>
        <s v="LINKT TN PAYT SYDNEY  AUS Card xx0052 Value Date: 03/08/2018"/>
        <s v="Sando Bar Surry Hills NS AUS Card xx0052 Value Date: 01/08/2018"/>
        <s v="PRIME QUALITY MEATS LEICHHARDT NS AUS Card xx0052 Value Date: 30/07/2018"/>
        <s v="BMSH PTY LTD SURRY HILLS  AUS Card xx0052 Value Date: 02/08/2018"/>
        <s v="Belong * Service PADDINGTON NS AUS Card xx0052 Value Date: 01/08/2018"/>
        <s v="YULIA ANGESTI &amp; MICH LEICHHARDT NS AUS Card xx0052 Value Date: 30/07/2018 (Norton Seafoods)"/>
        <s v="WOOLWORTHS 1669 SURRY HILLS  AUS Card xx0052 Value Date: 01/08/2018"/>
        <s v="NETFLIX COM MELBOURNE  AUS Card xx0052 Value Date: 29/07/2018"/>
        <s v="CITYOFSYDNEY PARKING SYDNEY  AUS Card xx0052 Value Date: 29/07/2018"/>
        <s v="WOOLWORTHS 1669 SURRY HILLS  AUS Card xx0052 Value Date: 31/07/2018"/>
        <s v="WILSON PARKING AUSTRAL SYDNEY NS AUS Card xx0052 Value Date: 29/07/2018"/>
        <s v="Store DJ Invoice - 790563 - Keyboard Stand"/>
        <s v="Direct Debit 245164 HCF 5723396979834A0000"/>
        <s v="COLES 0846 LEICHHARDT AU AUS Card xx0052 Value Date: 30/07/2018"/>
        <s v="BP CONNECT 2292 CAMPERDOWN NS AUS Card xx0052 Value Date: 29/07/2018"/>
        <s v="WOOLWORTHS 1669 SURRY HILLS  AUS Card xx0052 Value Date: 30/07/2018"/>
        <s v="Sando Bar Surry Hills NS AUS Card xx0052 Value Date: 27/07/2018"/>
        <s v="CHISWICK CELLARS CHISWICK NS AUS Card xx0052 Value Date: 26/07/2018"/>
        <s v="CENTENNIAL PLAZA PHR SYDNEY NS AUS Card xx0052 Value Date: 27/07/2018"/>
        <s v="RMSTOLLNOTICEPH13186 PARRAMATTA  AUS Card xx0052 Value Date: 24/07/2018"/>
        <s v="PRIME QUALITY MEATS LEICHHARDT NS AUS Card xx0052 Value Date: 23/07/2018"/>
        <s v="BMSH PTY LTD SURRY HILLS  AUS Card xx0052 Value Date: 26/07/2018"/>
        <s v="YULIA ANGESTI &amp; MICH LEICHHARDT NS AUS Card xx0052 Value Date: 23/07/2018 (Norton Seafoods)"/>
        <s v="WOOLWORTHS 1669 SURRY HILLS  AUS Card xx0052 Value Date: 25/07/2018"/>
        <s v="MCDONALDS STANMORE STANMORE  AUS Card xx0052 Value Date: 23/07/2018"/>
        <s v="MANNYS MUSIC STORE FITZROY NORTH  AUS Card xx0052 Value Date: 23/07/2018"/>
        <s v="WILSON PARKING AUSTRAL SYDNEY NS AUS Card xx0052 Value Date: 21/07/2018"/>
        <s v="TAXI COMBINED 133300 ALEXANDRIA NS AUS Card xx0052 Value Date: 20/07/2018"/>
        <s v="Sando Bar Surry Hills NS AUS Card xx0052 Value Date: 23/07/2018"/>
        <s v="Menulog Pty Ltd Sydney AU AUS Card xx0052 Value Date: 21/07/2018"/>
        <s v="LEGION CAB SY 131451 DARLINGHURST NS AUS Card xx0052 Value Date: 21/07/2018"/>
        <s v="KAZROG.COM 8882205562 CA USA Card xx0052 USD 39.99 Value Date: 22/07/2018"/>
        <s v="International Transaction Fee Value Date: 22/07/2018"/>
        <s v="COLES 0846 LEICHHARDT AU AUS Card xx0052 Value Date: 23/07/2018"/>
        <s v="CARGO BAR SYDNEY NS AUS Card xx0052 Value Date: 20/07/2018"/>
        <s v="BMSH PTY LTD SURRY HILLS  AUS Card xx0052 Value Date: 24/07/2018"/>
        <s v="Vic On The Park Marrickville NS AUS Card xx0052 Value Date: 21/07/2018"/>
        <s v="Vic On The Park Marrickville NS AUS Card xx0052 Value Date: 20/07/2018"/>
        <s v="UNIVERSAL HOTELS PTY DARLINGHURST  AUS Card xx0052 Value Date: 19/07/2018"/>
        <s v="JOJOS VENTURE PTY LQPS PETERSHAM  AUS Card xx0052 Value Date: 21/07/2018"/>
        <s v="HARRIS FARM MARKETSQPS LEICHHARDT  AUS Card xx0052 Value Date: 23/07/2018"/>
        <s v="DMD FUELS PTY LTD  QPS PETERSHAM  AUS Card xx0052 Value Date: 23/07/2018"/>
        <s v="TRANSPORT FOR NSW CHIPPENDALE  AUS Card xx0052 Value Date: 19/07/2018"/>
        <s v="CROWN ST GROCER SURRY HILLS NS AUS Card xx0052 Value Date: 19/07/2018"/>
        <s v="BMSH PTY LTD SURRY HILLS  AUS Card xx0052 Value Date: 20/07/2018"/>
        <s v="Withdrawal   ATMANZ VIC ON THE PARK 1  MARRICKVI      AU Value Date: 21/07/2018"/>
        <s v="PRIME QUALITY MEATS LEICHHARDT NS AUS Card xx0052 Value Date: 16/07/2018"/>
        <s v="Non CBA ATM Withdrawal Fee Value Date: 21/07/2018"/>
        <s v="YULIA ANGESTI &amp; MICH LEICHHARDT NS AUS Card xx0052 Value Date: 16/07/2018 (Norton Seafoods)"/>
        <s v="WOOLWORTHS 1669 SURRY HILLS  AUS Card xx0052 Value Date: 18/07/2018"/>
        <s v="Withdrawal   ATMWES KINSELAS           DARLING        AU"/>
        <s v="Sando Bar Surry Hills NS AUS Card xx0052 Value Date: 17/07/2018"/>
        <s v="NEW MILLENNIUM 2 PTY L SURRY HILLS  AUS Card xx0052 Value Date: 18/07/2018 (Camys Chicken)"/>
        <s v="Menulog Pty Ltd Sydney AU AUS Card xx0052 Value Date: 15/07/2018"/>
        <s v="Menulog Pty Ltd Sydney AU AUS Card xx0052 Value Date: 14/07/2018"/>
        <s v="COLES 0846 LEICHHARDT AU AUS Card xx0052 Value Date: 16/07/2018"/>
        <s v="YOUI - PREMIUM SIPPY DOWNS  AUS Card xx0052 Value Date: 16/07/2018"/>
        <s v="BMSH PTY LTD SURRY HILLS  AUS Card xx0052 Value Date: 16/07/2018"/>
        <s v="COLES 4788 FIVE DOCK AU AUS Card xx0052 Value Date: 12/07/2018"/>
        <s v="BMSH PTY LTD SURRY HILLS  AUS Card xx0052 Value Date: 13/07/2018"/>
        <s v="WOOLWORTHS 1669 SURRY HILLS  AUS Card xx0052 Value Date: 12/07/2018"/>
        <s v="Sando Bar Surry Hills NS AUS Card xx0052 Value Date: 11/07/2018"/>
        <s v="PRIME QUALITY MEATS LEICHHARDT NS AUS Card xx0052 Value Date: 09/07/2018"/>
        <s v="COLES 0846 LEICHHARDT AU AUS Card xx0052 Value Date: 11/07/2018"/>
        <s v="YULIA ANGESTI &amp; MICH LEICHHARDT NS AUS Card xx0052 Value Date: 09/07/2018 (Norton Seafoods)"/>
        <s v="Store DJ Invoice - 785133 - Freight Charge"/>
        <s v="Store Dj Invoice - 758221A - OnStage 3 Tier Keyboard Stand"/>
        <s v="Sando Bar Surry Hills NS AUS Card xx0052 Value Date: 10/07/2018"/>
        <s v="SILVER SERVIC 133100 ALEXANDRIA NS AUS Card xx0052 Value Date: 07/07/2018"/>
        <s v="Goodbar Paddington NS AUS Card xx0052 Value Date: 08/07/2018"/>
        <s v="Goodbar Paddington NS AUS Card xx0052 Value Date: 07/07/2018"/>
        <s v="COLES 0846 LEICHHARDT AU AUS Card xx0052 Value Date: 09/07/2018"/>
        <s v="CHISWICK CELLARS CHISWICK NS AUS Card xx0052 Value Date: 07/07/2018"/>
        <s v="7-ELEVEN 2048 DRUMMOYNE NS AUS Card xx0052 Value Date: 08/07/2018"/>
        <s v="Transfer to other Bank CommBank app rrrtr1"/>
        <s v="WOOLWORTHS 1669 SURRY HILLS  AUS Card xx0052 Value Date: 09/07/2018"/>
        <s v="TRANSPORT FOR NSW CHIPPENDALE  AUS Card xx0052 Value Date: 06/07/2018"/>
        <s v="THE ORCHARD TAVERN CHATSWOOD  AUS Card xx0052 Value Date: 04/07/2018"/>
        <s v="STAR BAR &amp; GRILL BISTR SYDNEY  AUS Card xx0052 Value Date: 06/07/2018"/>
        <s v="REBEL SYDNEY CITY SYDNEY NS AUS Card xx0052 Value Date: 05/07/2018"/>
        <s v="MR CRACKLES        QPS DARLINGHURST  AUS Card xx0052 Value Date: 08/07/2018"/>
        <s v="Direct Credit 364581 65575 Maxxia00065575"/>
        <s v="Direct Credit 106600 MASOUMEH GHOLAMS shoping for mum"/>
        <s v="CENTENNIAL PLAZA PHR SYDNEY NS AUS Card xx0052 Value Date: 06/07/2018"/>
        <s v="BUNNINGS 595000    QPS ASHFIELD  AUS Card xx0052 Value Date: 07/07/2018  - home supplies"/>
        <s v="BMSH PTY LTD SURRY HILLS  AUS Card xx0052 Value Date: 09/07/2018"/>
        <s v="3 Wise Monkeys Sydney NS AUS Card xx0052 Value Date: 07/07/2018"/>
        <s v="3 Wise Monkeys Sydney NS AUS Card xx0052 Value Date: 06/07/2018"/>
        <s v="TGIFriday's Macquarie North Ryde NS AUS Card xx0052 Value Date: 05/07/2018"/>
        <s v="Sando Bar Surry Hills NS AUS Card xx0052 Value Date: 05/07/2018"/>
        <s v="CENTENNIAL PLAZA PHR SYDNEY NS AUS Card xx0052 Value Date: 04/07/2018"/>
        <s v="BMSH PTY LTD SURRY HILLS  AUS Card xx0052 Value Date: 06/07/2018"/>
        <s v="Withdrawal   ATMWES STAR BAR AND GRILL SYDNEY         AU"/>
        <s v="WCC CONCOURSE CARPARK CHATSWOOD  AUS Card xx0052 Value Date: 04/07/2018"/>
        <s v="REBEL SYDNEY CITY SYDNEY NS AUS Card xx0052 Value Date: 03/07/2018"/>
        <s v="PRIME QUALITY MEATS LEICHHARDT NS AUS Card xx0052 Value Date: 02/07/2018"/>
        <s v="International Transaction Fee Value Date: 03/07/2018"/>
        <s v="House Deposit   (Offset adjustment for pre 7  June  2018 figures)"/>
        <s v="GFM*GoFndMe* Jamal Fou Redwood City CA USA Card xx0052 USD 22.00 Value Date: 03/07/2018"/>
        <s v="CROWN ST GROCER SURRY HILLS NS AUS Card xx0052 Value Date: 04/07/2018"/>
        <s v="YULIA ANGESTI &amp; MICH LEICHHARDT NS AUS Card xx0052 Value Date: 02/07/2018 (Norton Seafoods)"/>
        <s v="MCDONALDS STANMORE STANMORE  AUS Card xx0052 Value Date: 29/06/2018"/>
        <s v="FITNESS PLAYGROUND S SURRY HILLS NS AUS Card xx0052 Value Date: 02/07/2018"/>
        <s v="CENTENNIAL PLAZA PHR SYDNEY NS AUS Card xx0052 Value Date: 29/06/2018"/>
        <s v="WILSON PARKING AUSTRAL SYDNEY NS AUS Card xx0052 Value Date: 30/06/2018"/>
        <s v="UNIVERSAL AUDIO 8314401176 CA USA Card xx0052 USD 367.00 Value Date: 30/06/2018"/>
        <s v="NEW MILLENNIUM 2 PTY L SURRY HILLS  AUS Card xx0052 Value Date: 03/07/2018 (Camys Chicken)"/>
        <s v="Menulog Pty Ltd Sydney AU AUS Card xx0052 Value Date: 01/07/2018"/>
        <s v="john minai food"/>
        <s v="International Transaction Fee Value Date: 30/06/2018"/>
        <s v="FITNESS PLAYGROUND S SURRY HILLS NS AUS Card xx0052 Value Date: 30/06/2018"/>
        <s v="COLES 0846 LEICHHARDT AU AUS Card xx0052 Value Date: 02/07/2018"/>
        <s v="CARGO BAR SYDNEY NS AUS Card xx0052 Value Date: 29/06/2018"/>
        <s v="Belong * Service PADDINGTON NS AUS Card xx0052 Value Date: 01/07/2018"/>
        <s v="TRANSPORT FOR NSW CHIPPENDALE  AUS Card xx0052 Value Date: 29/06/2018"/>
        <s v="NETFLIX COM MELBOURNE  AUS Card xx0052 Value Date: 29/06/2018"/>
        <s v="BMSH PTY LTD SURRY HILLS  AUS Card xx0052 Value Date: 02/07/2018"/>
        <s v="Direct Debit 245164 HCF 5723396979802A0000"/>
        <s v="Account Fee"/>
        <s v="Store DJ Invoice - 761902 - Cables"/>
        <s v="Store Dj Invoice - 758269 - Beyer Dynamic Headphones"/>
        <s v="Store Dj Invoice - 758221 - Matrixbrute, USB Hub, Cables"/>
        <s v="Store Dj Invoice - 747554 - Cables"/>
        <s v="Coinspot Deposit - Coinspot Deposit 996145081362"/>
        <s v="Coinspot Deposit - Coinspot Deposit 996143779108"/>
        <s v="Coinspot Deposit - Coinspot Deposit 996143733694)"/>
        <s v="Store Dj Invoice - 636960D - Cables"/>
        <s v="Store Dj Invoice - 636960C - Motu MIDI Express "/>
        <s v="Store Dj Invoice - 636960B - Cable"/>
        <s v="Store Dj Invoice - 636960A - Patch Cables"/>
        <s v="Store Dj Invoice - 636960 - Warranty"/>
        <s v="Store Dj Invoice - 619757 - Roland A-88 Keyboard, Konig &amp; Meyer Keyboard Stand"/>
        <s v="Store Dj Invoice - 8023199 - UA Apollo 8P"/>
        <s v="Store Dj Invoice - 615183 - Extended Warranty"/>
        <s v="PatchCable (Tasmania) - PATCH-LB-1111 - Makenoise 0-Coast"/>
        <s v="Store Dj Invoice - 589360 - P12 Desktop Syntesizer"/>
        <s v="Store Dj Invoice - 577534 - Korg Volca Bass Machine"/>
        <s v="Store Dj Invoice - 8023199 - Roland DP-2 "/>
        <s v="Store Dj Invoice - 383958 - Roland EV-5 Expression Pedal"/>
        <s v="Eureka Insulation - Absorb XHD"/>
        <s v="Transfer To E L Audet PayID Phone from CommBank App amp" u="1"/>
        <s v="Transfer to other Bank CommBank app Bathroom Reno" u="1"/>
        <s v="Optus Billing MacquariePark NS AUS Card xx2869 Value Date: 07/08/2025" u="1"/>
        <s v="ALDI STORES RYDALMERE NSWAU" u="1"/>
        <s v="Fast Transfer From CoinSpot CREDIT TO ACCOUNT" u="1"/>
        <s v="DREAMTONE" u="1"/>
        <s v="7-ELEVEN 2257 PARRAMATTA NS AUS Card xx2869 Value Date: 30/07/2025" u="1"/>
        <s v="TONG LI SUPERMARKETQPS PARRAMATTA AUS Card xx2869 Value Date: 31/07/2025" u="1"/>
        <s v="ALDI STORES PARRAMATTA NSWAU" u="1"/>
        <s v="TRANSPORTFORNSW OPAL CHIPPENDALE AUS Card xx2869 Value Date: 29/07/2025" u="1"/>
        <s v="Salary SERVAUPAYROLL 21230P 85920286" u="1"/>
        <s v="AURORA HOTEL Surry Hills AU" u="1"/>
        <s v="COLES 7663COLES 7663 PARRAMATTA 02 AUS Card xx2869 Value Date: 27/07/2025" u="1"/>
        <s v="Sydney Eye Hospital Sydney NS AUS Card xx2869 Value Date: 26/07/2025" u="1"/>
        <s v="VERANDAH BAR SYDNEY AUS Card xx2869 Value Date: 26/07/2025" u="1"/>
        <s v="MCDONALDS PMATTA NTH NORTH PARRAMANSWAU" u="1"/>
        <s v="ATO PAYMENT SYDNEY NS AUS Card xx2869 Value Date: 23/07/2025" u="1"/>
        <s v="Fast Transfer From M M ROBINSON to PayID Phone Dinner" u="1"/>
        <s v="LS John Belvedere Eate Parramatta AU" u="1"/>
        <s v="Optus Billing MacquariePark NS AUS Card xx2869 Value Date: 22/07/2025" u="1"/>
        <s v="APEX WEST RYDE WEST RYDE NS AUS Card xx2869 Value Date: 20/07/2025" u="1"/>
        <s v="BUPA HI P T PHI MELBOURNE VI AUS Card xx2869 Value Date: 19/07/2025" u="1"/>
        <s v="Tickets*Networking BELROSE AU AUS Card xx2869 Value Date: 18/07/2025" u="1"/>
        <s v="COLES 7663COLES 7663 PARRAMATTA 02 AUS Card xx2869 Value Date: 18/07/2025" u="1"/>
        <s v="DRUMMOYNE SAILING CLUB LT DRUMMOY NSW AU Card xx2869" u="1"/>
        <s v="Transfer To M M ROBINSON PayID Email from CommBank App food" u="1"/>
        <s v="Fast Transfer From Louis Wayment Giles P" u="1"/>
        <s v="MOSHTIX PTY LTD" u="1"/>
        <s v="Salary SERVAUPAYROLL 19540P 85920286" u="1"/>
        <s v="Fast Transfer From JONATHAN OLIVER giles peteraon gig" u="1"/>
        <s v="International Transaction Fee Value Date: 10/07/2025" u="1"/>
        <s v="OPENAI *CHATGPT SUBSCR SAN FRANCISCO CA USA Card xx2869 USD 22.00 Value Date: 11/07/2025" u="1"/>
        <s v="JOHNS QUALITY MEATS PA PARRAMATTA AU AUS Card xx2869 Value Date: 12/07/2025" u="1"/>
        <s v="7-ELEVEN 2257 PARRAMATTA NS AUS Card xx2869 Value Date: 12/07/2025" u="1"/>
        <s v="Fast Transfer From M M ROBINSON to PayID Phone Matt R tickets" u="1"/>
        <s v="COLES 0887 PARRAMATTA 02 AUS Card xx2869 Value Date: 10/07/2025" u="1"/>
        <s v="Optus Billing MacquariePark NS AUS Card xx2869 Value Date: 08/07/2025" u="1"/>
        <s v="ORIGIN ENERGY LTD BARANGAROO AUS Card xx2869 Value Date: 08/07/2025" u="1"/>
        <s v="TRANSPORTFORNSW OPAL CHIPPENDALE AUS Card xx2869 Value Date: 08/07/2025" u="1"/>
        <s v="MOSHTIX PTY LTD SYDNEY NS AUS Card xx2869 Value Date: 05/07/2025" u="1"/>
        <s v="Salary SERVAUPAYROLL 20410P 85920286" u="1"/>
        <s v="COLES 7663 PARRAMATTA 02 AUS Card xx2869 Value Date: 28/06/2025" u="1"/>
        <s v="UBER *EATS HELP.UBER.C Sydney AU AUS Card xx2869 Value Date: 28/06/2025" u="1"/>
        <s v="DAVID JONES LIMITED PARRAMATTA AU Card xx2869" u="1"/>
        <s v="Fast Transfer From MR H ROOZBEHANI Love from dad" u="1"/>
        <s v="International Transaction Fee Value Date: 24/06/2025" u="1"/>
        <s v="SC* STACKSOCIAL VENICE CA USA Card xx2869 USD 16.47 Value Date: 25/06/2025" u="1"/>
        <s v="Optus Billing MacquariePark NS AUS Card xx2869 Value Date: 23/06/2025" u="1"/>
        <s v="BUPA HI P T PHI MELBOURNE VI AUS Card xx2869 Value Date: 19/06/2025" u="1"/>
        <s v="aliexpress North Sydney AU AUS Card xx2869 Value Date: 17/06/2025" u="1"/>
        <s v="Salary SERVAUPAYROLL 21162P 85920286" u="1"/>
        <s v="BWS LIQUOR 1601 DRUMMOYNE NS AUS Card xx2869 Value Date: 14/06/2025" u="1"/>
        <s v="SIEFF S MUSIC WORLD BLACKTOWN AU AUS Card xx2869 Value Date: 15/06/2025" u="1"/>
        <s v="WOOLWORTHS 1288 BLACKTOWN NS AUS Card xx2869 Value Date: 15/06/2025" u="1"/>
        <s v="OXFORD HOTEL Drummoyne AU AUS Card xx2869 Value Date: 14/06/2025" u="1"/>
        <s v="Sushi Maru Blacktown SOUTH TURRAMU AU AUS Card xx2869 Value Date: 15/06/2025" u="1"/>
        <s v="Google YouTube Barangaroo AU AUS Card xx2869 Value Date: 15/06/2025" u="1"/>
        <s v="International Transaction Fee Value Date: 10/06/2025" u="1"/>
        <s v="OPENAI *CHATGPT SUBSCR SAN FRANCISCO CA USA Card xx2869 USD 22.00 Value Date: 11/06/2025" u="1"/>
        <s v="SQ *SPANIAN'S KEBABS N North Parrama AU" u="1"/>
        <s v="APEX VILLAWOOD VILLAWOOD NS AUS Card xx2869 Value Date: 07/06/2025" u="1"/>
        <s v="TRANSPORTFORNSW OPAL CHIPPENDALE AUS Card xx2869 Value Date: 10/06/2025" u="1"/>
        <s v="OPTUS BILLING AUTOPAY MACQUARIE PAR NS AUS Card xx2869 Value Date: 07/06/2025" u="1"/>
        <s v="Dyson Demo Kensington AU AUS Card xx2869 Value Date: 08/06/2025" u="1"/>
        <s v="Fast Transfer From MASOUMEH GHOLAMSHAHI Weekly food shoping share" u="1"/>
        <s v="Google YouTube Videos Pyrmont AU AUS Card xx2869 Value Date: 31/05/2025" u="1"/>
        <s v="ALDI STORES - RYDALMER RYDALMERE AU" u="1"/>
        <s v="YILAN GROUP NO.1 Burwood AU" u="1"/>
        <s v="Burwood Hotel Burwood AU" u="1"/>
        <s v="Madison Hotel Surry Hills AU" u="1"/>
        <s v="PUB POOL PROMOTIONS PTY LDenistone AU" u="1"/>
        <s v="WINGHAS - CQ GATEWAY THE ROCKS NS AUS Card xx2869 Value Date: 23/05/2025" u="1"/>
        <s v="UBER *EATS HELP.UBER.C Sydney AU AUS Card xx2869 Value Date: 24/05/2025" u="1"/>
        <s v="TRANSPORTFORNSW OPAL CHIPPENDALE AUS Card xx2869 Value Date: 23/05/2025" u="1"/>
        <s v="BELFIELD MUSIC PTY LTD BASS HILL NSW AU Card xx2869" u="1"/>
        <s v="Fast Transfer From ALEXANDER SCOTT to PayID Phone alex gee" u="1"/>
        <s v="OPTUS BILLING AUTOPAY MACQUARIE PAR NS AUS Card xx2869 Value Date: 22/05/2025" u="1"/>
        <s v="Return eBay O*22-13033-18699 Sydney AU AUS Card xx2869 Value Date: 23/05/2025" u="1"/>
        <s v="Wdl ATM ETX FIREHOUSE HOTEL NORTH SYDNE AU" u="1"/>
        <s v="SHIP INN Sydney AU" u="1"/>
        <s v="WinghausCircularQuay Sydney AU" u="1"/>
        <s v="WOOLWORTHS 1366 ERMINGTON NS AUS Card xx2869 Value Date: 20/05/2025" u="1"/>
        <s v="BUPA HI P T PHI MELBOURNE VI AUS Card xx2869 Value Date: 20/05/2025" u="1"/>
        <s v="Salary SERVAUPAYROLL 20583P 85920286" u="1"/>
        <s v="OXFORD HOTEL Drummoyne AU AUS Card xx2869 Value Date: 17/05/2025" u="1"/>
        <s v="CITY OF PARRAMATTA C PARRAMATTA NS AUS Card xx2869 Value Date: 09/05/2025" u="1"/>
        <s v="OPTUS BILLING AUTOPAY MACQUARIE PAR NS AUS Card xx2869 Value Date: 09/05/2025" u="1"/>
        <s v="International Transaction Fee Value Date: 10/05/2025" u="1"/>
        <s v="OPENAI *CHATGPT SUBSCR SAN FRANCISCO CA USA Card xx2869 USD 22.00 Value Date: 11/05/2025" u="1"/>
        <s v="ZLR*Baba Ghanouj Parram Parramatta AU" u="1"/>
        <s v="Neyvine Seafood &amp; Gril Parramatta AU" u="1"/>
        <s v="eBay O*22-13033-18699 Sydney AU AUS Card xx2869 Value Date: 08/05/2025" u="1"/>
        <s v="BEATPORT 720-974-9500 CO USA Card xx2869 AUD 3.40 Value Date: 05/05/2025" u="1"/>
        <s v="BEATPORT 720-974-9500 CO USA Card xx2869 AUD 3.40 Value Date: 06/05/2025" u="1"/>
        <s v="Salary SERVAUPAYROLL 19323P 85920286" u="1"/>
        <s v="Return GOOGLE*ADS8721882091 CC GOOGLE.COM AUS Card xx2869 Value Date: 02/05/2025" u="1"/>
        <s v="COLES 0887COLES 0887 PARRAMATTA 02 AUS Card xx2869 Value Date: 01/05/2025" u="1"/>
        <s v="TRANSPORTFORNSW OPAL CHIPPENDALE AUS Card xx2869 Value Date: 29/04/2025" u="1"/>
        <s v="COLES 0887COLES 0887 PARRAMATTA 02 AUS Card xx2869 Value Date: 28/04/2025" u="1"/>
        <s v="CITY OF PARRAMATTA PARRAMATTA NS AUS Card xx2869 Value Date: 24/04/2025" u="1"/>
        <s v="Transfer To Masoumeh Gholamshahi CommBank App food Value Date: 28/04/2025" u="1"/>
        <s v="LS Waterworks Canteen Manly AU" u="1"/>
        <s v="OPTUS BILLING AUTOPAY MACQUARIE PAR NS AUS Card xx2869 Value Date: 22/04/2025" u="1"/>
        <s v="BUPA HI P T PHI MELBOURNE VI AUS Card xx2869 Value Date: 19/04/2025" u="1"/>
        <s v="Salary SERVAUPAYROLL 19100P 85920286" u="1"/>
        <s v="Mikazuki Riverside PARRAMATTA AU AUS Card xx2869 Value Date: 17/04/2025" u="1"/>
        <s v="Return Microsoft*Microsoft 36 msbill.info AU AUS Card xx2869 Value Date: 17/04/2025" u="1"/>
        <s v="WWW.WILLOPARRAMATTA.CO Greystanes AU" u="1"/>
        <s v="UBER *TRIP HELP.UBER.COM" u="1"/>
        <s v="Wdl ATM Red NP-Kent St Hotel1 Sydney AU" u="1"/>
        <s v="EZI*CASH CONVERTERS. PERTH AU AUS Card xx2869 Value Date: 13/04/2025" u="1"/>
        <s v="International Transaction Fee Value Date: 10/04/2025" u="1"/>
        <s v="OPENAI *CHATGPT SUBSCR SAN FRANCISCO CA USA Card xx2869 USD 22.00 Value Date: 11/04/2025" u="1"/>
        <s v="COLES 0887COLES 0887 PARRAMATTA 02 AUS Card xx2869 Value Date: 11/04/2025" u="1"/>
        <s v="Microsoft*Microsoft 36 msbill.info AU AUS Card xx2869 Value Date: 12/04/2025" u="1"/>
        <s v="ORIGIN ENERGY BARANGAROO AU" u="1"/>
        <s v="Salary SERVAUPAYROLL 19240P 85920286" u="1"/>
        <s v="OPTUS BILLING AUTOPAY MACQUARIE PAR NS AUS Card xx2869 Value Date: 07/04/2025" u="1"/>
        <s v="BELLS HOTEL WOOLLOOMOOLOO NS AUS Card xx2869 Value Date: 06/04/2025" u="1"/>
        <s v="Transfer To Amin Akbarian CommBank App omid succulent chinese meal" u="1"/>
        <s v="Fast Transfer From RAMTEAN ROOZBEHANI lunch" u="1"/>
        <s v="CASH DEPOSIT CBA ATM PARRAMATTA A NSW 222301 AUS" u="1"/>
        <s v="Wdl ATM ETX BELLS HOTEL WOOLOOMOOLO AU" u="1"/>
        <s v="Transfer To RAMTEAN ROOZBEHANI CommBank App parking for omids lunch" u="1"/>
        <s v="BUNNINGS 388000 RYDALMERE AUS Card xx2869 Value Date: 02/04/2025" u="1"/>
        <s v="TRANSPORTFORNSW OPAL CHIPPENDALE AUS Card xx2869 Value Date: 01/04/2025" u="1"/>
        <s v="Vic On The Park Marrickville AU" u="1"/>
        <s v="MERIVALE ME&amp;U* ME&amp;U" u="1"/>
        <s v="Transfer to other Bank CommBank app contribution" u="1"/>
        <s v="SP RENPHO PTY LIMITED ALEXANDRIA NS AUS Card xx2869 Value Date: 25/03/2025" u="1"/>
        <s v="CENTENNIAL PLAZA PHR SYDNEY NS AUS Card xx2869 Value Date: 25/03/2025" u="1"/>
        <s v="Salary SERVAUPAYROLL 19384P 85920286" u="1"/>
        <s v="Fast Transfer From MASOUMEH GHOLAMSHAHI Ramtean BD present" u="1"/>
        <s v="OPTUS BILLING AUTOPAY MACQUARIE PAR NS AUS Card xx2869 Value Date: 22/03/2025" u="1"/>
        <s v="Transfer To Masoumeh Gholamshahi CommBank App strata levy" u="1"/>
        <s v="BUPA HI P T PHI MELBOURNE VI AUS Card xx2869 Value Date: 19/03/2025" u="1"/>
        <s v="Google YouTube Videos Barangaroo AU AUS Card xx2869 Value Date: 16/03/2025" u="1"/>
        <s v="COLES 7663COLES 7663 PARRAMATTA 02 AUS Card xx2869 Value Date: 13/03/2025" u="1"/>
        <s v="International Transaction Fee Value Date: 10/03/2025" u="1"/>
        <s v="OPENAI *CHATGPT SUBSCR SAN FRANCISCO CA USA Card xx2869 USD 22.00 Value Date: 11/03/2025" u="1"/>
        <s v="Salary SERVAUPAYROLL 19264P 85920286" u="1"/>
        <s v="OPTUS BILLING AUTOPAY MACQUARIE PAR NS AUS Card xx2869 Value Date: 10/03/2025" u="1"/>
        <s v="TRANSPORTFORNSW OPAL CHIPPENDALE AUS Card xx2869 Value Date: 11/03/2025" u="1"/>
        <s v="ALDI STORES - PARRAMAT PARRAMATTA AU" u="1"/>
        <s v="AMPOL HAZELBROO 22545F HAZELBROOK AUS Card xx2869 Value Date: 28/02/2025" u="1"/>
        <s v="WOOLWORTHS 1106 PARRAMATTA NS AUS Card xx2869 Value Date: 01/03/2025" u="1"/>
        <s v="COLES 7663COLES 7663 PARRAMATTA 02 AUS Card xx2869 Value Date: 01/03/2025" u="1"/>
        <s v="Salary SERVAUPAYROLL 20143P 85920286" u="1"/>
        <s v="SP RENPHO PTY LIMITED ALEXANDRIA NS AUS Card xx2869 Value Date: 21/02/2025" u="1"/>
        <s v="OPTUS BILLING AUTOPAY MACQUARIE PAR NS AUS Card xx2869 Value Date: 22/02/2025" u="1"/>
        <s v="CENTRE COM SUNSHINE PTY LAUBURN AU" u="1"/>
        <s v="Direct Credit 012721 ATO ATO007000019116076" u="1"/>
        <s v="SOUNDS EASY ARTARMON NS AUS Card xx2869 Value Date: 12/05/2024" u="1"/>
        <s v="2CO.COM*- 173639085 89 AMSTERDAM NL NLD Card xx8188 AUD 394.28 Value Date: 28/01/2022" u="1"/>
        <s v="Direct Credit 617702 PAYPAL AUSTRALIA 1023753557769 Roger Linn" u="1"/>
        <s v="Fast Transfer From James Mitchell White to PayID Phone Payment 2/2 for Roland Jupiter 80" u="1"/>
        <s v="Fast Transfer From James Mitchell White to PayID Phone Payment 1/2 for Roland Jupiter 80" u="1"/>
        <s v="REVERB.COM LLC CHICAGO IL USA Card xx8188 USD 69.85 Value Date: 01/05/2023" u="1"/>
        <s v="REVERB.COM LLC CHICAGO IL USA Card xx8188 USD 63.29 Value Date: 01/12/2022" u="1"/>
        <s v="eBay O*05-09371-02454 San Jose CA USA Card xx8188 AUD 1558.69 Value Date: 21/11/2022 UAD Octo Car" u="1"/>
        <s v="Jaycar Electronics Croydon AU - Rubber for Microphone" u="1"/>
        <s v="Transfer To nick irving CommBank App ns10" u="1"/>
        <s v="Jaycar Electronics Croydon AU" u="1"/>
        <s v="BELFIELD MUSIC PTY LTD BASS HILL NSW AU Card xx8188" u="1"/>
        <s v="Samsung Electronics AU Sydney AU AUS Card xx8188 Value Date: 23/11/2022" u="1"/>
        <s v="SCORPTEC COMPUTERS AUBURN AU Card xx8188" u="1"/>
        <s v="Fast Transfer From H Roozbehani New Property Home Loan" u="1"/>
        <s v="Fast Transfer From H Roozbehani CREDIT TO ACCOUNT Home loan" u="1"/>
        <s v="Fast Transfer From H Roozbehani Home Loan Help Help to buy home from Dad" u="1"/>
        <s v="Wdl ATM CBA ATM DRUMMOYNE A NSW 215701 AUS - John Dadah 2000/5000" u="1"/>
        <s v="Transfer To J DAHDAH PayID Phone from CommBank App furniture" u="1"/>
        <s v="Transfer To Amir Ehsani CommBank App nye platters, salad, dri..." u="1"/>
        <s v="Transfer To Dan P CommBank App rodean nuggets bucks" u="1"/>
        <s v="Transfer To Jonathan K Oliver CommBank App nile rodgers" u="1"/>
        <s v="Transfer To Jonathan K Oliver CommBank App folamour" u="1"/>
        <s v="Transfer To Kris Gusti CommBank App johns bucks" u="1"/>
        <s v="Transfer To Kris Gusti CommBank App entertainment" u="1"/>
        <s v="Transfer To Megan Cartwright IOU " u="1"/>
        <s v="IOU Megan Cartwright" u="1"/>
        <s v="Kat Duncan IOU" u="1"/>
        <s v="2334271OntarioLtd 855-2348273 ON CAN Card xx8882 USD 327.69 Value Date: 08/08/2019" u="1"/>
        <s v="STATEWIDE APPLIANCE ADELAIDE SA AUS Card xx2869 Value Date: 26/12/2023" u="1"/>
        <s v="rrrtr1" u="1"/>
        <s v="YULIA ANGESTI &amp; MICH LEICHHARDT NS AUS Card xx8882 Value Date: 22/05/2019" u="1"/>
        <s v="YULIA ANGESTI &amp; MICH LEICHHARDT NS AUS Card xx8882 Value Date: 13/05/2019" u="1"/>
        <s v="YULIA ANGESTI &amp; MICH LEICHHARDT NS AUS Card xx8882 Value Date: 06/05/2019" u="1"/>
        <s v="YULIA ANGESTI &amp; MICH LEICHHARDT NS AUS Card xx8882 Value Date: 07/04/2019" u="1"/>
        <s v="YULIA ANGESTI &amp; MICH LEICHHARDT NS AUS Card xx8882 Value Date: 16/02/2019" u="1"/>
        <s v="YULIA ANGESTI &amp; MICH LEICHHARDT NS AUS Card xx8882 Value Date: 02/02/2019" u="1"/>
        <s v="YULIA ANGESTI &amp; MICH LEICHHARDT NS AUS Card xx0052 Value Date: 03/09/2018" u="1"/>
        <s v="YULIA ANGESTI &amp; MICH LEICHHARDT NS AUS Card xx0052 Value Date: 28/08/2018" u="1"/>
        <s v="YULIA ANGESTI &amp; MICH LEICHHARDT NS AUS Card xx0052 Value Date: 25/08/2018" u="1"/>
        <s v="YULIA ANGESTI &amp; MICH LEICHHARDT NS AUS Card xx0052 Value Date: 19/08/2018" u="1"/>
        <s v="YULIA ANGESTI &amp; MICH LEICHHARDT NS AUS Card xx0052 Value Date: 13/08/2018" u="1"/>
        <s v="YULIA ANGESTI &amp; MICH LEICHHARDT NS AUS Card xx0052 Value Date: 30/07/2018" u="1"/>
        <s v="YULIA ANGESTI &amp; MICH LEICHHARDT NS AUS Card xx0052 Value Date: 23/07/2018" u="1"/>
        <s v="YULIA ANGESTI &amp; MICH LEICHHARDT NS AUS Card xx0052 Value Date: 16/07/2018" u="1"/>
        <s v="YULIA ANGESTI &amp; MICH LEICHHARDT NS AUS Card xx0052 Value Date: 09/07/2018" u="1"/>
        <s v="YULIA ANGESTI &amp; MICH LEICHHARDT NS AUS Card xx0052 Value Date: 02/07/2018" u="1"/>
        <s v="v" u="1"/>
        <s v="NEW MILLENNIUM 2 PTY L SURRY HILLS  AUS Tap and Pay xx4622 Value Date: 08/01/2019" u="1"/>
        <s v="NEW MILLENNIUM 2 PTY L SURRY HILLS  AUS Tap and Pay xx4622 Value Date: 21/12/2018" u="1"/>
        <s v="NEW MILLENNIUM 2 PTY L SURRY HILLS  AUS Tap and Pay xx4622 Value Date: 20/12/2018" u="1"/>
        <s v="NEW MILLENNIUM 2 PTY L SURRY HILLS  AUS Tap and Pay xx4622 Value Date: 19/12/2018" u="1"/>
        <s v="NEW MILLENNIUM 2 PTY L SURRY HILLS  AUS Tap and Pay xx4622 Value Date: 17/12/2018" u="1"/>
        <s v="NEW MILLENNIUM 2 PTY L SURRY HILLS  AUS Tap and Pay xx4622 Value Date: 13/12/2018" u="1"/>
        <s v="NEW MILLENNIUM 2 PTY L SURRY HILLS  AUS Tap and Pay xx4622 Value Date: 10/12/2018" u="1"/>
        <s v="NEW MILLENNIUM 2 PTY L SURRY HILLS  AUS Tap and Pay xx4622 Value Date: 04/12/2018" u="1"/>
        <s v="NEW MILLENNIUM 2 PTY L SURRY HILLS  AUS Tap and Pay xx4622 Value Date: 12/11/2018" u="1"/>
        <s v="NEW MILLENNIUM 2 PTY L SURRY HILLS  AUS Tap and Pay xx4622 Value Date: 05/11/2018" u="1"/>
        <s v="NEW MILLENNIUM 2 PTY L SURRY HILLS  AUS Tap and Pay xx4622 Value Date: 29/10/2018" u="1"/>
        <s v="NEW MILLENNIUM 2 PTY L   SURRY HILLS  AU" u="1"/>
        <s v="NEW MILLENNIUM 2 PTY L SURRY HILLS  AUS Tap and Pay xx4622 Value Date: 26/10/2018" u="1"/>
        <s v="NEW MILLENNIUM 2 PTY L SURRY HILLS  AUS Tap and Pay xx4622 Value Date: 24/10/2018" u="1"/>
        <s v="NEW MILLENNIUM 2 PTY L SURRY HILLS  AUS Tap and Pay xx4622 Value Date: 04/10/2018" u="1"/>
        <s v="NEW MILLENNIUM 2 PTY L   SURRY HILLS  AU Card xx0052" u="1"/>
        <s v="NEW MILLENNIUM 2 PTY L SURRY HILLS  AUS Card xx0052 Value Date: 14/08/2018" u="1"/>
        <s v="NEW MILLENNIUM 2 PTY L SURRY HILLS  AUS Card xx0052 Value Date: 09/08/2018" u="1"/>
        <s v="NEW MILLENNIUM 2 PTY L SURRY HILLS  AUS Card xx0052 Value Date: 08/08/2018" u="1"/>
        <s v="NEW MILLENNIUM 2 PTY L SURRY HILLS  AUS Card xx0052 Value Date: 18/07/2018" u="1"/>
        <s v="NEW MILLENNIUM 2 PTY L SURRY HILLS  AUS Card xx0052 Value Date: 03/07/2018" u="1"/>
        <s v="CATCH BENTLEIGH EAS VI AUS Card xx8882 Value Date: 24/12/2020" u="1"/>
      </sharedItems>
    </cacheField>
    <cacheField name="Account Balance" numFmtId="165">
      <sharedItems containsString="0" containsBlank="1" containsNumber="1" minValue="-108.51" maxValue="85496.97"/>
    </cacheField>
    <cacheField name="Account Type" numFmtId="0">
      <sharedItems/>
    </cacheField>
    <cacheField name="AccountID" numFmtId="0">
      <sharedItems count="964">
        <s v="CommBank app"/>
        <s v="COLES"/>
        <s v="ERMINGTON MEATS"/>
        <s v="BUPA HI"/>
        <s v="ALDI"/>
        <s v="AMAZON"/>
        <s v="APRA"/>
        <s v="HAAK EATERY PTY LTD"/>
        <s v="UBER"/>
        <s v="CPSU"/>
        <s v="International Transaction Fee"/>
        <s v="CHATGPT"/>
        <s v="TRANSPORTFORNSW OPAL"/>
        <s v="Transfer to"/>
        <s v="Salary"/>
        <s v="Google"/>
        <s v="PHOTOWN Alexandria"/>
        <s v="OPTUS BILLING"/>
        <s v="THE DAILY WIRE"/>
        <s v="eBay"/>
        <s v="Speedway"/>
        <s v="BUNNINGS"/>
        <s v="PHARMACY JUNCTION PARRAMA"/>
        <s v="RETAIL PRODIGY OPS PL PARRAMATTA NSWAU"/>
        <s v="MEDI CORP PTY LIMITED HABERFIELD"/>
        <s v="REEBELO"/>
        <s v="MCARE BENEFITS"/>
        <s v="food"/>
        <s v="Harveys Hot Sandwiches"/>
        <s v="OFFICEWORKS"/>
        <s v="Jaycar"/>
        <s v="ORIGIN ENERGY"/>
        <s v="Swing Factory"/>
        <s v="GUO MAMA"/>
        <s v="7-ELEVEN"/>
        <s v="LIQUORLAND"/>
        <s v="Transfer From"/>
        <s v="Non CBA ATM Withdrawal Fee"/>
        <s v="COTTON ON"/>
        <s v="FISHBOWL"/>
        <s v="Hydrolink"/>
        <s v="SP TAMUZ SAMPLES BROOKLYN"/>
        <s v="stan.com.au"/>
        <s v="Nextra on5"/>
        <s v="BEATPORT"/>
        <s v="THE GOOD GUYS"/>
        <s v="JOHNS QUALITY MEATS"/>
        <s v="MCDONALDS"/>
        <s v="UNIVERSAL IMPERIAL HOT"/>
        <s v="THE HUNTERS HILL"/>
        <s v="MANNYS"/>
        <s v="CENTRE COM"/>
        <s v="Ivy Level"/>
        <s v="Angel Hotel"/>
        <s v="LEVEL 5 HEALTH"/>
        <s v="THE GUITAR FACTORY"/>
        <s v="LINKT SYDNEY"/>
        <s v="MENZIES WORLD CARGO"/>
        <s v="CrownHotel Parramatta"/>
        <s v="VOLCANOS PARRAMATTA"/>
        <s v="Parramatta City Counci"/>
        <s v="WOOLWORTHS"/>
        <s v="MAD MEX PARRAMATTA PARRAMATTA NSW AU Card xx2869"/>
        <s v="REVERB B.V. AMSTERDAM"/>
        <s v="EG Group"/>
        <s v="THE BALMAIN HOTEL"/>
        <s v="CHEEKY BURGERS AND KEBABGNORTH"/>
        <s v="Direct Credit"/>
        <s v="LS Bobble Tea"/>
        <s v="ENTRADA PHARMACY"/>
        <s v="MOSHTIX PTY"/>
        <s v="SIM CENTRAL"/>
        <s v="JASIME AUBURN"/>
        <s v="DAN MURPHY'S"/>
        <s v="MIDJOURNEY INC."/>
        <s v="KOUZINA GRECO PARRAMATTA AU"/>
        <s v="HCF"/>
        <s v="Apple"/>
        <s v="INK EVENT PTY LTD"/>
        <s v="GM TAXIPAY"/>
        <s v="Pontoon Bar"/>
        <s v="NAZAR BALYOS LAZAR"/>
        <s v="Mikazuki Riverside"/>
        <s v="Toxteth Hotel"/>
        <s v="SUPER CHEAP AUTO"/>
        <s v="RJJ AND CO"/>
        <s v="PARRAMATTA WOOLPACK"/>
        <s v="BAR 7"/>
        <s v="BAR 1"/>
        <s v="Sackville Hotel"/>
        <s v="V/CELLARS"/>
        <s v="BP"/>
        <s v="UNITED RYDALMERE"/>
        <s v="NRMA"/>
        <s v="PEAK AUTOMOTIVE"/>
        <s v="SERVICE NSW"/>
        <s v="CRYSTAL PARRAMATTA"/>
        <s v="KEG AND BREW"/>
        <s v="CITYOFSYDNEY PARKING"/>
        <s v="COLLECTOR HOTEL"/>
        <s v="Syd Aprt Intnl Carp50"/>
        <s v="Royal Oak Hotel Parra"/>
        <s v="THE PLAYA VISTA LOS ANGELES"/>
        <s v="JFK"/>
        <s v="DOORDASH"/>
        <s v="WHEELHOUSE BUSHWICK BROOKLYN NY USA Card xx2869 USD 45.00 Value Date: 18/08/2024"/>
        <s v="UBER TRIP"/>
        <s v="CURB NYC TAXI QUEENS NY USA Card xx2869 USD 26.40 Value Date: 15/08/2024"/>
        <s v="TST*IL CORALLO New York NY USA Card xx2869 USD 52.34 Value Date: 16/08/2024"/>
        <s v="MTA*NYCT PAYGO"/>
        <s v="J. CREW RETAIL #756 NEW YORK NY USA Card xx2869 USD 221.79 Value Date: 16/08/2024"/>
        <s v="FAT BLACK PUSSYCAT"/>
        <s v="MTA*NYCT PAYGO NEW YORK NY USA Card xx2869 USD 2.10 Value Date: 16/08/2024"/>
        <s v="TST* ANALOGUE NEW YORK NY USA Card xx2869 USD 270.59 Value Date: 17/08/2024"/>
        <s v="Bumble"/>
        <s v="LA VERA PIZZA NEW YORK NY USA Card xx2869 USD 34.41 Value Date: 17/08/2024"/>
        <s v="SQ *FATHER KNOWS BEST Brooklyn NY USA Card xx2869 USD 41.89 Value Date: 18/08/2024"/>
        <s v="AT *MOMA NEW YORK NY USA Card xx2869 USD 60.00 Value Date: 18/08/2024"/>
        <s v="TST* RUSS &amp; DAUGHTERS NEW YORK NY USA Card xx2869 USD 37.29 Value Date: 15/08/2024"/>
        <s v="MRJ NEWSTAND NEW YORK NY USA Card xx2869 USD 4.00 Value Date: 15/08/2024"/>
        <s v="THE VILLAGE UNDERGROUN NEW YORK NY USA Card xx2869 USD 100.10 Value Date: 14/08/2024"/>
        <s v="PRINCE ST. PIZZA NEW YORK NY USA Card xx2869 USD 19.69 Value Date: 14/08/2024"/>
        <s v="Duane Reade 14410 Brooklyn NY USA Card xx2869 AUD 18.66 Value Date: 14/08/2024"/>
        <s v="BROADWAY MINI MARKET D BROOKLYN NY USA Card xx2869 USD 2.08 Value Date: 14/08/2024"/>
        <s v="PDS IRISH PUB NEW YORK NY USA Card xx2869 USD 42.82 Value Date: 15/08/2024"/>
        <s v="MAXIMUM DEALS BROOKLYN NY USA Card xx2869 USD 7.60 Value Date: 14/08/2024"/>
        <s v="SOREIKU VINYARDS BROOKLYN NY USA Card xx2869 USD 76.19 Value Date: 14/08/2024"/>
        <s v="NATURE MARKET"/>
        <s v="L'INDUSTRIE PIZZER"/>
        <s v="International ATM Withdrawal Fee"/>
        <s v="Wdl ATM"/>
        <s v="HUDSONNEWS ST1176 JAMAICA NY USA Card xx2869 AUD 8.64 Value Date: 12/08/2024"/>
        <s v="WORLD FAMOUS DELI BROOKLYN NY USA Card xx2869 USD 9.88 Value Date: 12/08/2024"/>
        <s v="TST*DO OR DIVE Brooklyn NY USA Card xx2869 USD 34.80 Value Date: 13/08/2024"/>
        <s v="SQ *JOE'S CORNER Fremont CA USA Card xx2869 USD 69.41 Value Date: 09/08/2024"/>
        <s v="EVERETT &amp; JONES BBQ IN OAKLAND CA USA Card xx2869 USD 238.03 Value Date: 10/08/2024"/>
        <s v="TRADER JOE S #071 FAIR OAKS CA USA Card xx2869 USD 79.32 Value Date: 08/08/2024"/>
        <s v="BEL AIR MART #511 CARMICHAEL CA USA Card xx2869 USD 38.84 Value Date: 07/08/2024"/>
        <s v="SHOGUN SUSHI - CARMICH CARMICHAEL CA USA Card xx2869 USD 53.37 Value Date: 07/08/2024"/>
        <s v="TM *PATTON OSWALT 800-653-8000 CA USA Card xx2869 USD 124.70 Value Date: 01/08/2024"/>
        <s v="MARINIS CANDIES ON THE SANTA CRUZ CA USA Card xx2869 USD 19.20 Value Date: 04/08/2024"/>
        <s v="KOKKARI SAN FRANCISCO CA USA Card xx2869 USD 160.11 Value Date: 03/08/2024"/>
        <s v="COBBS COMEDY CLUB SAN FRANCISCO CA USA Card xx2869 USD 70.39 Value Date: 03/08/2024"/>
        <s v="THE MYSTERY SPOT SANTA CRUZ CA USA Card xx2869 USD 16.00 Value Date: 04/08/2024"/>
        <s v="SQ *MISSION HILL COFFE Santa Cruz CA USA Card xx2869 USD 7.00 Value Date: 04/08/2024"/>
        <s v="TST* APRIL JEAN SAN FRANCISCO CA USA Card xx2869 USD 12.06 Value Date: 03/08/2024"/>
        <s v="TST* BRENDA'S FRENCH S SAN FRANCISCO CA USA Card xx2869 USD 108.24 Value Date: 03/08/2024"/>
        <s v="PIZZA MY HEART SANTA CRUZ CA USA Card xx2869 USD 46.32 Value Date: 04/08/2024"/>
        <s v="SAFEWAY"/>
        <s v="MVC PULSE SAN FRANCISC SAN FRANCISCO CA USA Card xx2869 USD 422.81 Value Date: 03/08/2024"/>
        <s v="BART-CLIPPER UNION CIT UNION CITY CA USA Card xx2869 USD 20.00 Value Date: 01/08/2024"/>
        <s v="BEST COMEDY TICKETS UTRECHT UT NLD Card xx2869 USD 62.61 Value Date: 01/08/2024"/>
        <s v="DELTA00622556915761 BRUSSELS BE BEL Card xx2869 USD 496.94 Value Date: 28/07/2024"/>
        <s v="SQ *CANDY BARREL Sacramento CA USA Card xx2869 USD 18.66 Value Date: 26/07/2024"/>
        <s v="TST* URBAN ROOTS BREWE SACRAMENTO CA USA Card xx2869 USD 88.94 Value Date: 26/07/2024"/>
        <s v="CSJ SMART METERS SAN JOSE CA USA Card xx2869 USD 2.00 Value Date: 27/07/2024"/>
        <s v="CKE*IKES SAN JOSE DT S SAN JOSE CA USA Card xx2869 USD 25.85 Value Date: 27/07/2024"/>
        <s v="CHEVRON"/>
        <s v="The Chefs' Olive Mix SACRAMENTO CA USA Card xx2869 USD 43.85 Value Date: 26/07/2024"/>
        <s v="SQ *OLD MISSION SAN JO Fremont CA USA Card xx2869 USD 10.00 Value Date: 27/07/2024"/>
        <s v="AIRBNB"/>
        <s v="THRIFTY #0072216 OAKLAND CA USA Card xx2869 USD 375.07 Value Date: 27/07/2024"/>
        <s v="AMZN Mktp US*RJ8SZ2TK1 Amzn.com/bill WA USA Card xx2869 AUD 67.37 Value Date: 20/07/2024"/>
        <s v="PIER C PHARMACY MASCOT"/>
        <s v="Feeld"/>
        <s v="STEAMGAMES.COM"/>
        <s v="BUPA TRAVEL INSURANCE"/>
        <s v="CATCH DOCKLANDS"/>
        <s v="TAM PH PTY LTD PARRAMATTA NSW AU Card xx2869"/>
        <s v="TARGET"/>
        <s v="Uniqlo Australia Pty Ltd Parramatta AU"/>
        <s v="PLINE PH"/>
        <s v="BERLINER BAKERY Sydney AU"/>
        <s v="L'AMUSE BOUCHE Sydney AU"/>
        <s v="GUILTLESS The Rocks AU"/>
        <s v="G I GOURMET NUTS The Rocks AU"/>
        <s v="THE ONLINE DRINKS Sydney AU"/>
        <s v="HARRIS FARM MARKETS"/>
        <s v="N LEONARDO PTY LTD PARRAMATTA AU"/>
        <s v="VICS MEAT MARKET"/>
        <s v="SYDNEY FISH MARKET"/>
        <s v="DidiChuxing DidiAU pen"/>
        <s v="Abercrombie Hotel Chippendale AU"/>
        <s v="Britannia Group Pty Lt Darlington AU"/>
        <s v="Patisserie La Gal"/>
        <s v="Karaoke World"/>
        <s v="Camy's Chargrill"/>
        <s v="APEX WEST RYDE"/>
        <s v="WW METRO"/>
        <s v="Little Greece Parra Parramatta AU"/>
        <s v="Dick's Hotel Balmain"/>
        <s v="IKEA"/>
        <s v="PAYPAL"/>
        <s v="ERGOX AUSTRALIA"/>
        <s v="SOUNDS EASY ARTARMON NS AUS (Platform Desk)"/>
        <s v="THE JERKY CO NSW "/>
        <s v="CHEMIST WAREHOUSE"/>
        <s v="GREEN FARM MEAT"/>
        <s v="COFFEE ON MILLER North Sydney AU"/>
        <s v="POST"/>
        <s v="CASH CONVERTERS"/>
        <s v="EDITOR VST HANNOVER BE"/>
        <s v="CONTAINER NORTH PARR NTH PARRAMATTNSWAU"/>
        <s v="CITY OF PARRAMATTA"/>
        <s v="Albion Hotel Parramatta AU"/>
        <s v="Eternal Health Group"/>
        <s v="BEFORE YOU*"/>
        <s v="Telstra"/>
        <s v="GREAT NORTHERN OPERA CHATSWOOD"/>
        <s v="CHILLNGRILLINDIANCUISI"/>
        <s v="REBEL"/>
        <s v="we move you"/>
        <s v="AMPOL"/>
        <s v="CHISWICK CELLARS"/>
        <s v="Microsoft*Microsoft"/>
        <s v="IGA"/>
        <s v="ULTRA TUNE DRUMMOYNE"/>
        <s v="Wdl Branch"/>
        <s v="OXFORD HOTEL"/>
        <s v="Belong"/>
        <s v="Subway"/>
        <s v="Bowan Islan"/>
        <s v="DESTROS PHARMACY"/>
        <s v="Transfer to CBA A/c NetBank Internet"/>
        <s v="BURWOOD COUNCIL"/>
        <s v="Messina"/>
        <s v="City Recital Hall"/>
        <s v="John dahdah"/>
        <s v="ADOBE"/>
        <s v="LIVESIGN"/>
        <s v="Transfer To Universal Real Estate"/>
        <s v="GYG"/>
        <s v="Nike"/>
        <s v="THE GOVERNOR HOTEL"/>
        <s v="Coogee Ground"/>
        <s v="INNER WEST COUNCIL PETERSHAM "/>
        <s v="Helm Bar"/>
        <s v="GM CABS"/>
        <s v="Hotel CBD Sydney AU"/>
        <s v="IMAX Sydney SYDNEY"/>
        <s v="Credit Interest"/>
        <s v="LITTLE JACK HORNER AUSTRALIA"/>
        <s v="SUSHI OTAKU"/>
        <s v="BWS"/>
        <s v="NEWTOWN HOTEL"/>
        <s v="COFFEE EMPIRE"/>
        <s v="QANTAS"/>
        <s v="NRMA LTD SYDNEY OLYMPI"/>
        <s v="Dymocks"/>
        <s v="Debit Excess Interest"/>
        <s v="AustCancerResear"/>
        <s v="Stop ez Drummoyne"/>
        <s v="KOJIAOKI HOLDINGS"/>
        <s v="Etsy.com"/>
        <s v="JACKS HAIRDRESSING"/>
        <s v="STAGE.PELUSOMICROPHONE"/>
        <s v="UNIVERSAL AUDIO"/>
        <s v="DEPOSIT CASH"/>
        <s v="Unpaid NetBank Payment Fee"/>
        <s v="Panda Birkenhead"/>
        <s v="EAST SUSHI PTY LTD"/>
        <s v="Transfer To Jonathan K Oliver CommBank App rent"/>
        <s v="PALACE CINEMAS"/>
        <s v="Overdraw Fee For exceeding available funds on"/>
        <s v="BIG W"/>
        <s v="Entertainment and Rec"/>
        <s v="STATEWIDE APPLIANCE"/>
        <s v="PA RYDE ISE"/>
        <s v="Hestia &amp; Co"/>
        <s v="KMART"/>
        <s v="RYANS BAR"/>
        <s v="Hilton Sydney"/>
        <s v="13cabs"/>
        <s v="SMP*The Chefs Wife Bi Burwood"/>
        <s v="Orient Hotel"/>
        <s v="Refund from CBA"/>
        <s v="PAPERBOY CONCORD CAFE"/>
        <s v="BAR TOSCA"/>
        <s v="Amir Baulkham Hill"/>
        <s v="OAKS CYPRESS LAKES"/>
        <s v="ZLR*Bimbadgen"/>
        <s v="PVH HERIT BRANDS"/>
        <s v="PETER JACKSON"/>
        <s v="THE WHITE BARN POKO POKOLBIN AU"/>
        <s v="NEWPORTO WYONG JILLIBY AU"/>
        <s v="TRANSPORTFORNSW TAP"/>
        <s v="MLEKO PTY LTD"/>
        <s v="BYCFURNITURESTRADI"/>
        <s v="Fast Transfer From Megan Cartwright"/>
        <s v="SMP*Ralph Lauren 7101 Drummoyne"/>
        <s v="LOUIE Coogee AU"/>
        <s v="Deli Fresh Cafe Homebush"/>
        <s v="GLUE"/>
        <s v="DRUMMOYNE CAMERA HOUSE"/>
        <s v="Bank Hotel"/>
        <s v="SDRO INFRNGMNT PAYME"/>
        <s v="Enmore Theatre Pty Lt"/>
        <s v="SEOG KYU CHOI"/>
        <s v="SCORPTEC COMPUTERS"/>
        <s v="UNIVERSAL HOTELS GRO"/>
        <s v="OXFORD TOBACCONIST"/>
        <s v="ANKARA Darlinghurst"/>
        <s v="Louis CK"/>
        <s v="HOTEL GREENWOOD PTY LI"/>
        <s v="CHARGRILL CHARLIES"/>
        <s v="The Sporting Globe"/>
        <s v="Woolloomooloo Bay"/>
        <s v="Sussudio Sydney"/>
        <s v="Coogee Bay Hotel"/>
        <s v="EB *BNC pres.Kasper Ko"/>
        <s v="Ivy Pool Club"/>
        <s v="Peach Audio"/>
        <s v="Eat at Robs"/>
        <s v="The Alexandria Hotel"/>
        <s v="BrewDog South"/>
        <s v="B and C Pharmacy"/>
        <s v="Balmain The Char"/>
        <s v="Taste Baguette"/>
        <s v="Lalals.com"/>
        <s v="Dumplings &amp; Momo House"/>
        <s v="THE LOOKOUT @ ECHO POI"/>
        <s v="NATIVE INSTRUMENTS"/>
        <s v="Leura Gourmet"/>
        <s v="Rfnd O'Seas Transaction"/>
        <s v="ADJUSTMENT TO ACCOUNT"/>
        <s v="ARASH NIKHOUSH"/>
        <s v="Cardless Cash for collection stuff"/>
        <s v="BANDCAMP"/>
        <s v="Arturia Montbonnot"/>
        <s v="Patreon"/>
        <s v="Revolut**8052*"/>
        <s v="RISE BAKEHOUSE"/>
        <s v="NIKAN RESTAURANT"/>
        <s v="SILVER SPOON BISTRO"/>
        <s v="HUNTERS HILL COUNCIL"/>
        <s v="DECKHOUSE CAFE"/>
        <s v="TIMEZONE CHATSWOOD"/>
        <s v="MALONEYS GROCER PTY"/>
        <s v="CAFFE CHERRY BEANS-B"/>
        <s v="Moretti Ristorante"/>
        <s v="nick irving CommBank App ns10"/>
        <s v="REVERB.COM LLC"/>
        <s v="SQ *TENTACIONES Surry Hills"/>
        <s v="Menulog"/>
        <s v="JAKEREEDMUSIC.COM"/>
        <s v="WAVES"/>
        <s v="Microsoft*Subscription"/>
        <s v="JB HI FI"/>
        <s v="SYDMOSA PTY LTD"/>
        <s v="SQ *MOOM LIVING Pyrmont"/>
        <s v="RAYVEN PTY LTD"/>
        <s v="ROSE TURKISH GOZLEME"/>
        <s v="SoundCloud"/>
        <s v="Andiamo Tr Abbotsford"/>
        <s v="Torotoro Ramen Bar"/>
        <s v="THE GREENS NORTH SYDNEY"/>
        <s v="ALH VENUES 8733"/>
        <s v="WWW.ALIEXPRESS.COM"/>
        <s v="MV&amp;CO THE VIETASTEZ"/>
        <s v="JOANNE WILLIAMS PTY LIMIT"/>
        <s v="Transfer To Jonathan K Oliver CommBank App internet"/>
        <s v="THE VINTAGE RECORD ANNANDALE"/>
        <s v="SMP*Fat Fish Annandal"/>
        <s v="DISTROKID.COM"/>
        <s v="ICC Sydney"/>
        <s v="HARRY JUICE &amp; CO PTY L"/>
        <s v="NOVOTEL DARLING SQR"/>
        <s v="Audible"/>
        <s v="CEX PTY LTD"/>
        <s v="Naser Pty Limited"/>
        <s v="OEH Kirrawee"/>
        <s v="Da Vinci's Restaurant"/>
        <s v="Fair Trade at The Summer Hill"/>
        <s v="NETFLIX"/>
        <s v="ARC AT UNSW LTD KENSINGTON"/>
        <s v="HUGO BOSS Australia"/>
        <s v="Academy Brand"/>
        <s v="Gladesville Sporties"/>
        <s v="LALAL.AI"/>
        <s v="iZotope.com"/>
        <s v="Hayden Theatres"/>
        <s v="PRYDE MEATS"/>
        <s v="Mega Limited"/>
        <s v="UNCLE TETSU"/>
        <s v="Direct Credit 012721 ATO"/>
        <s v="WWRD AUSTRALIA PTY LTD"/>
        <s v="Samsung Electronics AU"/>
        <s v="Octo Car"/>
        <s v="BELFIELD MUSIC PTY LTD"/>
        <s v="TICKETEK PTY LTD WEB"/>
        <s v="JASMIN 1"/>
        <s v="Roland Jupiter 80"/>
        <s v="AGR SERVICES"/>
        <s v="MASSAGE LINK"/>
        <s v="Happyfield"/>
        <s v="Crystal Carwash Cafe"/>
        <s v="Your Choice Pharmacy"/>
        <s v="David Gojak's Meats"/>
        <s v="BLACKWALL CAFE CHISWICK"/>
        <s v="BRAZA CHURRASCARIA PTY"/>
        <s v="Syd Aprt Dom Carp54"/>
        <s v="WWW.PACIFICCONCE* ME&amp;U"/>
        <s v="Hokka Hokka"/>
        <s v="Winghaus Gateway"/>
        <s v="Return No account or incorrect account"/>
        <s v="Surly's"/>
        <s v="Picton Karting Track"/>
        <s v="Liquor on Oxford"/>
        <s v="CCWEB SDRO"/>
        <s v="ALH VENUES 8758 MANLY"/>
        <s v="Opera Bar Sydney"/>
        <s v="Arezzo Jewellery"/>
        <s v="Mr Cutz Top Ryde"/>
        <s v="SMP*Dominos Pizza Drum Drummoyne02"/>
        <s v="Priceland"/>
        <s v="Covau"/>
        <s v="Umart Online Milton"/>
        <s v="Bahar Spring"/>
        <s v="DutchVinyl"/>
        <s v="FARSI RESTAURANT"/>
        <s v="NRMA HUT"/>
        <s v="Elizabeth Street"/>
        <s v="ROZELLE AUTOMOTIVE"/>
        <s v="TENKOMORI"/>
        <s v="Sutra Sunrise"/>
        <s v="BRIDGE HOTEL"/>
        <s v="EMPANADAS FACTORY ROZELLE"/>
        <s v="Da Jian Chen"/>
        <s v="CHEMIST WAREHOUSE BIRK"/>
        <s v="MEANDU"/>
        <s v="LEICHHARDT MUNICIPAL"/>
        <s v="Jaipur Sweets"/>
        <s v="PASTIZZI CAFE PL"/>
        <s v="Telecom"/>
        <s v="General&amp;Co Lobby Bar"/>
        <s v="Winona Wine"/>
        <s v="Label Brookvale"/>
        <s v="Jimmy's Falafel"/>
        <s v="SUMO"/>
        <s v="One Taxi Belmore"/>
        <s v="3 Harps"/>
        <s v="StroopBros"/>
        <s v="Nomad Brewing Co."/>
        <s v="Emmy Gozleme"/>
        <s v="Big Tony Canoli"/>
        <s v="RT &amp; SD"/>
        <s v="ANDERSEN'S OF DENMAR"/>
        <s v="SURRYHILLS NEWSAGENT"/>
        <s v="GYG Top Ryde"/>
        <s v="Castle Hill HS"/>
        <s v="Divvy"/>
        <s v="Transfer To Jonathan K Oliver NetBank Rent"/>
        <s v="Hungry Jacks Ryde"/>
        <s v="Event Cinemas"/>
        <s v="OXFORD WORLD SQUARE"/>
        <s v="The Newport"/>
        <s v="THE LITTLE SNAIL RES"/>
        <s v="DOYTAO DRUMMOYNE PTY"/>
        <s v="Marbrand"/>
        <s v="Surry Hills Fine"/>
        <s v="El Loco"/>
        <s v="B&amp;W Cabs"/>
        <s v="Love Crepe Russell Lea"/>
        <s v="Allegria FLR &amp; HMWRE"/>
        <s v="Pharmacy Management"/>
        <s v="ELIZABETHS BOOKSHOP"/>
        <s v="Top Fruit and Sons"/>
        <s v="ROLLING CAFE AUSTRAL DRUMMOYNE"/>
        <s v="Emilio's Specialty Bu"/>
        <s v="Europe Grill Resta"/>
        <s v="ORGNL MNTZM NOOSA"/>
        <s v="LIVE TAXI AUSTRALIA"/>
        <s v="mount coolum Buderim"/>
        <s v="The Coffee Club Coolum"/>
        <s v="Sushi Sushi"/>
        <s v="Kanu Kapers"/>
        <s v="Monthly Go Plus plan Berlin DE DEU"/>
        <s v="Laguna Jacks"/>
        <s v="Sun Coast"/>
        <s v="DIVAN PERSIAN REST"/>
        <s v="CootharaBAR"/>
        <s v="Coolum Thai Spice"/>
        <s v="Copenhagen Ice Cr"/>
        <s v="SEASONS SUPERMARKETS 4 NOOSA HEADS"/>
        <s v="MR MANCINO Coolum Beach AU"/>
        <s v="LIVELIFE PHARMACY COOL COOLUM BEACH"/>
        <s v="GHANDA COOLUM"/>
        <s v="AIRPORT RETAIL ENTERPR MASCOT AU"/>
        <s v="TCSC PTY LTD HAYMARKET"/>
        <s v="FISH MARKET CAFE PYRMONT"/>
        <s v="SYDNEY FISH MARKET P PYRMONT"/>
        <s v="OIDEN 11 PTY LTD SYDNEY"/>
        <s v="The Erko Hotel Erskineville"/>
        <s v="CR MACQUARIE NORTH RYDE"/>
        <s v="JETSTAR"/>
        <s v="LINDT AND SPRUNGLI"/>
        <s v="JD SPORTS FASHION"/>
        <s v="H&amp;M Sydney"/>
        <s v="GOU SUSHI SURRY HILLS AU"/>
        <s v="HARE G PTY LTD SURRY HILLS"/>
        <s v="CHARGRILL MOSMAN Mosman NS AUS Card"/>
        <s v="TURRAMURRA SUPERMARK TURRAMURRA"/>
        <s v="The Party People"/>
        <s v="Hurricane's"/>
        <s v="Coinspot"/>
        <s v="The General &amp; Co. Lilyfield"/>
        <s v="MANTA WHARF"/>
        <s v="TOP FRUIT MARKET"/>
        <s v="SUBMITHUB HOLDINGS LLC"/>
        <s v="FiverrEU"/>
        <s v="PLINEPH BIRKENHEADPOI DRUMMOYNE NSWAU"/>
        <s v="2CO.COM*- 173639085"/>
        <s v="KADMUS"/>
        <s v="IL POLLO FIVE DOCK"/>
        <s v="DOMINOS DRUMMOYNE"/>
        <s v="MECCA COFFEE ROASTERS"/>
        <s v="BED BATH N TABLE"/>
        <s v="SHILA KITCHEN"/>
        <s v="ENERGY LOCALS"/>
        <s v="PASTICCERIA PAPA"/>
        <s v="INTERNATIONAL PARKING"/>
        <s v="The Oaks Hotel Neutral Bay"/>
        <s v="EASTWOOD NEW YEN YEN EASTWOOD"/>
        <s v="SETTLERS ARMS INN ST ALBANS"/>
        <s v="POLITIX BIRKIN HEAD"/>
        <s v="MINSKYS HOTEL CREMORNE"/>
        <s v="ENOTECA"/>
        <s v="CAMINETTO ITALIAN RE THE ROCKS"/>
        <s v="UNIVERSAL NEWTOWN"/>
        <s v="SQ *ANYTHING BUT HUMBL"/>
        <s v="NYMP PTY LTD"/>
        <s v="PAPADINOS KATOOMBA"/>
        <s v="accomodation"/>
        <s v="SMP*Victory Cafe Blackheath"/>
        <s v="NEW IVANHOE HOTEL Blackheath AU"/>
        <s v="Bottle Shop Blackheath AU"/>
        <s v="KATOOMBA WINES"/>
        <s v="Cardless Cash return petrol"/>
        <s v="Cardless Cash for collection petrol"/>
        <s v="Cardless Cash for collection shopping"/>
        <s v="AGL"/>
        <s v="UTS HABERFIELD CLUB"/>
        <s v="PLUGINFOX PORTLAND"/>
        <s v="CONQUEST PTY LTD DRUMMOYNE"/>
        <s v="WWW.DEVICEDEAL.COM.AU"/>
        <s v="JIMS COMPUTER SERVIC"/>
        <s v="THE REJECT SHOP"/>
        <s v="SIENELLA PTY LTD"/>
        <s v="FS *Akai Pro"/>
        <s v="ROLAND TECHNICAL SER"/>
        <s v="D&amp;B Drummoyne"/>
        <s v="Trattoria Casa Chiswick"/>
        <s v="House Deposit"/>
        <s v="UME Restaurant Surry Hills"/>
        <s v="CARRINGTON 565 PTY L SURRY HILLS"/>
        <s v="NSW RENTAL BOND"/>
        <s v="TAXI COMBINED"/>
        <s v="Internet share"/>
        <s v="BeYou"/>
        <s v="SPOTTO NSW"/>
        <s v="SPEEDW AY ROSEVILLE"/>
        <s v="STRIKE AUSTRALIA PTY"/>
        <s v="SHWARMAMA PTY LTD"/>
        <s v="NBC-PAY &amp; DISPLAY PARK"/>
        <s v="BETTYS BURGERS"/>
        <s v="Barangaroo House"/>
        <s v="H Roozbehani Gift"/>
        <s v="Grunt"/>
        <s v="Louis Wayment"/>
        <s v="CITY CONVENIENCE STORE HAYMARKET"/>
        <s v="BAR BROADWAY"/>
        <s v="Rent"/>
        <s v="Kyo-To Spice Alley Chippendale"/>
        <s v="reg required"/>
        <s v="ACTIVE8 POOL TABLES KIRRAWEE"/>
        <s v="BVL PARTNERSHIP PL BELLINGEN"/>
        <s v="UNITED DORRIGO"/>
        <s v="RAMTEAN"/>
        <s v="Hilltop at the Lodge Bellingen"/>
        <s v="EBOR PUB PL EBOR"/>
        <s v="CALTEX"/>
        <s v="MANGO COCO THAI DESSER"/>
        <s v="Dick Smith"/>
        <s v="geoff"/>
        <s v="MASOUMEH GHOLAMSHAHI"/>
        <s v="ETORO"/>
        <s v="OZFOREX LIMITED HELLOSTAKE.COM"/>
        <s v="CENTENNIAL PLAZA"/>
        <s v="SQ *SURRY HILLS DUMPLI"/>
        <s v="ESEL Pty Ltd"/>
        <s v="Woolwich Pier"/>
        <s v="Unpaid Payment Fee"/>
        <s v="CITY MART 525 PTY LT SYDNEY"/>
        <s v="SQ *THE TASTE OF BEES Drummoyne"/>
        <s v="ME-AND-U"/>
        <s v="Estate Berrima"/>
        <s v="Royal Hotel Bowral"/>
        <s v="SOUTHERN HT"/>
        <s v="CENTENNIAL VINEYARDS"/>
        <s v="LEGION CAB SY 131451"/>
        <s v="HOLEY MOLEY"/>
        <s v="Withdrawal"/>
        <s v="ROZELLE PHARMACY PTY"/>
        <s v="Potts Point Hotel"/>
        <s v="BLOOMS THE CHEMIST LEICHHARDT"/>
        <s v="OVOLO WOOLOOMOOLOO"/>
        <s v="THE LORD NELSON BREW"/>
        <s v="GLENMORE ROOFTOP HOT THE ROCK"/>
        <s v="Thendro Pty Ltd"/>
        <s v="PRIME QUALITY MEATS"/>
        <s v="CATCH BENTLEIGH EAS VI AUS Card"/>
        <s v="CLRK RUBER HABERFLD HABERFIELD"/>
        <s v="ST VIN DE PAUL SOC NSW"/>
        <s v="OXFORD OPERATIONS PTY"/>
        <s v="THE MALAYA RESTAURANT"/>
        <s v="ExpressVPN"/>
        <s v="STEVES SELECT MEATS"/>
        <s v="CRAZYDOMAINSHOSTING"/>
        <s v="CUPITT ULLADULLA NS AUS Card"/>
        <s v="INSPORT"/>
        <s v="AUTHENTICS FACTORY"/>
        <s v="TILLY &amp; MO"/>
        <s v="LAKE CONJOLA LIQUOR"/>
        <s v="MYRA NOOR PTY LTD"/>
        <s v="METRO PETROLEUM"/>
        <s v="Hungry Jacks"/>
        <s v="RALPH LAUREN AUSTRA"/>
        <s v="NELSON HOTEL"/>
        <s v="Mr Louis Robert Reynolds"/>
        <s v="BART JR"/>
        <s v="FISHHEADS AT BYRON"/>
        <s v="THE HIDEOUT BYRON BAY"/>
        <s v="OZAKMAN BROTHERS PL"/>
        <s v="Northern Bar"/>
        <s v="KIERAN ROSS KROHN Dinner"/>
        <s v="CELLAR BYRON PLAZA BYRON BAY"/>
        <s v="YAMBA YHA BACKPACKER"/>
        <s v="BYRON BAY HOT BREAD"/>
        <s v="KFC TAREE SERVICE CE"/>
        <s v="CENTRE COM SUNSHINE VI"/>
        <s v="YAMBA BOWLING AND RECR"/>
        <s v="SLICE PIZZERIA"/>
        <s v="YAMBA TAVERN PTY LTD"/>
        <s v="THE GUITAR FACTORY A"/>
        <s v="BOURBON OPERATIONS"/>
        <s v="iou"/>
        <s v="BAHAR PERSIAN FOOD RYDE"/>
        <s v="Micky's Cafe"/>
        <s v="STEPHEN DONOHOE CREDIT TO ACCOUNT - Mickys Café"/>
        <s v="LIV*THE CHIPPO HOTEL"/>
        <s v="Milkwood Bakery"/>
        <s v="Ms Katrina T Duncan"/>
        <s v="GREAT SOUTHERN HOTEL"/>
        <s v="Big Music Australia"/>
        <s v="DHL Express"/>
        <s v="SQUARP INSTRUMENTS PARIS FR"/>
        <s v="Elektron Machinedrum - PAYPAL"/>
        <s v="Homayoun"/>
        <s v="SP * SOFTWARE.ORG.AU - SPRING FARM"/>
        <s v="ADVANCE OPEN TECHNOL BROADWAY"/>
        <s v="MY CHOICE SOFTWARE LLC"/>
        <s v="SOFTWARE MART AUS"/>
        <s v="ASH ADAMS SURRY HILL"/>
        <s v="HudsonMeatsDrummoyne"/>
        <s v="GOLDEN PIDE SURRY HILLS"/>
        <s v="SQ *THE HORDERN CON1 Moore Park"/>
        <s v="PLAYBILL MERCHNDS"/>
        <s v="ARCADIA LIQUORS REDFERN"/>
        <s v="INGOGO"/>
        <s v="TASTE OF SAIGON"/>
        <s v="GALLAGHERS GBS PTY LTD"/>
        <s v="THE TUDOR REDFERN"/>
        <s v="ART GALLERY OF NSW SYDNEY"/>
        <s v="WILLIAM HOTEL EAST SYDNEY"/>
        <s v="WW TOWN HALL"/>
        <s v="Tokyo Bird"/>
        <s v="SQ *BLOC145"/>
        <s v="SPAR REDFERN"/>
        <s v="ADDLY PTY LTD"/>
        <s v="LAKIN J Josie"/>
        <s v="Goros"/>
        <s v="AURORA HOTEL"/>
        <s v="TASTE BAKERY &amp; RESTAU"/>
        <s v="REDFERN AND CO OPERATI"/>
        <s v="Newslink"/>
        <s v="(T) DE Reject Return Fee"/>
        <s v="RANA MEHDI HASSAN"/>
        <s v="BMSH PTY"/>
        <s v="media spend"/>
        <s v="SUNPAC LTD"/>
        <s v="POPPY'S ON THE LAGOO"/>
        <s v="Heinemann Duty Free Mascot"/>
        <s v="TK MAXX TOP RYDE"/>
        <s v="GUZMAN Y GOMEZ"/>
        <s v="BOOST JUICE PTY LTD"/>
        <s v="AIRPORT RETAIL ENTERPR"/>
        <s v="HAPS HOTELS"/>
        <s v="EB GAMES DRUMMOYNE"/>
        <s v="TAROCASH PTY LTD"/>
        <s v="OXFORD SHOP PTY LTD"/>
        <s v="boat"/>
        <s v="HAIR CO 96 PTY LTD"/>
        <s v="BALMAIN HTL"/>
        <s v="HYPEDC"/>
        <s v="CONNOR CLOTHING PTY"/>
        <s v="WOLLONGONG NIGHTSPOT"/>
        <s v="PLINE PH TOWN HALL"/>
        <s v="SYDNEY CONSTELLATION C"/>
        <s v="MILITARY ROAD 23 PTY L"/>
        <s v="THE DRUMM BRKNHD HTL"/>
        <s v="DHS - Lianna Going Away Gift"/>
        <s v="mum present"/>
        <s v="Domain Registration To Grunt"/>
        <s v="BIRKENHEAD GRILL DRUMMOYNE NS"/>
        <s v="Sneaky Burger"/>
        <s v="KEG  BREW HOTEL"/>
        <s v="IYASHI REMEDIES"/>
        <s v="SMP*Ze Pickle Surry Hills"/>
        <s v="CDKEYS.COM"/>
        <s v="Shift Eatery"/>
        <s v="UNIVERSAL HOTELS DARLINGHURST"/>
        <s v="The Forresters"/>
        <s v="Cash Dep"/>
        <s v="Soheyla"/>
        <s v="Vanuatu Hotel Payment to mum"/>
        <s v="SQUARESPACE INC."/>
        <s v="UNIVERSAL CIVIC PTY"/>
        <s v="Gozleme King Darling"/>
        <s v="CITY MART RANDWICK SYDNEY"/>
        <s v="Cafe Del Mar"/>
        <s v="SPORTS 24 7 THE STAR"/>
        <s v="RYDGES SYDNEY CENTRAL"/>
        <s v="GORO'S"/>
        <s v="THE ORCHARD TAVERN"/>
        <s v="SMP*Makanai Chatwsood"/>
        <s v="PLAYTIME CHATSWOOD"/>
        <s v="INDESIGN"/>
        <s v="850 RMS NCC1 NEWCASTLE"/>
        <s v="Untied"/>
        <s v="Store Dj Invoice"/>
        <s v="GFM"/>
        <s v="FITNESS PLAY"/>
        <s v="LIV*THE WILD ROVER"/>
        <s v="A BASAULA AND S SHAHI"/>
        <s v="MYER"/>
        <s v="LAS VEGAS GAMING INT"/>
        <s v="Elec Bill"/>
        <s v="RIBS AND BURGERS DRUMM"/>
        <s v="OntarioLtd"/>
        <s v="ZEUS"/>
        <s v="KOUKLA GROUP PTY LTD"/>
        <s v="sunday lunch order"/>
        <s v="SALT MEATS CHEESE DRUMMOYNE"/>
        <s v="BIG D S DINER"/>
        <s v="Town Hall Hotel"/>
        <s v="The Strand Hotel Darlinghurst"/>
        <s v="Louisa"/>
        <s v="A HANKIN COMPANY WICKHAM"/>
        <s v="77 CONVENIENCE"/>
        <s v="STANLEYS BAR PTY LTD"/>
        <s v="East Village Sydney"/>
        <s v="SILVER SERVIC"/>
        <s v="DUMPLING HUT"/>
        <s v="maccas"/>
        <s v="UNI OF SYDNEY UNIO"/>
        <s v="POWERDIRECT PTY LTD"/>
        <s v="MELANIE AND ANNIE PT"/>
        <s v="UNIVERSAL HOTELS PTY"/>
        <s v="Goodbar"/>
        <s v="SKYBUS COACH SERVICE"/>
        <s v="NJ GROUP PTY LTD"/>
        <s v="BKNG SNSTN BKRY CF DRUMMOYNE"/>
        <s v="Refund of Disputes Fees and or interest"/>
        <s v="TWG AT JOAN SUTHERLAND"/>
        <s v="MENYA CHINATOWN HAYMARKET"/>
        <s v="Annandale Hotel"/>
        <s v="TFNSW RAIL"/>
        <s v="Opera Bar"/>
        <s v="SUTTONS MOTORS ARNCL"/>
        <s v="HFM BORONIA PARK"/>
        <s v="RMSTOLLNOTICEPH13186"/>
        <s v="GREAT LIGHTING AUSTR LEICHHARDT"/>
        <s v="BOND CLEANING"/>
        <s v="ref340 96a Audley"/>
        <s v="PETERSHAM PHARMACY"/>
        <s v="DMD FUELS PTY LTD"/>
        <s v="CIVIC HOTEL"/>
        <s v="TAXI4UR SERVICE PTYLTD"/>
        <s v="MED CAFE"/>
        <s v="KENNARDS SELF STORAGE"/>
        <s v="CULTIVATE"/>
        <s v="THE FAT CHOOK LEICHHAR"/>
        <s v="MR CRACKLES"/>
        <s v="The Winery"/>
        <s v="H&amp;M AUSTRALIA"/>
        <s v="JUST CUTS BROADWAY"/>
        <s v="JOJOS VENTURE"/>
        <s v="CAFE SYDNEY"/>
        <s v="SCORPION TECH"/>
        <s v="PHOTO SHOP STUDIO"/>
        <s v="LEICHHARDT DSCNT CHE"/>
        <s v="MADISON HOTEL"/>
        <s v="PLINE PH LEICHHARDT"/>
        <s v="ONE TONG PTY LTD"/>
        <s v="EVENING STAR OPERATI"/>
        <s v="LEICHHARDT CHEMIST"/>
        <s v="WARWICK L EVERINGHAM"/>
        <s v="AUTO TCH CR &amp; TRCK R PETERSHAM"/>
        <s v="SYDNEY OPERA HOUSE TRU"/>
        <s v="Sushi Hub Balmain"/>
        <s v="REVENUE NSWFINE"/>
        <s v="Netbank to Complete Access"/>
        <s v="ACT HOLDINGS PTY LTD"/>
        <s v="White Cockatoo Hotel"/>
        <s v="Republic Bar"/>
        <s v="SOFTWARE PRO WORLD LONDON LN"/>
        <s v="RESIDENT ADVISOR TICKE"/>
        <s v="H Roozbehani Present from Dad"/>
        <s v="NEIGHBORHOOD MASSAGE"/>
        <s v="TRANSPORT FOR NSW"/>
        <s v="STRAWBERY HILLS HOTEL"/>
        <s v="KABUTO PTY LTD"/>
        <s v="petrol"/>
        <s v="Clock Hotel Surry Hills"/>
        <s v="Clock Hotel"/>
        <s v="P AND J WADE CHEMISTS LANE"/>
        <s v="KEG &amp; BREW HOTEL"/>
        <s v="NV PETERS INMNT PL BROADWAY"/>
        <s v="CHARLIES DELI"/>
        <s v="NORTONS ON NORTON"/>
        <s v="The Grounds Alexandria"/>
        <s v="THE GRUMPY BAKER NEW"/>
        <s v="PETERSHAM LIQUOR MART"/>
        <s v="HAPPY KITCHEN 4 U"/>
        <s v="Different Drummer Glebe"/>
        <s v="RSL CABS"/>
        <s v="AGINCOURT HOTEL"/>
        <s v="RIVERSDALE PUB CO NO"/>
        <s v="SONY AUSTRALIA"/>
        <s v="YULIA ANGESTI &amp; MICH"/>
        <s v="NORTON PLAZA"/>
        <s v="YOUI - PREMIUM SIPPY DOWNS"/>
        <s v="Sando Bar"/>
        <s v="NEW MILLENNIUM 2 PTY L"/>
        <s v="GRILLD LEICHHARDT LEICHHARDT"/>
        <s v="OUTPUT INC"/>
        <s v="NEXTRA NORTON PLAZA"/>
        <s v="present"/>
        <s v="FOSAUX PTY LTD SURRY HILLS"/>
        <s v="OXFORD TAVERN"/>
        <s v="Redfern Surf Club"/>
        <s v="DELISH TRAN CAFE"/>
        <s v="APPLE STORE"/>
        <s v="JEEVES AU PTY LTD LEICHHARDT"/>
        <s v="MLEKO BAR ESSPRESSO"/>
        <s v="IN T MD FOR THAI S H SURRY HILLS"/>
        <s v="UNI OF SYD UNION"/>
        <s v="UNI OF SYDNEY UNIN"/>
        <s v="The Lansdowne Hotel"/>
        <s v="Frankies Pizza Sydney"/>
        <s v="Spotify"/>
        <s v="CIGNALL PETERSHAM"/>
        <s v="ERSKO PTY LIMITED"/>
        <s v="White Horse Hotel"/>
        <s v="Return -THE-ICONIC-"/>
        <s v="ERCIYES TURKISH R PL"/>
        <s v="DRI iZotope"/>
        <s v="-THE-ICONIC-*787000000"/>
        <s v="DOS SENORITAS"/>
        <s v="KING ST BREWHOUSE PT"/>
        <s v="BRISTOL ARMS OPERATING"/>
        <s v="BLACK AND BRONZE"/>
        <s v="ROYAL FLYING DOC SES"/>
        <s v="6 MARY STREET"/>
        <s v="RSJG PTY LTD"/>
        <s v="BURDEKIN HOTEL GROUP P"/>
        <s v="LA SUERTE PTY LTD"/>
        <s v="EARLS JUKE JOINT"/>
        <s v="EXPEC PTY LIMITED"/>
        <s v="BAIA THE ITALIAN SYDNEY NS"/>
        <s v="MALONEYS HOTEL"/>
        <s v="LEICHHARDT ESPRES"/>
        <s v="WILSON PARKING AUSTRAL"/>
        <s v="GOSPELMUSICIANS"/>
        <s v="D LISH"/>
        <s v="LITTLE ISTANBUL GREENWAY AC"/>
        <s v="CANBERRA SOUTHERN"/>
        <s v="LADY HAMPSHIRE"/>
        <s v="RETRO A GO GO"/>
        <s v="MEMET  ARSLAN MANLY"/>
        <s v="DEE WHY RSL CLUB LTD DEE WHY"/>
        <s v="Camperdown Cellars"/>
        <s v="BING LEE"/>
        <s v="LINKT TN PAYT"/>
        <s v="KAZROG.COM"/>
        <s v="CARGO BAR"/>
        <s v="Vic On The Park Marrickville"/>
        <s v="CROWN ST GROCER"/>
        <s v="STAR BAR &amp; GRILL BISTR SYDNEY"/>
        <s v="3 Wise Monkeys"/>
        <s v="TGIFriday's Macquarie"/>
        <s v="WCC CONCOURSE CARPARK"/>
        <s v="Account Fee"/>
        <s v="PatchCable (Tasmania)"/>
        <s v="Absorb XHD"/>
        <s v="DREAMTONE" u="1"/>
        <s v="TONG LI SUPERMARKET" u="1"/>
        <s v="Sydney Eye Hospital" u="1"/>
        <s v="VERANDAH BAR" u="1"/>
        <s v="ATO PAYMENT" u="1"/>
        <s v="LS John Belvedere Eate" u="1"/>
        <s v="Tickets*Networking" u="1"/>
        <s v="DRUMMOYNE SAILING CLUB LT" u="1"/>
        <s v="DAVID JONES" u="1"/>
        <s v="STACKSOCIAL" u="1"/>
        <s v="aliexpress" u="1"/>
        <s v="SIEFF S MUSIC WORLD" u="1"/>
        <s v="Sushi Maru" u="1"/>
        <s v="SPANIAN'S KEBABS N" u="1"/>
        <s v="APEX VILLAWOOD" u="1"/>
        <s v="Dyson Demo" u="1"/>
        <s v="YILAN GROUP" u="1"/>
        <s v="Burwood Hotel" u="1"/>
        <s v="PUB POOL PROMOTIONS" u="1"/>
        <s v="WINGHAS - CQ GATEWAY" u="1"/>
        <s v="SHIP INN" u="1"/>
        <s v="WinghausCircularQuay" u="1"/>
        <s v="Baba Ghanouj" u="1"/>
        <s v="LS Waterworks Canteen" u="1"/>
        <s v="WWW.WILLOPARRAMATTA.CO" u="1"/>
        <s v="BELLS HOTEL" u="1"/>
        <s v="MERIVALE ME&amp;U" u="1"/>
        <s v="RENPHO" u="1"/>
        <s v="Ground Floor Estab" u="1"/>
        <s v="EZI*CASH CONVERTERS. PERTH AU AUS Card xx2869 Value Date: 29/04/2024" u="1"/>
        <s v="OFFICEWORKS 0201" u="1"/>
        <s v="OFFICEWORKS 0209" u="1"/>
        <s v="OFFICEWORKS BENTLEIGH EAS" u="1"/>
        <s v="BEFORE YOU* BID" u="1"/>
        <s v="BEFORE YOU" u="1"/>
        <s v="Homayoun Gift" u="1"/>
        <s v="Hydrolink Plumbin" u="1"/>
        <s v="" u="1"/>
        <s v="CHATGPT SUBSCRIPTION" u="1"/>
        <s v="HCFHEALTHANDLIFE" u="1"/>
        <s v="CHISWICK CELLARS CHISWICK" u="1"/>
        <s v="Transfer to CBA A/c NetBank R" u="1"/>
        <s v="geoff electricity" u="1"/>
        <s v="NRMA WEB" u="1"/>
        <s v="we move you australia" u="1"/>
        <s v="Helm Bar &amp; Bistro" u="1"/>
        <s v="PA RYDE ISE SUPERMARK RYDE NS AUS" u="1"/>
        <s v="PA RYDE ISE SUPERMARK RYDE NSW AU" u="1"/>
        <s v="PA RYDE ISE SUPERMARK" u="1"/>
        <s v="2CO.COM" u="1"/>
        <s v="FiverrEU Nicosia CY CYP" u="1"/>
        <s v="Home Loan Help Help to buy home from Dad" u="1"/>
        <s v="rrrtr1" u="1"/>
        <s v="Store DJ Invoice - 889096 - Cables" u="1"/>
        <s v="Store Dj Invoice - 383958 - Roland EV-5 Expression Pedal" u="1"/>
        <s v="BOND CLEANING IN YOUR" u="1"/>
        <s v="ATO" u="1"/>
        <s v="John Dadah" u="1"/>
        <s v="SMP*Copenhagen Ice Cre" u="1"/>
      </sharedItems>
    </cacheField>
    <cacheField name="Parent Category" numFmtId="0">
      <sharedItems count="27">
        <s v="Financial Services"/>
        <s v="Food and Dining"/>
        <s v="Insurance"/>
        <s v="Shopping and Retail"/>
        <s v="Business Services and Equipment"/>
        <s v="Travel: Public"/>
        <s v="Pay"/>
        <s v="Telecommunications"/>
        <s v="Entertainment and Recreation"/>
        <s v="Travel: Car"/>
        <s v="Housing"/>
        <s v="Healthcare"/>
        <s v="Utilities"/>
        <s v="Henry St Apartment"/>
        <s v="Public Service"/>
        <s v="Travel"/>
        <s v="Personal"/>
        <s v="Accomodation"/>
        <s v="Miscellaneous Expenses"/>
        <s v="Occupancy"/>
        <s v="?"/>
        <s v="reg required"/>
        <s v="Telephony" u="1"/>
        <s v="Personal Care" u="1"/>
        <s v="Personal and Professional Services" u="1"/>
        <s v="Music Business" u="1"/>
        <s v="Music Production" u="1"/>
      </sharedItems>
    </cacheField>
    <cacheField name="Sub Category" numFmtId="167">
      <sharedItems count="117">
        <s v="Bank"/>
        <s v="Food and Groceries"/>
        <s v="Insurance: Health"/>
        <s v="Online Shopping"/>
        <s v="Royalties"/>
        <s v="Delivery, Dining, Takeaway"/>
        <s v="Union Membership"/>
        <s v="Subscriptions"/>
        <s v="Transport: Public"/>
        <s v="Pay"/>
        <s v="Music Marketing"/>
        <s v="Internet / Mobile"/>
        <s v="Petrol Station"/>
        <s v="Household"/>
        <s v="Chemist / Pharmacy"/>
        <s v="Attire"/>
        <s v="Doctor"/>
        <s v="Electronics"/>
        <s v="Medicare Benefit"/>
        <s v="Office Supplies"/>
        <s v="Equipment"/>
        <s v="Energy Bill"/>
        <s v="Entertainment"/>
        <s v="Liquor Shop"/>
        <s v="Maintenance"/>
        <s v="Music Production"/>
        <s v="Convenient Store"/>
        <s v="Music for Production / Gigs"/>
        <s v="Appliances"/>
        <s v="Bar / Club / Hotel"/>
        <s v="Computer"/>
        <s v="Tolls"/>
        <s v="Parking"/>
        <s v="Communication "/>
        <s v="Transport: Taxi"/>
        <s v="Grooming"/>
        <s v="Vehicle Maintenance and Insurance"/>
        <s v="Petrol Statio"/>
        <s v="State Government Services"/>
        <s v="Vehicle Operating Costs"/>
        <s v="Holiday"/>
        <s v="Transport: Rideshare"/>
        <s v="ATM"/>
        <s v="Accomodation"/>
        <s v="Chemist / Pharmac"/>
        <s v="Furniture"/>
        <s v="Post Office"/>
        <s v="Plugins"/>
        <s v="Council Fees (Rates, Parking)"/>
        <s v="Health and Wellbeing"/>
        <s v="Due Diligence Expenses"/>
        <s v="Removalists"/>
        <s v="Software App"/>
        <s v="Internet"/>
        <s v="Property Acquisition Costs"/>
        <s v="Interest"/>
        <s v="Flights"/>
        <s v="Roadside Assistance"/>
        <s v="Books"/>
        <s v="Charity"/>
        <s v="Shopping"/>
        <s v="Rent"/>
        <s v="Hi fi"/>
        <s v="?"/>
        <s v="Music Income"/>
        <s v="Camera / Photos"/>
        <s v="Fines"/>
        <s v="Music Subscription"/>
        <s v="Tax"/>
        <s v="People"/>
        <s v="Arys Play"/>
        <s v="Airport (transport)"/>
        <s v="Cryptocurrency"/>
        <s v="Web Services"/>
        <s v="Saving"/>
        <s v="Rental"/>
        <e v="#N/A"/>
        <s v="White goods"/>
        <s v="Exchange"/>
        <s v="Real Estate"/>
        <s v="Gift"/>
        <s v="Gym"/>
        <s v="Education"/>
        <s v="Transport"/>
        <s v="Photography"/>
        <s v="Seafood"/>
        <s v="Insurance"/>
        <s v="Utilities" u="1"/>
        <s v="Internet / Mobile Phone" u="1"/>
        <s v="Mobile Phone" u="1"/>
        <s v="Mandatory Vehicle Maintenance and Insurance" u="1"/>
        <s v="Groceries" u="1"/>
        <s v="Food: Delivery, Dining, Takeaway" u="1"/>
        <s v="Butcher" u="1"/>
        <s v="Music for DJ gigs" u="1"/>
        <s v="Music" u="1"/>
        <s v="Online Transactions" u="1"/>
        <s v="Property Purchase" u="1"/>
        <s v="Gig: Accomodation" u="1"/>
        <s v="Travel" u="1"/>
        <s v="Car" u="1"/>
        <s v="Toll" u="1"/>
        <s v="CTP / Green slip" u="1"/>
        <s v="Adobe" u="1"/>
        <s v="Shopping Centre" u="1"/>
        <s v="JB Hi Fi" u="1"/>
        <s v="Clothing" u="1"/>
        <s v="House: Rental" u="1"/>
        <s v="House" u="1"/>
        <s v="Accommodation" u="1"/>
        <s v="IOU" u="1"/>
        <s v="Farewell Gift" u="1"/>
        <s v="Clinton Farewell" u="1"/>
        <s v="Ice Cream" u="1"/>
        <s v="Transport: Bus" u="1"/>
        <s v="Ice Cream Shop" u="1"/>
        <s v="Food" u="1"/>
      </sharedItems>
    </cacheField>
    <cacheField name="Day" numFmtId="172">
      <sharedItems containsSemiMixedTypes="0" containsNonDate="0" containsDate="1" containsString="0" minDate="1899-12-31T00:00:00" maxDate="1900-01-31T00:00:00"/>
    </cacheField>
    <cacheField name="Week" numFmtId="167">
      <sharedItems containsSemiMixedTypes="0" containsString="0" containsNumber="1" containsInteger="1" minValue="1" maxValue="53"/>
    </cacheField>
    <cacheField name="Month" numFmtId="167">
      <sharedItems containsSemiMixedTypes="0" containsString="0" containsNumber="1" containsInteger="1" minValue="1" maxValue="12" count="12">
        <n v="2"/>
        <n v="1"/>
        <n v="12"/>
        <n v="11"/>
        <n v="10"/>
        <n v="9"/>
        <n v="8"/>
        <n v="7"/>
        <n v="6"/>
        <n v="5"/>
        <n v="4"/>
        <n v="3"/>
      </sharedItems>
    </cacheField>
    <cacheField name="Year" numFmtId="167">
      <sharedItems containsSemiMixedTypes="0" containsString="0" containsNumber="1" containsInteger="1" minValue="2010" maxValue="2025" count="12">
        <n v="2025"/>
        <n v="2024"/>
        <n v="2023"/>
        <n v="2022"/>
        <n v="2021"/>
        <n v="2020"/>
        <n v="2019"/>
        <n v="2018"/>
        <n v="2017"/>
        <n v="2016"/>
        <n v="2015"/>
        <n v="2010"/>
      </sharedItems>
    </cacheField>
  </cacheFields>
  <extLst>
    <ext xmlns:x14="http://schemas.microsoft.com/office/spreadsheetml/2009/9/main" uri="{725AE2AE-9491-48be-B2B4-4EB974FC3084}">
      <x14:pivotCacheDefinition pivotCacheId="20871879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96">
  <r>
    <x v="0"/>
    <n v="-378.32"/>
    <x v="0"/>
    <n v="3669.33"/>
    <s v="Complete Access"/>
    <x v="0"/>
    <x v="0"/>
    <x v="0"/>
    <d v="1900-01-20T00:00:00"/>
    <n v="8"/>
    <x v="0"/>
    <x v="0"/>
  </r>
  <r>
    <x v="0"/>
    <n v="-42.2"/>
    <x v="1"/>
    <n v="4047.65"/>
    <s v="Complete Access"/>
    <x v="1"/>
    <x v="1"/>
    <x v="1"/>
    <d v="1900-01-20T00:00:00"/>
    <n v="8"/>
    <x v="0"/>
    <x v="0"/>
  </r>
  <r>
    <x v="0"/>
    <n v="-8.6300000000000008"/>
    <x v="2"/>
    <n v="4089.85"/>
    <s v="Complete Access"/>
    <x v="2"/>
    <x v="1"/>
    <x v="1"/>
    <d v="1900-01-20T00:00:00"/>
    <n v="8"/>
    <x v="0"/>
    <x v="0"/>
  </r>
  <r>
    <x v="0"/>
    <n v="-138.87"/>
    <x v="3"/>
    <n v="4098.4799999999996"/>
    <s v="Complete Access"/>
    <x v="3"/>
    <x v="2"/>
    <x v="2"/>
    <d v="1900-01-20T00:00:00"/>
    <n v="8"/>
    <x v="0"/>
    <x v="0"/>
  </r>
  <r>
    <x v="0"/>
    <n v="-21.23"/>
    <x v="4"/>
    <n v="4237.3500000000004"/>
    <s v="Complete Access"/>
    <x v="4"/>
    <x v="1"/>
    <x v="1"/>
    <d v="1900-01-20T00:00:00"/>
    <n v="8"/>
    <x v="0"/>
    <x v="0"/>
  </r>
  <r>
    <x v="0"/>
    <n v="756.64"/>
    <x v="5"/>
    <n v="4258.58"/>
    <s v="Complete Access"/>
    <x v="5"/>
    <x v="3"/>
    <x v="3"/>
    <d v="1900-01-20T00:00:00"/>
    <n v="8"/>
    <x v="0"/>
    <x v="0"/>
  </r>
  <r>
    <x v="1"/>
    <n v="1.32"/>
    <x v="6"/>
    <n v="3501.94"/>
    <s v="Complete Access"/>
    <x v="6"/>
    <x v="4"/>
    <x v="4"/>
    <d v="1900-01-19T00:00:00"/>
    <n v="8"/>
    <x v="0"/>
    <x v="0"/>
  </r>
  <r>
    <x v="2"/>
    <n v="-6.5"/>
    <x v="7"/>
    <n v="3500.62"/>
    <s v="Complete Access"/>
    <x v="1"/>
    <x v="1"/>
    <x v="1"/>
    <d v="1900-01-17T00:00:00"/>
    <n v="8"/>
    <x v="0"/>
    <x v="0"/>
  </r>
  <r>
    <x v="2"/>
    <n v="-16"/>
    <x v="8"/>
    <n v="3507.12"/>
    <s v="Complete Access"/>
    <x v="7"/>
    <x v="1"/>
    <x v="5"/>
    <d v="1900-01-17T00:00:00"/>
    <n v="8"/>
    <x v="0"/>
    <x v="0"/>
  </r>
  <r>
    <x v="3"/>
    <n v="-50"/>
    <x v="9"/>
    <n v="3523.12"/>
    <s v="Complete Access"/>
    <x v="0"/>
    <x v="0"/>
    <x v="0"/>
    <d v="1900-01-16T00:00:00"/>
    <n v="8"/>
    <x v="0"/>
    <x v="0"/>
  </r>
  <r>
    <x v="4"/>
    <n v="-74.989999999999995"/>
    <x v="10"/>
    <n v="3573.12"/>
    <s v="Complete Access"/>
    <x v="8"/>
    <x v="1"/>
    <x v="5"/>
    <d v="1900-01-13T00:00:00"/>
    <n v="7"/>
    <x v="0"/>
    <x v="0"/>
  </r>
  <r>
    <x v="5"/>
    <n v="-37.35"/>
    <x v="11"/>
    <n v="3648.11"/>
    <s v="Complete Access"/>
    <x v="9"/>
    <x v="4"/>
    <x v="6"/>
    <d v="1900-01-12T00:00:00"/>
    <n v="7"/>
    <x v="0"/>
    <x v="0"/>
  </r>
  <r>
    <x v="5"/>
    <n v="-1.24"/>
    <x v="12"/>
    <n v="3685.46"/>
    <s v="Complete Access"/>
    <x v="10"/>
    <x v="0"/>
    <x v="0"/>
    <d v="1900-01-12T00:00:00"/>
    <n v="7"/>
    <x v="0"/>
    <x v="0"/>
  </r>
  <r>
    <x v="5"/>
    <n v="-35.32"/>
    <x v="13"/>
    <n v="3686.7"/>
    <s v="Complete Access"/>
    <x v="11"/>
    <x v="4"/>
    <x v="7"/>
    <d v="1900-01-12T00:00:00"/>
    <n v="7"/>
    <x v="0"/>
    <x v="0"/>
  </r>
  <r>
    <x v="5"/>
    <n v="-40"/>
    <x v="14"/>
    <n v="3722.02"/>
    <s v="Complete Access"/>
    <x v="12"/>
    <x v="5"/>
    <x v="8"/>
    <d v="1900-01-12T00:00:00"/>
    <n v="7"/>
    <x v="0"/>
    <x v="0"/>
  </r>
  <r>
    <x v="5"/>
    <n v="-1408.62"/>
    <x v="15"/>
    <n v="3762.02"/>
    <s v="Complete Access"/>
    <x v="13"/>
    <x v="0"/>
    <x v="0"/>
    <d v="1900-01-12T00:00:00"/>
    <n v="7"/>
    <x v="0"/>
    <x v="0"/>
  </r>
  <r>
    <x v="5"/>
    <n v="2865.27"/>
    <x v="16"/>
    <n v="5170.6400000000003"/>
    <s v="Complete Access"/>
    <x v="14"/>
    <x v="6"/>
    <x v="9"/>
    <d v="1900-01-12T00:00:00"/>
    <n v="7"/>
    <x v="0"/>
    <x v="0"/>
  </r>
  <r>
    <x v="6"/>
    <n v="-6.99"/>
    <x v="17"/>
    <n v="2305.37"/>
    <s v="Complete Access"/>
    <x v="15"/>
    <x v="4"/>
    <x v="10"/>
    <d v="1900-01-11T00:00:00"/>
    <n v="7"/>
    <x v="0"/>
    <x v="0"/>
  </r>
  <r>
    <x v="7"/>
    <n v="-14.73"/>
    <x v="18"/>
    <n v="2312.36"/>
    <s v="Complete Access"/>
    <x v="16"/>
    <x v="1"/>
    <x v="5"/>
    <d v="1900-01-10T00:00:00"/>
    <n v="7"/>
    <x v="0"/>
    <x v="0"/>
  </r>
  <r>
    <x v="7"/>
    <n v="-29.16"/>
    <x v="19"/>
    <n v="2327.09"/>
    <s v="Complete Access"/>
    <x v="1"/>
    <x v="1"/>
    <x v="1"/>
    <d v="1900-01-10T00:00:00"/>
    <n v="7"/>
    <x v="0"/>
    <x v="0"/>
  </r>
  <r>
    <x v="7"/>
    <n v="-10.42"/>
    <x v="20"/>
    <n v="2356.25"/>
    <s v="Complete Access"/>
    <x v="4"/>
    <x v="1"/>
    <x v="1"/>
    <d v="1900-01-10T00:00:00"/>
    <n v="7"/>
    <x v="0"/>
    <x v="0"/>
  </r>
  <r>
    <x v="7"/>
    <n v="-89"/>
    <x v="21"/>
    <n v="2366.67"/>
    <s v="Complete Access"/>
    <x v="17"/>
    <x v="7"/>
    <x v="11"/>
    <d v="1900-01-10T00:00:00"/>
    <n v="7"/>
    <x v="0"/>
    <x v="0"/>
  </r>
  <r>
    <x v="8"/>
    <n v="-90"/>
    <x v="22"/>
    <n v="2455.67"/>
    <s v="Complete Access"/>
    <x v="0"/>
    <x v="0"/>
    <x v="0"/>
    <d v="1900-01-05T00:00:00"/>
    <n v="6"/>
    <x v="0"/>
    <x v="0"/>
  </r>
  <r>
    <x v="8"/>
    <n v="24.63"/>
    <x v="23"/>
    <n v="2545.67"/>
    <s v="Complete Access"/>
    <x v="18"/>
    <x v="8"/>
    <x v="7"/>
    <d v="1900-01-05T00:00:00"/>
    <n v="6"/>
    <x v="0"/>
    <x v="0"/>
  </r>
  <r>
    <x v="9"/>
    <n v="-0.85"/>
    <x v="24"/>
    <n v="2521.04"/>
    <s v="Complete Access"/>
    <x v="10"/>
    <x v="0"/>
    <x v="0"/>
    <d v="1900-01-04T00:00:00"/>
    <n v="6"/>
    <x v="0"/>
    <x v="0"/>
  </r>
  <r>
    <x v="9"/>
    <n v="-24.19"/>
    <x v="25"/>
    <n v="2521.89"/>
    <s v="Complete Access"/>
    <x v="18"/>
    <x v="8"/>
    <x v="7"/>
    <d v="1900-01-04T00:00:00"/>
    <n v="6"/>
    <x v="0"/>
    <x v="0"/>
  </r>
  <r>
    <x v="10"/>
    <n v="-5.99"/>
    <x v="26"/>
    <n v="2546.08"/>
    <s v="Complete Access"/>
    <x v="19"/>
    <x v="3"/>
    <x v="3"/>
    <d v="1900-01-03T00:00:00"/>
    <n v="6"/>
    <x v="0"/>
    <x v="0"/>
  </r>
  <r>
    <x v="10"/>
    <n v="-15.35"/>
    <x v="27"/>
    <n v="2552.0700000000002"/>
    <s v="Complete Access"/>
    <x v="19"/>
    <x v="3"/>
    <x v="3"/>
    <d v="1900-01-03T00:00:00"/>
    <n v="6"/>
    <x v="0"/>
    <x v="0"/>
  </r>
  <r>
    <x v="11"/>
    <n v="-4.4000000000000004"/>
    <x v="10"/>
    <n v="2567.42"/>
    <s v="Complete Access"/>
    <x v="8"/>
    <x v="1"/>
    <x v="5"/>
    <d v="1900-01-01T00:00:00"/>
    <n v="6"/>
    <x v="0"/>
    <x v="0"/>
  </r>
  <r>
    <x v="12"/>
    <n v="-6.99"/>
    <x v="28"/>
    <n v="2571.8200000000002"/>
    <s v="Complete Access"/>
    <x v="20"/>
    <x v="9"/>
    <x v="12"/>
    <d v="1899-12-31T00:00:00"/>
    <n v="5"/>
    <x v="0"/>
    <x v="0"/>
  </r>
  <r>
    <x v="12"/>
    <n v="-41.77"/>
    <x v="10"/>
    <n v="2578.81"/>
    <s v="Complete Access"/>
    <x v="8"/>
    <x v="1"/>
    <x v="5"/>
    <d v="1899-12-31T00:00:00"/>
    <n v="5"/>
    <x v="0"/>
    <x v="0"/>
  </r>
  <r>
    <x v="12"/>
    <n v="-50.03"/>
    <x v="28"/>
    <n v="2620.58"/>
    <s v="Complete Access"/>
    <x v="20"/>
    <x v="9"/>
    <x v="12"/>
    <d v="1899-12-31T00:00:00"/>
    <n v="5"/>
    <x v="0"/>
    <x v="0"/>
  </r>
  <r>
    <x v="13"/>
    <n v="-37.35"/>
    <x v="11"/>
    <n v="2670.61"/>
    <s v="Complete Access"/>
    <x v="9"/>
    <x v="4"/>
    <x v="6"/>
    <d v="1900-01-29T00:00:00"/>
    <n v="5"/>
    <x v="1"/>
    <x v="0"/>
  </r>
  <r>
    <x v="13"/>
    <n v="-1408.62"/>
    <x v="15"/>
    <n v="2707.96"/>
    <s v="Complete Access"/>
    <x v="13"/>
    <x v="0"/>
    <x v="0"/>
    <d v="1900-01-29T00:00:00"/>
    <n v="5"/>
    <x v="1"/>
    <x v="0"/>
  </r>
  <r>
    <x v="13"/>
    <n v="2865.27"/>
    <x v="29"/>
    <n v="4116.58"/>
    <s v="Complete Access"/>
    <x v="14"/>
    <x v="6"/>
    <x v="9"/>
    <d v="1900-01-29T00:00:00"/>
    <n v="5"/>
    <x v="1"/>
    <x v="0"/>
  </r>
  <r>
    <x v="14"/>
    <n v="-79.569999999999993"/>
    <x v="30"/>
    <n v="1251.31"/>
    <s v="Complete Access"/>
    <x v="21"/>
    <x v="10"/>
    <x v="13"/>
    <d v="1900-01-28T00:00:00"/>
    <n v="5"/>
    <x v="1"/>
    <x v="0"/>
  </r>
  <r>
    <x v="14"/>
    <n v="-40.64"/>
    <x v="31"/>
    <n v="1330.88"/>
    <s v="Complete Access"/>
    <x v="5"/>
    <x v="3"/>
    <x v="3"/>
    <d v="1900-01-28T00:00:00"/>
    <n v="5"/>
    <x v="1"/>
    <x v="0"/>
  </r>
  <r>
    <x v="14"/>
    <n v="-20.64"/>
    <x v="32"/>
    <n v="1371.52"/>
    <s v="Complete Access"/>
    <x v="4"/>
    <x v="1"/>
    <x v="1"/>
    <d v="1900-01-28T00:00:00"/>
    <n v="5"/>
    <x v="1"/>
    <x v="0"/>
  </r>
  <r>
    <x v="15"/>
    <n v="-16"/>
    <x v="8"/>
    <n v="1392.16"/>
    <s v="Complete Access"/>
    <x v="7"/>
    <x v="1"/>
    <x v="5"/>
    <d v="1900-01-27T00:00:00"/>
    <n v="5"/>
    <x v="1"/>
    <x v="0"/>
  </r>
  <r>
    <x v="16"/>
    <n v="-14"/>
    <x v="33"/>
    <n v="1408.16"/>
    <s v="Complete Access"/>
    <x v="1"/>
    <x v="1"/>
    <x v="1"/>
    <d v="1900-01-25T00:00:00"/>
    <n v="5"/>
    <x v="1"/>
    <x v="0"/>
  </r>
  <r>
    <x v="16"/>
    <n v="-24.97"/>
    <x v="34"/>
    <n v="1422.16"/>
    <s v="Complete Access"/>
    <x v="22"/>
    <x v="11"/>
    <x v="14"/>
    <d v="1900-01-25T00:00:00"/>
    <n v="5"/>
    <x v="1"/>
    <x v="0"/>
  </r>
  <r>
    <x v="16"/>
    <n v="-50.5"/>
    <x v="35"/>
    <n v="1447.13"/>
    <s v="Complete Access"/>
    <x v="23"/>
    <x v="3"/>
    <x v="15"/>
    <d v="1900-01-25T00:00:00"/>
    <n v="5"/>
    <x v="1"/>
    <x v="0"/>
  </r>
  <r>
    <x v="17"/>
    <n v="-31"/>
    <x v="36"/>
    <n v="1497.63"/>
    <s v="Complete Access"/>
    <x v="17"/>
    <x v="7"/>
    <x v="11"/>
    <d v="1900-01-23T00:00:00"/>
    <n v="4"/>
    <x v="1"/>
    <x v="0"/>
  </r>
  <r>
    <x v="18"/>
    <n v="-138.87"/>
    <x v="37"/>
    <n v="1528.63"/>
    <s v="Complete Access"/>
    <x v="3"/>
    <x v="2"/>
    <x v="2"/>
    <d v="1900-01-22T00:00:00"/>
    <n v="4"/>
    <x v="1"/>
    <x v="0"/>
  </r>
  <r>
    <x v="19"/>
    <n v="-88"/>
    <x v="22"/>
    <n v="1667.5"/>
    <s v="Complete Access"/>
    <x v="0"/>
    <x v="0"/>
    <x v="0"/>
    <d v="1900-01-20T00:00:00"/>
    <n v="4"/>
    <x v="1"/>
    <x v="0"/>
  </r>
  <r>
    <x v="19"/>
    <n v="-7"/>
    <x v="7"/>
    <n v="1755.5"/>
    <s v="Complete Access"/>
    <x v="1"/>
    <x v="1"/>
    <x v="1"/>
    <d v="1900-01-20T00:00:00"/>
    <n v="4"/>
    <x v="1"/>
    <x v="0"/>
  </r>
  <r>
    <x v="19"/>
    <n v="-75"/>
    <x v="38"/>
    <n v="1762.5"/>
    <s v="Complete Access"/>
    <x v="24"/>
    <x v="11"/>
    <x v="16"/>
    <d v="1900-01-20T00:00:00"/>
    <n v="4"/>
    <x v="1"/>
    <x v="0"/>
  </r>
  <r>
    <x v="19"/>
    <n v="-827"/>
    <x v="39"/>
    <n v="1837.5"/>
    <s v="Complete Access"/>
    <x v="25"/>
    <x v="3"/>
    <x v="17"/>
    <d v="1900-01-20T00:00:00"/>
    <n v="4"/>
    <x v="1"/>
    <x v="0"/>
  </r>
  <r>
    <x v="19"/>
    <n v="-39.47"/>
    <x v="40"/>
    <n v="2664.5"/>
    <s v="Complete Access"/>
    <x v="1"/>
    <x v="1"/>
    <x v="1"/>
    <d v="1900-01-20T00:00:00"/>
    <n v="4"/>
    <x v="1"/>
    <x v="0"/>
  </r>
  <r>
    <x v="20"/>
    <n v="42.85"/>
    <x v="41"/>
    <n v="2703.97"/>
    <s v="Complete Access"/>
    <x v="26"/>
    <x v="11"/>
    <x v="18"/>
    <d v="1900-01-19T00:00:00"/>
    <n v="4"/>
    <x v="1"/>
    <x v="0"/>
  </r>
  <r>
    <x v="21"/>
    <n v="-21.33"/>
    <x v="7"/>
    <n v="2661.12"/>
    <s v="Complete Access"/>
    <x v="1"/>
    <x v="1"/>
    <x v="1"/>
    <d v="1900-01-18T00:00:00"/>
    <n v="4"/>
    <x v="1"/>
    <x v="0"/>
  </r>
  <r>
    <x v="22"/>
    <n v="-17.04"/>
    <x v="42"/>
    <n v="2682.45"/>
    <s v="Complete Access"/>
    <x v="27"/>
    <x v="1"/>
    <x v="5"/>
    <d v="1900-01-17T00:00:00"/>
    <n v="3"/>
    <x v="1"/>
    <x v="0"/>
  </r>
  <r>
    <x v="22"/>
    <n v="-18"/>
    <x v="43"/>
    <n v="2699.49"/>
    <s v="Complete Access"/>
    <x v="28"/>
    <x v="1"/>
    <x v="5"/>
    <d v="1900-01-17T00:00:00"/>
    <n v="3"/>
    <x v="1"/>
    <x v="0"/>
  </r>
  <r>
    <x v="23"/>
    <n v="-29"/>
    <x v="44"/>
    <n v="2717.49"/>
    <s v="Complete Access"/>
    <x v="29"/>
    <x v="4"/>
    <x v="19"/>
    <d v="1900-01-16T00:00:00"/>
    <n v="3"/>
    <x v="1"/>
    <x v="0"/>
  </r>
  <r>
    <x v="23"/>
    <n v="29"/>
    <x v="45"/>
    <n v="2746.49"/>
    <s v="Complete Access"/>
    <x v="29"/>
    <x v="4"/>
    <x v="19"/>
    <d v="1900-01-16T00:00:00"/>
    <n v="3"/>
    <x v="1"/>
    <x v="0"/>
  </r>
  <r>
    <x v="24"/>
    <n v="-40"/>
    <x v="46"/>
    <n v="2717.49"/>
    <s v="Complete Access"/>
    <x v="12"/>
    <x v="5"/>
    <x v="8"/>
    <d v="1900-01-15T00:00:00"/>
    <n v="3"/>
    <x v="1"/>
    <x v="0"/>
  </r>
  <r>
    <x v="24"/>
    <n v="-1408.62"/>
    <x v="15"/>
    <n v="2757.49"/>
    <s v="Complete Access"/>
    <x v="13"/>
    <x v="0"/>
    <x v="0"/>
    <d v="1900-01-15T00:00:00"/>
    <n v="3"/>
    <x v="1"/>
    <x v="0"/>
  </r>
  <r>
    <x v="24"/>
    <n v="2865.27"/>
    <x v="47"/>
    <n v="4166.1099999999997"/>
    <s v="Complete Access"/>
    <x v="14"/>
    <x v="6"/>
    <x v="9"/>
    <d v="1900-01-15T00:00:00"/>
    <n v="3"/>
    <x v="1"/>
    <x v="0"/>
  </r>
  <r>
    <x v="25"/>
    <n v="60.35"/>
    <x v="6"/>
    <n v="1300.8399999999999"/>
    <s v="Complete Access"/>
    <x v="6"/>
    <x v="4"/>
    <x v="4"/>
    <d v="1900-01-13T00:00:00"/>
    <n v="3"/>
    <x v="1"/>
    <x v="0"/>
  </r>
  <r>
    <x v="25"/>
    <n v="-16"/>
    <x v="8"/>
    <n v="1240.49"/>
    <s v="Complete Access"/>
    <x v="7"/>
    <x v="1"/>
    <x v="5"/>
    <d v="1900-01-13T00:00:00"/>
    <n v="3"/>
    <x v="1"/>
    <x v="0"/>
  </r>
  <r>
    <x v="25"/>
    <n v="-89"/>
    <x v="48"/>
    <n v="1256.49"/>
    <s v="Complete Access"/>
    <x v="17"/>
    <x v="7"/>
    <x v="11"/>
    <d v="1900-01-13T00:00:00"/>
    <n v="3"/>
    <x v="1"/>
    <x v="0"/>
  </r>
  <r>
    <x v="25"/>
    <n v="-1.25"/>
    <x v="49"/>
    <n v="1345.49"/>
    <s v="Complete Access"/>
    <x v="10"/>
    <x v="0"/>
    <x v="0"/>
    <d v="1900-01-13T00:00:00"/>
    <n v="3"/>
    <x v="1"/>
    <x v="0"/>
  </r>
  <r>
    <x v="25"/>
    <n v="-35.840000000000003"/>
    <x v="50"/>
    <n v="1346.74"/>
    <s v="Complete Access"/>
    <x v="11"/>
    <x v="4"/>
    <x v="7"/>
    <d v="1900-01-13T00:00:00"/>
    <n v="3"/>
    <x v="1"/>
    <x v="0"/>
  </r>
  <r>
    <x v="26"/>
    <n v="-6.99"/>
    <x v="51"/>
    <n v="1382.58"/>
    <s v="Complete Access"/>
    <x v="15"/>
    <x v="4"/>
    <x v="10"/>
    <d v="1900-01-10T00:00:00"/>
    <n v="2"/>
    <x v="1"/>
    <x v="0"/>
  </r>
  <r>
    <x v="26"/>
    <n v="-2.99"/>
    <x v="52"/>
    <n v="1389.57"/>
    <s v="Complete Access"/>
    <x v="15"/>
    <x v="4"/>
    <x v="10"/>
    <d v="1900-01-10T00:00:00"/>
    <n v="2"/>
    <x v="1"/>
    <x v="0"/>
  </r>
  <r>
    <x v="26"/>
    <n v="-29.95"/>
    <x v="53"/>
    <n v="1392.56"/>
    <s v="Complete Access"/>
    <x v="5"/>
    <x v="3"/>
    <x v="3"/>
    <d v="1900-01-10T00:00:00"/>
    <n v="2"/>
    <x v="1"/>
    <x v="0"/>
  </r>
  <r>
    <x v="27"/>
    <n v="-39.950000000000003"/>
    <x v="54"/>
    <n v="1422.51"/>
    <s v="Complete Access"/>
    <x v="30"/>
    <x v="4"/>
    <x v="20"/>
    <d v="1900-01-09T00:00:00"/>
    <n v="2"/>
    <x v="1"/>
    <x v="0"/>
  </r>
  <r>
    <x v="27"/>
    <n v="-90"/>
    <x v="55"/>
    <n v="1462.46"/>
    <s v="Complete Access"/>
    <x v="13"/>
    <x v="0"/>
    <x v="0"/>
    <d v="1900-01-09T00:00:00"/>
    <n v="2"/>
    <x v="1"/>
    <x v="0"/>
  </r>
  <r>
    <x v="28"/>
    <n v="39.950000000000003"/>
    <x v="56"/>
    <n v="1552.46"/>
    <s v="Complete Access"/>
    <x v="30"/>
    <x v="4"/>
    <x v="20"/>
    <d v="1900-01-08T00:00:00"/>
    <n v="2"/>
    <x v="1"/>
    <x v="0"/>
  </r>
  <r>
    <x v="28"/>
    <n v="-42.38"/>
    <x v="57"/>
    <n v="1512.51"/>
    <s v="Complete Access"/>
    <x v="5"/>
    <x v="3"/>
    <x v="3"/>
    <d v="1900-01-08T00:00:00"/>
    <n v="2"/>
    <x v="1"/>
    <x v="0"/>
  </r>
  <r>
    <x v="29"/>
    <n v="-0.85"/>
    <x v="58"/>
    <n v="1554.89"/>
    <s v="Complete Access"/>
    <x v="10"/>
    <x v="0"/>
    <x v="0"/>
    <d v="1900-01-06T00:00:00"/>
    <n v="2"/>
    <x v="1"/>
    <x v="0"/>
  </r>
  <r>
    <x v="29"/>
    <n v="-24.26"/>
    <x v="59"/>
    <n v="1555.74"/>
    <s v="Complete Access"/>
    <x v="18"/>
    <x v="8"/>
    <x v="7"/>
    <d v="1900-01-06T00:00:00"/>
    <n v="2"/>
    <x v="1"/>
    <x v="0"/>
  </r>
  <r>
    <x v="29"/>
    <n v="-364.17"/>
    <x v="60"/>
    <n v="1580"/>
    <s v="Complete Access"/>
    <x v="31"/>
    <x v="12"/>
    <x v="21"/>
    <d v="1900-01-06T00:00:00"/>
    <n v="2"/>
    <x v="1"/>
    <x v="0"/>
  </r>
  <r>
    <x v="29"/>
    <n v="-83.45"/>
    <x v="61"/>
    <n v="1944.17"/>
    <s v="Complete Access"/>
    <x v="5"/>
    <x v="3"/>
    <x v="3"/>
    <d v="1900-01-06T00:00:00"/>
    <n v="2"/>
    <x v="1"/>
    <x v="0"/>
  </r>
  <r>
    <x v="30"/>
    <n v="-0.95"/>
    <x v="7"/>
    <n v="2027.62"/>
    <s v="Complete Access"/>
    <x v="1"/>
    <x v="1"/>
    <x v="1"/>
    <d v="1900-01-03T00:00:00"/>
    <n v="1"/>
    <x v="1"/>
    <x v="0"/>
  </r>
  <r>
    <x v="30"/>
    <n v="-13.99"/>
    <x v="30"/>
    <n v="2028.57"/>
    <s v="Complete Access"/>
    <x v="21"/>
    <x v="10"/>
    <x v="13"/>
    <d v="1900-01-03T00:00:00"/>
    <n v="1"/>
    <x v="1"/>
    <x v="0"/>
  </r>
  <r>
    <x v="30"/>
    <n v="-14"/>
    <x v="62"/>
    <n v="2042.56"/>
    <s v="Complete Access"/>
    <x v="32"/>
    <x v="8"/>
    <x v="22"/>
    <d v="1900-01-03T00:00:00"/>
    <n v="1"/>
    <x v="1"/>
    <x v="0"/>
  </r>
  <r>
    <x v="30"/>
    <n v="-13.66"/>
    <x v="63"/>
    <n v="2056.56"/>
    <s v="Complete Access"/>
    <x v="33"/>
    <x v="1"/>
    <x v="5"/>
    <d v="1900-01-03T00:00:00"/>
    <n v="1"/>
    <x v="1"/>
    <x v="0"/>
  </r>
  <r>
    <x v="30"/>
    <n v="-39.47"/>
    <x v="63"/>
    <n v="2070.2199999999998"/>
    <s v="Complete Access"/>
    <x v="33"/>
    <x v="1"/>
    <x v="5"/>
    <d v="1900-01-03T00:00:00"/>
    <n v="1"/>
    <x v="1"/>
    <x v="0"/>
  </r>
  <r>
    <x v="31"/>
    <n v="-5"/>
    <x v="64"/>
    <n v="2109.69"/>
    <s v="Complete Access"/>
    <x v="34"/>
    <x v="9"/>
    <x v="12"/>
    <d v="1900-01-02T00:00:00"/>
    <n v="1"/>
    <x v="1"/>
    <x v="0"/>
  </r>
  <r>
    <x v="31"/>
    <n v="-5"/>
    <x v="64"/>
    <n v="2114.69"/>
    <s v="Complete Access"/>
    <x v="34"/>
    <x v="9"/>
    <x v="12"/>
    <d v="1900-01-02T00:00:00"/>
    <n v="1"/>
    <x v="1"/>
    <x v="0"/>
  </r>
  <r>
    <x v="31"/>
    <n v="-105"/>
    <x v="65"/>
    <n v="2119.69"/>
    <s v="Complete Access"/>
    <x v="35"/>
    <x v="1"/>
    <x v="23"/>
    <d v="1900-01-02T00:00:00"/>
    <n v="1"/>
    <x v="1"/>
    <x v="0"/>
  </r>
  <r>
    <x v="31"/>
    <n v="-90"/>
    <x v="55"/>
    <n v="2224.69"/>
    <s v="Complete Access"/>
    <x v="13"/>
    <x v="0"/>
    <x v="0"/>
    <d v="1900-01-02T00:00:00"/>
    <n v="1"/>
    <x v="1"/>
    <x v="0"/>
  </r>
  <r>
    <x v="32"/>
    <n v="-12"/>
    <x v="66"/>
    <n v="2314.69"/>
    <s v="Complete Access"/>
    <x v="0"/>
    <x v="0"/>
    <x v="0"/>
    <d v="1900-01-01T00:00:00"/>
    <n v="1"/>
    <x v="1"/>
    <x v="0"/>
  </r>
  <r>
    <x v="32"/>
    <n v="4.5"/>
    <x v="67"/>
    <n v="2326.69"/>
    <s v="Complete Access"/>
    <x v="36"/>
    <x v="0"/>
    <x v="0"/>
    <d v="1900-01-01T00:00:00"/>
    <n v="1"/>
    <x v="1"/>
    <x v="0"/>
  </r>
  <r>
    <x v="32"/>
    <n v="-20"/>
    <x v="68"/>
    <n v="2322.19"/>
    <s v="Complete Access"/>
    <x v="0"/>
    <x v="0"/>
    <x v="0"/>
    <d v="1900-01-01T00:00:00"/>
    <n v="1"/>
    <x v="1"/>
    <x v="0"/>
  </r>
  <r>
    <x v="32"/>
    <n v="-40"/>
    <x v="68"/>
    <n v="2342.19"/>
    <s v="Complete Access"/>
    <x v="0"/>
    <x v="0"/>
    <x v="0"/>
    <d v="1900-01-01T00:00:00"/>
    <n v="1"/>
    <x v="1"/>
    <x v="0"/>
  </r>
  <r>
    <x v="32"/>
    <n v="-5"/>
    <x v="69"/>
    <n v="2382.19"/>
    <s v="Complete Access"/>
    <x v="0"/>
    <x v="0"/>
    <x v="0"/>
    <d v="1900-01-01T00:00:00"/>
    <n v="1"/>
    <x v="1"/>
    <x v="0"/>
  </r>
  <r>
    <x v="32"/>
    <n v="-1408.62"/>
    <x v="15"/>
    <n v="2387.19"/>
    <s v="Complete Access"/>
    <x v="13"/>
    <x v="0"/>
    <x v="0"/>
    <d v="1900-01-01T00:00:00"/>
    <n v="1"/>
    <x v="1"/>
    <x v="0"/>
  </r>
  <r>
    <x v="33"/>
    <n v="-33.33"/>
    <x v="70"/>
    <n v="3795.81"/>
    <s v="Complete Access"/>
    <x v="8"/>
    <x v="1"/>
    <x v="5"/>
    <d v="1899-12-31T00:00:00"/>
    <n v="1"/>
    <x v="1"/>
    <x v="0"/>
  </r>
  <r>
    <x v="33"/>
    <n v="2865.27"/>
    <x v="71"/>
    <n v="3829.14"/>
    <s v="Complete Access"/>
    <x v="14"/>
    <x v="6"/>
    <x v="9"/>
    <d v="1899-12-31T00:00:00"/>
    <n v="1"/>
    <x v="1"/>
    <x v="0"/>
  </r>
  <r>
    <x v="34"/>
    <n v="-3"/>
    <x v="72"/>
    <n v="963.87"/>
    <s v="Complete Access"/>
    <x v="37"/>
    <x v="0"/>
    <x v="0"/>
    <d v="1900-01-30T00:00:00"/>
    <n v="53"/>
    <x v="2"/>
    <x v="1"/>
  </r>
  <r>
    <x v="34"/>
    <n v="-300"/>
    <x v="73"/>
    <n v="966.87"/>
    <s v="Complete Access"/>
    <x v="1"/>
    <x v="1"/>
    <x v="1"/>
    <d v="1900-01-30T00:00:00"/>
    <n v="53"/>
    <x v="2"/>
    <x v="1"/>
  </r>
  <r>
    <x v="34"/>
    <n v="-9"/>
    <x v="33"/>
    <n v="1266.8699999999999"/>
    <s v="Complete Access"/>
    <x v="1"/>
    <x v="1"/>
    <x v="1"/>
    <d v="1900-01-30T00:00:00"/>
    <n v="53"/>
    <x v="2"/>
    <x v="1"/>
  </r>
  <r>
    <x v="34"/>
    <n v="-32.159999999999997"/>
    <x v="42"/>
    <n v="1275.8699999999999"/>
    <s v="Complete Access"/>
    <x v="27"/>
    <x v="1"/>
    <x v="5"/>
    <d v="1900-01-30T00:00:00"/>
    <n v="53"/>
    <x v="2"/>
    <x v="1"/>
  </r>
  <r>
    <x v="34"/>
    <n v="-14.99"/>
    <x v="74"/>
    <n v="1308.03"/>
    <s v="Complete Access"/>
    <x v="38"/>
    <x v="3"/>
    <x v="15"/>
    <d v="1900-01-30T00:00:00"/>
    <n v="53"/>
    <x v="2"/>
    <x v="1"/>
  </r>
  <r>
    <x v="34"/>
    <n v="-16"/>
    <x v="75"/>
    <n v="1323.02"/>
    <s v="Complete Access"/>
    <x v="34"/>
    <x v="9"/>
    <x v="12"/>
    <d v="1900-01-30T00:00:00"/>
    <n v="53"/>
    <x v="2"/>
    <x v="1"/>
  </r>
  <r>
    <x v="35"/>
    <n v="-5"/>
    <x v="76"/>
    <n v="1339.02"/>
    <s v="Complete Access"/>
    <x v="39"/>
    <x v="1"/>
    <x v="5"/>
    <d v="1900-01-28T00:00:00"/>
    <n v="53"/>
    <x v="2"/>
    <x v="1"/>
  </r>
  <r>
    <x v="35"/>
    <n v="-18.899999999999999"/>
    <x v="76"/>
    <n v="1344.02"/>
    <s v="Complete Access"/>
    <x v="39"/>
    <x v="1"/>
    <x v="5"/>
    <d v="1900-01-28T00:00:00"/>
    <n v="53"/>
    <x v="2"/>
    <x v="1"/>
  </r>
  <r>
    <x v="35"/>
    <n v="-41.56"/>
    <x v="28"/>
    <n v="1362.92"/>
    <s v="Complete Access"/>
    <x v="20"/>
    <x v="9"/>
    <x v="12"/>
    <d v="1900-01-28T00:00:00"/>
    <n v="53"/>
    <x v="2"/>
    <x v="1"/>
  </r>
  <r>
    <x v="36"/>
    <n v="-391.65"/>
    <x v="77"/>
    <n v="1404.48"/>
    <s v="Complete Access"/>
    <x v="40"/>
    <x v="13"/>
    <x v="24"/>
    <d v="1900-01-27T00:00:00"/>
    <n v="52"/>
    <x v="2"/>
    <x v="1"/>
  </r>
  <r>
    <x v="36"/>
    <n v="-40"/>
    <x v="78"/>
    <n v="1796.13"/>
    <s v="Complete Access"/>
    <x v="1"/>
    <x v="1"/>
    <x v="1"/>
    <d v="1900-01-27T00:00:00"/>
    <n v="52"/>
    <x v="2"/>
    <x v="1"/>
  </r>
  <r>
    <x v="36"/>
    <n v="-0.84"/>
    <x v="79"/>
    <n v="1836.13"/>
    <s v="Complete Access"/>
    <x v="10"/>
    <x v="0"/>
    <x v="0"/>
    <d v="1900-01-27T00:00:00"/>
    <n v="52"/>
    <x v="2"/>
    <x v="1"/>
  </r>
  <r>
    <x v="36"/>
    <n v="-24.05"/>
    <x v="80"/>
    <n v="1836.97"/>
    <s v="Complete Access"/>
    <x v="41"/>
    <x v="4"/>
    <x v="25"/>
    <d v="1900-01-27T00:00:00"/>
    <n v="52"/>
    <x v="2"/>
    <x v="1"/>
  </r>
  <r>
    <x v="36"/>
    <n v="-57.36"/>
    <x v="81"/>
    <n v="1861.02"/>
    <s v="Complete Access"/>
    <x v="21"/>
    <x v="10"/>
    <x v="13"/>
    <d v="1900-01-27T00:00:00"/>
    <n v="52"/>
    <x v="2"/>
    <x v="1"/>
  </r>
  <r>
    <x v="37"/>
    <n v="-90"/>
    <x v="55"/>
    <n v="1918.38"/>
    <s v="Complete Access"/>
    <x v="13"/>
    <x v="0"/>
    <x v="0"/>
    <d v="1900-01-26T00:00:00"/>
    <n v="52"/>
    <x v="2"/>
    <x v="1"/>
  </r>
  <r>
    <x v="38"/>
    <n v="-12"/>
    <x v="82"/>
    <n v="2008.38"/>
    <s v="Complete Access"/>
    <x v="42"/>
    <x v="8"/>
    <x v="22"/>
    <d v="1900-01-25T00:00:00"/>
    <n v="52"/>
    <x v="2"/>
    <x v="1"/>
  </r>
  <r>
    <x v="39"/>
    <n v="-3"/>
    <x v="72"/>
    <n v="2020.38"/>
    <s v="Complete Access"/>
    <x v="37"/>
    <x v="0"/>
    <x v="0"/>
    <d v="1900-01-24T00:00:00"/>
    <n v="52"/>
    <x v="2"/>
    <x v="1"/>
  </r>
  <r>
    <x v="39"/>
    <n v="-100"/>
    <x v="73"/>
    <n v="2023.38"/>
    <s v="Complete Access"/>
    <x v="1"/>
    <x v="1"/>
    <x v="1"/>
    <d v="1900-01-24T00:00:00"/>
    <n v="52"/>
    <x v="2"/>
    <x v="1"/>
  </r>
  <r>
    <x v="39"/>
    <n v="-31"/>
    <x v="83"/>
    <n v="2123.38"/>
    <s v="Complete Access"/>
    <x v="17"/>
    <x v="7"/>
    <x v="11"/>
    <d v="1900-01-24T00:00:00"/>
    <n v="52"/>
    <x v="2"/>
    <x v="1"/>
  </r>
  <r>
    <x v="39"/>
    <n v="200"/>
    <x v="84"/>
    <n v="2154.38"/>
    <s v="Complete Access"/>
    <x v="36"/>
    <x v="0"/>
    <x v="0"/>
    <d v="1900-01-24T00:00:00"/>
    <n v="52"/>
    <x v="2"/>
    <x v="1"/>
  </r>
  <r>
    <x v="40"/>
    <n v="-148"/>
    <x v="85"/>
    <n v="1954.38"/>
    <s v="Complete Access"/>
    <x v="35"/>
    <x v="1"/>
    <x v="23"/>
    <d v="1900-01-23T00:00:00"/>
    <n v="52"/>
    <x v="2"/>
    <x v="1"/>
  </r>
  <r>
    <x v="41"/>
    <n v="-7.78"/>
    <x v="30"/>
    <n v="2102.38"/>
    <s v="Complete Access"/>
    <x v="21"/>
    <x v="10"/>
    <x v="13"/>
    <d v="1900-01-20T00:00:00"/>
    <n v="51"/>
    <x v="2"/>
    <x v="1"/>
  </r>
  <r>
    <x v="41"/>
    <n v="-4.04"/>
    <x v="86"/>
    <n v="2110.16"/>
    <s v="Complete Access"/>
    <x v="43"/>
    <x v="3"/>
    <x v="26"/>
    <d v="1900-01-20T00:00:00"/>
    <n v="51"/>
    <x v="2"/>
    <x v="1"/>
  </r>
  <r>
    <x v="41"/>
    <n v="-12"/>
    <x v="33"/>
    <n v="2114.1999999999998"/>
    <s v="Complete Access"/>
    <x v="1"/>
    <x v="1"/>
    <x v="1"/>
    <d v="1900-01-20T00:00:00"/>
    <n v="51"/>
    <x v="2"/>
    <x v="1"/>
  </r>
  <r>
    <x v="41"/>
    <n v="-40.19"/>
    <x v="87"/>
    <n v="2126.1999999999998"/>
    <s v="Complete Access"/>
    <x v="20"/>
    <x v="9"/>
    <x v="12"/>
    <d v="1900-01-20T00:00:00"/>
    <n v="51"/>
    <x v="2"/>
    <x v="1"/>
  </r>
  <r>
    <x v="41"/>
    <n v="-3.4"/>
    <x v="88"/>
    <n v="2166.39"/>
    <s v="Complete Access"/>
    <x v="44"/>
    <x v="4"/>
    <x v="27"/>
    <d v="1900-01-20T00:00:00"/>
    <n v="51"/>
    <x v="2"/>
    <x v="1"/>
  </r>
  <r>
    <x v="41"/>
    <n v="-3.4"/>
    <x v="88"/>
    <n v="2169.79"/>
    <s v="Complete Access"/>
    <x v="44"/>
    <x v="4"/>
    <x v="27"/>
    <d v="1900-01-20T00:00:00"/>
    <n v="51"/>
    <x v="2"/>
    <x v="1"/>
  </r>
  <r>
    <x v="41"/>
    <n v="-379"/>
    <x v="89"/>
    <n v="2173.19"/>
    <s v="Complete Access"/>
    <x v="45"/>
    <x v="3"/>
    <x v="28"/>
    <d v="1900-01-20T00:00:00"/>
    <n v="51"/>
    <x v="2"/>
    <x v="1"/>
  </r>
  <r>
    <x v="41"/>
    <n v="-138.87"/>
    <x v="90"/>
    <n v="2552.19"/>
    <s v="Complete Access"/>
    <x v="3"/>
    <x v="2"/>
    <x v="2"/>
    <d v="1900-01-20T00:00:00"/>
    <n v="51"/>
    <x v="2"/>
    <x v="1"/>
  </r>
  <r>
    <x v="42"/>
    <n v="-90"/>
    <x v="55"/>
    <n v="2691.06"/>
    <s v="Complete Access"/>
    <x v="13"/>
    <x v="0"/>
    <x v="0"/>
    <d v="1900-01-19T00:00:00"/>
    <n v="51"/>
    <x v="2"/>
    <x v="1"/>
  </r>
  <r>
    <x v="43"/>
    <n v="-200"/>
    <x v="91"/>
    <n v="2781.06"/>
    <s v="Complete Access"/>
    <x v="0"/>
    <x v="0"/>
    <x v="0"/>
    <d v="1900-01-18T00:00:00"/>
    <n v="51"/>
    <x v="2"/>
    <x v="1"/>
  </r>
  <r>
    <x v="43"/>
    <n v="-1408.62"/>
    <x v="15"/>
    <n v="2981.06"/>
    <s v="Complete Access"/>
    <x v="13"/>
    <x v="0"/>
    <x v="0"/>
    <d v="1900-01-18T00:00:00"/>
    <n v="51"/>
    <x v="2"/>
    <x v="1"/>
  </r>
  <r>
    <x v="43"/>
    <n v="2865.27"/>
    <x v="92"/>
    <n v="4389.68"/>
    <s v="Complete Access"/>
    <x v="14"/>
    <x v="6"/>
    <x v="9"/>
    <d v="1900-01-18T00:00:00"/>
    <n v="51"/>
    <x v="2"/>
    <x v="1"/>
  </r>
  <r>
    <x v="44"/>
    <n v="-35.4"/>
    <x v="93"/>
    <n v="1524.41"/>
    <s v="Complete Access"/>
    <x v="1"/>
    <x v="1"/>
    <x v="1"/>
    <d v="1900-01-16T00:00:00"/>
    <n v="51"/>
    <x v="2"/>
    <x v="1"/>
  </r>
  <r>
    <x v="44"/>
    <n v="-34.94"/>
    <x v="94"/>
    <n v="1559.81"/>
    <s v="Complete Access"/>
    <x v="46"/>
    <x v="1"/>
    <x v="1"/>
    <d v="1900-01-16T00:00:00"/>
    <n v="51"/>
    <x v="2"/>
    <x v="1"/>
  </r>
  <r>
    <x v="45"/>
    <n v="-2.9"/>
    <x v="7"/>
    <n v="1594.75"/>
    <s v="Complete Access"/>
    <x v="1"/>
    <x v="1"/>
    <x v="1"/>
    <d v="1900-01-15T00:00:00"/>
    <n v="51"/>
    <x v="2"/>
    <x v="1"/>
  </r>
  <r>
    <x v="45"/>
    <n v="-180"/>
    <x v="95"/>
    <n v="1597.65"/>
    <s v="Complete Access"/>
    <x v="0"/>
    <x v="0"/>
    <x v="0"/>
    <d v="1900-01-15T00:00:00"/>
    <n v="51"/>
    <x v="2"/>
    <x v="1"/>
  </r>
  <r>
    <x v="46"/>
    <n v="-29"/>
    <x v="96"/>
    <n v="1777.65"/>
    <s v="Complete Access"/>
    <x v="47"/>
    <x v="1"/>
    <x v="5"/>
    <d v="1900-01-14T00:00:00"/>
    <n v="51"/>
    <x v="2"/>
    <x v="1"/>
  </r>
  <r>
    <x v="47"/>
    <n v="-11.17"/>
    <x v="97"/>
    <n v="1806.65"/>
    <s v="Complete Access"/>
    <x v="48"/>
    <x v="8"/>
    <x v="29"/>
    <d v="1900-01-13T00:00:00"/>
    <n v="50"/>
    <x v="2"/>
    <x v="1"/>
  </r>
  <r>
    <x v="47"/>
    <n v="-33.5"/>
    <x v="98"/>
    <n v="1817.82"/>
    <s v="Complete Access"/>
    <x v="48"/>
    <x v="8"/>
    <x v="29"/>
    <d v="1900-01-13T00:00:00"/>
    <n v="50"/>
    <x v="2"/>
    <x v="1"/>
  </r>
  <r>
    <x v="47"/>
    <n v="-33.5"/>
    <x v="98"/>
    <n v="1851.32"/>
    <s v="Complete Access"/>
    <x v="48"/>
    <x v="8"/>
    <x v="29"/>
    <d v="1900-01-13T00:00:00"/>
    <n v="50"/>
    <x v="2"/>
    <x v="1"/>
  </r>
  <r>
    <x v="48"/>
    <n v="-1.21"/>
    <x v="99"/>
    <n v="1884.82"/>
    <s v="Complete Access"/>
    <x v="10"/>
    <x v="0"/>
    <x v="0"/>
    <d v="1900-01-12T00:00:00"/>
    <n v="50"/>
    <x v="2"/>
    <x v="1"/>
  </r>
  <r>
    <x v="48"/>
    <n v="-34.57"/>
    <x v="100"/>
    <n v="1886.03"/>
    <s v="Complete Access"/>
    <x v="11"/>
    <x v="4"/>
    <x v="7"/>
    <d v="1900-01-12T00:00:00"/>
    <n v="50"/>
    <x v="2"/>
    <x v="1"/>
  </r>
  <r>
    <x v="49"/>
    <n v="-40"/>
    <x v="101"/>
    <n v="1920.6"/>
    <s v="Complete Access"/>
    <x v="12"/>
    <x v="5"/>
    <x v="8"/>
    <d v="1900-01-10T00:00:00"/>
    <n v="50"/>
    <x v="2"/>
    <x v="1"/>
  </r>
  <r>
    <x v="50"/>
    <n v="-33.36"/>
    <x v="102"/>
    <n v="1960.6"/>
    <s v="Complete Access"/>
    <x v="49"/>
    <x v="8"/>
    <x v="29"/>
    <d v="1900-01-09T00:00:00"/>
    <n v="50"/>
    <x v="2"/>
    <x v="1"/>
  </r>
  <r>
    <x v="50"/>
    <n v="-89"/>
    <x v="103"/>
    <n v="1993.96"/>
    <s v="Complete Access"/>
    <x v="17"/>
    <x v="7"/>
    <x v="11"/>
    <d v="1900-01-09T00:00:00"/>
    <n v="50"/>
    <x v="2"/>
    <x v="1"/>
  </r>
  <r>
    <x v="51"/>
    <n v="-12.65"/>
    <x v="7"/>
    <n v="2082.96"/>
    <s v="Complete Access"/>
    <x v="1"/>
    <x v="1"/>
    <x v="1"/>
    <d v="1900-01-06T00:00:00"/>
    <n v="49"/>
    <x v="2"/>
    <x v="1"/>
  </r>
  <r>
    <x v="51"/>
    <n v="-62"/>
    <x v="104"/>
    <n v="2095.61"/>
    <s v="Complete Access"/>
    <x v="30"/>
    <x v="4"/>
    <x v="20"/>
    <d v="1900-01-06T00:00:00"/>
    <n v="49"/>
    <x v="2"/>
    <x v="1"/>
  </r>
  <r>
    <x v="52"/>
    <n v="-18"/>
    <x v="7"/>
    <n v="2157.61"/>
    <s v="Complete Access"/>
    <x v="1"/>
    <x v="1"/>
    <x v="1"/>
    <d v="1900-01-04T00:00:00"/>
    <n v="49"/>
    <x v="2"/>
    <x v="1"/>
  </r>
  <r>
    <x v="52"/>
    <n v="-0.81"/>
    <x v="105"/>
    <n v="2175.61"/>
    <s v="Complete Access"/>
    <x v="10"/>
    <x v="0"/>
    <x v="0"/>
    <d v="1900-01-04T00:00:00"/>
    <n v="49"/>
    <x v="2"/>
    <x v="1"/>
  </r>
  <r>
    <x v="52"/>
    <n v="-23.09"/>
    <x v="106"/>
    <n v="2176.42"/>
    <s v="Complete Access"/>
    <x v="18"/>
    <x v="8"/>
    <x v="7"/>
    <d v="1900-01-04T00:00:00"/>
    <n v="49"/>
    <x v="2"/>
    <x v="1"/>
  </r>
  <r>
    <x v="52"/>
    <n v="-28.21"/>
    <x v="107"/>
    <n v="2199.5100000000002"/>
    <s v="Complete Access"/>
    <x v="1"/>
    <x v="1"/>
    <x v="1"/>
    <d v="1900-01-04T00:00:00"/>
    <n v="49"/>
    <x v="2"/>
    <x v="1"/>
  </r>
  <r>
    <x v="52"/>
    <n v="-272.64"/>
    <x v="108"/>
    <n v="2227.7199999999998"/>
    <s v="Complete Access"/>
    <x v="31"/>
    <x v="12"/>
    <x v="21"/>
    <d v="1900-01-04T00:00:00"/>
    <n v="49"/>
    <x v="2"/>
    <x v="1"/>
  </r>
  <r>
    <x v="52"/>
    <n v="-1408.62"/>
    <x v="15"/>
    <n v="2500.36"/>
    <s v="Complete Access"/>
    <x v="13"/>
    <x v="0"/>
    <x v="0"/>
    <d v="1900-01-04T00:00:00"/>
    <n v="49"/>
    <x v="2"/>
    <x v="1"/>
  </r>
  <r>
    <x v="52"/>
    <n v="2865.27"/>
    <x v="109"/>
    <n v="3908.98"/>
    <s v="Complete Access"/>
    <x v="14"/>
    <x v="6"/>
    <x v="9"/>
    <d v="1900-01-04T00:00:00"/>
    <n v="49"/>
    <x v="2"/>
    <x v="1"/>
  </r>
  <r>
    <x v="53"/>
    <n v="185"/>
    <x v="110"/>
    <n v="1043.71"/>
    <s v="Complete Access"/>
    <x v="50"/>
    <x v="4"/>
    <x v="25"/>
    <d v="1900-01-03T00:00:00"/>
    <n v="49"/>
    <x v="2"/>
    <x v="1"/>
  </r>
  <r>
    <x v="54"/>
    <n v="250"/>
    <x v="111"/>
    <n v="858.71"/>
    <s v="Complete Access"/>
    <x v="36"/>
    <x v="0"/>
    <x v="0"/>
    <d v="1900-01-02T00:00:00"/>
    <n v="49"/>
    <x v="2"/>
    <x v="1"/>
  </r>
  <r>
    <x v="54"/>
    <n v="-16.5"/>
    <x v="8"/>
    <n v="608.71"/>
    <s v="Complete Access"/>
    <x v="7"/>
    <x v="1"/>
    <x v="5"/>
    <d v="1900-01-02T00:00:00"/>
    <n v="49"/>
    <x v="2"/>
    <x v="1"/>
  </r>
  <r>
    <x v="55"/>
    <n v="-185"/>
    <x v="112"/>
    <n v="625.21"/>
    <s v="Complete Access"/>
    <x v="50"/>
    <x v="4"/>
    <x v="25"/>
    <d v="1899-12-31T00:00:00"/>
    <n v="49"/>
    <x v="2"/>
    <x v="1"/>
  </r>
  <r>
    <x v="56"/>
    <n v="-90"/>
    <x v="22"/>
    <n v="810.21"/>
    <s v="Complete Access"/>
    <x v="0"/>
    <x v="0"/>
    <x v="0"/>
    <d v="1900-01-29T00:00:00"/>
    <n v="48"/>
    <x v="3"/>
    <x v="1"/>
  </r>
  <r>
    <x v="57"/>
    <n v="-60.74"/>
    <x v="113"/>
    <n v="900.21"/>
    <s v="Complete Access"/>
    <x v="5"/>
    <x v="3"/>
    <x v="3"/>
    <d v="1900-01-27T00:00:00"/>
    <n v="48"/>
    <x v="3"/>
    <x v="1"/>
  </r>
  <r>
    <x v="58"/>
    <n v="-19"/>
    <x v="114"/>
    <n v="960.95"/>
    <s v="Complete Access"/>
    <x v="51"/>
    <x v="4"/>
    <x v="30"/>
    <d v="1900-01-26T00:00:00"/>
    <n v="48"/>
    <x v="3"/>
    <x v="1"/>
  </r>
  <r>
    <x v="59"/>
    <n v="-19"/>
    <x v="33"/>
    <n v="979.95"/>
    <s v="Complete Access"/>
    <x v="1"/>
    <x v="1"/>
    <x v="1"/>
    <d v="1900-01-25T00:00:00"/>
    <n v="48"/>
    <x v="3"/>
    <x v="1"/>
  </r>
  <r>
    <x v="59"/>
    <n v="-13.11"/>
    <x v="18"/>
    <n v="998.95"/>
    <s v="Complete Access"/>
    <x v="16"/>
    <x v="1"/>
    <x v="5"/>
    <d v="1900-01-25T00:00:00"/>
    <n v="48"/>
    <x v="3"/>
    <x v="1"/>
  </r>
  <r>
    <x v="59"/>
    <n v="-31"/>
    <x v="115"/>
    <n v="1012.06"/>
    <s v="Complete Access"/>
    <x v="17"/>
    <x v="7"/>
    <x v="11"/>
    <d v="1900-01-25T00:00:00"/>
    <n v="48"/>
    <x v="3"/>
    <x v="1"/>
  </r>
  <r>
    <x v="59"/>
    <n v="-142"/>
    <x v="116"/>
    <n v="1043.06"/>
    <s v="Complete Access"/>
    <x v="5"/>
    <x v="3"/>
    <x v="3"/>
    <d v="1900-01-25T00:00:00"/>
    <n v="48"/>
    <x v="3"/>
    <x v="1"/>
  </r>
  <r>
    <x v="60"/>
    <n v="-17.010000000000002"/>
    <x v="7"/>
    <n v="1185.06"/>
    <s v="Complete Access"/>
    <x v="1"/>
    <x v="1"/>
    <x v="1"/>
    <d v="1900-01-24T00:00:00"/>
    <n v="48"/>
    <x v="3"/>
    <x v="1"/>
  </r>
  <r>
    <x v="61"/>
    <n v="300"/>
    <x v="117"/>
    <n v="1202.07"/>
    <s v="Complete Access"/>
    <x v="36"/>
    <x v="0"/>
    <x v="0"/>
    <d v="1900-01-23T00:00:00"/>
    <n v="48"/>
    <x v="3"/>
    <x v="1"/>
  </r>
  <r>
    <x v="61"/>
    <n v="0.04"/>
    <x v="118"/>
    <n v="902.07"/>
    <s v="Complete Access"/>
    <x v="8"/>
    <x v="1"/>
    <x v="5"/>
    <d v="1900-01-23T00:00:00"/>
    <n v="48"/>
    <x v="3"/>
    <x v="1"/>
  </r>
  <r>
    <x v="61"/>
    <n v="-47.2"/>
    <x v="119"/>
    <n v="902.03"/>
    <s v="Complete Access"/>
    <x v="8"/>
    <x v="1"/>
    <x v="5"/>
    <d v="1900-01-23T00:00:00"/>
    <n v="48"/>
    <x v="3"/>
    <x v="1"/>
  </r>
  <r>
    <x v="61"/>
    <n v="-15.22"/>
    <x v="120"/>
    <n v="949.23"/>
    <s v="Complete Access"/>
    <x v="52"/>
    <x v="8"/>
    <x v="29"/>
    <d v="1900-01-23T00:00:00"/>
    <n v="48"/>
    <x v="3"/>
    <x v="1"/>
  </r>
  <r>
    <x v="61"/>
    <n v="-14.11"/>
    <x v="120"/>
    <n v="964.45"/>
    <s v="Complete Access"/>
    <x v="52"/>
    <x v="8"/>
    <x v="29"/>
    <d v="1900-01-23T00:00:00"/>
    <n v="48"/>
    <x v="3"/>
    <x v="1"/>
  </r>
  <r>
    <x v="62"/>
    <n v="-38.799999999999997"/>
    <x v="121"/>
    <n v="978.56"/>
    <s v="Complete Access"/>
    <x v="53"/>
    <x v="8"/>
    <x v="29"/>
    <d v="1900-01-22T00:00:00"/>
    <n v="47"/>
    <x v="3"/>
    <x v="1"/>
  </r>
  <r>
    <x v="62"/>
    <n v="-14.85"/>
    <x v="121"/>
    <n v="1017.36"/>
    <s v="Complete Access"/>
    <x v="53"/>
    <x v="8"/>
    <x v="29"/>
    <d v="1900-01-22T00:00:00"/>
    <n v="47"/>
    <x v="3"/>
    <x v="1"/>
  </r>
  <r>
    <x v="62"/>
    <n v="-134"/>
    <x v="122"/>
    <n v="1032.21"/>
    <s v="Complete Access"/>
    <x v="0"/>
    <x v="0"/>
    <x v="0"/>
    <d v="1900-01-22T00:00:00"/>
    <n v="47"/>
    <x v="3"/>
    <x v="1"/>
  </r>
  <r>
    <x v="62"/>
    <n v="-3"/>
    <x v="72"/>
    <n v="1166.21"/>
    <s v="Complete Access"/>
    <x v="37"/>
    <x v="0"/>
    <x v="0"/>
    <d v="1900-01-22T00:00:00"/>
    <n v="47"/>
    <x v="3"/>
    <x v="1"/>
  </r>
  <r>
    <x v="62"/>
    <n v="-600"/>
    <x v="73"/>
    <n v="1169.21"/>
    <s v="Complete Access"/>
    <x v="1"/>
    <x v="1"/>
    <x v="1"/>
    <d v="1900-01-22T00:00:00"/>
    <n v="47"/>
    <x v="3"/>
    <x v="1"/>
  </r>
  <r>
    <x v="63"/>
    <n v="-138.87"/>
    <x v="123"/>
    <n v="1769.21"/>
    <s v="Complete Access"/>
    <x v="3"/>
    <x v="2"/>
    <x v="2"/>
    <d v="1900-01-20T00:00:00"/>
    <n v="47"/>
    <x v="3"/>
    <x v="1"/>
  </r>
  <r>
    <x v="63"/>
    <n v="-40"/>
    <x v="124"/>
    <n v="1908.08"/>
    <s v="Complete Access"/>
    <x v="12"/>
    <x v="5"/>
    <x v="8"/>
    <d v="1900-01-20T00:00:00"/>
    <n v="47"/>
    <x v="3"/>
    <x v="1"/>
  </r>
  <r>
    <x v="63"/>
    <n v="-1408.62"/>
    <x v="15"/>
    <n v="1948.08"/>
    <s v="Complete Access"/>
    <x v="13"/>
    <x v="0"/>
    <x v="0"/>
    <d v="1900-01-20T00:00:00"/>
    <n v="47"/>
    <x v="3"/>
    <x v="1"/>
  </r>
  <r>
    <x v="63"/>
    <n v="2865.28"/>
    <x v="125"/>
    <n v="3356.7"/>
    <s v="Complete Access"/>
    <x v="14"/>
    <x v="6"/>
    <x v="9"/>
    <d v="1900-01-20T00:00:00"/>
    <n v="47"/>
    <x v="3"/>
    <x v="1"/>
  </r>
  <r>
    <x v="64"/>
    <n v="-90"/>
    <x v="22"/>
    <n v="491.42"/>
    <s v="Complete Access"/>
    <x v="0"/>
    <x v="0"/>
    <x v="0"/>
    <d v="1900-01-18T00:00:00"/>
    <n v="47"/>
    <x v="3"/>
    <x v="1"/>
  </r>
  <r>
    <x v="65"/>
    <n v="82.9"/>
    <x v="126"/>
    <n v="581.41999999999996"/>
    <s v="Complete Access"/>
    <x v="26"/>
    <x v="11"/>
    <x v="18"/>
    <d v="1900-01-17T00:00:00"/>
    <n v="47"/>
    <x v="3"/>
    <x v="1"/>
  </r>
  <r>
    <x v="65"/>
    <n v="-107.9"/>
    <x v="127"/>
    <n v="498.52"/>
    <s v="Complete Access"/>
    <x v="54"/>
    <x v="11"/>
    <x v="16"/>
    <d v="1900-01-17T00:00:00"/>
    <n v="47"/>
    <x v="3"/>
    <x v="1"/>
  </r>
  <r>
    <x v="66"/>
    <n v="-5600"/>
    <x v="128"/>
    <n v="606.41999999999996"/>
    <s v="Complete Access"/>
    <x v="0"/>
    <x v="0"/>
    <x v="0"/>
    <d v="1900-01-16T00:00:00"/>
    <n v="47"/>
    <x v="3"/>
    <x v="1"/>
  </r>
  <r>
    <x v="67"/>
    <n v="-29"/>
    <x v="129"/>
    <n v="6206.42"/>
    <s v="Complete Access"/>
    <x v="50"/>
    <x v="4"/>
    <x v="25"/>
    <d v="1900-01-15T00:00:00"/>
    <n v="46"/>
    <x v="3"/>
    <x v="1"/>
  </r>
  <r>
    <x v="67"/>
    <n v="-3.95"/>
    <x v="130"/>
    <n v="6235.42"/>
    <s v="Complete Access"/>
    <x v="1"/>
    <x v="1"/>
    <x v="1"/>
    <d v="1900-01-15T00:00:00"/>
    <n v="46"/>
    <x v="3"/>
    <x v="1"/>
  </r>
  <r>
    <x v="68"/>
    <n v="-1407"/>
    <x v="131"/>
    <n v="6239.37"/>
    <s v="Complete Access"/>
    <x v="55"/>
    <x v="4"/>
    <x v="20"/>
    <d v="1900-01-14T00:00:00"/>
    <n v="46"/>
    <x v="3"/>
    <x v="1"/>
  </r>
  <r>
    <x v="68"/>
    <n v="40"/>
    <x v="132"/>
    <n v="7646.37"/>
    <s v="Complete Access"/>
    <x v="36"/>
    <x v="0"/>
    <x v="0"/>
    <d v="1900-01-14T00:00:00"/>
    <n v="46"/>
    <x v="3"/>
    <x v="1"/>
  </r>
  <r>
    <x v="69"/>
    <n v="7496.1"/>
    <x v="133"/>
    <n v="7606.37"/>
    <s v="Complete Access"/>
    <x v="36"/>
    <x v="0"/>
    <x v="0"/>
    <d v="1900-01-13T00:00:00"/>
    <n v="46"/>
    <x v="3"/>
    <x v="1"/>
  </r>
  <r>
    <x v="69"/>
    <n v="-50.19"/>
    <x v="134"/>
    <n v="110.27"/>
    <s v="Complete Access"/>
    <x v="56"/>
    <x v="9"/>
    <x v="31"/>
    <d v="1900-01-13T00:00:00"/>
    <n v="46"/>
    <x v="3"/>
    <x v="1"/>
  </r>
  <r>
    <x v="70"/>
    <n v="-1.17"/>
    <x v="135"/>
    <n v="160.46"/>
    <s v="Complete Access"/>
    <x v="10"/>
    <x v="0"/>
    <x v="0"/>
    <d v="1900-01-12T00:00:00"/>
    <n v="46"/>
    <x v="3"/>
    <x v="1"/>
  </r>
  <r>
    <x v="70"/>
    <n v="-33.49"/>
    <x v="136"/>
    <n v="161.63"/>
    <s v="Complete Access"/>
    <x v="11"/>
    <x v="4"/>
    <x v="7"/>
    <d v="1900-01-12T00:00:00"/>
    <n v="46"/>
    <x v="3"/>
    <x v="1"/>
  </r>
  <r>
    <x v="71"/>
    <n v="-154.76"/>
    <x v="137"/>
    <n v="195.12"/>
    <s v="Complete Access"/>
    <x v="57"/>
    <x v="4"/>
    <x v="25"/>
    <d v="1900-01-11T00:00:00"/>
    <n v="46"/>
    <x v="3"/>
    <x v="1"/>
  </r>
  <r>
    <x v="71"/>
    <n v="-9.57"/>
    <x v="138"/>
    <n v="349.88"/>
    <s v="Complete Access"/>
    <x v="21"/>
    <x v="10"/>
    <x v="13"/>
    <d v="1900-01-11T00:00:00"/>
    <n v="46"/>
    <x v="3"/>
    <x v="1"/>
  </r>
  <r>
    <x v="72"/>
    <n v="-21.64"/>
    <x v="7"/>
    <n v="359.45"/>
    <s v="Complete Access"/>
    <x v="1"/>
    <x v="1"/>
    <x v="1"/>
    <d v="1900-01-10T00:00:00"/>
    <n v="46"/>
    <x v="3"/>
    <x v="1"/>
  </r>
  <r>
    <x v="72"/>
    <n v="-1000"/>
    <x v="128"/>
    <n v="381.09"/>
    <s v="Complete Access"/>
    <x v="0"/>
    <x v="0"/>
    <x v="0"/>
    <d v="1900-01-10T00:00:00"/>
    <n v="46"/>
    <x v="3"/>
    <x v="1"/>
  </r>
  <r>
    <x v="73"/>
    <n v="68.92"/>
    <x v="139"/>
    <n v="1381.09"/>
    <s v="Complete Access"/>
    <x v="36"/>
    <x v="0"/>
    <x v="0"/>
    <d v="1900-01-09T00:00:00"/>
    <n v="46"/>
    <x v="3"/>
    <x v="1"/>
  </r>
  <r>
    <x v="73"/>
    <n v="47.02"/>
    <x v="140"/>
    <n v="1312.17"/>
    <s v="Complete Access"/>
    <x v="36"/>
    <x v="0"/>
    <x v="0"/>
    <d v="1900-01-09T00:00:00"/>
    <n v="46"/>
    <x v="3"/>
    <x v="1"/>
  </r>
  <r>
    <x v="74"/>
    <n v="-8.1999999999999993"/>
    <x v="141"/>
    <n v="1265.1500000000001"/>
    <s v="Complete Access"/>
    <x v="58"/>
    <x v="8"/>
    <x v="29"/>
    <d v="1900-01-08T00:00:00"/>
    <n v="45"/>
    <x v="3"/>
    <x v="1"/>
  </r>
  <r>
    <x v="74"/>
    <n v="-344.59"/>
    <x v="142"/>
    <n v="1273.3499999999999"/>
    <s v="Complete Access"/>
    <x v="59"/>
    <x v="1"/>
    <x v="5"/>
    <d v="1900-01-08T00:00:00"/>
    <n v="45"/>
    <x v="3"/>
    <x v="1"/>
  </r>
  <r>
    <x v="74"/>
    <n v="-29.95"/>
    <x v="104"/>
    <n v="1617.94"/>
    <s v="Complete Access"/>
    <x v="30"/>
    <x v="4"/>
    <x v="20"/>
    <d v="1900-01-08T00:00:00"/>
    <n v="45"/>
    <x v="3"/>
    <x v="1"/>
  </r>
  <r>
    <x v="74"/>
    <n v="-89"/>
    <x v="143"/>
    <n v="1647.89"/>
    <s v="Complete Access"/>
    <x v="17"/>
    <x v="7"/>
    <x v="11"/>
    <d v="1900-01-08T00:00:00"/>
    <n v="45"/>
    <x v="3"/>
    <x v="1"/>
  </r>
  <r>
    <x v="74"/>
    <n v="-4.5"/>
    <x v="144"/>
    <n v="1736.89"/>
    <s v="Complete Access"/>
    <x v="60"/>
    <x v="14"/>
    <x v="32"/>
    <d v="1900-01-08T00:00:00"/>
    <n v="45"/>
    <x v="3"/>
    <x v="1"/>
  </r>
  <r>
    <x v="75"/>
    <n v="-603"/>
    <x v="131"/>
    <n v="1741.39"/>
    <s v="Complete Access"/>
    <x v="55"/>
    <x v="4"/>
    <x v="20"/>
    <d v="1900-01-07T00:00:00"/>
    <n v="45"/>
    <x v="3"/>
    <x v="1"/>
  </r>
  <r>
    <x v="75"/>
    <n v="-376.2"/>
    <x v="145"/>
    <n v="2344.39"/>
    <s v="Complete Access"/>
    <x v="13"/>
    <x v="0"/>
    <x v="0"/>
    <d v="1900-01-07T00:00:00"/>
    <n v="45"/>
    <x v="3"/>
    <x v="1"/>
  </r>
  <r>
    <x v="76"/>
    <n v="-18.2"/>
    <x v="7"/>
    <n v="2720.59"/>
    <s v="Complete Access"/>
    <x v="1"/>
    <x v="1"/>
    <x v="1"/>
    <d v="1900-01-06T00:00:00"/>
    <n v="45"/>
    <x v="3"/>
    <x v="1"/>
  </r>
  <r>
    <x v="76"/>
    <n v="-165"/>
    <x v="146"/>
    <n v="2738.79"/>
    <s v="Complete Access"/>
    <x v="0"/>
    <x v="0"/>
    <x v="0"/>
    <d v="1900-01-06T00:00:00"/>
    <n v="45"/>
    <x v="3"/>
    <x v="1"/>
  </r>
  <r>
    <x v="76"/>
    <n v="2865.26"/>
    <x v="147"/>
    <n v="2903.79"/>
    <s v="Complete Access"/>
    <x v="14"/>
    <x v="6"/>
    <x v="9"/>
    <d v="1900-01-06T00:00:00"/>
    <n v="45"/>
    <x v="3"/>
    <x v="1"/>
  </r>
  <r>
    <x v="77"/>
    <n v="-6"/>
    <x v="148"/>
    <n v="38.53"/>
    <s v="Complete Access"/>
    <x v="61"/>
    <x v="1"/>
    <x v="1"/>
    <d v="1900-01-04T00:00:00"/>
    <n v="45"/>
    <x v="3"/>
    <x v="1"/>
  </r>
  <r>
    <x v="77"/>
    <n v="-30.23"/>
    <x v="149"/>
    <n v="44.53"/>
    <s v="Complete Access"/>
    <x v="1"/>
    <x v="1"/>
    <x v="1"/>
    <d v="1900-01-04T00:00:00"/>
    <n v="45"/>
    <x v="3"/>
    <x v="1"/>
  </r>
  <r>
    <x v="77"/>
    <n v="-0.8"/>
    <x v="150"/>
    <n v="74.760000000000005"/>
    <s v="Complete Access"/>
    <x v="10"/>
    <x v="0"/>
    <x v="0"/>
    <d v="1900-01-04T00:00:00"/>
    <n v="45"/>
    <x v="3"/>
    <x v="1"/>
  </r>
  <r>
    <x v="77"/>
    <n v="-22.9"/>
    <x v="151"/>
    <n v="75.56"/>
    <s v="Complete Access"/>
    <x v="18"/>
    <x v="8"/>
    <x v="7"/>
    <d v="1900-01-04T00:00:00"/>
    <n v="45"/>
    <x v="3"/>
    <x v="1"/>
  </r>
  <r>
    <x v="78"/>
    <n v="-30.7"/>
    <x v="152"/>
    <n v="98.46"/>
    <s v="Complete Access"/>
    <x v="2"/>
    <x v="1"/>
    <x v="1"/>
    <d v="1900-01-01T00:00:00"/>
    <n v="44"/>
    <x v="3"/>
    <x v="1"/>
  </r>
  <r>
    <x v="78"/>
    <n v="-17"/>
    <x v="153"/>
    <n v="129.16"/>
    <s v="Complete Access"/>
    <x v="28"/>
    <x v="1"/>
    <x v="5"/>
    <d v="1900-01-01T00:00:00"/>
    <n v="44"/>
    <x v="3"/>
    <x v="1"/>
  </r>
  <r>
    <x v="79"/>
    <n v="-40"/>
    <x v="154"/>
    <n v="146.16"/>
    <s v="Complete Access"/>
    <x v="12"/>
    <x v="5"/>
    <x v="8"/>
    <d v="1900-01-30T00:00:00"/>
    <n v="44"/>
    <x v="4"/>
    <x v="1"/>
  </r>
  <r>
    <x v="80"/>
    <n v="-15.5"/>
    <x v="155"/>
    <n v="186.16"/>
    <s v="Complete Access"/>
    <x v="62"/>
    <x v="1"/>
    <x v="5"/>
    <d v="1900-01-29T00:00:00"/>
    <n v="44"/>
    <x v="4"/>
    <x v="1"/>
  </r>
  <r>
    <x v="80"/>
    <n v="-6630.76"/>
    <x v="156"/>
    <n v="201.66"/>
    <s v="Complete Access"/>
    <x v="63"/>
    <x v="4"/>
    <x v="20"/>
    <d v="1900-01-29T00:00:00"/>
    <n v="44"/>
    <x v="4"/>
    <x v="1"/>
  </r>
  <r>
    <x v="81"/>
    <n v="-4.97"/>
    <x v="7"/>
    <n v="6832.42"/>
    <s v="Complete Access"/>
    <x v="1"/>
    <x v="1"/>
    <x v="1"/>
    <d v="1900-01-28T00:00:00"/>
    <n v="44"/>
    <x v="4"/>
    <x v="1"/>
  </r>
  <r>
    <x v="81"/>
    <n v="-14.73"/>
    <x v="18"/>
    <n v="6837.39"/>
    <s v="Complete Access"/>
    <x v="16"/>
    <x v="1"/>
    <x v="5"/>
    <d v="1900-01-28T00:00:00"/>
    <n v="44"/>
    <x v="4"/>
    <x v="1"/>
  </r>
  <r>
    <x v="81"/>
    <n v="-32.17"/>
    <x v="157"/>
    <n v="6852.12"/>
    <s v="Complete Access"/>
    <x v="64"/>
    <x v="9"/>
    <x v="12"/>
    <d v="1900-01-28T00:00:00"/>
    <n v="44"/>
    <x v="4"/>
    <x v="1"/>
  </r>
  <r>
    <x v="81"/>
    <n v="-11"/>
    <x v="158"/>
    <n v="6884.29"/>
    <s v="Complete Access"/>
    <x v="65"/>
    <x v="8"/>
    <x v="29"/>
    <d v="1900-01-28T00:00:00"/>
    <n v="44"/>
    <x v="4"/>
    <x v="1"/>
  </r>
  <r>
    <x v="81"/>
    <n v="-22.84"/>
    <x v="159"/>
    <n v="6895.29"/>
    <s v="Complete Access"/>
    <x v="1"/>
    <x v="1"/>
    <x v="1"/>
    <d v="1900-01-28T00:00:00"/>
    <n v="44"/>
    <x v="4"/>
    <x v="1"/>
  </r>
  <r>
    <x v="81"/>
    <n v="-26.66"/>
    <x v="160"/>
    <n v="6918.13"/>
    <s v="Complete Access"/>
    <x v="27"/>
    <x v="1"/>
    <x v="5"/>
    <d v="1900-01-28T00:00:00"/>
    <n v="44"/>
    <x v="4"/>
    <x v="1"/>
  </r>
  <r>
    <x v="82"/>
    <n v="-16.239999999999998"/>
    <x v="161"/>
    <n v="6944.79"/>
    <s v="Complete Access"/>
    <x v="66"/>
    <x v="1"/>
    <x v="5"/>
    <d v="1900-01-27T00:00:00"/>
    <n v="44"/>
    <x v="4"/>
    <x v="1"/>
  </r>
  <r>
    <x v="82"/>
    <n v="5600"/>
    <x v="162"/>
    <n v="6961.03"/>
    <s v="Complete Access"/>
    <x v="67"/>
    <x v="0"/>
    <x v="0"/>
    <d v="1900-01-27T00:00:00"/>
    <n v="44"/>
    <x v="4"/>
    <x v="1"/>
  </r>
  <r>
    <x v="82"/>
    <n v="-12.95"/>
    <x v="163"/>
    <n v="1361.03"/>
    <s v="Complete Access"/>
    <x v="47"/>
    <x v="1"/>
    <x v="5"/>
    <d v="1900-01-27T00:00:00"/>
    <n v="44"/>
    <x v="4"/>
    <x v="1"/>
  </r>
  <r>
    <x v="83"/>
    <n v="-31.8"/>
    <x v="164"/>
    <n v="1373.98"/>
    <s v="Complete Access"/>
    <x v="1"/>
    <x v="1"/>
    <x v="1"/>
    <d v="1900-01-25T00:00:00"/>
    <n v="43"/>
    <x v="4"/>
    <x v="1"/>
  </r>
  <r>
    <x v="83"/>
    <n v="-5"/>
    <x v="165"/>
    <n v="1405.78"/>
    <s v="Complete Access"/>
    <x v="60"/>
    <x v="14"/>
    <x v="32"/>
    <d v="1900-01-25T00:00:00"/>
    <n v="43"/>
    <x v="4"/>
    <x v="1"/>
  </r>
  <r>
    <x v="83"/>
    <n v="-3.5"/>
    <x v="165"/>
    <n v="1410.78"/>
    <s v="Complete Access"/>
    <x v="60"/>
    <x v="14"/>
    <x v="32"/>
    <d v="1900-01-25T00:00:00"/>
    <n v="43"/>
    <x v="4"/>
    <x v="1"/>
  </r>
  <r>
    <x v="84"/>
    <n v="-8.1199999999999992"/>
    <x v="166"/>
    <n v="1414.28"/>
    <s v="Complete Access"/>
    <x v="68"/>
    <x v="1"/>
    <x v="5"/>
    <d v="1900-01-24T00:00:00"/>
    <n v="43"/>
    <x v="4"/>
    <x v="1"/>
  </r>
  <r>
    <x v="84"/>
    <n v="-4.3"/>
    <x v="33"/>
    <n v="1422.4"/>
    <s v="Complete Access"/>
    <x v="1"/>
    <x v="1"/>
    <x v="1"/>
    <d v="1900-01-24T00:00:00"/>
    <n v="43"/>
    <x v="4"/>
    <x v="1"/>
  </r>
  <r>
    <x v="84"/>
    <n v="-16"/>
    <x v="8"/>
    <n v="1426.7"/>
    <s v="Complete Access"/>
    <x v="7"/>
    <x v="1"/>
    <x v="5"/>
    <d v="1900-01-24T00:00:00"/>
    <n v="43"/>
    <x v="4"/>
    <x v="1"/>
  </r>
  <r>
    <x v="84"/>
    <n v="-11.95"/>
    <x v="167"/>
    <n v="1442.7"/>
    <s v="Complete Access"/>
    <x v="69"/>
    <x v="11"/>
    <x v="14"/>
    <d v="1900-01-24T00:00:00"/>
    <n v="43"/>
    <x v="4"/>
    <x v="1"/>
  </r>
  <r>
    <x v="84"/>
    <n v="-31"/>
    <x v="168"/>
    <n v="1454.65"/>
    <s v="Complete Access"/>
    <x v="17"/>
    <x v="7"/>
    <x v="11"/>
    <d v="1900-01-24T00:00:00"/>
    <n v="43"/>
    <x v="4"/>
    <x v="1"/>
  </r>
  <r>
    <x v="85"/>
    <n v="-17.54"/>
    <x v="42"/>
    <n v="1485.65"/>
    <s v="Complete Access"/>
    <x v="27"/>
    <x v="1"/>
    <x v="5"/>
    <d v="1900-01-23T00:00:00"/>
    <n v="43"/>
    <x v="4"/>
    <x v="1"/>
  </r>
  <r>
    <x v="85"/>
    <n v="-65.900000000000006"/>
    <x v="169"/>
    <n v="1503.19"/>
    <s v="Complete Access"/>
    <x v="70"/>
    <x v="8"/>
    <x v="22"/>
    <d v="1900-01-23T00:00:00"/>
    <n v="43"/>
    <x v="4"/>
    <x v="1"/>
  </r>
  <r>
    <x v="85"/>
    <n v="-1408.62"/>
    <x v="15"/>
    <n v="1569.09"/>
    <s v="Complete Access"/>
    <x v="13"/>
    <x v="0"/>
    <x v="0"/>
    <d v="1900-01-23T00:00:00"/>
    <n v="43"/>
    <x v="4"/>
    <x v="1"/>
  </r>
  <r>
    <x v="85"/>
    <n v="2865.27"/>
    <x v="170"/>
    <n v="2977.71"/>
    <s v="Complete Access"/>
    <x v="14"/>
    <x v="6"/>
    <x v="9"/>
    <d v="1900-01-23T00:00:00"/>
    <n v="43"/>
    <x v="4"/>
    <x v="1"/>
  </r>
  <r>
    <x v="86"/>
    <n v="-107.9"/>
    <x v="127"/>
    <n v="112.44"/>
    <s v="Complete Access"/>
    <x v="54"/>
    <x v="11"/>
    <x v="16"/>
    <d v="1900-01-22T00:00:00"/>
    <n v="43"/>
    <x v="4"/>
    <x v="1"/>
  </r>
  <r>
    <x v="86"/>
    <n v="-138.87"/>
    <x v="171"/>
    <n v="220.34"/>
    <s v="Complete Access"/>
    <x v="3"/>
    <x v="2"/>
    <x v="2"/>
    <d v="1900-01-22T00:00:00"/>
    <n v="43"/>
    <x v="4"/>
    <x v="1"/>
  </r>
  <r>
    <x v="86"/>
    <n v="-649.16999999999996"/>
    <x v="172"/>
    <n v="359.21"/>
    <s v="Complete Access"/>
    <x v="31"/>
    <x v="12"/>
    <x v="21"/>
    <d v="1900-01-22T00:00:00"/>
    <n v="43"/>
    <x v="4"/>
    <x v="1"/>
  </r>
  <r>
    <x v="86"/>
    <n v="26.76"/>
    <x v="173"/>
    <n v="1008.38"/>
    <s v="Complete Access"/>
    <x v="71"/>
    <x v="4"/>
    <x v="33"/>
    <d v="1900-01-22T00:00:00"/>
    <n v="43"/>
    <x v="4"/>
    <x v="1"/>
  </r>
  <r>
    <x v="87"/>
    <n v="-16.5"/>
    <x v="8"/>
    <n v="981.62"/>
    <s v="Complete Access"/>
    <x v="7"/>
    <x v="1"/>
    <x v="5"/>
    <d v="1900-01-21T00:00:00"/>
    <n v="43"/>
    <x v="4"/>
    <x v="1"/>
  </r>
  <r>
    <x v="87"/>
    <n v="-28.55"/>
    <x v="174"/>
    <n v="998.12"/>
    <s v="Complete Access"/>
    <x v="1"/>
    <x v="1"/>
    <x v="1"/>
    <d v="1900-01-21T00:00:00"/>
    <n v="43"/>
    <x v="4"/>
    <x v="1"/>
  </r>
  <r>
    <x v="87"/>
    <n v="-1.2"/>
    <x v="175"/>
    <n v="1026.67"/>
    <s v="Complete Access"/>
    <x v="10"/>
    <x v="0"/>
    <x v="0"/>
    <d v="1900-01-21T00:00:00"/>
    <n v="43"/>
    <x v="4"/>
    <x v="1"/>
  </r>
  <r>
    <x v="87"/>
    <n v="-34.229999999999997"/>
    <x v="176"/>
    <n v="1027.8699999999999"/>
    <s v="Complete Access"/>
    <x v="71"/>
    <x v="4"/>
    <x v="33"/>
    <d v="1900-01-21T00:00:00"/>
    <n v="43"/>
    <x v="4"/>
    <x v="1"/>
  </r>
  <r>
    <x v="88"/>
    <n v="-46.53"/>
    <x v="42"/>
    <n v="1062.0999999999999"/>
    <s v="Complete Access"/>
    <x v="27"/>
    <x v="1"/>
    <x v="5"/>
    <d v="1900-01-19T00:00:00"/>
    <n v="43"/>
    <x v="4"/>
    <x v="1"/>
  </r>
  <r>
    <x v="89"/>
    <n v="-35.880000000000003"/>
    <x v="177"/>
    <n v="1108.6300000000001"/>
    <s v="Complete Access"/>
    <x v="72"/>
    <x v="1"/>
    <x v="5"/>
    <d v="1900-01-18T00:00:00"/>
    <n v="42"/>
    <x v="4"/>
    <x v="1"/>
  </r>
  <r>
    <x v="90"/>
    <n v="-14.73"/>
    <x v="18"/>
    <n v="1144.51"/>
    <s v="Complete Access"/>
    <x v="16"/>
    <x v="1"/>
    <x v="5"/>
    <d v="1900-01-14T00:00:00"/>
    <n v="42"/>
    <x v="4"/>
    <x v="1"/>
  </r>
  <r>
    <x v="90"/>
    <n v="-1.1499999999999999"/>
    <x v="178"/>
    <n v="1159.24"/>
    <s v="Complete Access"/>
    <x v="10"/>
    <x v="0"/>
    <x v="0"/>
    <d v="1900-01-14T00:00:00"/>
    <n v="42"/>
    <x v="4"/>
    <x v="1"/>
  </r>
  <r>
    <x v="90"/>
    <n v="-32.79"/>
    <x v="179"/>
    <n v="1160.3900000000001"/>
    <s v="Complete Access"/>
    <x v="11"/>
    <x v="4"/>
    <x v="7"/>
    <d v="1900-01-14T00:00:00"/>
    <n v="42"/>
    <x v="4"/>
    <x v="1"/>
  </r>
  <r>
    <x v="91"/>
    <n v="31.84"/>
    <x v="6"/>
    <n v="1193.18"/>
    <s v="Complete Access"/>
    <x v="6"/>
    <x v="4"/>
    <x v="4"/>
    <d v="1900-01-13T00:00:00"/>
    <n v="42"/>
    <x v="4"/>
    <x v="1"/>
  </r>
  <r>
    <x v="92"/>
    <n v="-2200"/>
    <x v="128"/>
    <n v="1161.3399999999999"/>
    <s v="Complete Access"/>
    <x v="0"/>
    <x v="0"/>
    <x v="0"/>
    <d v="1900-01-10T00:00:00"/>
    <n v="41"/>
    <x v="4"/>
    <x v="1"/>
  </r>
  <r>
    <x v="92"/>
    <n v="-15"/>
    <x v="180"/>
    <n v="3361.34"/>
    <s v="Complete Access"/>
    <x v="73"/>
    <x v="1"/>
    <x v="23"/>
    <d v="1900-01-10T00:00:00"/>
    <n v="41"/>
    <x v="4"/>
    <x v="1"/>
  </r>
  <r>
    <x v="92"/>
    <n v="-59.65"/>
    <x v="181"/>
    <n v="3376.34"/>
    <s v="Complete Access"/>
    <x v="1"/>
    <x v="1"/>
    <x v="1"/>
    <d v="1900-01-10T00:00:00"/>
    <n v="41"/>
    <x v="4"/>
    <x v="1"/>
  </r>
  <r>
    <x v="92"/>
    <n v="-89"/>
    <x v="182"/>
    <n v="3435.99"/>
    <s v="Complete Access"/>
    <x v="17"/>
    <x v="7"/>
    <x v="11"/>
    <d v="1900-01-10T00:00:00"/>
    <n v="41"/>
    <x v="4"/>
    <x v="1"/>
  </r>
  <r>
    <x v="93"/>
    <n v="-1408.62"/>
    <x v="15"/>
    <n v="3524.99"/>
    <s v="Complete Access"/>
    <x v="13"/>
    <x v="0"/>
    <x v="0"/>
    <d v="1900-01-09T00:00:00"/>
    <n v="41"/>
    <x v="4"/>
    <x v="1"/>
  </r>
  <r>
    <x v="93"/>
    <n v="-33.049999999999997"/>
    <x v="183"/>
    <n v="4933.6099999999997"/>
    <s v="Complete Access"/>
    <x v="1"/>
    <x v="1"/>
    <x v="1"/>
    <d v="1900-01-09T00:00:00"/>
    <n v="41"/>
    <x v="4"/>
    <x v="1"/>
  </r>
  <r>
    <x v="93"/>
    <n v="2865.27"/>
    <x v="184"/>
    <n v="4966.66"/>
    <s v="Complete Access"/>
    <x v="14"/>
    <x v="6"/>
    <x v="9"/>
    <d v="1900-01-09T00:00:00"/>
    <n v="41"/>
    <x v="4"/>
    <x v="1"/>
  </r>
  <r>
    <x v="94"/>
    <n v="-40"/>
    <x v="185"/>
    <n v="2101.39"/>
    <s v="Complete Access"/>
    <x v="12"/>
    <x v="5"/>
    <x v="8"/>
    <d v="1900-01-08T00:00:00"/>
    <n v="41"/>
    <x v="4"/>
    <x v="1"/>
  </r>
  <r>
    <x v="95"/>
    <n v="-16"/>
    <x v="8"/>
    <n v="2141.39"/>
    <s v="Complete Access"/>
    <x v="7"/>
    <x v="1"/>
    <x v="5"/>
    <d v="1900-01-07T00:00:00"/>
    <n v="41"/>
    <x v="4"/>
    <x v="1"/>
  </r>
  <r>
    <x v="95"/>
    <n v="-107.84"/>
    <x v="186"/>
    <n v="2157.39"/>
    <s v="Complete Access"/>
    <x v="73"/>
    <x v="1"/>
    <x v="23"/>
    <d v="1900-01-07T00:00:00"/>
    <n v="41"/>
    <x v="4"/>
    <x v="1"/>
  </r>
  <r>
    <x v="95"/>
    <n v="-77.760000000000005"/>
    <x v="187"/>
    <n v="2265.23"/>
    <s v="Complete Access"/>
    <x v="1"/>
    <x v="1"/>
    <x v="1"/>
    <d v="1900-01-07T00:00:00"/>
    <n v="41"/>
    <x v="4"/>
    <x v="1"/>
  </r>
  <r>
    <x v="95"/>
    <n v="-0.56999999999999995"/>
    <x v="188"/>
    <n v="2342.9899999999998"/>
    <s v="Complete Access"/>
    <x v="10"/>
    <x v="0"/>
    <x v="0"/>
    <d v="1900-01-07T00:00:00"/>
    <n v="41"/>
    <x v="4"/>
    <x v="1"/>
  </r>
  <r>
    <x v="95"/>
    <n v="-16.21"/>
    <x v="189"/>
    <n v="2343.56"/>
    <s v="Complete Access"/>
    <x v="74"/>
    <x v="4"/>
    <x v="10"/>
    <d v="1900-01-07T00:00:00"/>
    <n v="41"/>
    <x v="4"/>
    <x v="1"/>
  </r>
  <r>
    <x v="96"/>
    <n v="-33.78"/>
    <x v="70"/>
    <n v="2359.77"/>
    <s v="Complete Access"/>
    <x v="8"/>
    <x v="1"/>
    <x v="5"/>
    <d v="1900-01-06T00:00:00"/>
    <n v="41"/>
    <x v="4"/>
    <x v="1"/>
  </r>
  <r>
    <x v="97"/>
    <n v="-304.58999999999997"/>
    <x v="190"/>
    <n v="2393.5500000000002"/>
    <s v="Complete Access"/>
    <x v="75"/>
    <x v="1"/>
    <x v="5"/>
    <d v="1900-01-03T00:00:00"/>
    <n v="40"/>
    <x v="4"/>
    <x v="1"/>
  </r>
  <r>
    <x v="97"/>
    <n v="71.5"/>
    <x v="191"/>
    <n v="2698.14"/>
    <s v="Complete Access"/>
    <x v="36"/>
    <x v="0"/>
    <x v="0"/>
    <d v="1900-01-03T00:00:00"/>
    <n v="40"/>
    <x v="4"/>
    <x v="1"/>
  </r>
  <r>
    <x v="97"/>
    <n v="71"/>
    <x v="192"/>
    <n v="2626.64"/>
    <s v="Complete Access"/>
    <x v="36"/>
    <x v="0"/>
    <x v="0"/>
    <d v="1900-01-03T00:00:00"/>
    <n v="40"/>
    <x v="4"/>
    <x v="1"/>
  </r>
  <r>
    <x v="97"/>
    <n v="71"/>
    <x v="193"/>
    <n v="2555.64"/>
    <s v="Complete Access"/>
    <x v="36"/>
    <x v="0"/>
    <x v="0"/>
    <d v="1900-01-03T00:00:00"/>
    <n v="40"/>
    <x v="4"/>
    <x v="1"/>
  </r>
  <r>
    <x v="98"/>
    <n v="-25.23"/>
    <x v="194"/>
    <n v="2484.64"/>
    <s v="Complete Access"/>
    <x v="1"/>
    <x v="1"/>
    <x v="1"/>
    <d v="1900-01-02T00:00:00"/>
    <n v="40"/>
    <x v="4"/>
    <x v="1"/>
  </r>
  <r>
    <x v="99"/>
    <n v="-5.4"/>
    <x v="195"/>
    <n v="2509.87"/>
    <s v="Complete Access"/>
    <x v="76"/>
    <x v="2"/>
    <x v="2"/>
    <d v="1899-12-31T00:00:00"/>
    <n v="40"/>
    <x v="4"/>
    <x v="1"/>
  </r>
  <r>
    <x v="99"/>
    <n v="-20.149999999999999"/>
    <x v="7"/>
    <n v="2515.27"/>
    <s v="Complete Access"/>
    <x v="1"/>
    <x v="1"/>
    <x v="1"/>
    <d v="1899-12-31T00:00:00"/>
    <n v="40"/>
    <x v="4"/>
    <x v="1"/>
  </r>
  <r>
    <x v="99"/>
    <n v="-16.760000000000002"/>
    <x v="18"/>
    <n v="2535.42"/>
    <s v="Complete Access"/>
    <x v="16"/>
    <x v="1"/>
    <x v="5"/>
    <d v="1899-12-31T00:00:00"/>
    <n v="40"/>
    <x v="4"/>
    <x v="1"/>
  </r>
  <r>
    <x v="99"/>
    <n v="-30"/>
    <x v="196"/>
    <n v="2552.1799999999998"/>
    <s v="Complete Access"/>
    <x v="61"/>
    <x v="1"/>
    <x v="1"/>
    <d v="1899-12-31T00:00:00"/>
    <n v="40"/>
    <x v="4"/>
    <x v="1"/>
  </r>
  <r>
    <x v="99"/>
    <n v="-12.99"/>
    <x v="197"/>
    <n v="2582.1799999999998"/>
    <s v="Complete Access"/>
    <x v="77"/>
    <x v="4"/>
    <x v="27"/>
    <d v="1899-12-31T00:00:00"/>
    <n v="40"/>
    <x v="4"/>
    <x v="1"/>
  </r>
  <r>
    <x v="100"/>
    <n v="-9.1999999999999993"/>
    <x v="198"/>
    <n v="2595.17"/>
    <s v="Complete Access"/>
    <x v="78"/>
    <x v="1"/>
    <x v="5"/>
    <d v="1900-01-29T00:00:00"/>
    <n v="40"/>
    <x v="5"/>
    <x v="1"/>
  </r>
  <r>
    <x v="100"/>
    <n v="-33.89"/>
    <x v="42"/>
    <n v="2604.37"/>
    <s v="Complete Access"/>
    <x v="27"/>
    <x v="1"/>
    <x v="5"/>
    <d v="1900-01-29T00:00:00"/>
    <n v="40"/>
    <x v="5"/>
    <x v="1"/>
  </r>
  <r>
    <x v="101"/>
    <n v="-35.020000000000003"/>
    <x v="70"/>
    <n v="2638.26"/>
    <s v="Complete Access"/>
    <x v="8"/>
    <x v="1"/>
    <x v="5"/>
    <d v="1900-01-28T00:00:00"/>
    <n v="40"/>
    <x v="5"/>
    <x v="1"/>
  </r>
  <r>
    <x v="101"/>
    <n v="550"/>
    <x v="199"/>
    <n v="2673.28"/>
    <s v="Complete Access"/>
    <x v="36"/>
    <x v="0"/>
    <x v="0"/>
    <d v="1900-01-28T00:00:00"/>
    <n v="40"/>
    <x v="5"/>
    <x v="1"/>
  </r>
  <r>
    <x v="101"/>
    <n v="-84"/>
    <x v="200"/>
    <n v="2123.2800000000002"/>
    <s v="Complete Access"/>
    <x v="79"/>
    <x v="15"/>
    <x v="34"/>
    <d v="1900-01-28T00:00:00"/>
    <n v="40"/>
    <x v="5"/>
    <x v="1"/>
  </r>
  <r>
    <x v="101"/>
    <n v="-11"/>
    <x v="201"/>
    <n v="2207.2800000000002"/>
    <s v="Complete Access"/>
    <x v="80"/>
    <x v="8"/>
    <x v="29"/>
    <d v="1900-01-28T00:00:00"/>
    <n v="40"/>
    <x v="5"/>
    <x v="1"/>
  </r>
  <r>
    <x v="101"/>
    <n v="-9.19"/>
    <x v="119"/>
    <n v="2218.2800000000002"/>
    <s v="Complete Access"/>
    <x v="8"/>
    <x v="1"/>
    <x v="5"/>
    <d v="1900-01-28T00:00:00"/>
    <n v="40"/>
    <x v="5"/>
    <x v="1"/>
  </r>
  <r>
    <x v="102"/>
    <n v="-10.5"/>
    <x v="202"/>
    <n v="2227.4699999999998"/>
    <s v="Complete Access"/>
    <x v="79"/>
    <x v="15"/>
    <x v="34"/>
    <d v="1900-01-27T00:00:00"/>
    <n v="39"/>
    <x v="5"/>
    <x v="1"/>
  </r>
  <r>
    <x v="102"/>
    <n v="13.21"/>
    <x v="203"/>
    <n v="2237.9699999999998"/>
    <s v="Complete Access"/>
    <x v="8"/>
    <x v="1"/>
    <x v="5"/>
    <d v="1900-01-27T00:00:00"/>
    <n v="39"/>
    <x v="5"/>
    <x v="1"/>
  </r>
  <r>
    <x v="102"/>
    <n v="-13.21"/>
    <x v="204"/>
    <n v="2224.7600000000002"/>
    <s v="Complete Access"/>
    <x v="8"/>
    <x v="1"/>
    <x v="5"/>
    <d v="1900-01-27T00:00:00"/>
    <n v="39"/>
    <x v="5"/>
    <x v="1"/>
  </r>
  <r>
    <x v="102"/>
    <n v="-16.8"/>
    <x v="119"/>
    <n v="2237.9699999999998"/>
    <s v="Complete Access"/>
    <x v="8"/>
    <x v="1"/>
    <x v="5"/>
    <d v="1900-01-27T00:00:00"/>
    <n v="39"/>
    <x v="5"/>
    <x v="1"/>
  </r>
  <r>
    <x v="102"/>
    <n v="-44.75"/>
    <x v="119"/>
    <n v="2254.77"/>
    <s v="Complete Access"/>
    <x v="8"/>
    <x v="1"/>
    <x v="5"/>
    <d v="1900-01-27T00:00:00"/>
    <n v="39"/>
    <x v="5"/>
    <x v="1"/>
  </r>
  <r>
    <x v="103"/>
    <n v="-1408.62"/>
    <x v="15"/>
    <n v="2299.52"/>
    <s v="Complete Access"/>
    <x v="13"/>
    <x v="0"/>
    <x v="0"/>
    <d v="1900-01-25T00:00:00"/>
    <n v="39"/>
    <x v="5"/>
    <x v="1"/>
  </r>
  <r>
    <x v="103"/>
    <n v="2997.59"/>
    <x v="205"/>
    <n v="3708.14"/>
    <s v="Complete Access"/>
    <x v="14"/>
    <x v="6"/>
    <x v="9"/>
    <d v="1900-01-25T00:00:00"/>
    <n v="39"/>
    <x v="5"/>
    <x v="1"/>
  </r>
  <r>
    <x v="104"/>
    <n v="-31"/>
    <x v="206"/>
    <n v="710.55"/>
    <s v="Complete Access"/>
    <x v="17"/>
    <x v="7"/>
    <x v="11"/>
    <d v="1900-01-24T00:00:00"/>
    <n v="39"/>
    <x v="5"/>
    <x v="1"/>
  </r>
  <r>
    <x v="105"/>
    <n v="-30"/>
    <x v="207"/>
    <n v="741.55"/>
    <s v="Complete Access"/>
    <x v="81"/>
    <x v="16"/>
    <x v="35"/>
    <d v="1900-01-23T00:00:00"/>
    <n v="39"/>
    <x v="5"/>
    <x v="1"/>
  </r>
  <r>
    <x v="105"/>
    <n v="-16"/>
    <x v="8"/>
    <n v="771.55"/>
    <s v="Complete Access"/>
    <x v="7"/>
    <x v="1"/>
    <x v="5"/>
    <d v="1900-01-23T00:00:00"/>
    <n v="39"/>
    <x v="5"/>
    <x v="1"/>
  </r>
  <r>
    <x v="105"/>
    <n v="-43.46"/>
    <x v="208"/>
    <n v="787.55"/>
    <s v="Complete Access"/>
    <x v="1"/>
    <x v="1"/>
    <x v="1"/>
    <d v="1900-01-23T00:00:00"/>
    <n v="39"/>
    <x v="5"/>
    <x v="1"/>
  </r>
  <r>
    <x v="105"/>
    <n v="-17"/>
    <x v="209"/>
    <n v="831.01"/>
    <s v="Complete Access"/>
    <x v="1"/>
    <x v="1"/>
    <x v="1"/>
    <d v="1900-01-23T00:00:00"/>
    <n v="39"/>
    <x v="5"/>
    <x v="1"/>
  </r>
  <r>
    <x v="106"/>
    <n v="-138.87"/>
    <x v="210"/>
    <n v="904.24"/>
    <s v="Complete Access"/>
    <x v="3"/>
    <x v="2"/>
    <x v="2"/>
    <d v="1900-01-20T00:00:00"/>
    <n v="38"/>
    <x v="5"/>
    <x v="1"/>
  </r>
  <r>
    <x v="106"/>
    <n v="-56.23"/>
    <x v="42"/>
    <n v="848.01"/>
    <s v="Complete Access"/>
    <x v="27"/>
    <x v="1"/>
    <x v="5"/>
    <d v="1900-01-20T00:00:00"/>
    <n v="38"/>
    <x v="5"/>
    <x v="1"/>
  </r>
  <r>
    <x v="107"/>
    <n v="-91.45"/>
    <x v="211"/>
    <n v="1043.1099999999999"/>
    <s v="Complete Access"/>
    <x v="82"/>
    <x v="1"/>
    <x v="5"/>
    <d v="1900-01-19T00:00:00"/>
    <n v="38"/>
    <x v="5"/>
    <x v="1"/>
  </r>
  <r>
    <x v="108"/>
    <n v="-14.5"/>
    <x v="155"/>
    <n v="1134.56"/>
    <s v="Complete Access"/>
    <x v="62"/>
    <x v="1"/>
    <x v="5"/>
    <d v="1900-01-17T00:00:00"/>
    <n v="38"/>
    <x v="5"/>
    <x v="1"/>
  </r>
  <r>
    <x v="108"/>
    <n v="-40"/>
    <x v="212"/>
    <n v="1149.06"/>
    <s v="Complete Access"/>
    <x v="12"/>
    <x v="5"/>
    <x v="8"/>
    <d v="1900-01-17T00:00:00"/>
    <n v="38"/>
    <x v="5"/>
    <x v="1"/>
  </r>
  <r>
    <x v="109"/>
    <n v="-14.73"/>
    <x v="18"/>
    <n v="1189.06"/>
    <s v="Complete Access"/>
    <x v="16"/>
    <x v="1"/>
    <x v="5"/>
    <d v="1900-01-16T00:00:00"/>
    <n v="38"/>
    <x v="5"/>
    <x v="1"/>
  </r>
  <r>
    <x v="109"/>
    <n v="-29.99"/>
    <x v="213"/>
    <n v="1203.79"/>
    <s v="Complete Access"/>
    <x v="1"/>
    <x v="1"/>
    <x v="1"/>
    <d v="1900-01-16T00:00:00"/>
    <n v="38"/>
    <x v="5"/>
    <x v="1"/>
  </r>
  <r>
    <x v="109"/>
    <n v="-127.48"/>
    <x v="214"/>
    <n v="1233.78"/>
    <s v="Complete Access"/>
    <x v="82"/>
    <x v="1"/>
    <x v="5"/>
    <d v="1900-01-16T00:00:00"/>
    <n v="38"/>
    <x v="5"/>
    <x v="1"/>
  </r>
  <r>
    <x v="109"/>
    <n v="-34.340000000000003"/>
    <x v="215"/>
    <n v="1361.26"/>
    <s v="Complete Access"/>
    <x v="83"/>
    <x v="8"/>
    <x v="29"/>
    <d v="1900-01-16T00:00:00"/>
    <n v="38"/>
    <x v="5"/>
    <x v="1"/>
  </r>
  <r>
    <x v="109"/>
    <n v="-10.1"/>
    <x v="215"/>
    <n v="1395.6"/>
    <s v="Complete Access"/>
    <x v="83"/>
    <x v="8"/>
    <x v="29"/>
    <d v="1900-01-16T00:00:00"/>
    <n v="38"/>
    <x v="5"/>
    <x v="1"/>
  </r>
  <r>
    <x v="109"/>
    <n v="-10.1"/>
    <x v="215"/>
    <n v="1405.7"/>
    <s v="Complete Access"/>
    <x v="83"/>
    <x v="8"/>
    <x v="29"/>
    <d v="1900-01-16T00:00:00"/>
    <n v="38"/>
    <x v="5"/>
    <x v="1"/>
  </r>
  <r>
    <x v="109"/>
    <n v="-225.99"/>
    <x v="216"/>
    <n v="1415.8"/>
    <s v="Complete Access"/>
    <x v="84"/>
    <x v="9"/>
    <x v="36"/>
    <d v="1900-01-16T00:00:00"/>
    <n v="38"/>
    <x v="5"/>
    <x v="1"/>
  </r>
  <r>
    <x v="110"/>
    <n v="116.4"/>
    <x v="6"/>
    <n v="1641.79"/>
    <s v="Complete Access"/>
    <x v="6"/>
    <x v="4"/>
    <x v="4"/>
    <d v="1900-01-15T00:00:00"/>
    <n v="38"/>
    <x v="5"/>
    <x v="1"/>
  </r>
  <r>
    <x v="110"/>
    <n v="64"/>
    <x v="217"/>
    <n v="1525.39"/>
    <s v="Complete Access"/>
    <x v="36"/>
    <x v="0"/>
    <x v="0"/>
    <d v="1900-01-15T00:00:00"/>
    <n v="38"/>
    <x v="5"/>
    <x v="1"/>
  </r>
  <r>
    <x v="111"/>
    <n v="-29.3"/>
    <x v="218"/>
    <n v="1461.39"/>
    <s v="Complete Access"/>
    <x v="85"/>
    <x v="1"/>
    <x v="5"/>
    <d v="1900-01-14T00:00:00"/>
    <n v="38"/>
    <x v="5"/>
    <x v="1"/>
  </r>
  <r>
    <x v="112"/>
    <n v="-24.08"/>
    <x v="219"/>
    <n v="1490.69"/>
    <s v="Complete Access"/>
    <x v="86"/>
    <x v="8"/>
    <x v="29"/>
    <d v="1900-01-13T00:00:00"/>
    <n v="37"/>
    <x v="5"/>
    <x v="1"/>
  </r>
  <r>
    <x v="112"/>
    <n v="-39.31"/>
    <x v="28"/>
    <n v="1514.77"/>
    <s v="Complete Access"/>
    <x v="20"/>
    <x v="9"/>
    <x v="12"/>
    <d v="1900-01-13T00:00:00"/>
    <n v="37"/>
    <x v="5"/>
    <x v="1"/>
  </r>
  <r>
    <x v="112"/>
    <n v="-49.41"/>
    <x v="220"/>
    <n v="1554.08"/>
    <s v="Complete Access"/>
    <x v="1"/>
    <x v="1"/>
    <x v="1"/>
    <d v="1900-01-13T00:00:00"/>
    <n v="37"/>
    <x v="5"/>
    <x v="1"/>
  </r>
  <r>
    <x v="113"/>
    <n v="-1.1599999999999999"/>
    <x v="221"/>
    <n v="1603.49"/>
    <s v="Complete Access"/>
    <x v="10"/>
    <x v="0"/>
    <x v="0"/>
    <d v="1900-01-12T00:00:00"/>
    <n v="37"/>
    <x v="5"/>
    <x v="1"/>
  </r>
  <r>
    <x v="113"/>
    <n v="-33.14"/>
    <x v="222"/>
    <n v="1604.65"/>
    <s v="Complete Access"/>
    <x v="11"/>
    <x v="4"/>
    <x v="7"/>
    <d v="1900-01-12T00:00:00"/>
    <n v="37"/>
    <x v="5"/>
    <x v="1"/>
  </r>
  <r>
    <x v="114"/>
    <n v="-1408.62"/>
    <x v="15"/>
    <n v="1637.79"/>
    <s v="Complete Access"/>
    <x v="13"/>
    <x v="0"/>
    <x v="0"/>
    <d v="1900-01-11T00:00:00"/>
    <n v="37"/>
    <x v="5"/>
    <x v="1"/>
  </r>
  <r>
    <x v="114"/>
    <n v="2690.45"/>
    <x v="223"/>
    <n v="3046.41"/>
    <s v="Complete Access"/>
    <x v="14"/>
    <x v="6"/>
    <x v="9"/>
    <d v="1900-01-11T00:00:00"/>
    <n v="37"/>
    <x v="5"/>
    <x v="1"/>
  </r>
  <r>
    <x v="115"/>
    <n v="-16.5"/>
    <x v="8"/>
    <n v="355.96"/>
    <s v="Complete Access"/>
    <x v="7"/>
    <x v="1"/>
    <x v="5"/>
    <d v="1900-01-09T00:00:00"/>
    <n v="37"/>
    <x v="5"/>
    <x v="1"/>
  </r>
  <r>
    <x v="115"/>
    <n v="-33.369999999999997"/>
    <x v="224"/>
    <n v="372.46"/>
    <s v="Complete Access"/>
    <x v="46"/>
    <x v="1"/>
    <x v="1"/>
    <d v="1900-01-09T00:00:00"/>
    <n v="37"/>
    <x v="5"/>
    <x v="1"/>
  </r>
  <r>
    <x v="115"/>
    <n v="-133.75"/>
    <x v="225"/>
    <n v="405.83"/>
    <s v="Complete Access"/>
    <x v="70"/>
    <x v="8"/>
    <x v="22"/>
    <d v="1900-01-09T00:00:00"/>
    <n v="37"/>
    <x v="5"/>
    <x v="1"/>
  </r>
  <r>
    <x v="115"/>
    <n v="-89"/>
    <x v="226"/>
    <n v="539.58000000000004"/>
    <s v="Complete Access"/>
    <x v="17"/>
    <x v="7"/>
    <x v="11"/>
    <d v="1900-01-09T00:00:00"/>
    <n v="37"/>
    <x v="5"/>
    <x v="1"/>
  </r>
  <r>
    <x v="116"/>
    <n v="-14.7"/>
    <x v="96"/>
    <n v="628.58000000000004"/>
    <s v="Complete Access"/>
    <x v="47"/>
    <x v="1"/>
    <x v="5"/>
    <d v="1900-01-07T00:00:00"/>
    <n v="37"/>
    <x v="5"/>
    <x v="1"/>
  </r>
  <r>
    <x v="117"/>
    <n v="-43.56"/>
    <x v="227"/>
    <n v="643.28"/>
    <s v="Complete Access"/>
    <x v="87"/>
    <x v="8"/>
    <x v="29"/>
    <d v="1900-01-06T00:00:00"/>
    <n v="36"/>
    <x v="5"/>
    <x v="1"/>
  </r>
  <r>
    <x v="117"/>
    <n v="-60.78"/>
    <x v="228"/>
    <n v="686.84"/>
    <s v="Complete Access"/>
    <x v="88"/>
    <x v="8"/>
    <x v="29"/>
    <d v="1900-01-06T00:00:00"/>
    <n v="36"/>
    <x v="5"/>
    <x v="1"/>
  </r>
  <r>
    <x v="117"/>
    <n v="-9"/>
    <x v="229"/>
    <n v="747.62"/>
    <s v="Complete Access"/>
    <x v="89"/>
    <x v="8"/>
    <x v="29"/>
    <d v="1900-01-06T00:00:00"/>
    <n v="36"/>
    <x v="5"/>
    <x v="1"/>
  </r>
  <r>
    <x v="117"/>
    <n v="-20.9"/>
    <x v="76"/>
    <n v="756.62"/>
    <s v="Complete Access"/>
    <x v="39"/>
    <x v="1"/>
    <x v="5"/>
    <d v="1900-01-06T00:00:00"/>
    <n v="36"/>
    <x v="5"/>
    <x v="1"/>
  </r>
  <r>
    <x v="117"/>
    <n v="-18.59"/>
    <x v="119"/>
    <n v="777.52"/>
    <s v="Complete Access"/>
    <x v="8"/>
    <x v="1"/>
    <x v="5"/>
    <d v="1900-01-06T00:00:00"/>
    <n v="36"/>
    <x v="5"/>
    <x v="1"/>
  </r>
  <r>
    <x v="117"/>
    <n v="-22"/>
    <x v="230"/>
    <n v="796.11"/>
    <s v="Complete Access"/>
    <x v="90"/>
    <x v="8"/>
    <x v="29"/>
    <d v="1900-01-06T00:00:00"/>
    <n v="36"/>
    <x v="5"/>
    <x v="1"/>
  </r>
  <r>
    <x v="118"/>
    <n v="-22.68"/>
    <x v="7"/>
    <n v="818.11"/>
    <s v="Complete Access"/>
    <x v="1"/>
    <x v="1"/>
    <x v="1"/>
    <d v="1900-01-04T00:00:00"/>
    <n v="36"/>
    <x v="5"/>
    <x v="1"/>
  </r>
  <r>
    <x v="119"/>
    <n v="-756.64"/>
    <x v="231"/>
    <n v="840.79"/>
    <s v="Complete Access"/>
    <x v="5"/>
    <x v="3"/>
    <x v="3"/>
    <d v="1900-01-03T00:00:00"/>
    <n v="36"/>
    <x v="5"/>
    <x v="1"/>
  </r>
  <r>
    <x v="120"/>
    <n v="-16"/>
    <x v="8"/>
    <n v="1597.43"/>
    <s v="Complete Access"/>
    <x v="7"/>
    <x v="1"/>
    <x v="5"/>
    <d v="1900-01-02T00:00:00"/>
    <n v="36"/>
    <x v="5"/>
    <x v="1"/>
  </r>
  <r>
    <x v="121"/>
    <n v="-5.4"/>
    <x v="232"/>
    <n v="1613.43"/>
    <s v="Complete Access"/>
    <x v="76"/>
    <x v="2"/>
    <x v="2"/>
    <d v="1900-01-01T00:00:00"/>
    <n v="36"/>
    <x v="5"/>
    <x v="1"/>
  </r>
  <r>
    <x v="121"/>
    <n v="-637.11"/>
    <x v="233"/>
    <n v="1618.83"/>
    <s v="Complete Access"/>
    <x v="91"/>
    <x v="9"/>
    <x v="12"/>
    <d v="1900-01-01T00:00:00"/>
    <n v="36"/>
    <x v="5"/>
    <x v="1"/>
  </r>
  <r>
    <x v="121"/>
    <n v="316"/>
    <x v="234"/>
    <n v="2255.94"/>
    <s v="Complete Access"/>
    <x v="36"/>
    <x v="0"/>
    <x v="0"/>
    <d v="1900-01-01T00:00:00"/>
    <n v="36"/>
    <x v="5"/>
    <x v="1"/>
  </r>
  <r>
    <x v="122"/>
    <n v="-3.9"/>
    <x v="7"/>
    <n v="1939.94"/>
    <s v="Complete Access"/>
    <x v="1"/>
    <x v="1"/>
    <x v="1"/>
    <d v="1899-12-31T00:00:00"/>
    <n v="36"/>
    <x v="5"/>
    <x v="1"/>
  </r>
  <r>
    <x v="122"/>
    <n v="-35.880000000000003"/>
    <x v="30"/>
    <n v="1943.84"/>
    <s v="Complete Access"/>
    <x v="21"/>
    <x v="10"/>
    <x v="13"/>
    <d v="1899-12-31T00:00:00"/>
    <n v="36"/>
    <x v="5"/>
    <x v="1"/>
  </r>
  <r>
    <x v="123"/>
    <n v="-40.39"/>
    <x v="235"/>
    <n v="1979.72"/>
    <s v="Complete Access"/>
    <x v="92"/>
    <x v="9"/>
    <x v="37"/>
    <d v="1900-01-30T00:00:00"/>
    <n v="35"/>
    <x v="6"/>
    <x v="1"/>
  </r>
  <r>
    <x v="123"/>
    <n v="-34.549999999999997"/>
    <x v="236"/>
    <n v="2020.11"/>
    <s v="Complete Access"/>
    <x v="1"/>
    <x v="1"/>
    <x v="1"/>
    <d v="1900-01-30T00:00:00"/>
    <n v="35"/>
    <x v="6"/>
    <x v="1"/>
  </r>
  <r>
    <x v="123"/>
    <n v="-742.8"/>
    <x v="237"/>
    <n v="2054.66"/>
    <s v="Complete Access"/>
    <x v="93"/>
    <x v="9"/>
    <x v="36"/>
    <d v="1900-01-30T00:00:00"/>
    <n v="35"/>
    <x v="6"/>
    <x v="1"/>
  </r>
  <r>
    <x v="123"/>
    <n v="-49"/>
    <x v="238"/>
    <n v="2797.46"/>
    <s v="Complete Access"/>
    <x v="94"/>
    <x v="9"/>
    <x v="36"/>
    <d v="1900-01-30T00:00:00"/>
    <n v="35"/>
    <x v="6"/>
    <x v="1"/>
  </r>
  <r>
    <x v="123"/>
    <n v="-375.65"/>
    <x v="239"/>
    <n v="2846.46"/>
    <s v="Complete Access"/>
    <x v="95"/>
    <x v="14"/>
    <x v="38"/>
    <d v="1900-01-30T00:00:00"/>
    <n v="35"/>
    <x v="6"/>
    <x v="1"/>
  </r>
  <r>
    <x v="124"/>
    <n v="-12.99"/>
    <x v="240"/>
    <n v="3222.11"/>
    <s v="Complete Access"/>
    <x v="77"/>
    <x v="4"/>
    <x v="27"/>
    <d v="1900-01-29T00:00:00"/>
    <n v="35"/>
    <x v="6"/>
    <x v="1"/>
  </r>
  <r>
    <x v="124"/>
    <n v="-53.94"/>
    <x v="241"/>
    <n v="3235.1"/>
    <s v="Complete Access"/>
    <x v="1"/>
    <x v="1"/>
    <x v="1"/>
    <d v="1900-01-29T00:00:00"/>
    <n v="35"/>
    <x v="6"/>
    <x v="1"/>
  </r>
  <r>
    <x v="125"/>
    <n v="-11.8"/>
    <x v="11"/>
    <n v="3289.04"/>
    <s v="Complete Access"/>
    <x v="9"/>
    <x v="4"/>
    <x v="6"/>
    <d v="1900-01-28T00:00:00"/>
    <n v="35"/>
    <x v="6"/>
    <x v="1"/>
  </r>
  <r>
    <x v="125"/>
    <n v="-20"/>
    <x v="242"/>
    <n v="3300.84"/>
    <s v="Complete Access"/>
    <x v="96"/>
    <x v="9"/>
    <x v="39"/>
    <d v="1900-01-28T00:00:00"/>
    <n v="35"/>
    <x v="6"/>
    <x v="1"/>
  </r>
  <r>
    <x v="125"/>
    <n v="2672"/>
    <x v="243"/>
    <n v="3320.84"/>
    <s v="Complete Access"/>
    <x v="14"/>
    <x v="6"/>
    <x v="9"/>
    <d v="1900-01-28T00:00:00"/>
    <n v="35"/>
    <x v="6"/>
    <x v="1"/>
  </r>
  <r>
    <x v="126"/>
    <n v="-19.95"/>
    <x v="7"/>
    <n v="648.84"/>
    <s v="Complete Access"/>
    <x v="1"/>
    <x v="1"/>
    <x v="1"/>
    <d v="1900-01-27T00:00:00"/>
    <n v="35"/>
    <x v="6"/>
    <x v="1"/>
  </r>
  <r>
    <x v="126"/>
    <n v="-23.13"/>
    <x v="244"/>
    <n v="668.79"/>
    <s v="Complete Access"/>
    <x v="97"/>
    <x v="8"/>
    <x v="29"/>
    <d v="1900-01-27T00:00:00"/>
    <n v="35"/>
    <x v="6"/>
    <x v="1"/>
  </r>
  <r>
    <x v="126"/>
    <n v="-9.3000000000000007"/>
    <x v="245"/>
    <n v="691.92"/>
    <s v="Complete Access"/>
    <x v="98"/>
    <x v="9"/>
    <x v="32"/>
    <d v="1900-01-27T00:00:00"/>
    <n v="35"/>
    <x v="6"/>
    <x v="1"/>
  </r>
  <r>
    <x v="127"/>
    <n v="-56.99"/>
    <x v="246"/>
    <n v="701.22"/>
    <s v="Complete Access"/>
    <x v="73"/>
    <x v="1"/>
    <x v="23"/>
    <d v="1900-01-26T00:00:00"/>
    <n v="35"/>
    <x v="6"/>
    <x v="1"/>
  </r>
  <r>
    <x v="127"/>
    <n v="-8.1199999999999992"/>
    <x v="247"/>
    <n v="758.21"/>
    <s v="Complete Access"/>
    <x v="99"/>
    <x v="8"/>
    <x v="29"/>
    <d v="1900-01-26T00:00:00"/>
    <n v="35"/>
    <x v="6"/>
    <x v="1"/>
  </r>
  <r>
    <x v="127"/>
    <n v="-48.19"/>
    <x v="248"/>
    <n v="766.33"/>
    <s v="Complete Access"/>
    <x v="8"/>
    <x v="1"/>
    <x v="5"/>
    <d v="1900-01-26T00:00:00"/>
    <n v="35"/>
    <x v="6"/>
    <x v="1"/>
  </r>
  <r>
    <x v="128"/>
    <n v="-9"/>
    <x v="141"/>
    <n v="814.52"/>
    <s v="Complete Access"/>
    <x v="58"/>
    <x v="8"/>
    <x v="29"/>
    <d v="1900-01-24T00:00:00"/>
    <n v="35"/>
    <x v="6"/>
    <x v="1"/>
  </r>
  <r>
    <x v="129"/>
    <n v="-9"/>
    <x v="249"/>
    <n v="823.52"/>
    <s v="Complete Access"/>
    <x v="58"/>
    <x v="8"/>
    <x v="29"/>
    <d v="1900-01-23T00:00:00"/>
    <n v="34"/>
    <x v="6"/>
    <x v="1"/>
  </r>
  <r>
    <x v="129"/>
    <n v="28"/>
    <x v="250"/>
    <n v="832.52"/>
    <s v="Complete Access"/>
    <x v="36"/>
    <x v="0"/>
    <x v="0"/>
    <d v="1900-01-23T00:00:00"/>
    <n v="34"/>
    <x v="6"/>
    <x v="1"/>
  </r>
  <r>
    <x v="129"/>
    <n v="-47.93"/>
    <x v="119"/>
    <n v="804.52"/>
    <s v="Complete Access"/>
    <x v="8"/>
    <x v="1"/>
    <x v="5"/>
    <d v="1900-01-23T00:00:00"/>
    <n v="34"/>
    <x v="6"/>
    <x v="1"/>
  </r>
  <r>
    <x v="129"/>
    <n v="600"/>
    <x v="251"/>
    <n v="852.45"/>
    <s v="Complete Access"/>
    <x v="36"/>
    <x v="0"/>
    <x v="0"/>
    <d v="1900-01-23T00:00:00"/>
    <n v="34"/>
    <x v="6"/>
    <x v="1"/>
  </r>
  <r>
    <x v="129"/>
    <n v="-42.22"/>
    <x v="252"/>
    <n v="252.45"/>
    <s v="Complete Access"/>
    <x v="82"/>
    <x v="1"/>
    <x v="5"/>
    <d v="1900-01-23T00:00:00"/>
    <n v="34"/>
    <x v="6"/>
    <x v="1"/>
  </r>
  <r>
    <x v="129"/>
    <n v="-31"/>
    <x v="253"/>
    <n v="294.67"/>
    <s v="Complete Access"/>
    <x v="17"/>
    <x v="7"/>
    <x v="11"/>
    <d v="1900-01-23T00:00:00"/>
    <n v="34"/>
    <x v="6"/>
    <x v="1"/>
  </r>
  <r>
    <x v="129"/>
    <n v="-33.6"/>
    <x v="254"/>
    <n v="325.67"/>
    <s v="Complete Access"/>
    <x v="100"/>
    <x v="9"/>
    <x v="32"/>
    <d v="1900-01-23T00:00:00"/>
    <n v="34"/>
    <x v="6"/>
    <x v="1"/>
  </r>
  <r>
    <x v="130"/>
    <n v="-30"/>
    <x v="255"/>
    <n v="359.27"/>
    <s v="Complete Access"/>
    <x v="101"/>
    <x v="8"/>
    <x v="29"/>
    <d v="1900-01-22T00:00:00"/>
    <n v="34"/>
    <x v="6"/>
    <x v="1"/>
  </r>
  <r>
    <x v="130"/>
    <n v="-0.63"/>
    <x v="256"/>
    <n v="389.27"/>
    <s v="Complete Access"/>
    <x v="10"/>
    <x v="0"/>
    <x v="0"/>
    <d v="1900-01-22T00:00:00"/>
    <n v="34"/>
    <x v="6"/>
    <x v="1"/>
  </r>
  <r>
    <x v="130"/>
    <n v="-17.88"/>
    <x v="257"/>
    <n v="389.9"/>
    <s v="Complete Access"/>
    <x v="102"/>
    <x v="8"/>
    <x v="40"/>
    <d v="1900-01-22T00:00:00"/>
    <n v="34"/>
    <x v="6"/>
    <x v="1"/>
  </r>
  <r>
    <x v="131"/>
    <n v="-57.49"/>
    <x v="258"/>
    <n v="407.78"/>
    <s v="Complete Access"/>
    <x v="91"/>
    <x v="9"/>
    <x v="12"/>
    <d v="1900-01-21T00:00:00"/>
    <n v="34"/>
    <x v="6"/>
    <x v="1"/>
  </r>
  <r>
    <x v="131"/>
    <n v="-0.34"/>
    <x v="259"/>
    <n v="465.27"/>
    <s v="Complete Access"/>
    <x v="10"/>
    <x v="0"/>
    <x v="0"/>
    <d v="1900-01-21T00:00:00"/>
    <n v="34"/>
    <x v="6"/>
    <x v="1"/>
  </r>
  <r>
    <x v="131"/>
    <n v="-9.84"/>
    <x v="260"/>
    <n v="465.61"/>
    <s v="Complete Access"/>
    <x v="103"/>
    <x v="8"/>
    <x v="40"/>
    <d v="1900-01-21T00:00:00"/>
    <n v="34"/>
    <x v="6"/>
    <x v="1"/>
  </r>
  <r>
    <x v="131"/>
    <n v="-4.04"/>
    <x v="259"/>
    <n v="475.45"/>
    <s v="Complete Access"/>
    <x v="10"/>
    <x v="0"/>
    <x v="0"/>
    <d v="1900-01-21T00:00:00"/>
    <n v="34"/>
    <x v="6"/>
    <x v="1"/>
  </r>
  <r>
    <x v="131"/>
    <n v="-115.55"/>
    <x v="261"/>
    <n v="479.49"/>
    <s v="Complete Access"/>
    <x v="104"/>
    <x v="1"/>
    <x v="5"/>
    <d v="1900-01-21T00:00:00"/>
    <n v="34"/>
    <x v="6"/>
    <x v="1"/>
  </r>
  <r>
    <x v="131"/>
    <n v="-138.87"/>
    <x v="262"/>
    <n v="595.04"/>
    <s v="Complete Access"/>
    <x v="3"/>
    <x v="2"/>
    <x v="2"/>
    <d v="1900-01-21T00:00:00"/>
    <n v="34"/>
    <x v="6"/>
    <x v="1"/>
  </r>
  <r>
    <x v="132"/>
    <n v="-0.23"/>
    <x v="263"/>
    <n v="733.91"/>
    <s v="Complete Access"/>
    <x v="10"/>
    <x v="0"/>
    <x v="0"/>
    <d v="1900-01-20T00:00:00"/>
    <n v="34"/>
    <x v="6"/>
    <x v="1"/>
  </r>
  <r>
    <x v="132"/>
    <n v="-6.66"/>
    <x v="264"/>
    <n v="734.14"/>
    <s v="Complete Access"/>
    <x v="103"/>
    <x v="8"/>
    <x v="40"/>
    <d v="1900-01-20T00:00:00"/>
    <n v="34"/>
    <x v="6"/>
    <x v="1"/>
  </r>
  <r>
    <x v="132"/>
    <n v="-2.38"/>
    <x v="263"/>
    <n v="740.8"/>
    <s v="Complete Access"/>
    <x v="10"/>
    <x v="0"/>
    <x v="0"/>
    <d v="1900-01-20T00:00:00"/>
    <n v="34"/>
    <x v="6"/>
    <x v="1"/>
  </r>
  <r>
    <x v="132"/>
    <n v="-68.12"/>
    <x v="265"/>
    <n v="743.18"/>
    <s v="Complete Access"/>
    <x v="105"/>
    <x v="8"/>
    <x v="40"/>
    <d v="1900-01-20T00:00:00"/>
    <n v="34"/>
    <x v="6"/>
    <x v="1"/>
  </r>
  <r>
    <x v="132"/>
    <n v="-0.89"/>
    <x v="263"/>
    <n v="811.3"/>
    <s v="Complete Access"/>
    <x v="10"/>
    <x v="0"/>
    <x v="0"/>
    <d v="1900-01-20T00:00:00"/>
    <n v="34"/>
    <x v="6"/>
    <x v="1"/>
  </r>
  <r>
    <x v="132"/>
    <n v="-25.31"/>
    <x v="266"/>
    <n v="812.19"/>
    <s v="Complete Access"/>
    <x v="106"/>
    <x v="5"/>
    <x v="41"/>
    <d v="1900-01-20T00:00:00"/>
    <n v="34"/>
    <x v="6"/>
    <x v="1"/>
  </r>
  <r>
    <x v="132"/>
    <n v="-1.1299999999999999"/>
    <x v="263"/>
    <n v="837.5"/>
    <s v="Complete Access"/>
    <x v="10"/>
    <x v="0"/>
    <x v="0"/>
    <d v="1900-01-20T00:00:00"/>
    <n v="34"/>
    <x v="6"/>
    <x v="1"/>
  </r>
  <r>
    <x v="132"/>
    <n v="-32.229999999999997"/>
    <x v="267"/>
    <n v="838.63"/>
    <s v="Complete Access"/>
    <x v="106"/>
    <x v="5"/>
    <x v="41"/>
    <d v="1900-01-20T00:00:00"/>
    <n v="34"/>
    <x v="6"/>
    <x v="1"/>
  </r>
  <r>
    <x v="132"/>
    <n v="-3.96"/>
    <x v="259"/>
    <n v="870.86"/>
    <s v="Complete Access"/>
    <x v="10"/>
    <x v="0"/>
    <x v="0"/>
    <d v="1900-01-20T00:00:00"/>
    <n v="34"/>
    <x v="6"/>
    <x v="1"/>
  </r>
  <r>
    <x v="132"/>
    <n v="-113.2"/>
    <x v="268"/>
    <n v="874.82"/>
    <s v="Complete Access"/>
    <x v="106"/>
    <x v="5"/>
    <x v="41"/>
    <d v="1900-01-20T00:00:00"/>
    <n v="34"/>
    <x v="6"/>
    <x v="1"/>
  </r>
  <r>
    <x v="133"/>
    <n v="-1.4"/>
    <x v="269"/>
    <n v="988.02"/>
    <s v="Complete Access"/>
    <x v="10"/>
    <x v="0"/>
    <x v="0"/>
    <d v="1900-01-19T00:00:00"/>
    <n v="34"/>
    <x v="6"/>
    <x v="1"/>
  </r>
  <r>
    <x v="133"/>
    <n v="-39.96"/>
    <x v="270"/>
    <n v="989.42"/>
    <s v="Complete Access"/>
    <x v="107"/>
    <x v="8"/>
    <x v="40"/>
    <d v="1900-01-19T00:00:00"/>
    <n v="34"/>
    <x v="6"/>
    <x v="1"/>
  </r>
  <r>
    <x v="133"/>
    <n v="-2.77"/>
    <x v="269"/>
    <n v="1029.3800000000001"/>
    <s v="Complete Access"/>
    <x v="10"/>
    <x v="0"/>
    <x v="0"/>
    <d v="1900-01-19T00:00:00"/>
    <n v="34"/>
    <x v="6"/>
    <x v="1"/>
  </r>
  <r>
    <x v="133"/>
    <n v="-79.22"/>
    <x v="271"/>
    <n v="1032.1500000000001"/>
    <s v="Complete Access"/>
    <x v="108"/>
    <x v="8"/>
    <x v="40"/>
    <d v="1900-01-19T00:00:00"/>
    <n v="34"/>
    <x v="6"/>
    <x v="1"/>
  </r>
  <r>
    <x v="133"/>
    <n v="-0.15"/>
    <x v="269"/>
    <n v="1111.3699999999999"/>
    <s v="Complete Access"/>
    <x v="10"/>
    <x v="0"/>
    <x v="0"/>
    <d v="1900-01-19T00:00:00"/>
    <n v="34"/>
    <x v="6"/>
    <x v="1"/>
  </r>
  <r>
    <x v="133"/>
    <n v="-4.41"/>
    <x v="272"/>
    <n v="1111.52"/>
    <s v="Complete Access"/>
    <x v="109"/>
    <x v="8"/>
    <x v="40"/>
    <d v="1900-01-19T00:00:00"/>
    <n v="34"/>
    <x v="6"/>
    <x v="1"/>
  </r>
  <r>
    <x v="133"/>
    <n v="-0.15"/>
    <x v="269"/>
    <n v="1115.93"/>
    <s v="Complete Access"/>
    <x v="10"/>
    <x v="0"/>
    <x v="0"/>
    <d v="1900-01-19T00:00:00"/>
    <n v="34"/>
    <x v="6"/>
    <x v="1"/>
  </r>
  <r>
    <x v="133"/>
    <n v="-4.41"/>
    <x v="272"/>
    <n v="1116.08"/>
    <s v="Complete Access"/>
    <x v="109"/>
    <x v="8"/>
    <x v="40"/>
    <d v="1900-01-19T00:00:00"/>
    <n v="34"/>
    <x v="6"/>
    <x v="1"/>
  </r>
  <r>
    <x v="133"/>
    <n v="-0.15"/>
    <x v="269"/>
    <n v="1120.49"/>
    <s v="Complete Access"/>
    <x v="10"/>
    <x v="0"/>
    <x v="0"/>
    <d v="1900-01-19T00:00:00"/>
    <n v="34"/>
    <x v="6"/>
    <x v="1"/>
  </r>
  <r>
    <x v="133"/>
    <n v="-4.41"/>
    <x v="272"/>
    <n v="1120.6400000000001"/>
    <s v="Complete Access"/>
    <x v="109"/>
    <x v="8"/>
    <x v="40"/>
    <d v="1900-01-19T00:00:00"/>
    <n v="34"/>
    <x v="6"/>
    <x v="1"/>
  </r>
  <r>
    <x v="133"/>
    <n v="-0.15"/>
    <x v="269"/>
    <n v="1125.05"/>
    <s v="Complete Access"/>
    <x v="10"/>
    <x v="0"/>
    <x v="0"/>
    <d v="1900-01-19T00:00:00"/>
    <n v="34"/>
    <x v="6"/>
    <x v="1"/>
  </r>
  <r>
    <x v="133"/>
    <n v="-4.3899999999999997"/>
    <x v="272"/>
    <n v="1125.2"/>
    <s v="Complete Access"/>
    <x v="109"/>
    <x v="8"/>
    <x v="40"/>
    <d v="1900-01-19T00:00:00"/>
    <n v="34"/>
    <x v="6"/>
    <x v="1"/>
  </r>
  <r>
    <x v="133"/>
    <n v="-11.75"/>
    <x v="269"/>
    <n v="1129.5899999999999"/>
    <s v="Complete Access"/>
    <x v="10"/>
    <x v="0"/>
    <x v="0"/>
    <d v="1900-01-19T00:00:00"/>
    <n v="34"/>
    <x v="6"/>
    <x v="1"/>
  </r>
  <r>
    <x v="133"/>
    <n v="-335.69"/>
    <x v="273"/>
    <n v="1141.3399999999999"/>
    <s v="Complete Access"/>
    <x v="110"/>
    <x v="8"/>
    <x v="40"/>
    <d v="1900-01-19T00:00:00"/>
    <n v="34"/>
    <x v="6"/>
    <x v="1"/>
  </r>
  <r>
    <x v="133"/>
    <n v="-1.92"/>
    <x v="274"/>
    <n v="1477.03"/>
    <s v="Complete Access"/>
    <x v="10"/>
    <x v="0"/>
    <x v="0"/>
    <d v="1900-01-19T00:00:00"/>
    <n v="34"/>
    <x v="6"/>
    <x v="1"/>
  </r>
  <r>
    <x v="133"/>
    <n v="-54.96"/>
    <x v="275"/>
    <n v="1478.95"/>
    <s v="Complete Access"/>
    <x v="111"/>
    <x v="8"/>
    <x v="40"/>
    <d v="1900-01-19T00:00:00"/>
    <n v="34"/>
    <x v="6"/>
    <x v="1"/>
  </r>
  <r>
    <x v="133"/>
    <n v="-1.87"/>
    <x v="269"/>
    <n v="1533.91"/>
    <s v="Complete Access"/>
    <x v="10"/>
    <x v="0"/>
    <x v="0"/>
    <d v="1900-01-19T00:00:00"/>
    <n v="34"/>
    <x v="6"/>
    <x v="1"/>
  </r>
  <r>
    <x v="133"/>
    <n v="-53.44"/>
    <x v="276"/>
    <n v="1535.78"/>
    <s v="Complete Access"/>
    <x v="111"/>
    <x v="8"/>
    <x v="40"/>
    <d v="1900-01-19T00:00:00"/>
    <n v="34"/>
    <x v="6"/>
    <x v="1"/>
  </r>
  <r>
    <x v="133"/>
    <n v="-0.11"/>
    <x v="277"/>
    <n v="1589.22"/>
    <s v="Complete Access"/>
    <x v="10"/>
    <x v="0"/>
    <x v="0"/>
    <d v="1900-01-19T00:00:00"/>
    <n v="34"/>
    <x v="6"/>
    <x v="1"/>
  </r>
  <r>
    <x v="133"/>
    <n v="-3.2"/>
    <x v="278"/>
    <n v="1589.33"/>
    <s v="Complete Access"/>
    <x v="112"/>
    <x v="8"/>
    <x v="40"/>
    <d v="1900-01-19T00:00:00"/>
    <n v="34"/>
    <x v="6"/>
    <x v="1"/>
  </r>
  <r>
    <x v="133"/>
    <n v="-14.34"/>
    <x v="279"/>
    <n v="1592.53"/>
    <s v="Complete Access"/>
    <x v="10"/>
    <x v="0"/>
    <x v="0"/>
    <d v="1900-01-19T00:00:00"/>
    <n v="34"/>
    <x v="6"/>
    <x v="1"/>
  </r>
  <r>
    <x v="133"/>
    <n v="-409.61"/>
    <x v="280"/>
    <n v="1606.87"/>
    <s v="Complete Access"/>
    <x v="113"/>
    <x v="8"/>
    <x v="40"/>
    <d v="1900-01-19T00:00:00"/>
    <n v="34"/>
    <x v="6"/>
    <x v="1"/>
  </r>
  <r>
    <x v="133"/>
    <n v="-59.99"/>
    <x v="281"/>
    <n v="2016.48"/>
    <s v="Complete Access"/>
    <x v="114"/>
    <x v="16"/>
    <x v="7"/>
    <d v="1900-01-19T00:00:00"/>
    <n v="34"/>
    <x v="6"/>
    <x v="1"/>
  </r>
  <r>
    <x v="133"/>
    <n v="-1.82"/>
    <x v="279"/>
    <n v="2076.4699999999998"/>
    <s v="Complete Access"/>
    <x v="10"/>
    <x v="0"/>
    <x v="0"/>
    <d v="1900-01-19T00:00:00"/>
    <n v="34"/>
    <x v="6"/>
    <x v="1"/>
  </r>
  <r>
    <x v="133"/>
    <n v="-52.09"/>
    <x v="282"/>
    <n v="2078.29"/>
    <s v="Complete Access"/>
    <x v="115"/>
    <x v="8"/>
    <x v="40"/>
    <d v="1900-01-19T00:00:00"/>
    <n v="34"/>
    <x v="6"/>
    <x v="1"/>
  </r>
  <r>
    <x v="133"/>
    <n v="-2.2200000000000002"/>
    <x v="263"/>
    <n v="2130.38"/>
    <s v="Complete Access"/>
    <x v="10"/>
    <x v="0"/>
    <x v="0"/>
    <d v="1900-01-19T00:00:00"/>
    <n v="34"/>
    <x v="6"/>
    <x v="1"/>
  </r>
  <r>
    <x v="133"/>
    <n v="-63.41"/>
    <x v="283"/>
    <n v="2132.6"/>
    <s v="Complete Access"/>
    <x v="116"/>
    <x v="8"/>
    <x v="40"/>
    <d v="1900-01-19T00:00:00"/>
    <n v="34"/>
    <x v="6"/>
    <x v="1"/>
  </r>
  <r>
    <x v="133"/>
    <n v="-0.5"/>
    <x v="279"/>
    <n v="2196.0100000000002"/>
    <s v="Complete Access"/>
    <x v="10"/>
    <x v="0"/>
    <x v="0"/>
    <d v="1900-01-19T00:00:00"/>
    <n v="34"/>
    <x v="6"/>
    <x v="1"/>
  </r>
  <r>
    <x v="133"/>
    <n v="-14.23"/>
    <x v="284"/>
    <n v="2196.5100000000002"/>
    <s v="Complete Access"/>
    <x v="106"/>
    <x v="5"/>
    <x v="41"/>
    <d v="1900-01-19T00:00:00"/>
    <n v="34"/>
    <x v="6"/>
    <x v="1"/>
  </r>
  <r>
    <x v="133"/>
    <n v="-3.18"/>
    <x v="279"/>
    <n v="2210.7399999999998"/>
    <s v="Complete Access"/>
    <x v="10"/>
    <x v="0"/>
    <x v="0"/>
    <d v="1900-01-19T00:00:00"/>
    <n v="34"/>
    <x v="6"/>
    <x v="1"/>
  </r>
  <r>
    <x v="133"/>
    <n v="-90.83"/>
    <x v="285"/>
    <n v="2213.92"/>
    <s v="Complete Access"/>
    <x v="117"/>
    <x v="8"/>
    <x v="40"/>
    <d v="1900-01-19T00:00:00"/>
    <n v="34"/>
    <x v="6"/>
    <x v="1"/>
  </r>
  <r>
    <x v="133"/>
    <n v="-0.85"/>
    <x v="279"/>
    <n v="2304.75"/>
    <s v="Complete Access"/>
    <x v="10"/>
    <x v="0"/>
    <x v="0"/>
    <d v="1900-01-19T00:00:00"/>
    <n v="34"/>
    <x v="6"/>
    <x v="1"/>
  </r>
  <r>
    <x v="133"/>
    <n v="-24.39"/>
    <x v="286"/>
    <n v="2305.6"/>
    <s v="Complete Access"/>
    <x v="106"/>
    <x v="5"/>
    <x v="41"/>
    <d v="1900-01-19T00:00:00"/>
    <n v="34"/>
    <x v="6"/>
    <x v="1"/>
  </r>
  <r>
    <x v="134"/>
    <n v="-1.98"/>
    <x v="269"/>
    <n v="2329.9899999999998"/>
    <s v="Complete Access"/>
    <x v="10"/>
    <x v="0"/>
    <x v="0"/>
    <d v="1900-01-16T00:00:00"/>
    <n v="33"/>
    <x v="6"/>
    <x v="1"/>
  </r>
  <r>
    <x v="134"/>
    <n v="-56.71"/>
    <x v="287"/>
    <n v="2331.9699999999998"/>
    <s v="Complete Access"/>
    <x v="118"/>
    <x v="8"/>
    <x v="40"/>
    <d v="1900-01-16T00:00:00"/>
    <n v="33"/>
    <x v="6"/>
    <x v="1"/>
  </r>
  <r>
    <x v="134"/>
    <n v="-0.21"/>
    <x v="274"/>
    <n v="2388.6799999999998"/>
    <s v="Complete Access"/>
    <x v="10"/>
    <x v="0"/>
    <x v="0"/>
    <d v="1900-01-16T00:00:00"/>
    <n v="33"/>
    <x v="6"/>
    <x v="1"/>
  </r>
  <r>
    <x v="134"/>
    <n v="-6.05"/>
    <x v="288"/>
    <n v="2388.89"/>
    <s v="Complete Access"/>
    <x v="119"/>
    <x v="8"/>
    <x v="40"/>
    <d v="1900-01-16T00:00:00"/>
    <n v="33"/>
    <x v="6"/>
    <x v="1"/>
  </r>
  <r>
    <x v="134"/>
    <n v="-0.15"/>
    <x v="274"/>
    <n v="2394.94"/>
    <s v="Complete Access"/>
    <x v="10"/>
    <x v="0"/>
    <x v="0"/>
    <d v="1900-01-16T00:00:00"/>
    <n v="33"/>
    <x v="6"/>
    <x v="1"/>
  </r>
  <r>
    <x v="134"/>
    <n v="-4.3899999999999997"/>
    <x v="289"/>
    <n v="2395.09"/>
    <s v="Complete Access"/>
    <x v="109"/>
    <x v="8"/>
    <x v="40"/>
    <d v="1900-01-16T00:00:00"/>
    <n v="33"/>
    <x v="6"/>
    <x v="1"/>
  </r>
  <r>
    <x v="134"/>
    <n v="-0.15"/>
    <x v="274"/>
    <n v="2399.48"/>
    <s v="Complete Access"/>
    <x v="10"/>
    <x v="0"/>
    <x v="0"/>
    <d v="1900-01-16T00:00:00"/>
    <n v="33"/>
    <x v="6"/>
    <x v="1"/>
  </r>
  <r>
    <x v="134"/>
    <n v="-4.41"/>
    <x v="289"/>
    <n v="2399.63"/>
    <s v="Complete Access"/>
    <x v="109"/>
    <x v="8"/>
    <x v="40"/>
    <d v="1900-01-16T00:00:00"/>
    <n v="33"/>
    <x v="6"/>
    <x v="1"/>
  </r>
  <r>
    <x v="134"/>
    <n v="-0.15"/>
    <x v="274"/>
    <n v="2404.04"/>
    <s v="Complete Access"/>
    <x v="10"/>
    <x v="0"/>
    <x v="0"/>
    <d v="1900-01-16T00:00:00"/>
    <n v="33"/>
    <x v="6"/>
    <x v="1"/>
  </r>
  <r>
    <x v="134"/>
    <n v="-4.41"/>
    <x v="290"/>
    <n v="2404.19"/>
    <s v="Complete Access"/>
    <x v="109"/>
    <x v="8"/>
    <x v="40"/>
    <d v="1900-01-16T00:00:00"/>
    <n v="33"/>
    <x v="6"/>
    <x v="1"/>
  </r>
  <r>
    <x v="134"/>
    <n v="-0.77"/>
    <x v="274"/>
    <n v="2408.6"/>
    <s v="Complete Access"/>
    <x v="10"/>
    <x v="0"/>
    <x v="0"/>
    <d v="1900-01-16T00:00:00"/>
    <n v="33"/>
    <x v="6"/>
    <x v="1"/>
  </r>
  <r>
    <x v="134"/>
    <n v="-21.99"/>
    <x v="291"/>
    <n v="2409.37"/>
    <s v="Complete Access"/>
    <x v="106"/>
    <x v="5"/>
    <x v="41"/>
    <d v="1900-01-16T00:00:00"/>
    <n v="33"/>
    <x v="6"/>
    <x v="1"/>
  </r>
  <r>
    <x v="134"/>
    <n v="-5.33"/>
    <x v="292"/>
    <n v="2431.36"/>
    <s v="Complete Access"/>
    <x v="10"/>
    <x v="0"/>
    <x v="0"/>
    <d v="1900-01-16T00:00:00"/>
    <n v="33"/>
    <x v="6"/>
    <x v="1"/>
  </r>
  <r>
    <x v="134"/>
    <n v="-152.22"/>
    <x v="293"/>
    <n v="2436.69"/>
    <s v="Complete Access"/>
    <x v="120"/>
    <x v="8"/>
    <x v="40"/>
    <d v="1900-01-16T00:00:00"/>
    <n v="33"/>
    <x v="6"/>
    <x v="1"/>
  </r>
  <r>
    <x v="134"/>
    <n v="-1.05"/>
    <x v="292"/>
    <n v="2588.91"/>
    <s v="Complete Access"/>
    <x v="10"/>
    <x v="0"/>
    <x v="0"/>
    <d v="1900-01-16T00:00:00"/>
    <n v="33"/>
    <x v="6"/>
    <x v="1"/>
  </r>
  <r>
    <x v="134"/>
    <n v="-29.94"/>
    <x v="294"/>
    <n v="2589.96"/>
    <s v="Complete Access"/>
    <x v="121"/>
    <x v="8"/>
    <x v="40"/>
    <d v="1900-01-16T00:00:00"/>
    <n v="33"/>
    <x v="6"/>
    <x v="1"/>
  </r>
  <r>
    <x v="134"/>
    <n v="-0.65"/>
    <x v="292"/>
    <n v="2619.9"/>
    <s v="Complete Access"/>
    <x v="10"/>
    <x v="0"/>
    <x v="0"/>
    <d v="1900-01-16T00:00:00"/>
    <n v="33"/>
    <x v="6"/>
    <x v="1"/>
  </r>
  <r>
    <x v="134"/>
    <n v="-18.66"/>
    <x v="295"/>
    <n v="2620.5500000000002"/>
    <s v="Complete Access"/>
    <x v="122"/>
    <x v="8"/>
    <x v="40"/>
    <d v="1900-01-16T00:00:00"/>
    <n v="33"/>
    <x v="6"/>
    <x v="1"/>
  </r>
  <r>
    <x v="134"/>
    <n v="-0.11"/>
    <x v="292"/>
    <n v="2639.21"/>
    <s v="Complete Access"/>
    <x v="10"/>
    <x v="0"/>
    <x v="0"/>
    <d v="1900-01-16T00:00:00"/>
    <n v="33"/>
    <x v="6"/>
    <x v="1"/>
  </r>
  <r>
    <x v="134"/>
    <n v="-3.16"/>
    <x v="296"/>
    <n v="2639.32"/>
    <s v="Complete Access"/>
    <x v="123"/>
    <x v="8"/>
    <x v="40"/>
    <d v="1900-01-16T00:00:00"/>
    <n v="33"/>
    <x v="6"/>
    <x v="1"/>
  </r>
  <r>
    <x v="134"/>
    <n v="-24.99"/>
    <x v="297"/>
    <n v="2642.48"/>
    <s v="Complete Access"/>
    <x v="114"/>
    <x v="16"/>
    <x v="7"/>
    <d v="1900-01-16T00:00:00"/>
    <n v="33"/>
    <x v="6"/>
    <x v="1"/>
  </r>
  <r>
    <x v="134"/>
    <n v="-2.27"/>
    <x v="269"/>
    <n v="2667.47"/>
    <s v="Complete Access"/>
    <x v="10"/>
    <x v="0"/>
    <x v="0"/>
    <d v="1900-01-16T00:00:00"/>
    <n v="33"/>
    <x v="6"/>
    <x v="1"/>
  </r>
  <r>
    <x v="134"/>
    <n v="-64.81"/>
    <x v="298"/>
    <n v="2669.74"/>
    <s v="Complete Access"/>
    <x v="124"/>
    <x v="8"/>
    <x v="40"/>
    <d v="1900-01-16T00:00:00"/>
    <n v="33"/>
    <x v="6"/>
    <x v="1"/>
  </r>
  <r>
    <x v="135"/>
    <n v="-0.15"/>
    <x v="292"/>
    <n v="2734.55"/>
    <s v="Complete Access"/>
    <x v="10"/>
    <x v="0"/>
    <x v="0"/>
    <d v="1900-01-15T00:00:00"/>
    <n v="33"/>
    <x v="6"/>
    <x v="1"/>
  </r>
  <r>
    <x v="135"/>
    <n v="-4.41"/>
    <x v="290"/>
    <n v="2734.7"/>
    <s v="Complete Access"/>
    <x v="109"/>
    <x v="8"/>
    <x v="40"/>
    <d v="1900-01-15T00:00:00"/>
    <n v="33"/>
    <x v="6"/>
    <x v="1"/>
  </r>
  <r>
    <x v="135"/>
    <n v="-0.15"/>
    <x v="292"/>
    <n v="2739.11"/>
    <s v="Complete Access"/>
    <x v="10"/>
    <x v="0"/>
    <x v="0"/>
    <d v="1900-01-15T00:00:00"/>
    <n v="33"/>
    <x v="6"/>
    <x v="1"/>
  </r>
  <r>
    <x v="135"/>
    <n v="-4.41"/>
    <x v="290"/>
    <n v="2739.26"/>
    <s v="Complete Access"/>
    <x v="109"/>
    <x v="8"/>
    <x v="40"/>
    <d v="1900-01-15T00:00:00"/>
    <n v="33"/>
    <x v="6"/>
    <x v="1"/>
  </r>
  <r>
    <x v="135"/>
    <n v="-0.15"/>
    <x v="292"/>
    <n v="2743.67"/>
    <s v="Complete Access"/>
    <x v="10"/>
    <x v="0"/>
    <x v="0"/>
    <d v="1900-01-15T00:00:00"/>
    <n v="33"/>
    <x v="6"/>
    <x v="1"/>
  </r>
  <r>
    <x v="135"/>
    <n v="-4.42"/>
    <x v="290"/>
    <n v="2743.82"/>
    <s v="Complete Access"/>
    <x v="109"/>
    <x v="8"/>
    <x v="40"/>
    <d v="1900-01-15T00:00:00"/>
    <n v="33"/>
    <x v="6"/>
    <x v="1"/>
  </r>
  <r>
    <x v="135"/>
    <n v="-0.41"/>
    <x v="292"/>
    <n v="2748.24"/>
    <s v="Complete Access"/>
    <x v="10"/>
    <x v="0"/>
    <x v="0"/>
    <d v="1900-01-15T00:00:00"/>
    <n v="33"/>
    <x v="6"/>
    <x v="1"/>
  </r>
  <r>
    <x v="135"/>
    <n v="-11.58"/>
    <x v="299"/>
    <n v="2748.65"/>
    <s v="Complete Access"/>
    <x v="125"/>
    <x v="8"/>
    <x v="40"/>
    <d v="1900-01-15T00:00:00"/>
    <n v="33"/>
    <x v="6"/>
    <x v="1"/>
  </r>
  <r>
    <x v="135"/>
    <n v="-4.0599999999999996"/>
    <x v="292"/>
    <n v="2760.23"/>
    <s v="Complete Access"/>
    <x v="10"/>
    <x v="0"/>
    <x v="0"/>
    <d v="1900-01-15T00:00:00"/>
    <n v="33"/>
    <x v="6"/>
    <x v="1"/>
  </r>
  <r>
    <x v="135"/>
    <n v="-115.86"/>
    <x v="300"/>
    <n v="2764.29"/>
    <s v="Complete Access"/>
    <x v="126"/>
    <x v="8"/>
    <x v="40"/>
    <d v="1900-01-15T00:00:00"/>
    <n v="33"/>
    <x v="6"/>
    <x v="1"/>
  </r>
  <r>
    <x v="135"/>
    <n v="-0.5"/>
    <x v="301"/>
    <n v="2880.15"/>
    <s v="Complete Access"/>
    <x v="10"/>
    <x v="0"/>
    <x v="0"/>
    <d v="1900-01-15T00:00:00"/>
    <n v="33"/>
    <x v="6"/>
    <x v="1"/>
  </r>
  <r>
    <x v="135"/>
    <n v="-14.26"/>
    <x v="302"/>
    <n v="2880.65"/>
    <s v="Complete Access"/>
    <x v="127"/>
    <x v="8"/>
    <x v="40"/>
    <d v="1900-01-15T00:00:00"/>
    <n v="33"/>
    <x v="6"/>
    <x v="1"/>
  </r>
  <r>
    <x v="135"/>
    <n v="-0.11"/>
    <x v="301"/>
    <n v="2894.91"/>
    <s v="Complete Access"/>
    <x v="10"/>
    <x v="0"/>
    <x v="0"/>
    <d v="1900-01-15T00:00:00"/>
    <n v="33"/>
    <x v="6"/>
    <x v="1"/>
  </r>
  <r>
    <x v="135"/>
    <n v="-3.17"/>
    <x v="303"/>
    <n v="2895.02"/>
    <s v="Complete Access"/>
    <x v="127"/>
    <x v="8"/>
    <x v="40"/>
    <d v="1900-01-15T00:00:00"/>
    <n v="33"/>
    <x v="6"/>
    <x v="1"/>
  </r>
  <r>
    <x v="135"/>
    <n v="-1.5"/>
    <x v="292"/>
    <n v="2898.19"/>
    <s v="Complete Access"/>
    <x v="10"/>
    <x v="0"/>
    <x v="0"/>
    <d v="1900-01-15T00:00:00"/>
    <n v="33"/>
    <x v="6"/>
    <x v="1"/>
  </r>
  <r>
    <x v="135"/>
    <n v="-42.73"/>
    <x v="304"/>
    <n v="2899.69"/>
    <s v="Complete Access"/>
    <x v="128"/>
    <x v="8"/>
    <x v="40"/>
    <d v="1900-01-15T00:00:00"/>
    <n v="33"/>
    <x v="6"/>
    <x v="1"/>
  </r>
  <r>
    <x v="135"/>
    <n v="-1.39"/>
    <x v="274"/>
    <n v="2942.42"/>
    <s v="Complete Access"/>
    <x v="10"/>
    <x v="0"/>
    <x v="0"/>
    <d v="1900-01-15T00:00:00"/>
    <n v="33"/>
    <x v="6"/>
    <x v="1"/>
  </r>
  <r>
    <x v="135"/>
    <n v="-39.75"/>
    <x v="305"/>
    <n v="2943.81"/>
    <s v="Complete Access"/>
    <x v="106"/>
    <x v="5"/>
    <x v="41"/>
    <d v="1900-01-15T00:00:00"/>
    <n v="33"/>
    <x v="6"/>
    <x v="1"/>
  </r>
  <r>
    <x v="136"/>
    <n v="-11.8"/>
    <x v="11"/>
    <n v="2983.56"/>
    <s v="Complete Access"/>
    <x v="9"/>
    <x v="4"/>
    <x v="6"/>
    <d v="1900-01-14T00:00:00"/>
    <n v="33"/>
    <x v="6"/>
    <x v="1"/>
  </r>
  <r>
    <x v="136"/>
    <n v="-6.15"/>
    <x v="306"/>
    <n v="2995.36"/>
    <s v="Complete Access"/>
    <x v="129"/>
    <x v="0"/>
    <x v="42"/>
    <d v="1900-01-14T00:00:00"/>
    <n v="33"/>
    <x v="6"/>
    <x v="1"/>
  </r>
  <r>
    <x v="136"/>
    <n v="-32.83"/>
    <x v="307"/>
    <n v="3001.51"/>
    <s v="Complete Access"/>
    <x v="130"/>
    <x v="0"/>
    <x v="0"/>
    <d v="1900-01-14T00:00:00"/>
    <n v="33"/>
    <x v="6"/>
    <x v="1"/>
  </r>
  <r>
    <x v="136"/>
    <n v="-1408.62"/>
    <x v="15"/>
    <n v="3034.34"/>
    <s v="Complete Access"/>
    <x v="13"/>
    <x v="0"/>
    <x v="0"/>
    <d v="1900-01-14T00:00:00"/>
    <n v="33"/>
    <x v="6"/>
    <x v="1"/>
  </r>
  <r>
    <x v="136"/>
    <n v="-0.23"/>
    <x v="301"/>
    <n v="4442.96"/>
    <s v="Complete Access"/>
    <x v="10"/>
    <x v="0"/>
    <x v="0"/>
    <d v="1900-01-14T00:00:00"/>
    <n v="33"/>
    <x v="6"/>
    <x v="1"/>
  </r>
  <r>
    <x v="136"/>
    <n v="-6.47"/>
    <x v="308"/>
    <n v="4443.1899999999996"/>
    <s v="Complete Access"/>
    <x v="109"/>
    <x v="8"/>
    <x v="40"/>
    <d v="1900-01-14T00:00:00"/>
    <n v="33"/>
    <x v="6"/>
    <x v="1"/>
  </r>
  <r>
    <x v="136"/>
    <n v="-0.15"/>
    <x v="301"/>
    <n v="4449.66"/>
    <s v="Complete Access"/>
    <x v="10"/>
    <x v="0"/>
    <x v="0"/>
    <d v="1900-01-14T00:00:00"/>
    <n v="33"/>
    <x v="6"/>
    <x v="1"/>
  </r>
  <r>
    <x v="136"/>
    <n v="-4.42"/>
    <x v="309"/>
    <n v="4449.8100000000004"/>
    <s v="Complete Access"/>
    <x v="109"/>
    <x v="8"/>
    <x v="40"/>
    <d v="1900-01-14T00:00:00"/>
    <n v="33"/>
    <x v="6"/>
    <x v="1"/>
  </r>
  <r>
    <x v="136"/>
    <n v="-0.3"/>
    <x v="301"/>
    <n v="4454.2299999999996"/>
    <s v="Complete Access"/>
    <x v="10"/>
    <x v="0"/>
    <x v="0"/>
    <d v="1900-01-14T00:00:00"/>
    <n v="33"/>
    <x v="6"/>
    <x v="1"/>
  </r>
  <r>
    <x v="136"/>
    <n v="-8.64"/>
    <x v="310"/>
    <n v="4454.53"/>
    <s v="Complete Access"/>
    <x v="131"/>
    <x v="8"/>
    <x v="40"/>
    <d v="1900-01-14T00:00:00"/>
    <n v="33"/>
    <x v="6"/>
    <x v="1"/>
  </r>
  <r>
    <x v="136"/>
    <n v="-0.53"/>
    <x v="301"/>
    <n v="4463.17"/>
    <s v="Complete Access"/>
    <x v="10"/>
    <x v="0"/>
    <x v="0"/>
    <d v="1900-01-14T00:00:00"/>
    <n v="33"/>
    <x v="6"/>
    <x v="1"/>
  </r>
  <r>
    <x v="136"/>
    <n v="-15.05"/>
    <x v="311"/>
    <n v="4463.7"/>
    <s v="Complete Access"/>
    <x v="132"/>
    <x v="8"/>
    <x v="40"/>
    <d v="1900-01-14T00:00:00"/>
    <n v="33"/>
    <x v="6"/>
    <x v="1"/>
  </r>
  <r>
    <x v="136"/>
    <n v="-1.71"/>
    <x v="292"/>
    <n v="4478.75"/>
    <s v="Complete Access"/>
    <x v="10"/>
    <x v="0"/>
    <x v="0"/>
    <d v="1900-01-14T00:00:00"/>
    <n v="33"/>
    <x v="6"/>
    <x v="1"/>
  </r>
  <r>
    <x v="136"/>
    <n v="-48.94"/>
    <x v="312"/>
    <n v="4480.46"/>
    <s v="Complete Access"/>
    <x v="128"/>
    <x v="8"/>
    <x v="40"/>
    <d v="1900-01-14T00:00:00"/>
    <n v="33"/>
    <x v="6"/>
    <x v="1"/>
  </r>
  <r>
    <x v="136"/>
    <n v="-1.86"/>
    <x v="301"/>
    <n v="4529.3999999999996"/>
    <s v="Complete Access"/>
    <x v="10"/>
    <x v="0"/>
    <x v="0"/>
    <d v="1900-01-14T00:00:00"/>
    <n v="33"/>
    <x v="6"/>
    <x v="1"/>
  </r>
  <r>
    <x v="136"/>
    <n v="-53.02"/>
    <x v="313"/>
    <n v="4531.26"/>
    <s v="Complete Access"/>
    <x v="133"/>
    <x v="8"/>
    <x v="40"/>
    <d v="1900-01-14T00:00:00"/>
    <n v="33"/>
    <x v="6"/>
    <x v="1"/>
  </r>
  <r>
    <x v="136"/>
    <n v="-0.8"/>
    <x v="292"/>
    <n v="4584.28"/>
    <s v="Complete Access"/>
    <x v="10"/>
    <x v="0"/>
    <x v="0"/>
    <d v="1900-01-14T00:00:00"/>
    <n v="33"/>
    <x v="6"/>
    <x v="1"/>
  </r>
  <r>
    <x v="136"/>
    <n v="-22.96"/>
    <x v="314"/>
    <n v="4585.08"/>
    <s v="Complete Access"/>
    <x v="106"/>
    <x v="5"/>
    <x v="41"/>
    <d v="1900-01-14T00:00:00"/>
    <n v="33"/>
    <x v="6"/>
    <x v="1"/>
  </r>
  <r>
    <x v="136"/>
    <n v="2672"/>
    <x v="315"/>
    <n v="4608.04"/>
    <s v="Complete Access"/>
    <x v="14"/>
    <x v="6"/>
    <x v="9"/>
    <d v="1900-01-14T00:00:00"/>
    <n v="33"/>
    <x v="6"/>
    <x v="1"/>
  </r>
  <r>
    <x v="137"/>
    <n v="-3.73"/>
    <x v="316"/>
    <n v="1936.04"/>
    <s v="Complete Access"/>
    <x v="10"/>
    <x v="0"/>
    <x v="0"/>
    <d v="1900-01-12T00:00:00"/>
    <n v="33"/>
    <x v="6"/>
    <x v="1"/>
  </r>
  <r>
    <x v="137"/>
    <n v="-106.7"/>
    <x v="317"/>
    <n v="1939.77"/>
    <s v="Complete Access"/>
    <x v="134"/>
    <x v="8"/>
    <x v="40"/>
    <d v="1900-01-12T00:00:00"/>
    <n v="33"/>
    <x v="6"/>
    <x v="1"/>
  </r>
  <r>
    <x v="137"/>
    <n v="-12.69"/>
    <x v="318"/>
    <n v="2046.47"/>
    <s v="Complete Access"/>
    <x v="10"/>
    <x v="0"/>
    <x v="0"/>
    <d v="1900-01-12T00:00:00"/>
    <n v="33"/>
    <x v="6"/>
    <x v="1"/>
  </r>
  <r>
    <x v="137"/>
    <n v="-362.63"/>
    <x v="319"/>
    <n v="2059.16"/>
    <s v="Complete Access"/>
    <x v="135"/>
    <x v="8"/>
    <x v="40"/>
    <d v="1900-01-12T00:00:00"/>
    <n v="33"/>
    <x v="6"/>
    <x v="1"/>
  </r>
  <r>
    <x v="137"/>
    <n v="-1.17"/>
    <x v="320"/>
    <n v="2421.79"/>
    <s v="Complete Access"/>
    <x v="10"/>
    <x v="0"/>
    <x v="0"/>
    <d v="1900-01-12T00:00:00"/>
    <n v="33"/>
    <x v="6"/>
    <x v="1"/>
  </r>
  <r>
    <x v="137"/>
    <n v="-33.520000000000003"/>
    <x v="321"/>
    <n v="2422.96"/>
    <s v="Complete Access"/>
    <x v="11"/>
    <x v="4"/>
    <x v="7"/>
    <d v="1900-01-12T00:00:00"/>
    <n v="33"/>
    <x v="6"/>
    <x v="1"/>
  </r>
  <r>
    <x v="138"/>
    <n v="-4.2699999999999996"/>
    <x v="322"/>
    <n v="2456.48"/>
    <s v="Complete Access"/>
    <x v="10"/>
    <x v="0"/>
    <x v="0"/>
    <d v="1900-01-09T00:00:00"/>
    <n v="32"/>
    <x v="6"/>
    <x v="1"/>
  </r>
  <r>
    <x v="138"/>
    <n v="-121.9"/>
    <x v="323"/>
    <n v="2460.75"/>
    <s v="Complete Access"/>
    <x v="136"/>
    <x v="8"/>
    <x v="40"/>
    <d v="1900-01-09T00:00:00"/>
    <n v="32"/>
    <x v="6"/>
    <x v="1"/>
  </r>
  <r>
    <x v="138"/>
    <n v="-2.1"/>
    <x v="324"/>
    <n v="2582.65"/>
    <s v="Complete Access"/>
    <x v="10"/>
    <x v="0"/>
    <x v="0"/>
    <d v="1900-01-09T00:00:00"/>
    <n v="32"/>
    <x v="6"/>
    <x v="1"/>
  </r>
  <r>
    <x v="138"/>
    <n v="-60.03"/>
    <x v="325"/>
    <n v="2584.75"/>
    <s v="Complete Access"/>
    <x v="137"/>
    <x v="8"/>
    <x v="40"/>
    <d v="1900-01-09T00:00:00"/>
    <n v="32"/>
    <x v="6"/>
    <x v="1"/>
  </r>
  <r>
    <x v="138"/>
    <n v="-2.89"/>
    <x v="324"/>
    <n v="2644.78"/>
    <s v="Complete Access"/>
    <x v="10"/>
    <x v="0"/>
    <x v="0"/>
    <d v="1900-01-09T00:00:00"/>
    <n v="32"/>
    <x v="6"/>
    <x v="1"/>
  </r>
  <r>
    <x v="138"/>
    <n v="-82.49"/>
    <x v="326"/>
    <n v="2647.67"/>
    <s v="Complete Access"/>
    <x v="138"/>
    <x v="8"/>
    <x v="40"/>
    <d v="1900-01-09T00:00:00"/>
    <n v="32"/>
    <x v="6"/>
    <x v="1"/>
  </r>
  <r>
    <x v="139"/>
    <n v="-89"/>
    <x v="327"/>
    <n v="2730.16"/>
    <s v="Complete Access"/>
    <x v="17"/>
    <x v="7"/>
    <x v="11"/>
    <d v="1900-01-08T00:00:00"/>
    <n v="32"/>
    <x v="6"/>
    <x v="1"/>
  </r>
  <r>
    <x v="140"/>
    <n v="-3.61"/>
    <x v="324"/>
    <n v="2819.16"/>
    <s v="Complete Access"/>
    <x v="10"/>
    <x v="0"/>
    <x v="0"/>
    <d v="1900-01-07T00:00:00"/>
    <n v="32"/>
    <x v="6"/>
    <x v="1"/>
  </r>
  <r>
    <x v="140"/>
    <n v="-103.02"/>
    <x v="328"/>
    <n v="2822.77"/>
    <s v="Complete Access"/>
    <x v="8"/>
    <x v="1"/>
    <x v="5"/>
    <d v="1900-01-07T00:00:00"/>
    <n v="32"/>
    <x v="6"/>
    <x v="1"/>
  </r>
  <r>
    <x v="141"/>
    <n v="-6.74"/>
    <x v="329"/>
    <n v="2925.79"/>
    <s v="Complete Access"/>
    <x v="10"/>
    <x v="0"/>
    <x v="0"/>
    <d v="1900-01-05T00:00:00"/>
    <n v="32"/>
    <x v="6"/>
    <x v="1"/>
  </r>
  <r>
    <x v="141"/>
    <n v="-192.53"/>
    <x v="330"/>
    <n v="2932.53"/>
    <s v="Complete Access"/>
    <x v="139"/>
    <x v="8"/>
    <x v="40"/>
    <d v="1900-01-05T00:00:00"/>
    <n v="32"/>
    <x v="6"/>
    <x v="1"/>
  </r>
  <r>
    <x v="141"/>
    <n v="-1.08"/>
    <x v="331"/>
    <n v="3125.06"/>
    <s v="Complete Access"/>
    <x v="10"/>
    <x v="0"/>
    <x v="0"/>
    <d v="1900-01-05T00:00:00"/>
    <n v="32"/>
    <x v="6"/>
    <x v="1"/>
  </r>
  <r>
    <x v="141"/>
    <n v="-30.85"/>
    <x v="332"/>
    <n v="3126.14"/>
    <s v="Complete Access"/>
    <x v="106"/>
    <x v="5"/>
    <x v="41"/>
    <d v="1900-01-05T00:00:00"/>
    <n v="32"/>
    <x v="6"/>
    <x v="1"/>
  </r>
  <r>
    <x v="141"/>
    <n v="-0.75"/>
    <x v="331"/>
    <n v="3156.99"/>
    <s v="Complete Access"/>
    <x v="10"/>
    <x v="0"/>
    <x v="0"/>
    <d v="1900-01-05T00:00:00"/>
    <n v="32"/>
    <x v="6"/>
    <x v="1"/>
  </r>
  <r>
    <x v="141"/>
    <n v="-21.47"/>
    <x v="333"/>
    <n v="3157.74"/>
    <s v="Complete Access"/>
    <x v="106"/>
    <x v="5"/>
    <x v="41"/>
    <d v="1900-01-05T00:00:00"/>
    <n v="32"/>
    <x v="6"/>
    <x v="1"/>
  </r>
  <r>
    <x v="141"/>
    <n v="-1.04"/>
    <x v="331"/>
    <n v="3179.21"/>
    <s v="Complete Access"/>
    <x v="10"/>
    <x v="0"/>
    <x v="0"/>
    <d v="1900-01-05T00:00:00"/>
    <n v="32"/>
    <x v="6"/>
    <x v="1"/>
  </r>
  <r>
    <x v="141"/>
    <n v="-29.61"/>
    <x v="334"/>
    <n v="3180.25"/>
    <s v="Complete Access"/>
    <x v="140"/>
    <x v="8"/>
    <x v="40"/>
    <d v="1900-01-05T00:00:00"/>
    <n v="32"/>
    <x v="6"/>
    <x v="1"/>
  </r>
  <r>
    <x v="141"/>
    <n v="-8.64"/>
    <x v="335"/>
    <n v="3209.86"/>
    <s v="Complete Access"/>
    <x v="10"/>
    <x v="0"/>
    <x v="0"/>
    <d v="1900-01-05T00:00:00"/>
    <n v="32"/>
    <x v="6"/>
    <x v="1"/>
  </r>
  <r>
    <x v="141"/>
    <n v="-246.93"/>
    <x v="336"/>
    <n v="3218.5"/>
    <s v="Complete Access"/>
    <x v="141"/>
    <x v="8"/>
    <x v="40"/>
    <d v="1900-01-05T00:00:00"/>
    <n v="32"/>
    <x v="6"/>
    <x v="1"/>
  </r>
  <r>
    <x v="141"/>
    <n v="-3.8"/>
    <x v="331"/>
    <n v="3465.43"/>
    <s v="Complete Access"/>
    <x v="10"/>
    <x v="0"/>
    <x v="0"/>
    <d v="1900-01-05T00:00:00"/>
    <n v="32"/>
    <x v="6"/>
    <x v="1"/>
  </r>
  <r>
    <x v="141"/>
    <n v="-108.56"/>
    <x v="337"/>
    <n v="3469.23"/>
    <s v="Complete Access"/>
    <x v="142"/>
    <x v="8"/>
    <x v="40"/>
    <d v="1900-01-05T00:00:00"/>
    <n v="32"/>
    <x v="6"/>
    <x v="1"/>
  </r>
  <r>
    <x v="141"/>
    <n v="-0.86"/>
    <x v="331"/>
    <n v="3577.79"/>
    <s v="Complete Access"/>
    <x v="10"/>
    <x v="0"/>
    <x v="0"/>
    <d v="1900-01-05T00:00:00"/>
    <n v="32"/>
    <x v="6"/>
    <x v="1"/>
  </r>
  <r>
    <x v="141"/>
    <n v="-24.68"/>
    <x v="338"/>
    <n v="3578.65"/>
    <s v="Complete Access"/>
    <x v="143"/>
    <x v="8"/>
    <x v="40"/>
    <d v="1900-01-05T00:00:00"/>
    <n v="32"/>
    <x v="6"/>
    <x v="1"/>
  </r>
  <r>
    <x v="141"/>
    <n v="-0.38"/>
    <x v="331"/>
    <n v="3603.33"/>
    <s v="Complete Access"/>
    <x v="10"/>
    <x v="0"/>
    <x v="0"/>
    <d v="1900-01-05T00:00:00"/>
    <n v="32"/>
    <x v="6"/>
    <x v="1"/>
  </r>
  <r>
    <x v="141"/>
    <n v="-10.8"/>
    <x v="339"/>
    <n v="3603.71"/>
    <s v="Complete Access"/>
    <x v="144"/>
    <x v="8"/>
    <x v="40"/>
    <d v="1900-01-05T00:00:00"/>
    <n v="32"/>
    <x v="6"/>
    <x v="1"/>
  </r>
  <r>
    <x v="141"/>
    <n v="-0.65"/>
    <x v="331"/>
    <n v="3614.51"/>
    <s v="Complete Access"/>
    <x v="10"/>
    <x v="0"/>
    <x v="0"/>
    <d v="1900-01-05T00:00:00"/>
    <n v="32"/>
    <x v="6"/>
    <x v="1"/>
  </r>
  <r>
    <x v="141"/>
    <n v="-18.600000000000001"/>
    <x v="340"/>
    <n v="3615.16"/>
    <s v="Complete Access"/>
    <x v="145"/>
    <x v="8"/>
    <x v="40"/>
    <d v="1900-01-05T00:00:00"/>
    <n v="32"/>
    <x v="6"/>
    <x v="1"/>
  </r>
  <r>
    <x v="141"/>
    <n v="-5.84"/>
    <x v="331"/>
    <n v="3633.76"/>
    <s v="Complete Access"/>
    <x v="10"/>
    <x v="0"/>
    <x v="0"/>
    <d v="1900-01-05T00:00:00"/>
    <n v="32"/>
    <x v="6"/>
    <x v="1"/>
  </r>
  <r>
    <x v="141"/>
    <n v="-166.93"/>
    <x v="341"/>
    <n v="3639.6"/>
    <s v="Complete Access"/>
    <x v="146"/>
    <x v="8"/>
    <x v="40"/>
    <d v="1900-01-05T00:00:00"/>
    <n v="32"/>
    <x v="6"/>
    <x v="1"/>
  </r>
  <r>
    <x v="141"/>
    <n v="-0.59"/>
    <x v="331"/>
    <n v="3806.53"/>
    <s v="Complete Access"/>
    <x v="10"/>
    <x v="0"/>
    <x v="0"/>
    <d v="1900-01-05T00:00:00"/>
    <n v="32"/>
    <x v="6"/>
    <x v="1"/>
  </r>
  <r>
    <x v="141"/>
    <n v="-16.93"/>
    <x v="342"/>
    <n v="3807.12"/>
    <s v="Complete Access"/>
    <x v="106"/>
    <x v="5"/>
    <x v="41"/>
    <d v="1900-01-05T00:00:00"/>
    <n v="32"/>
    <x v="6"/>
    <x v="1"/>
  </r>
  <r>
    <x v="141"/>
    <n v="-2.5"/>
    <x v="331"/>
    <n v="3824.05"/>
    <s v="Complete Access"/>
    <x v="10"/>
    <x v="0"/>
    <x v="0"/>
    <d v="1900-01-05T00:00:00"/>
    <n v="32"/>
    <x v="6"/>
    <x v="1"/>
  </r>
  <r>
    <x v="141"/>
    <n v="-71.44"/>
    <x v="343"/>
    <n v="3826.55"/>
    <s v="Complete Access"/>
    <x v="147"/>
    <x v="8"/>
    <x v="40"/>
    <d v="1900-01-05T00:00:00"/>
    <n v="32"/>
    <x v="6"/>
    <x v="1"/>
  </r>
  <r>
    <x v="141"/>
    <n v="-0.61"/>
    <x v="331"/>
    <n v="3897.99"/>
    <s v="Complete Access"/>
    <x v="10"/>
    <x v="0"/>
    <x v="0"/>
    <d v="1900-01-05T00:00:00"/>
    <n v="32"/>
    <x v="6"/>
    <x v="1"/>
  </r>
  <r>
    <x v="141"/>
    <n v="-17.57"/>
    <x v="344"/>
    <n v="3898.6"/>
    <s v="Complete Access"/>
    <x v="148"/>
    <x v="8"/>
    <x v="40"/>
    <d v="1900-01-05T00:00:00"/>
    <n v="32"/>
    <x v="6"/>
    <x v="1"/>
  </r>
  <r>
    <x v="141"/>
    <n v="-22.82"/>
    <x v="331"/>
    <n v="3916.17"/>
    <s v="Complete Access"/>
    <x v="10"/>
    <x v="0"/>
    <x v="0"/>
    <d v="1900-01-05T00:00:00"/>
    <n v="32"/>
    <x v="6"/>
    <x v="1"/>
  </r>
  <r>
    <x v="141"/>
    <n v="-652.08000000000004"/>
    <x v="345"/>
    <n v="3938.99"/>
    <s v="Complete Access"/>
    <x v="149"/>
    <x v="8"/>
    <x v="40"/>
    <d v="1900-01-05T00:00:00"/>
    <n v="32"/>
    <x v="6"/>
    <x v="1"/>
  </r>
  <r>
    <x v="142"/>
    <n v="-1.08"/>
    <x v="346"/>
    <n v="4591.07"/>
    <s v="Complete Access"/>
    <x v="10"/>
    <x v="0"/>
    <x v="0"/>
    <d v="1900-01-02T00:00:00"/>
    <n v="31"/>
    <x v="6"/>
    <x v="1"/>
  </r>
  <r>
    <x v="142"/>
    <n v="-30.88"/>
    <x v="347"/>
    <n v="4592.1499999999996"/>
    <s v="Complete Access"/>
    <x v="150"/>
    <x v="8"/>
    <x v="40"/>
    <d v="1900-01-02T00:00:00"/>
    <n v="31"/>
    <x v="6"/>
    <x v="1"/>
  </r>
  <r>
    <x v="142"/>
    <n v="-3.38"/>
    <x v="346"/>
    <n v="4623.03"/>
    <s v="Complete Access"/>
    <x v="10"/>
    <x v="0"/>
    <x v="0"/>
    <d v="1900-01-02T00:00:00"/>
    <n v="31"/>
    <x v="6"/>
    <x v="1"/>
  </r>
  <r>
    <x v="142"/>
    <n v="-96.67"/>
    <x v="348"/>
    <n v="4626.41"/>
    <s v="Complete Access"/>
    <x v="151"/>
    <x v="8"/>
    <x v="40"/>
    <d v="1900-01-02T00:00:00"/>
    <n v="31"/>
    <x v="6"/>
    <x v="1"/>
  </r>
  <r>
    <x v="143"/>
    <n v="-11.8"/>
    <x v="11"/>
    <n v="4723.08"/>
    <s v="Complete Access"/>
    <x v="9"/>
    <x v="4"/>
    <x v="6"/>
    <d v="1899-12-31T00:00:00"/>
    <n v="31"/>
    <x v="6"/>
    <x v="1"/>
  </r>
  <r>
    <x v="143"/>
    <n v="-5.4"/>
    <x v="349"/>
    <n v="4734.88"/>
    <s v="Complete Access"/>
    <x v="76"/>
    <x v="2"/>
    <x v="2"/>
    <d v="1899-12-31T00:00:00"/>
    <n v="31"/>
    <x v="6"/>
    <x v="1"/>
  </r>
  <r>
    <x v="143"/>
    <n v="-1408.62"/>
    <x v="15"/>
    <n v="4740.28"/>
    <s v="Complete Access"/>
    <x v="13"/>
    <x v="0"/>
    <x v="0"/>
    <d v="1899-12-31T00:00:00"/>
    <n v="31"/>
    <x v="6"/>
    <x v="1"/>
  </r>
  <r>
    <x v="143"/>
    <n v="-1.98"/>
    <x v="350"/>
    <n v="6148.9"/>
    <s v="Complete Access"/>
    <x v="10"/>
    <x v="0"/>
    <x v="0"/>
    <d v="1899-12-31T00:00:00"/>
    <n v="31"/>
    <x v="6"/>
    <x v="1"/>
  </r>
  <r>
    <x v="143"/>
    <n v="-56.55"/>
    <x v="351"/>
    <n v="6150.88"/>
    <s v="Complete Access"/>
    <x v="27"/>
    <x v="1"/>
    <x v="5"/>
    <d v="1899-12-31T00:00:00"/>
    <n v="31"/>
    <x v="6"/>
    <x v="1"/>
  </r>
  <r>
    <x v="143"/>
    <n v="2672"/>
    <x v="352"/>
    <n v="6207.43"/>
    <s v="Complete Access"/>
    <x v="14"/>
    <x v="6"/>
    <x v="9"/>
    <d v="1899-12-31T00:00:00"/>
    <n v="31"/>
    <x v="6"/>
    <x v="1"/>
  </r>
  <r>
    <x v="144"/>
    <n v="-26.63"/>
    <x v="353"/>
    <n v="3535.43"/>
    <s v="Complete Access"/>
    <x v="10"/>
    <x v="0"/>
    <x v="0"/>
    <d v="1900-01-30T00:00:00"/>
    <n v="31"/>
    <x v="7"/>
    <x v="1"/>
  </r>
  <r>
    <x v="144"/>
    <n v="-760.78"/>
    <x v="354"/>
    <n v="3562.06"/>
    <s v="Complete Access"/>
    <x v="152"/>
    <x v="8"/>
    <x v="40"/>
    <d v="1900-01-30T00:00:00"/>
    <n v="31"/>
    <x v="7"/>
    <x v="1"/>
  </r>
  <r>
    <x v="144"/>
    <n v="-12.99"/>
    <x v="355"/>
    <n v="4322.84"/>
    <s v="Complete Access"/>
    <x v="77"/>
    <x v="4"/>
    <x v="27"/>
    <d v="1900-01-30T00:00:00"/>
    <n v="31"/>
    <x v="7"/>
    <x v="1"/>
  </r>
  <r>
    <x v="145"/>
    <n v="-1"/>
    <x v="356"/>
    <n v="4335.83"/>
    <s v="Complete Access"/>
    <x v="10"/>
    <x v="0"/>
    <x v="0"/>
    <d v="1900-01-29T00:00:00"/>
    <n v="31"/>
    <x v="7"/>
    <x v="1"/>
  </r>
  <r>
    <x v="145"/>
    <n v="-28.65"/>
    <x v="357"/>
    <n v="4336.83"/>
    <s v="Complete Access"/>
    <x v="153"/>
    <x v="8"/>
    <x v="40"/>
    <d v="1900-01-29T00:00:00"/>
    <n v="31"/>
    <x v="7"/>
    <x v="1"/>
  </r>
  <r>
    <x v="145"/>
    <n v="-1.03"/>
    <x v="356"/>
    <n v="4365.4799999999996"/>
    <s v="Complete Access"/>
    <x v="10"/>
    <x v="0"/>
    <x v="0"/>
    <d v="1900-01-29T00:00:00"/>
    <n v="31"/>
    <x v="7"/>
    <x v="1"/>
  </r>
  <r>
    <x v="145"/>
    <n v="-29.38"/>
    <x v="358"/>
    <n v="4366.51"/>
    <s v="Complete Access"/>
    <x v="27"/>
    <x v="1"/>
    <x v="5"/>
    <d v="1900-01-29T00:00:00"/>
    <n v="31"/>
    <x v="7"/>
    <x v="1"/>
  </r>
  <r>
    <x v="145"/>
    <n v="-4.78"/>
    <x v="359"/>
    <n v="4395.8900000000003"/>
    <s v="Complete Access"/>
    <x v="10"/>
    <x v="0"/>
    <x v="0"/>
    <d v="1900-01-29T00:00:00"/>
    <n v="31"/>
    <x v="7"/>
    <x v="1"/>
  </r>
  <r>
    <x v="145"/>
    <n v="-136.58000000000001"/>
    <x v="360"/>
    <n v="4400.67"/>
    <s v="Complete Access"/>
    <x v="154"/>
    <x v="8"/>
    <x v="40"/>
    <d v="1900-01-29T00:00:00"/>
    <n v="31"/>
    <x v="7"/>
    <x v="1"/>
  </r>
  <r>
    <x v="145"/>
    <n v="-0.11"/>
    <x v="359"/>
    <n v="4537.25"/>
    <s v="Complete Access"/>
    <x v="10"/>
    <x v="0"/>
    <x v="0"/>
    <d v="1900-01-29T00:00:00"/>
    <n v="31"/>
    <x v="7"/>
    <x v="1"/>
  </r>
  <r>
    <x v="145"/>
    <n v="-3.06"/>
    <x v="361"/>
    <n v="4537.3599999999997"/>
    <s v="Complete Access"/>
    <x v="155"/>
    <x v="8"/>
    <x v="40"/>
    <d v="1900-01-29T00:00:00"/>
    <n v="31"/>
    <x v="7"/>
    <x v="1"/>
  </r>
  <r>
    <x v="145"/>
    <n v="-1.38"/>
    <x v="359"/>
    <n v="4540.42"/>
    <s v="Complete Access"/>
    <x v="10"/>
    <x v="0"/>
    <x v="0"/>
    <d v="1900-01-29T00:00:00"/>
    <n v="31"/>
    <x v="7"/>
    <x v="1"/>
  </r>
  <r>
    <x v="145"/>
    <n v="-39.57"/>
    <x v="362"/>
    <n v="4541.8"/>
    <s v="Complete Access"/>
    <x v="156"/>
    <x v="8"/>
    <x v="40"/>
    <d v="1900-01-29T00:00:00"/>
    <n v="31"/>
    <x v="7"/>
    <x v="1"/>
  </r>
  <r>
    <x v="145"/>
    <n v="-2.4700000000000002"/>
    <x v="359"/>
    <n v="4581.37"/>
    <s v="Complete Access"/>
    <x v="10"/>
    <x v="0"/>
    <x v="0"/>
    <d v="1900-01-29T00:00:00"/>
    <n v="31"/>
    <x v="7"/>
    <x v="1"/>
  </r>
  <r>
    <x v="145"/>
    <n v="-70.510000000000005"/>
    <x v="363"/>
    <n v="4583.84"/>
    <s v="Complete Access"/>
    <x v="157"/>
    <x v="8"/>
    <x v="40"/>
    <d v="1900-01-29T00:00:00"/>
    <n v="31"/>
    <x v="7"/>
    <x v="1"/>
  </r>
  <r>
    <x v="145"/>
    <n v="-0.2"/>
    <x v="359"/>
    <n v="4654.3500000000004"/>
    <s v="Complete Access"/>
    <x v="10"/>
    <x v="0"/>
    <x v="0"/>
    <d v="1900-01-29T00:00:00"/>
    <n v="31"/>
    <x v="7"/>
    <x v="1"/>
  </r>
  <r>
    <x v="145"/>
    <n v="-5.65"/>
    <x v="364"/>
    <n v="4654.55"/>
    <s v="Complete Access"/>
    <x v="157"/>
    <x v="8"/>
    <x v="40"/>
    <d v="1900-01-29T00:00:00"/>
    <n v="31"/>
    <x v="7"/>
    <x v="1"/>
  </r>
  <r>
    <x v="145"/>
    <n v="-2.36"/>
    <x v="356"/>
    <n v="4660.2"/>
    <s v="Complete Access"/>
    <x v="10"/>
    <x v="0"/>
    <x v="0"/>
    <d v="1900-01-29T00:00:00"/>
    <n v="31"/>
    <x v="7"/>
    <x v="1"/>
  </r>
  <r>
    <x v="145"/>
    <n v="-67.34"/>
    <x v="365"/>
    <n v="4662.5600000000004"/>
    <s v="Complete Access"/>
    <x v="158"/>
    <x v="8"/>
    <x v="40"/>
    <d v="1900-01-29T00:00:00"/>
    <n v="31"/>
    <x v="7"/>
    <x v="1"/>
  </r>
  <r>
    <x v="145"/>
    <n v="-0.54"/>
    <x v="359"/>
    <n v="4729.8999999999996"/>
    <s v="Complete Access"/>
    <x v="10"/>
    <x v="0"/>
    <x v="0"/>
    <d v="1900-01-29T00:00:00"/>
    <n v="31"/>
    <x v="7"/>
    <x v="1"/>
  </r>
  <r>
    <x v="145"/>
    <n v="-15.36"/>
    <x v="366"/>
    <n v="4730.4399999999996"/>
    <s v="Complete Access"/>
    <x v="159"/>
    <x v="8"/>
    <x v="40"/>
    <d v="1900-01-29T00:00:00"/>
    <n v="31"/>
    <x v="7"/>
    <x v="1"/>
  </r>
  <r>
    <x v="145"/>
    <n v="-67.540000000000006"/>
    <x v="367"/>
    <n v="4745.8"/>
    <s v="Complete Access"/>
    <x v="10"/>
    <x v="0"/>
    <x v="0"/>
    <d v="1900-01-29T00:00:00"/>
    <n v="31"/>
    <x v="7"/>
    <x v="1"/>
  </r>
  <r>
    <x v="145"/>
    <n v="-1929.62"/>
    <x v="368"/>
    <n v="4813.34"/>
    <s v="Complete Access"/>
    <x v="160"/>
    <x v="17"/>
    <x v="43"/>
    <d v="1900-01-29T00:00:00"/>
    <n v="31"/>
    <x v="7"/>
    <x v="1"/>
  </r>
  <r>
    <x v="145"/>
    <n v="-19.95"/>
    <x v="359"/>
    <n v="6742.96"/>
    <s v="Complete Access"/>
    <x v="10"/>
    <x v="0"/>
    <x v="0"/>
    <d v="1900-01-29T00:00:00"/>
    <n v="31"/>
    <x v="7"/>
    <x v="1"/>
  </r>
  <r>
    <x v="145"/>
    <n v="-569.92999999999995"/>
    <x v="369"/>
    <n v="6762.91"/>
    <s v="Complete Access"/>
    <x v="161"/>
    <x v="8"/>
    <x v="40"/>
    <d v="1900-01-29T00:00:00"/>
    <n v="31"/>
    <x v="7"/>
    <x v="1"/>
  </r>
  <r>
    <x v="146"/>
    <n v="1107"/>
    <x v="370"/>
    <n v="7332.84"/>
    <s v="Complete Access"/>
    <x v="36"/>
    <x v="0"/>
    <x v="0"/>
    <d v="1900-01-27T00:00:00"/>
    <n v="31"/>
    <x v="7"/>
    <x v="1"/>
  </r>
  <r>
    <x v="147"/>
    <n v="-1.71"/>
    <x v="371"/>
    <n v="6225.84"/>
    <s v="Complete Access"/>
    <x v="10"/>
    <x v="0"/>
    <x v="0"/>
    <d v="1900-01-25T00:00:00"/>
    <n v="30"/>
    <x v="7"/>
    <x v="1"/>
  </r>
  <r>
    <x v="147"/>
    <n v="-48.98"/>
    <x v="372"/>
    <n v="6227.55"/>
    <s v="Complete Access"/>
    <x v="27"/>
    <x v="1"/>
    <x v="5"/>
    <d v="1900-01-25T00:00:00"/>
    <n v="30"/>
    <x v="7"/>
    <x v="1"/>
  </r>
  <r>
    <x v="147"/>
    <n v="-0.12"/>
    <x v="371"/>
    <n v="6276.53"/>
    <s v="Complete Access"/>
    <x v="10"/>
    <x v="0"/>
    <x v="0"/>
    <d v="1900-01-25T00:00:00"/>
    <n v="30"/>
    <x v="7"/>
    <x v="1"/>
  </r>
  <r>
    <x v="147"/>
    <n v="-3.39"/>
    <x v="373"/>
    <n v="6276.65"/>
    <s v="Complete Access"/>
    <x v="157"/>
    <x v="8"/>
    <x v="40"/>
    <d v="1900-01-25T00:00:00"/>
    <n v="30"/>
    <x v="7"/>
    <x v="1"/>
  </r>
  <r>
    <x v="147"/>
    <n v="-5"/>
    <x v="374"/>
    <n v="6280.04"/>
    <s v="Complete Access"/>
    <x v="17"/>
    <x v="7"/>
    <x v="11"/>
    <d v="1900-01-25T00:00:00"/>
    <n v="30"/>
    <x v="7"/>
    <x v="1"/>
  </r>
  <r>
    <x v="147"/>
    <n v="-4.6100000000000003"/>
    <x v="371"/>
    <n v="6285.04"/>
    <s v="Complete Access"/>
    <x v="10"/>
    <x v="0"/>
    <x v="0"/>
    <d v="1900-01-25T00:00:00"/>
    <n v="30"/>
    <x v="7"/>
    <x v="1"/>
  </r>
  <r>
    <x v="147"/>
    <n v="-131.59"/>
    <x v="375"/>
    <n v="6289.65"/>
    <s v="Complete Access"/>
    <x v="148"/>
    <x v="8"/>
    <x v="40"/>
    <d v="1900-01-25T00:00:00"/>
    <n v="30"/>
    <x v="7"/>
    <x v="1"/>
  </r>
  <r>
    <x v="148"/>
    <n v="-75.45"/>
    <x v="376"/>
    <n v="6421.24"/>
    <s v="Complete Access"/>
    <x v="5"/>
    <x v="3"/>
    <x v="3"/>
    <d v="1900-01-24T00:00:00"/>
    <n v="30"/>
    <x v="7"/>
    <x v="1"/>
  </r>
  <r>
    <x v="148"/>
    <n v="-29.5"/>
    <x v="377"/>
    <n v="6496.69"/>
    <s v="Complete Access"/>
    <x v="17"/>
    <x v="7"/>
    <x v="11"/>
    <d v="1900-01-24T00:00:00"/>
    <n v="30"/>
    <x v="7"/>
    <x v="1"/>
  </r>
  <r>
    <x v="149"/>
    <n v="-67.37"/>
    <x v="378"/>
    <n v="6526.19"/>
    <s v="Complete Access"/>
    <x v="162"/>
    <x v="8"/>
    <x v="40"/>
    <d v="1900-01-23T00:00:00"/>
    <n v="30"/>
    <x v="7"/>
    <x v="1"/>
  </r>
  <r>
    <x v="150"/>
    <n v="-5"/>
    <x v="379"/>
    <n v="6593.56"/>
    <s v="Complete Access"/>
    <x v="17"/>
    <x v="7"/>
    <x v="11"/>
    <d v="1900-01-22T00:00:00"/>
    <n v="30"/>
    <x v="7"/>
    <x v="1"/>
  </r>
  <r>
    <x v="150"/>
    <n v="-138.87"/>
    <x v="380"/>
    <n v="6598.56"/>
    <s v="Complete Access"/>
    <x v="3"/>
    <x v="2"/>
    <x v="2"/>
    <d v="1900-01-22T00:00:00"/>
    <n v="30"/>
    <x v="7"/>
    <x v="1"/>
  </r>
  <r>
    <x v="150"/>
    <n v="-0.16"/>
    <x v="381"/>
    <n v="6737.43"/>
    <s v="Complete Access"/>
    <x v="10"/>
    <x v="0"/>
    <x v="0"/>
    <d v="1900-01-22T00:00:00"/>
    <n v="30"/>
    <x v="7"/>
    <x v="1"/>
  </r>
  <r>
    <x v="150"/>
    <n v="-4.47"/>
    <x v="382"/>
    <n v="6737.59"/>
    <s v="Complete Access"/>
    <x v="157"/>
    <x v="8"/>
    <x v="40"/>
    <d v="1900-01-22T00:00:00"/>
    <n v="30"/>
    <x v="7"/>
    <x v="1"/>
  </r>
  <r>
    <x v="151"/>
    <n v="-59.99"/>
    <x v="383"/>
    <n v="6742.06"/>
    <s v="Complete Access"/>
    <x v="114"/>
    <x v="16"/>
    <x v="7"/>
    <d v="1900-01-19T00:00:00"/>
    <n v="29"/>
    <x v="7"/>
    <x v="1"/>
  </r>
  <r>
    <x v="152"/>
    <n v="-10.1"/>
    <x v="384"/>
    <n v="6802.05"/>
    <s v="Complete Access"/>
    <x v="163"/>
    <x v="11"/>
    <x v="44"/>
    <d v="1900-01-18T00:00:00"/>
    <n v="29"/>
    <x v="7"/>
    <x v="1"/>
  </r>
  <r>
    <x v="152"/>
    <n v="-16.989999999999998"/>
    <x v="385"/>
    <n v="6812.15"/>
    <s v="Complete Access"/>
    <x v="164"/>
    <x v="16"/>
    <x v="7"/>
    <d v="1900-01-18T00:00:00"/>
    <n v="29"/>
    <x v="7"/>
    <x v="1"/>
  </r>
  <r>
    <x v="153"/>
    <n v="-11.8"/>
    <x v="11"/>
    <n v="6829.14"/>
    <s v="Complete Access"/>
    <x v="9"/>
    <x v="4"/>
    <x v="6"/>
    <d v="1900-01-17T00:00:00"/>
    <n v="29"/>
    <x v="7"/>
    <x v="1"/>
  </r>
  <r>
    <x v="153"/>
    <n v="-1408.62"/>
    <x v="15"/>
    <n v="6840.94"/>
    <s v="Complete Access"/>
    <x v="13"/>
    <x v="0"/>
    <x v="0"/>
    <d v="1900-01-17T00:00:00"/>
    <n v="29"/>
    <x v="7"/>
    <x v="1"/>
  </r>
  <r>
    <x v="153"/>
    <n v="-29.5"/>
    <x v="386"/>
    <n v="8249.56"/>
    <s v="Complete Access"/>
    <x v="165"/>
    <x v="8"/>
    <x v="22"/>
    <d v="1900-01-17T00:00:00"/>
    <n v="29"/>
    <x v="7"/>
    <x v="1"/>
  </r>
  <r>
    <x v="153"/>
    <n v="-472.6"/>
    <x v="387"/>
    <n v="8279.06"/>
    <s v="Complete Access"/>
    <x v="166"/>
    <x v="2"/>
    <x v="2"/>
    <d v="1900-01-17T00:00:00"/>
    <n v="29"/>
    <x v="7"/>
    <x v="1"/>
  </r>
  <r>
    <x v="153"/>
    <n v="2671.99"/>
    <x v="388"/>
    <n v="8751.66"/>
    <s v="Complete Access"/>
    <x v="14"/>
    <x v="6"/>
    <x v="9"/>
    <d v="1900-01-17T00:00:00"/>
    <n v="29"/>
    <x v="7"/>
    <x v="1"/>
  </r>
  <r>
    <x v="154"/>
    <n v="-229.93"/>
    <x v="389"/>
    <n v="6079.67"/>
    <s v="Complete Access"/>
    <x v="73"/>
    <x v="1"/>
    <x v="23"/>
    <d v="1900-01-16T00:00:00"/>
    <n v="29"/>
    <x v="7"/>
    <x v="1"/>
  </r>
  <r>
    <x v="154"/>
    <n v="-35"/>
    <x v="390"/>
    <n v="6309.6"/>
    <s v="Complete Access"/>
    <x v="61"/>
    <x v="1"/>
    <x v="1"/>
    <d v="1900-01-16T00:00:00"/>
    <n v="29"/>
    <x v="7"/>
    <x v="1"/>
  </r>
  <r>
    <x v="154"/>
    <n v="-39.24"/>
    <x v="391"/>
    <n v="6344.6"/>
    <s v="Complete Access"/>
    <x v="1"/>
    <x v="1"/>
    <x v="1"/>
    <d v="1900-01-16T00:00:00"/>
    <n v="29"/>
    <x v="7"/>
    <x v="1"/>
  </r>
  <r>
    <x v="154"/>
    <n v="23.8"/>
    <x v="392"/>
    <n v="6383.84"/>
    <s v="Complete Access"/>
    <x v="167"/>
    <x v="4"/>
    <x v="20"/>
    <d v="1900-01-16T00:00:00"/>
    <n v="29"/>
    <x v="7"/>
    <x v="1"/>
  </r>
  <r>
    <x v="155"/>
    <n v="-11.65"/>
    <x v="393"/>
    <n v="6360.04"/>
    <s v="Complete Access"/>
    <x v="47"/>
    <x v="1"/>
    <x v="5"/>
    <d v="1900-01-15T00:00:00"/>
    <n v="29"/>
    <x v="7"/>
    <x v="1"/>
  </r>
  <r>
    <x v="155"/>
    <n v="-19.25"/>
    <x v="394"/>
    <n v="6371.69"/>
    <s v="Complete Access"/>
    <x v="168"/>
    <x v="1"/>
    <x v="5"/>
    <d v="1900-01-15T00:00:00"/>
    <n v="29"/>
    <x v="7"/>
    <x v="1"/>
  </r>
  <r>
    <x v="155"/>
    <n v="-47.15"/>
    <x v="395"/>
    <n v="6390.94"/>
    <s v="Complete Access"/>
    <x v="169"/>
    <x v="3"/>
    <x v="15"/>
    <d v="1900-01-15T00:00:00"/>
    <n v="29"/>
    <x v="7"/>
    <x v="1"/>
  </r>
  <r>
    <x v="155"/>
    <n v="-1.5"/>
    <x v="396"/>
    <n v="6438.09"/>
    <s v="Complete Access"/>
    <x v="60"/>
    <x v="14"/>
    <x v="32"/>
    <d v="1900-01-15T00:00:00"/>
    <n v="29"/>
    <x v="7"/>
    <x v="1"/>
  </r>
  <r>
    <x v="155"/>
    <n v="-40"/>
    <x v="397"/>
    <n v="6439.59"/>
    <s v="Complete Access"/>
    <x v="12"/>
    <x v="5"/>
    <x v="8"/>
    <d v="1900-01-15T00:00:00"/>
    <n v="29"/>
    <x v="7"/>
    <x v="1"/>
  </r>
  <r>
    <x v="156"/>
    <n v="-49.6"/>
    <x v="398"/>
    <n v="6479.59"/>
    <s v="Complete Access"/>
    <x v="170"/>
    <x v="3"/>
    <x v="15"/>
    <d v="1900-01-14T00:00:00"/>
    <n v="29"/>
    <x v="7"/>
    <x v="1"/>
  </r>
  <r>
    <x v="156"/>
    <n v="-18.190000000000001"/>
    <x v="399"/>
    <n v="6529.19"/>
    <s v="Complete Access"/>
    <x v="171"/>
    <x v="11"/>
    <x v="14"/>
    <d v="1900-01-14T00:00:00"/>
    <n v="29"/>
    <x v="7"/>
    <x v="1"/>
  </r>
  <r>
    <x v="156"/>
    <n v="-12.94"/>
    <x v="30"/>
    <n v="6547.38"/>
    <s v="Complete Access"/>
    <x v="21"/>
    <x v="10"/>
    <x v="13"/>
    <d v="1900-01-14T00:00:00"/>
    <n v="29"/>
    <x v="7"/>
    <x v="1"/>
  </r>
  <r>
    <x v="157"/>
    <n v="-8.15"/>
    <x v="400"/>
    <n v="6560.32"/>
    <s v="Complete Access"/>
    <x v="172"/>
    <x v="1"/>
    <x v="5"/>
    <d v="1900-01-13T00:00:00"/>
    <n v="29"/>
    <x v="7"/>
    <x v="1"/>
  </r>
  <r>
    <x v="157"/>
    <n v="-12.08"/>
    <x v="401"/>
    <n v="6568.47"/>
    <s v="Complete Access"/>
    <x v="173"/>
    <x v="1"/>
    <x v="5"/>
    <d v="1900-01-13T00:00:00"/>
    <n v="29"/>
    <x v="7"/>
    <x v="1"/>
  </r>
  <r>
    <x v="157"/>
    <n v="-25"/>
    <x v="402"/>
    <n v="6580.55"/>
    <s v="Complete Access"/>
    <x v="174"/>
    <x v="1"/>
    <x v="5"/>
    <d v="1900-01-13T00:00:00"/>
    <n v="29"/>
    <x v="7"/>
    <x v="1"/>
  </r>
  <r>
    <x v="157"/>
    <n v="-11"/>
    <x v="403"/>
    <n v="6605.55"/>
    <s v="Complete Access"/>
    <x v="175"/>
    <x v="1"/>
    <x v="5"/>
    <d v="1900-01-13T00:00:00"/>
    <n v="29"/>
    <x v="7"/>
    <x v="1"/>
  </r>
  <r>
    <x v="157"/>
    <n v="-30"/>
    <x v="404"/>
    <n v="6616.55"/>
    <s v="Complete Access"/>
    <x v="176"/>
    <x v="1"/>
    <x v="5"/>
    <d v="1900-01-13T00:00:00"/>
    <n v="29"/>
    <x v="7"/>
    <x v="1"/>
  </r>
  <r>
    <x v="158"/>
    <n v="-61.96"/>
    <x v="405"/>
    <n v="6646.55"/>
    <s v="Complete Access"/>
    <x v="177"/>
    <x v="1"/>
    <x v="1"/>
    <d v="1900-01-12T00:00:00"/>
    <n v="28"/>
    <x v="7"/>
    <x v="1"/>
  </r>
  <r>
    <x v="158"/>
    <n v="-40"/>
    <x v="406"/>
    <n v="6708.51"/>
    <s v="Complete Access"/>
    <x v="178"/>
    <x v="3"/>
    <x v="15"/>
    <d v="1900-01-12T00:00:00"/>
    <n v="28"/>
    <x v="7"/>
    <x v="1"/>
  </r>
  <r>
    <x v="158"/>
    <n v="-1.1399999999999999"/>
    <x v="407"/>
    <n v="6748.51"/>
    <s v="Complete Access"/>
    <x v="10"/>
    <x v="0"/>
    <x v="0"/>
    <d v="1900-01-12T00:00:00"/>
    <n v="28"/>
    <x v="7"/>
    <x v="1"/>
  </r>
  <r>
    <x v="158"/>
    <n v="-32.69"/>
    <x v="408"/>
    <n v="6749.65"/>
    <s v="Complete Access"/>
    <x v="11"/>
    <x v="4"/>
    <x v="7"/>
    <d v="1900-01-12T00:00:00"/>
    <n v="28"/>
    <x v="7"/>
    <x v="1"/>
  </r>
  <r>
    <x v="159"/>
    <n v="-19.45"/>
    <x v="104"/>
    <n v="6782.34"/>
    <s v="Complete Access"/>
    <x v="30"/>
    <x v="4"/>
    <x v="20"/>
    <d v="1900-01-11T00:00:00"/>
    <n v="28"/>
    <x v="7"/>
    <x v="1"/>
  </r>
  <r>
    <x v="159"/>
    <n v="-26.86"/>
    <x v="394"/>
    <n v="6801.79"/>
    <s v="Complete Access"/>
    <x v="168"/>
    <x v="1"/>
    <x v="5"/>
    <d v="1900-01-11T00:00:00"/>
    <n v="28"/>
    <x v="7"/>
    <x v="1"/>
  </r>
  <r>
    <x v="160"/>
    <n v="-84"/>
    <x v="409"/>
    <n v="6828.65"/>
    <s v="Complete Access"/>
    <x v="17"/>
    <x v="7"/>
    <x v="11"/>
    <d v="1900-01-09T00:00:00"/>
    <n v="28"/>
    <x v="7"/>
    <x v="1"/>
  </r>
  <r>
    <x v="160"/>
    <n v="-23.8"/>
    <x v="410"/>
    <n v="6912.65"/>
    <s v="Complete Access"/>
    <x v="167"/>
    <x v="4"/>
    <x v="20"/>
    <d v="1900-01-09T00:00:00"/>
    <n v="28"/>
    <x v="7"/>
    <x v="1"/>
  </r>
  <r>
    <x v="160"/>
    <n v="-44.3"/>
    <x v="411"/>
    <n v="6936.45"/>
    <s v="Complete Access"/>
    <x v="179"/>
    <x v="1"/>
    <x v="1"/>
    <d v="1900-01-09T00:00:00"/>
    <n v="28"/>
    <x v="7"/>
    <x v="1"/>
  </r>
  <r>
    <x v="161"/>
    <n v="-15"/>
    <x v="18"/>
    <n v="6980.75"/>
    <s v="Complete Access"/>
    <x v="16"/>
    <x v="1"/>
    <x v="5"/>
    <d v="1900-01-08T00:00:00"/>
    <n v="28"/>
    <x v="7"/>
    <x v="1"/>
  </r>
  <r>
    <x v="162"/>
    <n v="-15"/>
    <x v="412"/>
    <n v="6995.75"/>
    <s v="Complete Access"/>
    <x v="180"/>
    <x v="1"/>
    <x v="1"/>
    <d v="1900-01-06T00:00:00"/>
    <n v="28"/>
    <x v="7"/>
    <x v="1"/>
  </r>
  <r>
    <x v="163"/>
    <n v="-97.65"/>
    <x v="70"/>
    <n v="7010.75"/>
    <s v="Complete Access"/>
    <x v="8"/>
    <x v="1"/>
    <x v="5"/>
    <d v="1900-01-04T00:00:00"/>
    <n v="27"/>
    <x v="7"/>
    <x v="1"/>
  </r>
  <r>
    <x v="164"/>
    <n v="-1408.62"/>
    <x v="15"/>
    <n v="7120.2"/>
    <s v="Complete Access"/>
    <x v="13"/>
    <x v="0"/>
    <x v="0"/>
    <d v="1900-01-03T00:00:00"/>
    <n v="27"/>
    <x v="7"/>
    <x v="1"/>
  </r>
  <r>
    <x v="164"/>
    <n v="2671.99"/>
    <x v="413"/>
    <n v="8528.82"/>
    <s v="Complete Access"/>
    <x v="14"/>
    <x v="6"/>
    <x v="9"/>
    <d v="1900-01-03T00:00:00"/>
    <n v="27"/>
    <x v="7"/>
    <x v="1"/>
  </r>
  <r>
    <x v="164"/>
    <n v="-11.8"/>
    <x v="11"/>
    <n v="7108.4"/>
    <s v="Complete Access"/>
    <x v="9"/>
    <x v="4"/>
    <x v="6"/>
    <d v="1900-01-03T00:00:00"/>
    <n v="27"/>
    <x v="7"/>
    <x v="1"/>
  </r>
  <r>
    <x v="165"/>
    <n v="-16"/>
    <x v="8"/>
    <n v="5856.83"/>
    <s v="Complete Access"/>
    <x v="7"/>
    <x v="1"/>
    <x v="5"/>
    <d v="1900-01-01T00:00:00"/>
    <n v="27"/>
    <x v="7"/>
    <x v="1"/>
  </r>
  <r>
    <x v="165"/>
    <n v="-27.45"/>
    <x v="414"/>
    <n v="5872.83"/>
    <s v="Complete Access"/>
    <x v="46"/>
    <x v="1"/>
    <x v="1"/>
    <d v="1900-01-01T00:00:00"/>
    <n v="27"/>
    <x v="7"/>
    <x v="1"/>
  </r>
  <r>
    <x v="165"/>
    <n v="-12.99"/>
    <x v="415"/>
    <n v="5900.28"/>
    <s v="Complete Access"/>
    <x v="77"/>
    <x v="4"/>
    <x v="27"/>
    <d v="1900-01-01T00:00:00"/>
    <n v="27"/>
    <x v="7"/>
    <x v="1"/>
  </r>
  <r>
    <x v="165"/>
    <n v="-38.14"/>
    <x v="416"/>
    <n v="5913.27"/>
    <s v="Complete Access"/>
    <x v="181"/>
    <x v="15"/>
    <x v="41"/>
    <d v="1900-01-01T00:00:00"/>
    <n v="27"/>
    <x v="7"/>
    <x v="1"/>
  </r>
  <r>
    <x v="166"/>
    <n v="-5.4"/>
    <x v="417"/>
    <n v="5951.41"/>
    <s v="Complete Access"/>
    <x v="76"/>
    <x v="2"/>
    <x v="2"/>
    <d v="1899-12-31T00:00:00"/>
    <n v="27"/>
    <x v="7"/>
    <x v="1"/>
  </r>
  <r>
    <x v="166"/>
    <n v="-447.26"/>
    <x v="418"/>
    <n v="5956.81"/>
    <s v="Complete Access"/>
    <x v="40"/>
    <x v="13"/>
    <x v="24"/>
    <d v="1899-12-31T00:00:00"/>
    <n v="27"/>
    <x v="7"/>
    <x v="1"/>
  </r>
  <r>
    <x v="167"/>
    <n v="-13.5"/>
    <x v="419"/>
    <n v="6404.07"/>
    <s v="Complete Access"/>
    <x v="182"/>
    <x v="8"/>
    <x v="29"/>
    <d v="1900-01-29T00:00:00"/>
    <n v="27"/>
    <x v="8"/>
    <x v="1"/>
  </r>
  <r>
    <x v="168"/>
    <n v="-13.72"/>
    <x v="420"/>
    <n v="6417.57"/>
    <s v="Complete Access"/>
    <x v="183"/>
    <x v="8"/>
    <x v="29"/>
    <d v="1900-01-28T00:00:00"/>
    <n v="26"/>
    <x v="8"/>
    <x v="1"/>
  </r>
  <r>
    <x v="169"/>
    <n v="-50.25"/>
    <x v="421"/>
    <n v="6431.29"/>
    <s v="Complete Access"/>
    <x v="1"/>
    <x v="1"/>
    <x v="1"/>
    <d v="1900-01-27T00:00:00"/>
    <n v="26"/>
    <x v="8"/>
    <x v="1"/>
  </r>
  <r>
    <x v="170"/>
    <n v="-71.86"/>
    <x v="422"/>
    <n v="6481.54"/>
    <s v="Complete Access"/>
    <x v="1"/>
    <x v="1"/>
    <x v="1"/>
    <d v="1900-01-25T00:00:00"/>
    <n v="26"/>
    <x v="8"/>
    <x v="1"/>
  </r>
  <r>
    <x v="170"/>
    <n v="-40"/>
    <x v="423"/>
    <n v="6553.4"/>
    <s v="Complete Access"/>
    <x v="12"/>
    <x v="5"/>
    <x v="8"/>
    <d v="1900-01-25T00:00:00"/>
    <n v="26"/>
    <x v="8"/>
    <x v="1"/>
  </r>
  <r>
    <x v="171"/>
    <n v="-3"/>
    <x v="424"/>
    <n v="6593.4"/>
    <s v="Complete Access"/>
    <x v="0"/>
    <x v="0"/>
    <x v="0"/>
    <d v="1900-01-24T00:00:00"/>
    <n v="26"/>
    <x v="8"/>
    <x v="1"/>
  </r>
  <r>
    <x v="171"/>
    <n v="-16"/>
    <x v="8"/>
    <n v="6596.4"/>
    <s v="Complete Access"/>
    <x v="7"/>
    <x v="1"/>
    <x v="5"/>
    <d v="1900-01-24T00:00:00"/>
    <n v="26"/>
    <x v="8"/>
    <x v="1"/>
  </r>
  <r>
    <x v="171"/>
    <n v="-29.5"/>
    <x v="425"/>
    <n v="6612.4"/>
    <s v="Complete Access"/>
    <x v="17"/>
    <x v="7"/>
    <x v="11"/>
    <d v="1900-01-24T00:00:00"/>
    <n v="26"/>
    <x v="8"/>
    <x v="1"/>
  </r>
  <r>
    <x v="172"/>
    <n v="-138.87"/>
    <x v="426"/>
    <n v="6641.9"/>
    <s v="Complete Access"/>
    <x v="3"/>
    <x v="2"/>
    <x v="2"/>
    <d v="1900-01-20T00:00:00"/>
    <n v="25"/>
    <x v="8"/>
    <x v="1"/>
  </r>
  <r>
    <x v="173"/>
    <n v="-11.35"/>
    <x v="11"/>
    <n v="6780.77"/>
    <s v="Complete Access"/>
    <x v="9"/>
    <x v="4"/>
    <x v="6"/>
    <d v="1900-01-19T00:00:00"/>
    <n v="25"/>
    <x v="8"/>
    <x v="1"/>
  </r>
  <r>
    <x v="173"/>
    <n v="-14.23"/>
    <x v="427"/>
    <n v="6792.12"/>
    <s v="Complete Access"/>
    <x v="184"/>
    <x v="1"/>
    <x v="5"/>
    <d v="1900-01-19T00:00:00"/>
    <n v="25"/>
    <x v="8"/>
    <x v="1"/>
  </r>
  <r>
    <x v="173"/>
    <n v="-85.37"/>
    <x v="7"/>
    <n v="6806.35"/>
    <s v="Complete Access"/>
    <x v="1"/>
    <x v="1"/>
    <x v="1"/>
    <d v="1900-01-19T00:00:00"/>
    <n v="25"/>
    <x v="8"/>
    <x v="1"/>
  </r>
  <r>
    <x v="173"/>
    <n v="-1408.62"/>
    <x v="15"/>
    <n v="6891.72"/>
    <s v="Complete Access"/>
    <x v="13"/>
    <x v="0"/>
    <x v="0"/>
    <d v="1900-01-19T00:00:00"/>
    <n v="25"/>
    <x v="8"/>
    <x v="1"/>
  </r>
  <r>
    <x v="173"/>
    <n v="2599.9899999999998"/>
    <x v="428"/>
    <n v="8300.34"/>
    <s v="Complete Access"/>
    <x v="14"/>
    <x v="6"/>
    <x v="9"/>
    <d v="1900-01-19T00:00:00"/>
    <n v="25"/>
    <x v="8"/>
    <x v="1"/>
  </r>
  <r>
    <x v="174"/>
    <n v="-30.65"/>
    <x v="7"/>
    <n v="5700.35"/>
    <s v="Complete Access"/>
    <x v="1"/>
    <x v="1"/>
    <x v="1"/>
    <d v="1900-01-17T00:00:00"/>
    <n v="25"/>
    <x v="8"/>
    <x v="1"/>
  </r>
  <r>
    <x v="174"/>
    <n v="-15"/>
    <x v="18"/>
    <n v="5731"/>
    <s v="Complete Access"/>
    <x v="16"/>
    <x v="1"/>
    <x v="5"/>
    <d v="1900-01-17T00:00:00"/>
    <n v="25"/>
    <x v="8"/>
    <x v="1"/>
  </r>
  <r>
    <x v="174"/>
    <n v="-109.62"/>
    <x v="429"/>
    <n v="5746"/>
    <s v="Complete Access"/>
    <x v="185"/>
    <x v="8"/>
    <x v="22"/>
    <d v="1900-01-17T00:00:00"/>
    <n v="25"/>
    <x v="8"/>
    <x v="1"/>
  </r>
  <r>
    <x v="174"/>
    <n v="-34.549999999999997"/>
    <x v="430"/>
    <n v="5855.62"/>
    <s v="Complete Access"/>
    <x v="8"/>
    <x v="1"/>
    <x v="5"/>
    <d v="1900-01-17T00:00:00"/>
    <n v="25"/>
    <x v="8"/>
    <x v="1"/>
  </r>
  <r>
    <x v="175"/>
    <n v="-71"/>
    <x v="431"/>
    <n v="5890.17"/>
    <s v="Complete Access"/>
    <x v="0"/>
    <x v="0"/>
    <x v="0"/>
    <d v="1900-01-14T00:00:00"/>
    <n v="24"/>
    <x v="8"/>
    <x v="1"/>
  </r>
  <r>
    <x v="175"/>
    <n v="-30"/>
    <x v="432"/>
    <n v="5961.17"/>
    <s v="Complete Access"/>
    <x v="0"/>
    <x v="0"/>
    <x v="0"/>
    <d v="1900-01-14T00:00:00"/>
    <n v="24"/>
    <x v="8"/>
    <x v="1"/>
  </r>
  <r>
    <x v="176"/>
    <n v="-37.74"/>
    <x v="433"/>
    <n v="5991.17"/>
    <s v="Complete Access"/>
    <x v="1"/>
    <x v="1"/>
    <x v="1"/>
    <d v="1900-01-13T00:00:00"/>
    <n v="24"/>
    <x v="8"/>
    <x v="1"/>
  </r>
  <r>
    <x v="177"/>
    <n v="-1.17"/>
    <x v="434"/>
    <n v="6028.91"/>
    <s v="Complete Access"/>
    <x v="10"/>
    <x v="0"/>
    <x v="0"/>
    <d v="1900-01-12T00:00:00"/>
    <n v="24"/>
    <x v="8"/>
    <x v="1"/>
  </r>
  <r>
    <x v="177"/>
    <n v="-33.47"/>
    <x v="435"/>
    <n v="6030.08"/>
    <s v="Complete Access"/>
    <x v="11"/>
    <x v="4"/>
    <x v="7"/>
    <d v="1900-01-12T00:00:00"/>
    <n v="24"/>
    <x v="8"/>
    <x v="1"/>
  </r>
  <r>
    <x v="178"/>
    <n v="-26.06"/>
    <x v="436"/>
    <n v="6063.55"/>
    <s v="Complete Access"/>
    <x v="186"/>
    <x v="1"/>
    <x v="5"/>
    <d v="1900-01-10T00:00:00"/>
    <n v="24"/>
    <x v="8"/>
    <x v="1"/>
  </r>
  <r>
    <x v="178"/>
    <n v="-83.54"/>
    <x v="437"/>
    <n v="6089.61"/>
    <s v="Complete Access"/>
    <x v="17"/>
    <x v="7"/>
    <x v="11"/>
    <d v="1900-01-10T00:00:00"/>
    <n v="24"/>
    <x v="8"/>
    <x v="1"/>
  </r>
  <r>
    <x v="178"/>
    <n v="-29.47"/>
    <x v="438"/>
    <n v="6173.15"/>
    <s v="Complete Access"/>
    <x v="21"/>
    <x v="10"/>
    <x v="13"/>
    <d v="1900-01-10T00:00:00"/>
    <n v="24"/>
    <x v="8"/>
    <x v="1"/>
  </r>
  <r>
    <x v="179"/>
    <n v="-27.87"/>
    <x v="394"/>
    <n v="6202.62"/>
    <s v="Complete Access"/>
    <x v="168"/>
    <x v="1"/>
    <x v="5"/>
    <d v="1900-01-09T00:00:00"/>
    <n v="24"/>
    <x v="8"/>
    <x v="1"/>
  </r>
  <r>
    <x v="180"/>
    <n v="-39"/>
    <x v="439"/>
    <n v="6230.49"/>
    <s v="Complete Access"/>
    <x v="0"/>
    <x v="0"/>
    <x v="0"/>
    <d v="1900-01-06T00:00:00"/>
    <n v="23"/>
    <x v="8"/>
    <x v="1"/>
  </r>
  <r>
    <x v="181"/>
    <n v="-11.35"/>
    <x v="11"/>
    <n v="6269.49"/>
    <s v="Complete Access"/>
    <x v="9"/>
    <x v="4"/>
    <x v="6"/>
    <d v="1900-01-05T00:00:00"/>
    <n v="23"/>
    <x v="8"/>
    <x v="1"/>
  </r>
  <r>
    <x v="181"/>
    <n v="-1408.62"/>
    <x v="15"/>
    <n v="6280.84"/>
    <s v="Complete Access"/>
    <x v="13"/>
    <x v="0"/>
    <x v="0"/>
    <d v="1900-01-05T00:00:00"/>
    <n v="23"/>
    <x v="8"/>
    <x v="1"/>
  </r>
  <r>
    <x v="181"/>
    <n v="-84"/>
    <x v="440"/>
    <n v="7689.46"/>
    <s v="Complete Access"/>
    <x v="1"/>
    <x v="1"/>
    <x v="1"/>
    <d v="1900-01-05T00:00:00"/>
    <n v="23"/>
    <x v="8"/>
    <x v="1"/>
  </r>
  <r>
    <x v="181"/>
    <n v="-40"/>
    <x v="441"/>
    <n v="7773.46"/>
    <s v="Complete Access"/>
    <x v="12"/>
    <x v="5"/>
    <x v="8"/>
    <d v="1900-01-05T00:00:00"/>
    <n v="23"/>
    <x v="8"/>
    <x v="1"/>
  </r>
  <r>
    <x v="181"/>
    <n v="2599.9899999999998"/>
    <x v="442"/>
    <n v="7813.46"/>
    <s v="Complete Access"/>
    <x v="14"/>
    <x v="6"/>
    <x v="9"/>
    <d v="1900-01-05T00:00:00"/>
    <n v="23"/>
    <x v="8"/>
    <x v="1"/>
  </r>
  <r>
    <x v="182"/>
    <n v="70"/>
    <x v="443"/>
    <n v="5213.47"/>
    <s v="Complete Access"/>
    <x v="36"/>
    <x v="0"/>
    <x v="0"/>
    <d v="1900-01-04T00:00:00"/>
    <n v="23"/>
    <x v="8"/>
    <x v="1"/>
  </r>
  <r>
    <x v="182"/>
    <n v="-67.81"/>
    <x v="444"/>
    <n v="5143.47"/>
    <s v="Complete Access"/>
    <x v="187"/>
    <x v="9"/>
    <x v="12"/>
    <d v="1900-01-04T00:00:00"/>
    <n v="23"/>
    <x v="8"/>
    <x v="1"/>
  </r>
  <r>
    <x v="183"/>
    <n v="-33.93"/>
    <x v="445"/>
    <n v="5211.28"/>
    <s v="Complete Access"/>
    <x v="104"/>
    <x v="1"/>
    <x v="5"/>
    <d v="1900-01-03T00:00:00"/>
    <n v="23"/>
    <x v="8"/>
    <x v="1"/>
  </r>
  <r>
    <x v="184"/>
    <n v="-5.4"/>
    <x v="446"/>
    <n v="5245.21"/>
    <s v="Complete Access"/>
    <x v="76"/>
    <x v="2"/>
    <x v="2"/>
    <d v="1900-01-02T00:00:00"/>
    <n v="23"/>
    <x v="8"/>
    <x v="1"/>
  </r>
  <r>
    <x v="185"/>
    <n v="-14.9"/>
    <x v="447"/>
    <n v="5250.61"/>
    <s v="Complete Access"/>
    <x v="21"/>
    <x v="10"/>
    <x v="13"/>
    <d v="1900-01-01T00:00:00"/>
    <n v="23"/>
    <x v="8"/>
    <x v="1"/>
  </r>
  <r>
    <x v="186"/>
    <n v="-16.73"/>
    <x v="448"/>
    <n v="5265.51"/>
    <s v="Complete Access"/>
    <x v="46"/>
    <x v="1"/>
    <x v="1"/>
    <d v="1899-12-31T00:00:00"/>
    <n v="22"/>
    <x v="8"/>
    <x v="1"/>
  </r>
  <r>
    <x v="187"/>
    <n v="-4.2"/>
    <x v="449"/>
    <n v="5282.24"/>
    <s v="Complete Access"/>
    <x v="188"/>
    <x v="1"/>
    <x v="1"/>
    <d v="1900-01-29T00:00:00"/>
    <n v="22"/>
    <x v="9"/>
    <x v="1"/>
  </r>
  <r>
    <x v="188"/>
    <n v="-15.22"/>
    <x v="450"/>
    <n v="5286.44"/>
    <s v="Complete Access"/>
    <x v="189"/>
    <x v="1"/>
    <x v="5"/>
    <d v="1900-01-28T00:00:00"/>
    <n v="22"/>
    <x v="9"/>
    <x v="1"/>
  </r>
  <r>
    <x v="189"/>
    <n v="-14.5"/>
    <x v="155"/>
    <n v="5301.66"/>
    <s v="Complete Access"/>
    <x v="62"/>
    <x v="1"/>
    <x v="5"/>
    <d v="1900-01-26T00:00:00"/>
    <n v="22"/>
    <x v="9"/>
    <x v="1"/>
  </r>
  <r>
    <x v="190"/>
    <n v="-45.16"/>
    <x v="119"/>
    <n v="5316.16"/>
    <s v="Complete Access"/>
    <x v="8"/>
    <x v="1"/>
    <x v="5"/>
    <d v="1900-01-25T00:00:00"/>
    <n v="22"/>
    <x v="9"/>
    <x v="1"/>
  </r>
  <r>
    <x v="191"/>
    <n v="-31.87"/>
    <x v="451"/>
    <n v="5361.32"/>
    <s v="Complete Access"/>
    <x v="190"/>
    <x v="8"/>
    <x v="29"/>
    <d v="1900-01-24T00:00:00"/>
    <n v="21"/>
    <x v="9"/>
    <x v="1"/>
  </r>
  <r>
    <x v="191"/>
    <n v="-22.84"/>
    <x v="451"/>
    <n v="5393.19"/>
    <s v="Complete Access"/>
    <x v="190"/>
    <x v="8"/>
    <x v="29"/>
    <d v="1900-01-24T00:00:00"/>
    <n v="21"/>
    <x v="9"/>
    <x v="1"/>
  </r>
  <r>
    <x v="191"/>
    <n v="-10.66"/>
    <x v="451"/>
    <n v="5416.03"/>
    <s v="Complete Access"/>
    <x v="190"/>
    <x v="8"/>
    <x v="29"/>
    <d v="1900-01-24T00:00:00"/>
    <n v="21"/>
    <x v="9"/>
    <x v="1"/>
  </r>
  <r>
    <x v="191"/>
    <n v="-10.66"/>
    <x v="451"/>
    <n v="5426.69"/>
    <s v="Complete Access"/>
    <x v="190"/>
    <x v="8"/>
    <x v="29"/>
    <d v="1900-01-24T00:00:00"/>
    <n v="21"/>
    <x v="9"/>
    <x v="1"/>
  </r>
  <r>
    <x v="191"/>
    <n v="-25.38"/>
    <x v="451"/>
    <n v="5437.35"/>
    <s v="Complete Access"/>
    <x v="190"/>
    <x v="8"/>
    <x v="29"/>
    <d v="1900-01-24T00:00:00"/>
    <n v="21"/>
    <x v="9"/>
    <x v="1"/>
  </r>
  <r>
    <x v="191"/>
    <n v="-10.66"/>
    <x v="451"/>
    <n v="5462.73"/>
    <s v="Complete Access"/>
    <x v="190"/>
    <x v="8"/>
    <x v="29"/>
    <d v="1900-01-24T00:00:00"/>
    <n v="21"/>
    <x v="9"/>
    <x v="1"/>
  </r>
  <r>
    <x v="192"/>
    <n v="-20"/>
    <x v="141"/>
    <n v="5473.39"/>
    <s v="Complete Access"/>
    <x v="58"/>
    <x v="8"/>
    <x v="29"/>
    <d v="1900-01-23T00:00:00"/>
    <n v="21"/>
    <x v="9"/>
    <x v="1"/>
  </r>
  <r>
    <x v="192"/>
    <n v="-18.989999999999998"/>
    <x v="452"/>
    <n v="5493.39"/>
    <s v="Complete Access"/>
    <x v="46"/>
    <x v="1"/>
    <x v="1"/>
    <d v="1900-01-23T00:00:00"/>
    <n v="21"/>
    <x v="9"/>
    <x v="1"/>
  </r>
  <r>
    <x v="192"/>
    <n v="-29.5"/>
    <x v="453"/>
    <n v="5512.38"/>
    <s v="Complete Access"/>
    <x v="17"/>
    <x v="7"/>
    <x v="11"/>
    <d v="1900-01-23T00:00:00"/>
    <n v="21"/>
    <x v="9"/>
    <x v="1"/>
  </r>
  <r>
    <x v="193"/>
    <n v="-11.35"/>
    <x v="454"/>
    <n v="5541.88"/>
    <s v="Complete Access"/>
    <x v="9"/>
    <x v="4"/>
    <x v="6"/>
    <d v="1900-01-22T00:00:00"/>
    <n v="21"/>
    <x v="9"/>
    <x v="1"/>
  </r>
  <r>
    <x v="193"/>
    <n v="-1408.62"/>
    <x v="15"/>
    <n v="5553.23"/>
    <s v="Complete Access"/>
    <x v="13"/>
    <x v="0"/>
    <x v="0"/>
    <d v="1900-01-22T00:00:00"/>
    <n v="21"/>
    <x v="9"/>
    <x v="1"/>
  </r>
  <r>
    <x v="193"/>
    <n v="-37.11"/>
    <x v="455"/>
    <n v="6961.85"/>
    <s v="Complete Access"/>
    <x v="1"/>
    <x v="1"/>
    <x v="1"/>
    <d v="1900-01-22T00:00:00"/>
    <n v="21"/>
    <x v="9"/>
    <x v="1"/>
  </r>
  <r>
    <x v="193"/>
    <n v="-40"/>
    <x v="456"/>
    <n v="6998.96"/>
    <s v="Complete Access"/>
    <x v="12"/>
    <x v="5"/>
    <x v="8"/>
    <d v="1900-01-22T00:00:00"/>
    <n v="21"/>
    <x v="9"/>
    <x v="1"/>
  </r>
  <r>
    <x v="193"/>
    <n v="2599.9899999999998"/>
    <x v="457"/>
    <n v="7038.96"/>
    <s v="Complete Access"/>
    <x v="14"/>
    <x v="6"/>
    <x v="9"/>
    <d v="1900-01-22T00:00:00"/>
    <n v="21"/>
    <x v="9"/>
    <x v="1"/>
  </r>
  <r>
    <x v="194"/>
    <n v="-12.5"/>
    <x v="18"/>
    <n v="4438.97"/>
    <s v="Complete Access"/>
    <x v="16"/>
    <x v="1"/>
    <x v="5"/>
    <d v="1900-01-21T00:00:00"/>
    <n v="21"/>
    <x v="9"/>
    <x v="1"/>
  </r>
  <r>
    <x v="195"/>
    <n v="-23.38"/>
    <x v="427"/>
    <n v="4451.47"/>
    <s v="Complete Access"/>
    <x v="184"/>
    <x v="1"/>
    <x v="5"/>
    <d v="1900-01-20T00:00:00"/>
    <n v="21"/>
    <x v="9"/>
    <x v="1"/>
  </r>
  <r>
    <x v="195"/>
    <n v="-15"/>
    <x v="18"/>
    <n v="4474.8500000000004"/>
    <s v="Complete Access"/>
    <x v="16"/>
    <x v="1"/>
    <x v="5"/>
    <d v="1900-01-20T00:00:00"/>
    <n v="21"/>
    <x v="9"/>
    <x v="1"/>
  </r>
  <r>
    <x v="195"/>
    <n v="-57.03"/>
    <x v="458"/>
    <n v="4489.8500000000004"/>
    <s v="Complete Access"/>
    <x v="1"/>
    <x v="1"/>
    <x v="1"/>
    <d v="1900-01-20T00:00:00"/>
    <n v="21"/>
    <x v="9"/>
    <x v="1"/>
  </r>
  <r>
    <x v="195"/>
    <n v="-69.95"/>
    <x v="459"/>
    <n v="4546.88"/>
    <s v="Complete Access"/>
    <x v="21"/>
    <x v="10"/>
    <x v="13"/>
    <d v="1900-01-20T00:00:00"/>
    <n v="21"/>
    <x v="9"/>
    <x v="1"/>
  </r>
  <r>
    <x v="196"/>
    <n v="-198"/>
    <x v="460"/>
    <n v="4616.83"/>
    <s v="Complete Access"/>
    <x v="191"/>
    <x v="10"/>
    <x v="13"/>
    <d v="1900-01-17T00:00:00"/>
    <n v="20"/>
    <x v="9"/>
    <x v="1"/>
  </r>
  <r>
    <x v="196"/>
    <n v="-5.3"/>
    <x v="460"/>
    <n v="4814.83"/>
    <s v="Complete Access"/>
    <x v="191"/>
    <x v="10"/>
    <x v="13"/>
    <d v="1900-01-17T00:00:00"/>
    <n v="20"/>
    <x v="9"/>
    <x v="1"/>
  </r>
  <r>
    <x v="196"/>
    <n v="-339"/>
    <x v="129"/>
    <n v="4820.13"/>
    <s v="Complete Access"/>
    <x v="50"/>
    <x v="4"/>
    <x v="25"/>
    <d v="1900-01-17T00:00:00"/>
    <n v="20"/>
    <x v="9"/>
    <x v="1"/>
  </r>
  <r>
    <x v="197"/>
    <n v="-138.47"/>
    <x v="461"/>
    <n v="5159.13"/>
    <s v="Complete Access"/>
    <x v="192"/>
    <x v="4"/>
    <x v="20"/>
    <d v="1900-01-16T00:00:00"/>
    <n v="20"/>
    <x v="9"/>
    <x v="1"/>
  </r>
  <r>
    <x v="198"/>
    <n v="-22.35"/>
    <x v="30"/>
    <n v="5297.6"/>
    <s v="Complete Access"/>
    <x v="21"/>
    <x v="10"/>
    <x v="13"/>
    <d v="1900-01-15T00:00:00"/>
    <n v="20"/>
    <x v="9"/>
    <x v="1"/>
  </r>
  <r>
    <x v="198"/>
    <n v="-30"/>
    <x v="462"/>
    <n v="5319.95"/>
    <s v="Complete Access"/>
    <x v="0"/>
    <x v="0"/>
    <x v="0"/>
    <d v="1900-01-15T00:00:00"/>
    <n v="20"/>
    <x v="9"/>
    <x v="1"/>
  </r>
  <r>
    <x v="198"/>
    <n v="-220.09"/>
    <x v="463"/>
    <n v="5349.95"/>
    <s v="Complete Access"/>
    <x v="193"/>
    <x v="4"/>
    <x v="45"/>
    <d v="1900-01-15T00:00:00"/>
    <n v="20"/>
    <x v="9"/>
    <x v="1"/>
  </r>
  <r>
    <x v="199"/>
    <n v="-12.78"/>
    <x v="30"/>
    <n v="5570.04"/>
    <s v="Complete Access"/>
    <x v="21"/>
    <x v="10"/>
    <x v="13"/>
    <d v="1900-01-13T00:00:00"/>
    <n v="20"/>
    <x v="9"/>
    <x v="1"/>
  </r>
  <r>
    <x v="199"/>
    <n v="30.17"/>
    <x v="464"/>
    <n v="5582.82"/>
    <s v="Complete Access"/>
    <x v="21"/>
    <x v="10"/>
    <x v="13"/>
    <d v="1900-01-13T00:00:00"/>
    <n v="20"/>
    <x v="9"/>
    <x v="1"/>
  </r>
  <r>
    <x v="199"/>
    <n v="-70.5"/>
    <x v="465"/>
    <n v="5552.65"/>
    <s v="Complete Access"/>
    <x v="21"/>
    <x v="10"/>
    <x v="13"/>
    <d v="1900-01-13T00:00:00"/>
    <n v="20"/>
    <x v="9"/>
    <x v="1"/>
  </r>
  <r>
    <x v="199"/>
    <n v="-11.9"/>
    <x v="18"/>
    <n v="5623.15"/>
    <s v="Complete Access"/>
    <x v="16"/>
    <x v="1"/>
    <x v="5"/>
    <d v="1900-01-13T00:00:00"/>
    <n v="20"/>
    <x v="9"/>
    <x v="1"/>
  </r>
  <r>
    <x v="199"/>
    <n v="-75.900000000000006"/>
    <x v="466"/>
    <n v="5635.05"/>
    <s v="Complete Access"/>
    <x v="73"/>
    <x v="1"/>
    <x v="23"/>
    <d v="1900-01-13T00:00:00"/>
    <n v="20"/>
    <x v="9"/>
    <x v="1"/>
  </r>
  <r>
    <x v="199"/>
    <n v="-102"/>
    <x v="467"/>
    <n v="5710.95"/>
    <s v="Complete Access"/>
    <x v="17"/>
    <x v="7"/>
    <x v="11"/>
    <d v="1900-01-13T00:00:00"/>
    <n v="20"/>
    <x v="9"/>
    <x v="1"/>
  </r>
  <r>
    <x v="199"/>
    <n v="-558"/>
    <x v="468"/>
    <n v="5812.95"/>
    <s v="Complete Access"/>
    <x v="191"/>
    <x v="10"/>
    <x v="13"/>
    <d v="1900-01-13T00:00:00"/>
    <n v="20"/>
    <x v="9"/>
    <x v="1"/>
  </r>
  <r>
    <x v="199"/>
    <n v="-409"/>
    <x v="469"/>
    <n v="6370.95"/>
    <s v="Complete Access"/>
    <x v="77"/>
    <x v="4"/>
    <x v="27"/>
    <d v="1900-01-13T00:00:00"/>
    <n v="20"/>
    <x v="9"/>
    <x v="1"/>
  </r>
  <r>
    <x v="199"/>
    <n v="-1"/>
    <x v="470"/>
    <n v="6779.95"/>
    <s v="Complete Access"/>
    <x v="10"/>
    <x v="0"/>
    <x v="0"/>
    <d v="1900-01-13T00:00:00"/>
    <n v="20"/>
    <x v="9"/>
    <x v="1"/>
  </r>
  <r>
    <x v="199"/>
    <n v="-33.36"/>
    <x v="471"/>
    <n v="6780.95"/>
    <s v="Complete Access"/>
    <x v="11"/>
    <x v="4"/>
    <x v="7"/>
    <d v="1900-01-13T00:00:00"/>
    <n v="20"/>
    <x v="9"/>
    <x v="1"/>
  </r>
  <r>
    <x v="199"/>
    <n v="-1699"/>
    <x v="472"/>
    <n v="6814.31"/>
    <s v="Complete Access"/>
    <x v="194"/>
    <x v="4"/>
    <x v="45"/>
    <d v="1900-01-13T00:00:00"/>
    <n v="20"/>
    <x v="9"/>
    <x v="1"/>
  </r>
  <r>
    <x v="199"/>
    <n v="-50.19"/>
    <x v="473"/>
    <n v="8513.31"/>
    <s v="Complete Access"/>
    <x v="56"/>
    <x v="9"/>
    <x v="31"/>
    <d v="1900-01-13T00:00:00"/>
    <n v="20"/>
    <x v="9"/>
    <x v="1"/>
  </r>
  <r>
    <x v="200"/>
    <n v="-127"/>
    <x v="190"/>
    <n v="8563.5"/>
    <s v="Complete Access"/>
    <x v="75"/>
    <x v="1"/>
    <x v="5"/>
    <d v="1900-01-11T00:00:00"/>
    <n v="20"/>
    <x v="9"/>
    <x v="1"/>
  </r>
  <r>
    <x v="201"/>
    <n v="-28.42"/>
    <x v="161"/>
    <n v="8690.5"/>
    <s v="Complete Access"/>
    <x v="66"/>
    <x v="1"/>
    <x v="5"/>
    <d v="1900-01-10T00:00:00"/>
    <n v="19"/>
    <x v="9"/>
    <x v="1"/>
  </r>
  <r>
    <x v="201"/>
    <n v="-11.65"/>
    <x v="474"/>
    <n v="8718.92"/>
    <s v="Complete Access"/>
    <x v="195"/>
    <x v="1"/>
    <x v="1"/>
    <d v="1900-01-10T00:00:00"/>
    <n v="19"/>
    <x v="9"/>
    <x v="1"/>
  </r>
  <r>
    <x v="201"/>
    <n v="-11.3"/>
    <x v="475"/>
    <n v="8730.57"/>
    <s v="Complete Access"/>
    <x v="47"/>
    <x v="1"/>
    <x v="5"/>
    <d v="1900-01-10T00:00:00"/>
    <n v="19"/>
    <x v="9"/>
    <x v="1"/>
  </r>
  <r>
    <x v="202"/>
    <n v="-300"/>
    <x v="476"/>
    <n v="8741.8700000000008"/>
    <s v="Complete Access"/>
    <x v="0"/>
    <x v="0"/>
    <x v="0"/>
    <d v="1900-01-09T00:00:00"/>
    <n v="19"/>
    <x v="9"/>
    <x v="1"/>
  </r>
  <r>
    <x v="203"/>
    <n v="-11.35"/>
    <x v="454"/>
    <n v="9041.8700000000008"/>
    <s v="Complete Access"/>
    <x v="9"/>
    <x v="4"/>
    <x v="6"/>
    <d v="1900-01-08T00:00:00"/>
    <n v="19"/>
    <x v="9"/>
    <x v="1"/>
  </r>
  <r>
    <x v="203"/>
    <n v="-14.05"/>
    <x v="477"/>
    <n v="9053.2199999999993"/>
    <s v="Complete Access"/>
    <x v="188"/>
    <x v="1"/>
    <x v="1"/>
    <d v="1900-01-08T00:00:00"/>
    <n v="19"/>
    <x v="9"/>
    <x v="1"/>
  </r>
  <r>
    <x v="203"/>
    <n v="-1849"/>
    <x v="478"/>
    <n v="9067.27"/>
    <s v="Complete Access"/>
    <x v="50"/>
    <x v="4"/>
    <x v="25"/>
    <d v="1900-01-08T00:00:00"/>
    <n v="19"/>
    <x v="9"/>
    <x v="1"/>
  </r>
  <r>
    <x v="203"/>
    <n v="-40"/>
    <x v="479"/>
    <n v="10916.27"/>
    <s v="Complete Access"/>
    <x v="12"/>
    <x v="5"/>
    <x v="8"/>
    <d v="1900-01-08T00:00:00"/>
    <n v="19"/>
    <x v="9"/>
    <x v="1"/>
  </r>
  <r>
    <x v="203"/>
    <n v="-1408.62"/>
    <x v="15"/>
    <n v="10956.27"/>
    <s v="Complete Access"/>
    <x v="13"/>
    <x v="0"/>
    <x v="0"/>
    <d v="1900-01-08T00:00:00"/>
    <n v="19"/>
    <x v="9"/>
    <x v="1"/>
  </r>
  <r>
    <x v="203"/>
    <n v="2599.9899999999998"/>
    <x v="480"/>
    <n v="12364.89"/>
    <s v="Complete Access"/>
    <x v="14"/>
    <x v="6"/>
    <x v="9"/>
    <d v="1900-01-08T00:00:00"/>
    <n v="19"/>
    <x v="9"/>
    <x v="1"/>
  </r>
  <r>
    <x v="204"/>
    <n v="-16"/>
    <x v="8"/>
    <n v="9764.9"/>
    <s v="Complete Access"/>
    <x v="7"/>
    <x v="1"/>
    <x v="5"/>
    <d v="1900-01-07T00:00:00"/>
    <n v="19"/>
    <x v="9"/>
    <x v="1"/>
  </r>
  <r>
    <x v="204"/>
    <n v="472.77"/>
    <x v="481"/>
    <n v="9780.9"/>
    <s v="Complete Access"/>
    <x v="76"/>
    <x v="2"/>
    <x v="2"/>
    <d v="1900-01-07T00:00:00"/>
    <n v="19"/>
    <x v="9"/>
    <x v="1"/>
  </r>
  <r>
    <x v="204"/>
    <n v="-50.98"/>
    <x v="482"/>
    <n v="9308.1299999999992"/>
    <s v="Complete Access"/>
    <x v="196"/>
    <x v="11"/>
    <x v="14"/>
    <d v="1900-01-07T00:00:00"/>
    <n v="19"/>
    <x v="9"/>
    <x v="1"/>
  </r>
  <r>
    <x v="205"/>
    <n v="-1514.59"/>
    <x v="418"/>
    <n v="9359.11"/>
    <s v="Complete Access"/>
    <x v="40"/>
    <x v="13"/>
    <x v="24"/>
    <d v="1900-01-05T00:00:00"/>
    <n v="19"/>
    <x v="9"/>
    <x v="1"/>
  </r>
  <r>
    <x v="206"/>
    <n v="-11.37"/>
    <x v="483"/>
    <n v="10873.7"/>
    <s v="Complete Access"/>
    <x v="197"/>
    <x v="1"/>
    <x v="1"/>
    <d v="1900-01-04T00:00:00"/>
    <n v="19"/>
    <x v="9"/>
    <x v="1"/>
  </r>
  <r>
    <x v="206"/>
    <n v="-32.1"/>
    <x v="30"/>
    <n v="10885.07"/>
    <s v="Complete Access"/>
    <x v="21"/>
    <x v="10"/>
    <x v="13"/>
    <d v="1900-01-04T00:00:00"/>
    <n v="19"/>
    <x v="9"/>
    <x v="1"/>
  </r>
  <r>
    <x v="207"/>
    <n v="-70.38"/>
    <x v="484"/>
    <n v="10917.17"/>
    <s v="Complete Access"/>
    <x v="187"/>
    <x v="9"/>
    <x v="12"/>
    <d v="1900-01-02T00:00:00"/>
    <n v="18"/>
    <x v="9"/>
    <x v="1"/>
  </r>
  <r>
    <x v="207"/>
    <n v="-12"/>
    <x v="460"/>
    <n v="10987.55"/>
    <s v="Complete Access"/>
    <x v="191"/>
    <x v="10"/>
    <x v="13"/>
    <d v="1900-01-02T00:00:00"/>
    <n v="18"/>
    <x v="9"/>
    <x v="1"/>
  </r>
  <r>
    <x v="208"/>
    <n v="-201.79"/>
    <x v="485"/>
    <n v="10999.55"/>
    <s v="Complete Access"/>
    <x v="76"/>
    <x v="2"/>
    <x v="2"/>
    <d v="1899-12-31T00:00:00"/>
    <n v="18"/>
    <x v="9"/>
    <x v="1"/>
  </r>
  <r>
    <x v="208"/>
    <n v="-10.8"/>
    <x v="486"/>
    <n v="11201.34"/>
    <s v="Complete Access"/>
    <x v="198"/>
    <x v="1"/>
    <x v="5"/>
    <d v="1899-12-31T00:00:00"/>
    <n v="18"/>
    <x v="9"/>
    <x v="1"/>
  </r>
  <r>
    <x v="208"/>
    <n v="-53.4"/>
    <x v="487"/>
    <n v="11212.14"/>
    <s v="Complete Access"/>
    <x v="199"/>
    <x v="14"/>
    <x v="46"/>
    <d v="1899-12-31T00:00:00"/>
    <n v="18"/>
    <x v="9"/>
    <x v="1"/>
  </r>
  <r>
    <x v="208"/>
    <n v="-132.19999999999999"/>
    <x v="488"/>
    <n v="11265.54"/>
    <s v="Complete Access"/>
    <x v="200"/>
    <x v="3"/>
    <x v="3"/>
    <d v="1899-12-31T00:00:00"/>
    <n v="18"/>
    <x v="9"/>
    <x v="1"/>
  </r>
  <r>
    <x v="208"/>
    <n v="-31.73"/>
    <x v="489"/>
    <n v="11397.74"/>
    <s v="Complete Access"/>
    <x v="5"/>
    <x v="3"/>
    <x v="3"/>
    <d v="1899-12-31T00:00:00"/>
    <n v="18"/>
    <x v="9"/>
    <x v="1"/>
  </r>
  <r>
    <x v="208"/>
    <n v="-35.99"/>
    <x v="489"/>
    <n v="11429.47"/>
    <s v="Complete Access"/>
    <x v="5"/>
    <x v="3"/>
    <x v="3"/>
    <d v="1899-12-31T00:00:00"/>
    <n v="18"/>
    <x v="9"/>
    <x v="1"/>
  </r>
  <r>
    <x v="209"/>
    <n v="-15"/>
    <x v="18"/>
    <n v="11465.46"/>
    <s v="Complete Access"/>
    <x v="16"/>
    <x v="1"/>
    <x v="5"/>
    <d v="1900-01-29T00:00:00"/>
    <n v="18"/>
    <x v="10"/>
    <x v="1"/>
  </r>
  <r>
    <x v="209"/>
    <n v="-28.6"/>
    <x v="490"/>
    <n v="11480.46"/>
    <s v="Complete Access"/>
    <x v="1"/>
    <x v="1"/>
    <x v="1"/>
    <d v="1900-01-29T00:00:00"/>
    <n v="18"/>
    <x v="10"/>
    <x v="1"/>
  </r>
  <r>
    <x v="209"/>
    <n v="-48.93"/>
    <x v="491"/>
    <n v="11509.06"/>
    <s v="Complete Access"/>
    <x v="19"/>
    <x v="3"/>
    <x v="3"/>
    <d v="1900-01-29T00:00:00"/>
    <n v="18"/>
    <x v="10"/>
    <x v="1"/>
  </r>
  <r>
    <x v="209"/>
    <n v="-0.34"/>
    <x v="492"/>
    <n v="11557.99"/>
    <s v="Complete Access"/>
    <x v="10"/>
    <x v="0"/>
    <x v="0"/>
    <d v="1900-01-29T00:00:00"/>
    <n v="18"/>
    <x v="10"/>
    <x v="1"/>
  </r>
  <r>
    <x v="209"/>
    <n v="-11.38"/>
    <x v="493"/>
    <n v="11558.33"/>
    <s v="Complete Access"/>
    <x v="201"/>
    <x v="4"/>
    <x v="47"/>
    <d v="1900-01-29T00:00:00"/>
    <n v="18"/>
    <x v="10"/>
    <x v="1"/>
  </r>
  <r>
    <x v="210"/>
    <n v="-31.15"/>
    <x v="494"/>
    <n v="11569.71"/>
    <s v="Complete Access"/>
    <x v="202"/>
    <x v="1"/>
    <x v="5"/>
    <d v="1900-01-26T00:00:00"/>
    <n v="17"/>
    <x v="10"/>
    <x v="1"/>
  </r>
  <r>
    <x v="210"/>
    <n v="-48"/>
    <x v="495"/>
    <n v="11600.86"/>
    <s v="Complete Access"/>
    <x v="203"/>
    <x v="13"/>
    <x v="48"/>
    <d v="1900-01-26T00:00:00"/>
    <n v="17"/>
    <x v="10"/>
    <x v="1"/>
  </r>
  <r>
    <x v="210"/>
    <n v="48"/>
    <x v="496"/>
    <n v="11648.86"/>
    <s v="Complete Access"/>
    <x v="203"/>
    <x v="13"/>
    <x v="48"/>
    <d v="1900-01-26T00:00:00"/>
    <n v="17"/>
    <x v="10"/>
    <x v="1"/>
  </r>
  <r>
    <x v="211"/>
    <n v="-11.35"/>
    <x v="454"/>
    <n v="11600.86"/>
    <s v="Complete Access"/>
    <x v="9"/>
    <x v="4"/>
    <x v="6"/>
    <d v="1900-01-25T00:00:00"/>
    <n v="17"/>
    <x v="10"/>
    <x v="1"/>
  </r>
  <r>
    <x v="211"/>
    <n v="-1408.62"/>
    <x v="15"/>
    <n v="11612.21"/>
    <s v="Complete Access"/>
    <x v="13"/>
    <x v="0"/>
    <x v="0"/>
    <d v="1900-01-25T00:00:00"/>
    <n v="17"/>
    <x v="10"/>
    <x v="1"/>
  </r>
  <r>
    <x v="212"/>
    <n v="-2.6"/>
    <x v="72"/>
    <n v="13020.83"/>
    <s v="Complete Access"/>
    <x v="37"/>
    <x v="0"/>
    <x v="0"/>
    <d v="1900-01-24T00:00:00"/>
    <n v="17"/>
    <x v="10"/>
    <x v="1"/>
  </r>
  <r>
    <x v="212"/>
    <n v="-40"/>
    <x v="497"/>
    <n v="13023.43"/>
    <s v="Complete Access"/>
    <x v="130"/>
    <x v="0"/>
    <x v="0"/>
    <d v="1900-01-24T00:00:00"/>
    <n v="17"/>
    <x v="10"/>
    <x v="1"/>
  </r>
  <r>
    <x v="212"/>
    <n v="-13.2"/>
    <x v="498"/>
    <n v="13063.43"/>
    <s v="Complete Access"/>
    <x v="204"/>
    <x v="8"/>
    <x v="29"/>
    <d v="1900-01-24T00:00:00"/>
    <n v="17"/>
    <x v="10"/>
    <x v="1"/>
  </r>
  <r>
    <x v="212"/>
    <n v="-704.31"/>
    <x v="15"/>
    <n v="13076.63"/>
    <s v="Complete Access"/>
    <x v="13"/>
    <x v="0"/>
    <x v="0"/>
    <d v="1900-01-24T00:00:00"/>
    <n v="17"/>
    <x v="10"/>
    <x v="1"/>
  </r>
  <r>
    <x v="212"/>
    <n v="-48"/>
    <x v="499"/>
    <n v="13780.94"/>
    <s v="Complete Access"/>
    <x v="203"/>
    <x v="13"/>
    <x v="48"/>
    <d v="1900-01-24T00:00:00"/>
    <n v="17"/>
    <x v="10"/>
    <x v="1"/>
  </r>
  <r>
    <x v="212"/>
    <n v="-40"/>
    <x v="500"/>
    <n v="13828.94"/>
    <s v="Complete Access"/>
    <x v="12"/>
    <x v="5"/>
    <x v="8"/>
    <d v="1900-01-24T00:00:00"/>
    <n v="17"/>
    <x v="10"/>
    <x v="1"/>
  </r>
  <r>
    <x v="213"/>
    <n v="-60.18"/>
    <x v="501"/>
    <n v="13868.94"/>
    <s v="Complete Access"/>
    <x v="205"/>
    <x v="11"/>
    <x v="49"/>
    <d v="1900-01-23T00:00:00"/>
    <n v="17"/>
    <x v="10"/>
    <x v="1"/>
  </r>
  <r>
    <x v="213"/>
    <n v="-20.07"/>
    <x v="502"/>
    <n v="13881.12"/>
    <s v="Complete Access"/>
    <x v="56"/>
    <x v="9"/>
    <x v="31"/>
    <d v="1900-01-23T00:00:00"/>
    <n v="17"/>
    <x v="10"/>
    <x v="1"/>
  </r>
  <r>
    <x v="213"/>
    <n v="2599.98"/>
    <x v="503"/>
    <n v="13901.19"/>
    <s v="Complete Access"/>
    <x v="14"/>
    <x v="6"/>
    <x v="9"/>
    <d v="1900-01-23T00:00:00"/>
    <n v="17"/>
    <x v="10"/>
    <x v="1"/>
  </r>
  <r>
    <x v="213"/>
    <n v="48"/>
    <x v="504"/>
    <n v="13929.12"/>
    <s v="Complete Access"/>
    <x v="203"/>
    <x v="13"/>
    <x v="48"/>
    <d v="1900-01-23T00:00:00"/>
    <n v="17"/>
    <x v="10"/>
    <x v="1"/>
  </r>
  <r>
    <x v="214"/>
    <n v="-15.35"/>
    <x v="7"/>
    <n v="11301.21"/>
    <s v="Complete Access"/>
    <x v="1"/>
    <x v="1"/>
    <x v="1"/>
    <d v="1900-01-22T00:00:00"/>
    <n v="17"/>
    <x v="10"/>
    <x v="1"/>
  </r>
  <r>
    <x v="214"/>
    <n v="-15"/>
    <x v="18"/>
    <n v="11337.56"/>
    <s v="Complete Access"/>
    <x v="16"/>
    <x v="1"/>
    <x v="5"/>
    <d v="1900-01-22T00:00:00"/>
    <n v="17"/>
    <x v="10"/>
    <x v="1"/>
  </r>
  <r>
    <x v="214"/>
    <n v="-21"/>
    <x v="207"/>
    <n v="11316.56"/>
    <s v="Complete Access"/>
    <x v="81"/>
    <x v="16"/>
    <x v="35"/>
    <d v="1900-01-22T00:00:00"/>
    <n v="17"/>
    <x v="10"/>
    <x v="1"/>
  </r>
  <r>
    <x v="214"/>
    <n v="-48"/>
    <x v="505"/>
    <n v="11352.56"/>
    <s v="Complete Access"/>
    <x v="203"/>
    <x v="13"/>
    <x v="48"/>
    <d v="1900-01-22T00:00:00"/>
    <n v="17"/>
    <x v="10"/>
    <x v="1"/>
  </r>
  <r>
    <x v="214"/>
    <n v="-8"/>
    <x v="506"/>
    <n v="11400.56"/>
    <s v="Complete Access"/>
    <x v="60"/>
    <x v="14"/>
    <x v="32"/>
    <d v="1900-01-22T00:00:00"/>
    <n v="17"/>
    <x v="10"/>
    <x v="1"/>
  </r>
  <r>
    <x v="215"/>
    <n v="-11.34"/>
    <x v="465"/>
    <n v="11408.56"/>
    <s v="Complete Access"/>
    <x v="21"/>
    <x v="10"/>
    <x v="13"/>
    <d v="1900-01-20T00:00:00"/>
    <n v="17"/>
    <x v="10"/>
    <x v="1"/>
  </r>
  <r>
    <x v="215"/>
    <n v="-220"/>
    <x v="507"/>
    <n v="11419.9"/>
    <s v="Complete Access"/>
    <x v="206"/>
    <x v="13"/>
    <x v="50"/>
    <d v="1900-01-20T00:00:00"/>
    <n v="17"/>
    <x v="10"/>
    <x v="1"/>
  </r>
  <r>
    <x v="216"/>
    <n v="-73.709999999999994"/>
    <x v="7"/>
    <n v="11639.9"/>
    <s v="Complete Access"/>
    <x v="1"/>
    <x v="1"/>
    <x v="1"/>
    <d v="1900-01-19T00:00:00"/>
    <n v="16"/>
    <x v="10"/>
    <x v="1"/>
  </r>
  <r>
    <x v="216"/>
    <n v="-17.72"/>
    <x v="30"/>
    <n v="11713.61"/>
    <s v="Complete Access"/>
    <x v="21"/>
    <x v="10"/>
    <x v="13"/>
    <d v="1900-01-19T00:00:00"/>
    <n v="16"/>
    <x v="10"/>
    <x v="1"/>
  </r>
  <r>
    <x v="216"/>
    <n v="-22.99"/>
    <x v="508"/>
    <n v="11731.33"/>
    <s v="Complete Access"/>
    <x v="5"/>
    <x v="3"/>
    <x v="3"/>
    <d v="1900-01-19T00:00:00"/>
    <n v="16"/>
    <x v="10"/>
    <x v="1"/>
  </r>
  <r>
    <x v="217"/>
    <n v="-13.36"/>
    <x v="509"/>
    <n v="11754.32"/>
    <s v="Complete Access"/>
    <x v="207"/>
    <x v="7"/>
    <x v="11"/>
    <d v="1900-01-18T00:00:00"/>
    <n v="16"/>
    <x v="10"/>
    <x v="1"/>
  </r>
  <r>
    <x v="218"/>
    <n v="-25.38"/>
    <x v="161"/>
    <n v="11767.68"/>
    <s v="Complete Access"/>
    <x v="66"/>
    <x v="1"/>
    <x v="5"/>
    <d v="1900-01-17T00:00:00"/>
    <n v="16"/>
    <x v="10"/>
    <x v="1"/>
  </r>
  <r>
    <x v="218"/>
    <n v="-4.84"/>
    <x v="30"/>
    <n v="11793.06"/>
    <s v="Complete Access"/>
    <x v="21"/>
    <x v="10"/>
    <x v="13"/>
    <d v="1900-01-17T00:00:00"/>
    <n v="16"/>
    <x v="10"/>
    <x v="1"/>
  </r>
  <r>
    <x v="219"/>
    <n v="-28.83"/>
    <x v="510"/>
    <n v="12005.21"/>
    <s v="Complete Access"/>
    <x v="208"/>
    <x v="8"/>
    <x v="29"/>
    <d v="1900-01-16T00:00:00"/>
    <n v="16"/>
    <x v="10"/>
    <x v="1"/>
  </r>
  <r>
    <x v="219"/>
    <n v="-33.5"/>
    <x v="510"/>
    <n v="12034.04"/>
    <s v="Complete Access"/>
    <x v="208"/>
    <x v="8"/>
    <x v="29"/>
    <d v="1900-01-16T00:00:00"/>
    <n v="16"/>
    <x v="10"/>
    <x v="1"/>
  </r>
  <r>
    <x v="219"/>
    <n v="-35.130000000000003"/>
    <x v="511"/>
    <n v="12067.54"/>
    <s v="Complete Access"/>
    <x v="187"/>
    <x v="9"/>
    <x v="12"/>
    <d v="1900-01-16T00:00:00"/>
    <n v="16"/>
    <x v="10"/>
    <x v="1"/>
  </r>
  <r>
    <x v="219"/>
    <n v="-97.58"/>
    <x v="30"/>
    <n v="11797.9"/>
    <s v="Complete Access"/>
    <x v="21"/>
    <x v="10"/>
    <x v="13"/>
    <d v="1900-01-16T00:00:00"/>
    <n v="16"/>
    <x v="10"/>
    <x v="1"/>
  </r>
  <r>
    <x v="219"/>
    <n v="-97.23"/>
    <x v="30"/>
    <n v="11895.48"/>
    <s v="Complete Access"/>
    <x v="21"/>
    <x v="10"/>
    <x v="13"/>
    <d v="1900-01-16T00:00:00"/>
    <n v="16"/>
    <x v="10"/>
    <x v="1"/>
  </r>
  <r>
    <x v="219"/>
    <n v="-12.5"/>
    <x v="18"/>
    <n v="11992.71"/>
    <s v="Complete Access"/>
    <x v="16"/>
    <x v="1"/>
    <x v="5"/>
    <d v="1900-01-16T00:00:00"/>
    <n v="16"/>
    <x v="10"/>
    <x v="1"/>
  </r>
  <r>
    <x v="220"/>
    <n v="-67.5"/>
    <x v="512"/>
    <n v="12262.04"/>
    <s v="Complete Access"/>
    <x v="209"/>
    <x v="1"/>
    <x v="5"/>
    <d v="1900-01-15T00:00:00"/>
    <n v="16"/>
    <x v="10"/>
    <x v="1"/>
  </r>
  <r>
    <x v="220"/>
    <n v="-10"/>
    <x v="7"/>
    <n v="12102.67"/>
    <s v="Complete Access"/>
    <x v="1"/>
    <x v="1"/>
    <x v="1"/>
    <d v="1900-01-15T00:00:00"/>
    <n v="16"/>
    <x v="10"/>
    <x v="1"/>
  </r>
  <r>
    <x v="220"/>
    <n v="-15"/>
    <x v="18"/>
    <n v="12112.67"/>
    <s v="Complete Access"/>
    <x v="16"/>
    <x v="1"/>
    <x v="5"/>
    <d v="1900-01-15T00:00:00"/>
    <n v="16"/>
    <x v="10"/>
    <x v="1"/>
  </r>
  <r>
    <x v="220"/>
    <n v="-134.37"/>
    <x v="513"/>
    <n v="12127.67"/>
    <s v="Complete Access"/>
    <x v="210"/>
    <x v="3"/>
    <x v="15"/>
    <d v="1900-01-15T00:00:00"/>
    <n v="16"/>
    <x v="10"/>
    <x v="1"/>
  </r>
  <r>
    <x v="221"/>
    <n v="-13.3"/>
    <x v="514"/>
    <n v="12329.54"/>
    <s v="Complete Access"/>
    <x v="35"/>
    <x v="1"/>
    <x v="23"/>
    <d v="1900-01-14T00:00:00"/>
    <n v="16"/>
    <x v="10"/>
    <x v="1"/>
  </r>
  <r>
    <x v="222"/>
    <n v="-31.28"/>
    <x v="515"/>
    <n v="12342.84"/>
    <s v="Complete Access"/>
    <x v="21"/>
    <x v="10"/>
    <x v="13"/>
    <d v="1900-01-13T00:00:00"/>
    <n v="16"/>
    <x v="10"/>
    <x v="1"/>
  </r>
  <r>
    <x v="223"/>
    <n v="-3419.9"/>
    <x v="516"/>
    <n v="12374.12"/>
    <s v="Complete Access"/>
    <x v="211"/>
    <x v="13"/>
    <x v="51"/>
    <d v="1900-01-12T00:00:00"/>
    <n v="15"/>
    <x v="10"/>
    <x v="1"/>
  </r>
  <r>
    <x v="223"/>
    <n v="-51.53"/>
    <x v="447"/>
    <n v="15794.02"/>
    <s v="Complete Access"/>
    <x v="21"/>
    <x v="10"/>
    <x v="13"/>
    <d v="1900-01-12T00:00:00"/>
    <n v="15"/>
    <x v="10"/>
    <x v="1"/>
  </r>
  <r>
    <x v="223"/>
    <n v="-10.3"/>
    <x v="517"/>
    <n v="15845.55"/>
    <s v="Complete Access"/>
    <x v="34"/>
    <x v="9"/>
    <x v="12"/>
    <d v="1900-01-12T00:00:00"/>
    <n v="15"/>
    <x v="10"/>
    <x v="1"/>
  </r>
  <r>
    <x v="223"/>
    <n v="-1.01"/>
    <x v="518"/>
    <n v="15855.85"/>
    <s v="Complete Access"/>
    <x v="10"/>
    <x v="0"/>
    <x v="0"/>
    <d v="1900-01-12T00:00:00"/>
    <n v="15"/>
    <x v="10"/>
    <x v="1"/>
  </r>
  <r>
    <x v="223"/>
    <n v="-33.83"/>
    <x v="519"/>
    <n v="15856.86"/>
    <s v="Complete Access"/>
    <x v="11"/>
    <x v="4"/>
    <x v="7"/>
    <d v="1900-01-12T00:00:00"/>
    <n v="15"/>
    <x v="10"/>
    <x v="1"/>
  </r>
  <r>
    <x v="223"/>
    <n v="-129.69999999999999"/>
    <x v="520"/>
    <n v="15890.69"/>
    <s v="Complete Access"/>
    <x v="3"/>
    <x v="2"/>
    <x v="2"/>
    <d v="1900-01-12T00:00:00"/>
    <n v="15"/>
    <x v="10"/>
    <x v="1"/>
  </r>
  <r>
    <x v="224"/>
    <n v="-26.25"/>
    <x v="521"/>
    <n v="16020.39"/>
    <s v="Complete Access"/>
    <x v="212"/>
    <x v="9"/>
    <x v="12"/>
    <d v="1900-01-11T00:00:00"/>
    <n v="15"/>
    <x v="10"/>
    <x v="1"/>
  </r>
  <r>
    <x v="225"/>
    <n v="-100"/>
    <x v="522"/>
    <n v="16064.34"/>
    <s v="Complete Access"/>
    <x v="211"/>
    <x v="13"/>
    <x v="51"/>
    <d v="1900-01-10T00:00:00"/>
    <n v="15"/>
    <x v="10"/>
    <x v="1"/>
  </r>
  <r>
    <x v="225"/>
    <n v="-11.35"/>
    <x v="454"/>
    <n v="16046.64"/>
    <s v="Complete Access"/>
    <x v="9"/>
    <x v="4"/>
    <x v="6"/>
    <d v="1900-01-10T00:00:00"/>
    <n v="15"/>
    <x v="10"/>
    <x v="1"/>
  </r>
  <r>
    <x v="225"/>
    <n v="-6.35"/>
    <x v="523"/>
    <n v="16057.99"/>
    <s v="Complete Access"/>
    <x v="212"/>
    <x v="9"/>
    <x v="12"/>
    <d v="1900-01-10T00:00:00"/>
    <n v="15"/>
    <x v="10"/>
    <x v="1"/>
  </r>
  <r>
    <x v="225"/>
    <n v="-3.5"/>
    <x v="524"/>
    <n v="16164.34"/>
    <s v="Complete Access"/>
    <x v="213"/>
    <x v="1"/>
    <x v="23"/>
    <d v="1900-01-10T00:00:00"/>
    <n v="15"/>
    <x v="10"/>
    <x v="1"/>
  </r>
  <r>
    <x v="225"/>
    <n v="-3"/>
    <x v="524"/>
    <n v="16167.84"/>
    <s v="Complete Access"/>
    <x v="213"/>
    <x v="1"/>
    <x v="23"/>
    <d v="1900-01-10T00:00:00"/>
    <n v="15"/>
    <x v="10"/>
    <x v="1"/>
  </r>
  <r>
    <x v="225"/>
    <n v="-40"/>
    <x v="525"/>
    <n v="16170.84"/>
    <s v="Complete Access"/>
    <x v="12"/>
    <x v="5"/>
    <x v="8"/>
    <d v="1900-01-10T00:00:00"/>
    <n v="15"/>
    <x v="10"/>
    <x v="1"/>
  </r>
  <r>
    <x v="225"/>
    <n v="-10.49"/>
    <x v="526"/>
    <n v="16210.84"/>
    <s v="Complete Access"/>
    <x v="5"/>
    <x v="3"/>
    <x v="3"/>
    <d v="1900-01-10T00:00:00"/>
    <n v="15"/>
    <x v="10"/>
    <x v="1"/>
  </r>
  <r>
    <x v="225"/>
    <n v="-500"/>
    <x v="527"/>
    <n v="16221.33"/>
    <s v="Complete Access"/>
    <x v="13"/>
    <x v="0"/>
    <x v="0"/>
    <d v="1900-01-10T00:00:00"/>
    <n v="15"/>
    <x v="10"/>
    <x v="1"/>
  </r>
  <r>
    <x v="225"/>
    <n v="2599.9899999999998"/>
    <x v="528"/>
    <n v="16721.330000000002"/>
    <s v="Complete Access"/>
    <x v="14"/>
    <x v="6"/>
    <x v="9"/>
    <d v="1900-01-10T00:00:00"/>
    <n v="15"/>
    <x v="10"/>
    <x v="1"/>
  </r>
  <r>
    <x v="226"/>
    <n v="-16"/>
    <x v="8"/>
    <n v="14121.34"/>
    <s v="Complete Access"/>
    <x v="7"/>
    <x v="1"/>
    <x v="5"/>
    <d v="1900-01-09T00:00:00"/>
    <n v="15"/>
    <x v="10"/>
    <x v="1"/>
  </r>
  <r>
    <x v="227"/>
    <n v="-42.57"/>
    <x v="28"/>
    <n v="14137.34"/>
    <s v="Complete Access"/>
    <x v="20"/>
    <x v="9"/>
    <x v="12"/>
    <d v="1900-01-08T00:00:00"/>
    <n v="15"/>
    <x v="10"/>
    <x v="1"/>
  </r>
  <r>
    <x v="227"/>
    <n v="-16"/>
    <x v="8"/>
    <n v="14179.91"/>
    <s v="Complete Access"/>
    <x v="7"/>
    <x v="1"/>
    <x v="5"/>
    <d v="1900-01-08T00:00:00"/>
    <n v="15"/>
    <x v="10"/>
    <x v="1"/>
  </r>
  <r>
    <x v="227"/>
    <n v="-31.14"/>
    <x v="529"/>
    <n v="14195.91"/>
    <s v="Complete Access"/>
    <x v="104"/>
    <x v="1"/>
    <x v="5"/>
    <d v="1900-01-08T00:00:00"/>
    <n v="15"/>
    <x v="10"/>
    <x v="1"/>
  </r>
  <r>
    <x v="227"/>
    <n v="-139"/>
    <x v="530"/>
    <n v="14227.05"/>
    <s v="Complete Access"/>
    <x v="214"/>
    <x v="4"/>
    <x v="52"/>
    <d v="1900-01-08T00:00:00"/>
    <n v="15"/>
    <x v="10"/>
    <x v="1"/>
  </r>
  <r>
    <x v="228"/>
    <n v="-3.07"/>
    <x v="531"/>
    <n v="14366.05"/>
    <s v="Complete Access"/>
    <x v="215"/>
    <x v="1"/>
    <x v="1"/>
    <d v="1900-01-06T00:00:00"/>
    <n v="15"/>
    <x v="10"/>
    <x v="1"/>
  </r>
  <r>
    <x v="228"/>
    <n v="-5.5"/>
    <x v="532"/>
    <n v="14369.12"/>
    <s v="Complete Access"/>
    <x v="1"/>
    <x v="1"/>
    <x v="1"/>
    <d v="1900-01-06T00:00:00"/>
    <n v="15"/>
    <x v="10"/>
    <x v="1"/>
  </r>
  <r>
    <x v="228"/>
    <n v="-9"/>
    <x v="533"/>
    <n v="14374.62"/>
    <s v="Complete Access"/>
    <x v="215"/>
    <x v="1"/>
    <x v="1"/>
    <d v="1900-01-06T00:00:00"/>
    <n v="15"/>
    <x v="10"/>
    <x v="1"/>
  </r>
  <r>
    <x v="228"/>
    <n v="-43.95"/>
    <x v="405"/>
    <n v="14383.62"/>
    <s v="Complete Access"/>
    <x v="177"/>
    <x v="1"/>
    <x v="1"/>
    <d v="1900-01-06T00:00:00"/>
    <n v="15"/>
    <x v="10"/>
    <x v="1"/>
  </r>
  <r>
    <x v="229"/>
    <n v="5000"/>
    <x v="534"/>
    <n v="14427.57"/>
    <s v="Complete Access"/>
    <x v="36"/>
    <x v="0"/>
    <x v="0"/>
    <d v="1900-01-05T00:00:00"/>
    <n v="14"/>
    <x v="10"/>
    <x v="1"/>
  </r>
  <r>
    <x v="229"/>
    <n v="-23.9"/>
    <x v="535"/>
    <n v="9427.57"/>
    <s v="Complete Access"/>
    <x v="104"/>
    <x v="1"/>
    <x v="5"/>
    <d v="1900-01-05T00:00:00"/>
    <n v="14"/>
    <x v="10"/>
    <x v="1"/>
  </r>
  <r>
    <x v="230"/>
    <n v="-1045.5"/>
    <x v="536"/>
    <n v="9451.4699999999993"/>
    <s v="Complete Access"/>
    <x v="216"/>
    <x v="9"/>
    <x v="36"/>
    <d v="1900-01-04T00:00:00"/>
    <n v="14"/>
    <x v="10"/>
    <x v="1"/>
  </r>
  <r>
    <x v="230"/>
    <n v="-75000"/>
    <x v="537"/>
    <n v="10496.97"/>
    <s v="Complete Access"/>
    <x v="217"/>
    <x v="0"/>
    <x v="0"/>
    <d v="1900-01-04T00:00:00"/>
    <n v="14"/>
    <x v="10"/>
    <x v="1"/>
  </r>
  <r>
    <x v="230"/>
    <n v="75000"/>
    <x v="370"/>
    <n v="85496.97"/>
    <s v="Complete Access"/>
    <x v="36"/>
    <x v="0"/>
    <x v="0"/>
    <d v="1900-01-04T00:00:00"/>
    <n v="14"/>
    <x v="10"/>
    <x v="1"/>
  </r>
  <r>
    <x v="230"/>
    <n v="-10000"/>
    <x v="538"/>
    <n v="10496.97"/>
    <s v="Complete Access"/>
    <x v="0"/>
    <x v="0"/>
    <x v="0"/>
    <d v="1900-01-04T00:00:00"/>
    <n v="14"/>
    <x v="10"/>
    <x v="1"/>
  </r>
  <r>
    <x v="231"/>
    <n v="10000"/>
    <x v="539"/>
    <n v="20496.97"/>
    <s v="Complete Access"/>
    <x v="36"/>
    <x v="0"/>
    <x v="0"/>
    <d v="1900-01-02T00:00:00"/>
    <n v="14"/>
    <x v="10"/>
    <x v="1"/>
  </r>
  <r>
    <x v="231"/>
    <n v="-36.32"/>
    <x v="540"/>
    <n v="10496.97"/>
    <s v="Complete Access"/>
    <x v="8"/>
    <x v="1"/>
    <x v="5"/>
    <d v="1900-01-02T00:00:00"/>
    <n v="14"/>
    <x v="10"/>
    <x v="1"/>
  </r>
  <r>
    <x v="231"/>
    <n v="-8.3800000000000008"/>
    <x v="541"/>
    <n v="10533.29"/>
    <s v="Complete Access"/>
    <x v="218"/>
    <x v="8"/>
    <x v="29"/>
    <d v="1900-01-02T00:00:00"/>
    <n v="14"/>
    <x v="10"/>
    <x v="1"/>
  </r>
  <r>
    <x v="231"/>
    <n v="-9.39"/>
    <x v="541"/>
    <n v="10541.67"/>
    <s v="Complete Access"/>
    <x v="218"/>
    <x v="8"/>
    <x v="29"/>
    <d v="1900-01-02T00:00:00"/>
    <n v="14"/>
    <x v="10"/>
    <x v="1"/>
  </r>
  <r>
    <x v="231"/>
    <n v="-23.9"/>
    <x v="542"/>
    <n v="10551.06"/>
    <s v="Complete Access"/>
    <x v="104"/>
    <x v="1"/>
    <x v="5"/>
    <d v="1900-01-02T00:00:00"/>
    <n v="14"/>
    <x v="10"/>
    <x v="1"/>
  </r>
  <r>
    <x v="231"/>
    <n v="-24.2"/>
    <x v="543"/>
    <n v="10574.96"/>
    <s v="Complete Access"/>
    <x v="8"/>
    <x v="1"/>
    <x v="5"/>
    <d v="1900-01-02T00:00:00"/>
    <n v="14"/>
    <x v="10"/>
    <x v="1"/>
  </r>
  <r>
    <x v="231"/>
    <n v="-45"/>
    <x v="544"/>
    <n v="10599.16"/>
    <s v="Complete Access"/>
    <x v="219"/>
    <x v="7"/>
    <x v="53"/>
    <d v="1900-01-02T00:00:00"/>
    <n v="14"/>
    <x v="10"/>
    <x v="1"/>
  </r>
  <r>
    <x v="232"/>
    <n v="-201.79"/>
    <x v="545"/>
    <n v="10644.16"/>
    <s v="Complete Access"/>
    <x v="76"/>
    <x v="2"/>
    <x v="2"/>
    <d v="1900-01-01T00:00:00"/>
    <n v="14"/>
    <x v="10"/>
    <x v="1"/>
  </r>
  <r>
    <x v="232"/>
    <n v="-35.85"/>
    <x v="405"/>
    <n v="10845.95"/>
    <s v="Complete Access"/>
    <x v="177"/>
    <x v="1"/>
    <x v="1"/>
    <d v="1900-01-01T00:00:00"/>
    <n v="14"/>
    <x v="10"/>
    <x v="1"/>
  </r>
  <r>
    <x v="232"/>
    <n v="-15.65"/>
    <x v="546"/>
    <n v="10881.8"/>
    <s v="Complete Access"/>
    <x v="220"/>
    <x v="1"/>
    <x v="5"/>
    <d v="1900-01-01T00:00:00"/>
    <n v="14"/>
    <x v="10"/>
    <x v="1"/>
  </r>
  <r>
    <x v="233"/>
    <n v="-30.17"/>
    <x v="517"/>
    <n v="10897.45"/>
    <s v="Complete Access"/>
    <x v="34"/>
    <x v="9"/>
    <x v="12"/>
    <d v="1899-12-31T00:00:00"/>
    <n v="14"/>
    <x v="10"/>
    <x v="1"/>
  </r>
  <r>
    <x v="233"/>
    <n v="10000"/>
    <x v="547"/>
    <n v="10927.62"/>
    <s v="Complete Access"/>
    <x v="36"/>
    <x v="0"/>
    <x v="0"/>
    <d v="1899-12-31T00:00:00"/>
    <n v="14"/>
    <x v="10"/>
    <x v="1"/>
  </r>
  <r>
    <x v="234"/>
    <n v="-2"/>
    <x v="548"/>
    <n v="927.62"/>
    <s v="Complete Access"/>
    <x v="13"/>
    <x v="0"/>
    <x v="0"/>
    <d v="1900-01-29T00:00:00"/>
    <n v="13"/>
    <x v="11"/>
    <x v="1"/>
  </r>
  <r>
    <x v="234"/>
    <n v="-1"/>
    <x v="548"/>
    <n v="929.62"/>
    <s v="Complete Access"/>
    <x v="13"/>
    <x v="0"/>
    <x v="0"/>
    <d v="1900-01-29T00:00:00"/>
    <n v="13"/>
    <x v="11"/>
    <x v="1"/>
  </r>
  <r>
    <x v="234"/>
    <n v="-13"/>
    <x v="96"/>
    <n v="930.62"/>
    <s v="Complete Access"/>
    <x v="47"/>
    <x v="1"/>
    <x v="5"/>
    <d v="1900-01-29T00:00:00"/>
    <n v="13"/>
    <x v="11"/>
    <x v="1"/>
  </r>
  <r>
    <x v="235"/>
    <n v="-24000"/>
    <x v="538"/>
    <n v="943.62"/>
    <s v="Complete Access"/>
    <x v="0"/>
    <x v="0"/>
    <x v="0"/>
    <d v="1900-01-28T00:00:00"/>
    <n v="13"/>
    <x v="11"/>
    <x v="1"/>
  </r>
  <r>
    <x v="235"/>
    <n v="10000"/>
    <x v="549"/>
    <n v="24943.62"/>
    <s v="Complete Access"/>
    <x v="36"/>
    <x v="0"/>
    <x v="0"/>
    <d v="1900-01-28T00:00:00"/>
    <n v="13"/>
    <x v="11"/>
    <x v="1"/>
  </r>
  <r>
    <x v="236"/>
    <n v="-11.35"/>
    <x v="454"/>
    <n v="14943.62"/>
    <s v="Complete Access"/>
    <x v="9"/>
    <x v="4"/>
    <x v="6"/>
    <d v="1900-01-27T00:00:00"/>
    <n v="13"/>
    <x v="11"/>
    <x v="1"/>
  </r>
  <r>
    <x v="236"/>
    <n v="10000"/>
    <x v="550"/>
    <n v="14954.97"/>
    <s v="Complete Access"/>
    <x v="36"/>
    <x v="0"/>
    <x v="0"/>
    <d v="1900-01-27T00:00:00"/>
    <n v="13"/>
    <x v="11"/>
    <x v="1"/>
  </r>
  <r>
    <x v="236"/>
    <n v="-500"/>
    <x v="527"/>
    <n v="4954.97"/>
    <s v="Complete Access"/>
    <x v="13"/>
    <x v="0"/>
    <x v="0"/>
    <d v="1900-01-27T00:00:00"/>
    <n v="13"/>
    <x v="11"/>
    <x v="1"/>
  </r>
  <r>
    <x v="236"/>
    <n v="2599.9899999999998"/>
    <x v="551"/>
    <n v="5454.97"/>
    <s v="Complete Access"/>
    <x v="14"/>
    <x v="6"/>
    <x v="9"/>
    <d v="1900-01-27T00:00:00"/>
    <n v="13"/>
    <x v="11"/>
    <x v="1"/>
  </r>
  <r>
    <x v="237"/>
    <n v="-2.8"/>
    <x v="72"/>
    <n v="2854.98"/>
    <s v="Complete Access"/>
    <x v="37"/>
    <x v="0"/>
    <x v="0"/>
    <d v="1900-01-26T00:00:00"/>
    <n v="13"/>
    <x v="11"/>
    <x v="1"/>
  </r>
  <r>
    <x v="237"/>
    <n v="-50"/>
    <x v="552"/>
    <n v="2857.78"/>
    <s v="Complete Access"/>
    <x v="130"/>
    <x v="0"/>
    <x v="0"/>
    <d v="1900-01-26T00:00:00"/>
    <n v="13"/>
    <x v="11"/>
    <x v="1"/>
  </r>
  <r>
    <x v="238"/>
    <n v="-6.99"/>
    <x v="405"/>
    <n v="2907.78"/>
    <s v="Complete Access"/>
    <x v="177"/>
    <x v="1"/>
    <x v="1"/>
    <d v="1900-01-25T00:00:00"/>
    <n v="13"/>
    <x v="11"/>
    <x v="1"/>
  </r>
  <r>
    <x v="238"/>
    <n v="-36.36"/>
    <x v="553"/>
    <n v="2914.77"/>
    <s v="Complete Access"/>
    <x v="104"/>
    <x v="1"/>
    <x v="5"/>
    <d v="1900-01-25T00:00:00"/>
    <n v="13"/>
    <x v="11"/>
    <x v="1"/>
  </r>
  <r>
    <x v="238"/>
    <n v="-25.65"/>
    <x v="554"/>
    <n v="2951.13"/>
    <s v="Complete Access"/>
    <x v="104"/>
    <x v="1"/>
    <x v="5"/>
    <d v="1900-01-25T00:00:00"/>
    <n v="13"/>
    <x v="11"/>
    <x v="1"/>
  </r>
  <r>
    <x v="238"/>
    <n v="-16.47"/>
    <x v="555"/>
    <n v="2976.78"/>
    <s v="Complete Access"/>
    <x v="104"/>
    <x v="1"/>
    <x v="5"/>
    <d v="1900-01-25T00:00:00"/>
    <n v="13"/>
    <x v="11"/>
    <x v="1"/>
  </r>
  <r>
    <x v="239"/>
    <n v="-53.27"/>
    <x v="532"/>
    <n v="2993.25"/>
    <s v="Complete Access"/>
    <x v="1"/>
    <x v="1"/>
    <x v="1"/>
    <d v="1900-01-24T00:00:00"/>
    <n v="13"/>
    <x v="11"/>
    <x v="1"/>
  </r>
  <r>
    <x v="239"/>
    <n v="-20000"/>
    <x v="538"/>
    <n v="3046.52"/>
    <s v="Complete Access"/>
    <x v="0"/>
    <x v="0"/>
    <x v="0"/>
    <d v="1900-01-24T00:00:00"/>
    <n v="13"/>
    <x v="11"/>
    <x v="1"/>
  </r>
  <r>
    <x v="240"/>
    <n v="10000"/>
    <x v="556"/>
    <n v="23046.52"/>
    <s v="Complete Access"/>
    <x v="36"/>
    <x v="0"/>
    <x v="0"/>
    <d v="1900-01-23T00:00:00"/>
    <n v="13"/>
    <x v="11"/>
    <x v="1"/>
  </r>
  <r>
    <x v="240"/>
    <n v="-14.21"/>
    <x v="557"/>
    <n v="13046.52"/>
    <s v="Complete Access"/>
    <x v="221"/>
    <x v="1"/>
    <x v="5"/>
    <d v="1900-01-23T00:00:00"/>
    <n v="13"/>
    <x v="11"/>
    <x v="1"/>
  </r>
  <r>
    <x v="240"/>
    <n v="-13.52"/>
    <x v="405"/>
    <n v="13060.73"/>
    <s v="Complete Access"/>
    <x v="177"/>
    <x v="1"/>
    <x v="1"/>
    <d v="1900-01-23T00:00:00"/>
    <n v="13"/>
    <x v="11"/>
    <x v="1"/>
  </r>
  <r>
    <x v="240"/>
    <n v="-10.82"/>
    <x v="533"/>
    <n v="13074.25"/>
    <s v="Complete Access"/>
    <x v="215"/>
    <x v="1"/>
    <x v="1"/>
    <d v="1900-01-23T00:00:00"/>
    <n v="13"/>
    <x v="11"/>
    <x v="1"/>
  </r>
  <r>
    <x v="241"/>
    <n v="10000"/>
    <x v="558"/>
    <n v="13085.07"/>
    <s v="Complete Access"/>
    <x v="36"/>
    <x v="0"/>
    <x v="0"/>
    <d v="1900-01-21T00:00:00"/>
    <n v="12"/>
    <x v="11"/>
    <x v="1"/>
  </r>
  <r>
    <x v="241"/>
    <n v="-12.98"/>
    <x v="559"/>
    <n v="3085.07"/>
    <s v="Complete Access"/>
    <x v="222"/>
    <x v="11"/>
    <x v="14"/>
    <d v="1900-01-21T00:00:00"/>
    <n v="12"/>
    <x v="11"/>
    <x v="1"/>
  </r>
  <r>
    <x v="241"/>
    <n v="-69"/>
    <x v="560"/>
    <n v="3098.05"/>
    <s v="Complete Access"/>
    <x v="207"/>
    <x v="7"/>
    <x v="11"/>
    <d v="1900-01-21T00:00:00"/>
    <n v="12"/>
    <x v="11"/>
    <x v="1"/>
  </r>
  <r>
    <x v="241"/>
    <n v="-43"/>
    <x v="561"/>
    <n v="3167.05"/>
    <s v="Complete Access"/>
    <x v="223"/>
    <x v="7"/>
    <x v="53"/>
    <d v="1900-01-21T00:00:00"/>
    <n v="12"/>
    <x v="11"/>
    <x v="1"/>
  </r>
  <r>
    <x v="242"/>
    <n v="-4.5"/>
    <x v="562"/>
    <n v="3210.05"/>
    <s v="Complete Access"/>
    <x v="224"/>
    <x v="9"/>
    <x v="32"/>
    <d v="1900-01-20T00:00:00"/>
    <n v="12"/>
    <x v="11"/>
    <x v="1"/>
  </r>
  <r>
    <x v="242"/>
    <n v="-29.99"/>
    <x v="563"/>
    <n v="3214.55"/>
    <s v="Complete Access"/>
    <x v="222"/>
    <x v="11"/>
    <x v="14"/>
    <d v="1900-01-20T00:00:00"/>
    <n v="12"/>
    <x v="11"/>
    <x v="1"/>
  </r>
  <r>
    <x v="242"/>
    <n v="-134.72999999999999"/>
    <x v="564"/>
    <n v="3244.54"/>
    <s v="Complete Access"/>
    <x v="3"/>
    <x v="2"/>
    <x v="2"/>
    <d v="1900-01-20T00:00:00"/>
    <n v="12"/>
    <x v="11"/>
    <x v="1"/>
  </r>
  <r>
    <x v="243"/>
    <n v="-155"/>
    <x v="565"/>
    <n v="3379.27"/>
    <s v="Complete Access"/>
    <x v="0"/>
    <x v="0"/>
    <x v="0"/>
    <d v="1900-01-19T00:00:00"/>
    <n v="12"/>
    <x v="11"/>
    <x v="1"/>
  </r>
  <r>
    <x v="243"/>
    <n v="-20.03"/>
    <x v="566"/>
    <n v="3534.27"/>
    <s v="Complete Access"/>
    <x v="212"/>
    <x v="9"/>
    <x v="12"/>
    <d v="1900-01-19T00:00:00"/>
    <n v="12"/>
    <x v="11"/>
    <x v="1"/>
  </r>
  <r>
    <x v="243"/>
    <n v="-36.58"/>
    <x v="567"/>
    <n v="3554.3"/>
    <s v="Complete Access"/>
    <x v="79"/>
    <x v="15"/>
    <x v="34"/>
    <d v="1900-01-19T00:00:00"/>
    <n v="12"/>
    <x v="11"/>
    <x v="1"/>
  </r>
  <r>
    <x v="244"/>
    <n v="-2.8"/>
    <x v="72"/>
    <n v="3590.88"/>
    <s v="Complete Access"/>
    <x v="37"/>
    <x v="0"/>
    <x v="0"/>
    <d v="1900-01-18T00:00:00"/>
    <n v="12"/>
    <x v="11"/>
    <x v="1"/>
  </r>
  <r>
    <x v="244"/>
    <n v="-20"/>
    <x v="552"/>
    <n v="3593.68"/>
    <s v="Complete Access"/>
    <x v="130"/>
    <x v="0"/>
    <x v="0"/>
    <d v="1900-01-18T00:00:00"/>
    <n v="12"/>
    <x v="11"/>
    <x v="1"/>
  </r>
  <r>
    <x v="244"/>
    <n v="-8.6999999999999993"/>
    <x v="531"/>
    <n v="3613.68"/>
    <s v="Complete Access"/>
    <x v="215"/>
    <x v="1"/>
    <x v="1"/>
    <d v="1900-01-18T00:00:00"/>
    <n v="12"/>
    <x v="11"/>
    <x v="1"/>
  </r>
  <r>
    <x v="244"/>
    <n v="-73.88"/>
    <x v="568"/>
    <n v="3622.38"/>
    <s v="Complete Access"/>
    <x v="104"/>
    <x v="1"/>
    <x v="5"/>
    <d v="1900-01-18T00:00:00"/>
    <n v="12"/>
    <x v="11"/>
    <x v="1"/>
  </r>
  <r>
    <x v="244"/>
    <n v="-36.36"/>
    <x v="569"/>
    <n v="3696.26"/>
    <s v="Complete Access"/>
    <x v="104"/>
    <x v="1"/>
    <x v="5"/>
    <d v="1900-01-18T00:00:00"/>
    <n v="12"/>
    <x v="11"/>
    <x v="1"/>
  </r>
  <r>
    <x v="245"/>
    <n v="-8.3800000000000008"/>
    <x v="570"/>
    <n v="3732.62"/>
    <s v="Complete Access"/>
    <x v="218"/>
    <x v="8"/>
    <x v="29"/>
    <d v="1900-01-17T00:00:00"/>
    <n v="12"/>
    <x v="11"/>
    <x v="1"/>
  </r>
  <r>
    <x v="246"/>
    <n v="-8.08"/>
    <x v="571"/>
    <n v="3741"/>
    <s v="Complete Access"/>
    <x v="225"/>
    <x v="1"/>
    <x v="5"/>
    <d v="1900-01-15T00:00:00"/>
    <n v="11"/>
    <x v="11"/>
    <x v="1"/>
  </r>
  <r>
    <x v="246"/>
    <n v="-30"/>
    <x v="572"/>
    <n v="3749.08"/>
    <s v="Complete Access"/>
    <x v="226"/>
    <x v="1"/>
    <x v="29"/>
    <d v="1900-01-15T00:00:00"/>
    <n v="11"/>
    <x v="11"/>
    <x v="1"/>
  </r>
  <r>
    <x v="246"/>
    <n v="-3000"/>
    <x v="573"/>
    <n v="3779.08"/>
    <s v="Complete Access"/>
    <x v="227"/>
    <x v="13"/>
    <x v="54"/>
    <d v="1900-01-15T00:00:00"/>
    <n v="11"/>
    <x v="11"/>
    <x v="1"/>
  </r>
  <r>
    <x v="246"/>
    <n v="6.42"/>
    <x v="574"/>
    <n v="6779.08"/>
    <s v="Complete Access"/>
    <x v="228"/>
    <x v="4"/>
    <x v="7"/>
    <d v="1900-01-15T00:00:00"/>
    <n v="11"/>
    <x v="11"/>
    <x v="1"/>
  </r>
  <r>
    <x v="246"/>
    <n v="23.09"/>
    <x v="574"/>
    <n v="6772.66"/>
    <s v="Complete Access"/>
    <x v="228"/>
    <x v="4"/>
    <x v="7"/>
    <d v="1900-01-15T00:00:00"/>
    <n v="11"/>
    <x v="11"/>
    <x v="1"/>
  </r>
  <r>
    <x v="246"/>
    <n v="23.09"/>
    <x v="574"/>
    <n v="6749.57"/>
    <s v="Complete Access"/>
    <x v="228"/>
    <x v="4"/>
    <x v="7"/>
    <d v="1900-01-15T00:00:00"/>
    <n v="11"/>
    <x v="11"/>
    <x v="1"/>
  </r>
  <r>
    <x v="246"/>
    <n v="7.5"/>
    <x v="574"/>
    <n v="6726.48"/>
    <s v="Complete Access"/>
    <x v="228"/>
    <x v="4"/>
    <x v="7"/>
    <d v="1900-01-15T00:00:00"/>
    <n v="11"/>
    <x v="11"/>
    <x v="1"/>
  </r>
  <r>
    <x v="246"/>
    <n v="-23.09"/>
    <x v="575"/>
    <n v="6718.98"/>
    <s v="Complete Access"/>
    <x v="228"/>
    <x v="4"/>
    <x v="7"/>
    <d v="1900-01-15T00:00:00"/>
    <n v="11"/>
    <x v="11"/>
    <x v="1"/>
  </r>
  <r>
    <x v="246"/>
    <n v="-23.09"/>
    <x v="576"/>
    <n v="6742.07"/>
    <s v="Complete Access"/>
    <x v="228"/>
    <x v="4"/>
    <x v="7"/>
    <d v="1900-01-15T00:00:00"/>
    <n v="11"/>
    <x v="11"/>
    <x v="1"/>
  </r>
  <r>
    <x v="246"/>
    <n v="-16"/>
    <x v="577"/>
    <n v="6765.16"/>
    <s v="Complete Access"/>
    <x v="229"/>
    <x v="13"/>
    <x v="54"/>
    <d v="1900-01-15T00:00:00"/>
    <n v="11"/>
    <x v="11"/>
    <x v="1"/>
  </r>
  <r>
    <x v="246"/>
    <n v="-17.22"/>
    <x v="578"/>
    <n v="6781.16"/>
    <s v="Complete Access"/>
    <x v="177"/>
    <x v="1"/>
    <x v="1"/>
    <d v="1900-01-15T00:00:00"/>
    <n v="11"/>
    <x v="11"/>
    <x v="1"/>
  </r>
  <r>
    <x v="247"/>
    <n v="15"/>
    <x v="579"/>
    <n v="6798.38"/>
    <s v="Complete Access"/>
    <x v="36"/>
    <x v="0"/>
    <x v="0"/>
    <d v="1900-01-14T00:00:00"/>
    <n v="11"/>
    <x v="11"/>
    <x v="1"/>
  </r>
  <r>
    <x v="247"/>
    <n v="-2000"/>
    <x v="580"/>
    <n v="6783.38"/>
    <s v="Complete Access"/>
    <x v="227"/>
    <x v="13"/>
    <x v="54"/>
    <d v="1900-01-14T00:00:00"/>
    <n v="11"/>
    <x v="11"/>
    <x v="1"/>
  </r>
  <r>
    <x v="247"/>
    <n v="4000"/>
    <x v="370"/>
    <n v="8783.3799999999992"/>
    <s v="Complete Access"/>
    <x v="36"/>
    <x v="0"/>
    <x v="0"/>
    <d v="1900-01-14T00:00:00"/>
    <n v="11"/>
    <x v="11"/>
    <x v="1"/>
  </r>
  <r>
    <x v="247"/>
    <n v="-4000"/>
    <x v="581"/>
    <n v="20945.41"/>
    <s v="Netbank Saver"/>
    <x v="0"/>
    <x v="0"/>
    <x v="0"/>
    <d v="1900-01-14T00:00:00"/>
    <n v="11"/>
    <x v="11"/>
    <x v="1"/>
  </r>
  <r>
    <x v="248"/>
    <n v="-11.35"/>
    <x v="454"/>
    <n v="4783.38"/>
    <s v="Complete Access"/>
    <x v="9"/>
    <x v="4"/>
    <x v="6"/>
    <d v="1900-01-13T00:00:00"/>
    <n v="11"/>
    <x v="11"/>
    <x v="1"/>
  </r>
  <r>
    <x v="248"/>
    <n v="-7.8"/>
    <x v="533"/>
    <n v="4794.7299999999996"/>
    <s v="Complete Access"/>
    <x v="215"/>
    <x v="1"/>
    <x v="1"/>
    <d v="1900-01-13T00:00:00"/>
    <n v="11"/>
    <x v="11"/>
    <x v="1"/>
  </r>
  <r>
    <x v="248"/>
    <n v="-29307.5"/>
    <x v="582"/>
    <n v="4802.53"/>
    <s v="Complete Access"/>
    <x v="230"/>
    <x v="13"/>
    <x v="54"/>
    <d v="1900-01-13T00:00:00"/>
    <n v="11"/>
    <x v="11"/>
    <x v="1"/>
  </r>
  <r>
    <x v="248"/>
    <n v="20000"/>
    <x v="583"/>
    <n v="34110.03"/>
    <s v="Complete Access"/>
    <x v="36"/>
    <x v="0"/>
    <x v="0"/>
    <d v="1900-01-13T00:00:00"/>
    <n v="11"/>
    <x v="11"/>
    <x v="1"/>
  </r>
  <r>
    <x v="248"/>
    <n v="-27.1"/>
    <x v="584"/>
    <n v="14110.03"/>
    <s v="Complete Access"/>
    <x v="231"/>
    <x v="1"/>
    <x v="5"/>
    <d v="1900-01-13T00:00:00"/>
    <n v="11"/>
    <x v="11"/>
    <x v="1"/>
  </r>
  <r>
    <x v="248"/>
    <n v="-20000"/>
    <x v="585"/>
    <n v="24945.41"/>
    <s v="Netbank Saver"/>
    <x v="13"/>
    <x v="0"/>
    <x v="0"/>
    <d v="1900-01-13T00:00:00"/>
    <n v="11"/>
    <x v="11"/>
    <x v="1"/>
  </r>
  <r>
    <x v="248"/>
    <n v="3203.84"/>
    <x v="586"/>
    <n v="14637.13"/>
    <s v="Complete Access"/>
    <x v="14"/>
    <x v="6"/>
    <x v="9"/>
    <d v="1900-01-13T00:00:00"/>
    <n v="11"/>
    <x v="11"/>
    <x v="1"/>
  </r>
  <r>
    <x v="248"/>
    <n v="-500"/>
    <x v="527"/>
    <n v="14137.13"/>
    <s v="Complete Access"/>
    <x v="13"/>
    <x v="0"/>
    <x v="0"/>
    <d v="1900-01-13T00:00:00"/>
    <n v="11"/>
    <x v="11"/>
    <x v="1"/>
  </r>
  <r>
    <x v="249"/>
    <n v="-78.5"/>
    <x v="587"/>
    <n v="11433.29"/>
    <s v="Complete Access"/>
    <x v="232"/>
    <x v="3"/>
    <x v="15"/>
    <d v="1900-01-12T00:00:00"/>
    <n v="11"/>
    <x v="11"/>
    <x v="1"/>
  </r>
  <r>
    <x v="249"/>
    <n v="-9.3800000000000008"/>
    <x v="588"/>
    <n v="11511.79"/>
    <s v="Complete Access"/>
    <x v="233"/>
    <x v="8"/>
    <x v="29"/>
    <d v="1900-01-12T00:00:00"/>
    <n v="11"/>
    <x v="11"/>
    <x v="1"/>
  </r>
  <r>
    <x v="249"/>
    <n v="-21.49"/>
    <x v="588"/>
    <n v="11521.17"/>
    <s v="Complete Access"/>
    <x v="233"/>
    <x v="8"/>
    <x v="29"/>
    <d v="1900-01-12T00:00:00"/>
    <n v="11"/>
    <x v="11"/>
    <x v="1"/>
  </r>
  <r>
    <x v="249"/>
    <n v="-9.3800000000000008"/>
    <x v="588"/>
    <n v="11542.66"/>
    <s v="Complete Access"/>
    <x v="233"/>
    <x v="8"/>
    <x v="29"/>
    <d v="1900-01-12T00:00:00"/>
    <n v="11"/>
    <x v="11"/>
    <x v="1"/>
  </r>
  <r>
    <x v="249"/>
    <n v="-1"/>
    <x v="589"/>
    <n v="11552.04"/>
    <s v="Complete Access"/>
    <x v="10"/>
    <x v="0"/>
    <x v="0"/>
    <d v="1900-01-12T00:00:00"/>
    <n v="11"/>
    <x v="11"/>
    <x v="1"/>
  </r>
  <r>
    <x v="249"/>
    <n v="-33.28"/>
    <x v="590"/>
    <n v="11553.04"/>
    <s v="Complete Access"/>
    <x v="11"/>
    <x v="4"/>
    <x v="7"/>
    <d v="1900-01-12T00:00:00"/>
    <n v="11"/>
    <x v="11"/>
    <x v="1"/>
  </r>
  <r>
    <x v="249"/>
    <n v="-20.03"/>
    <x v="591"/>
    <n v="11586.32"/>
    <s v="Complete Access"/>
    <x v="34"/>
    <x v="9"/>
    <x v="12"/>
    <d v="1900-01-12T00:00:00"/>
    <n v="11"/>
    <x v="11"/>
    <x v="1"/>
  </r>
  <r>
    <x v="249"/>
    <n v="-29.38"/>
    <x v="592"/>
    <n v="11606.35"/>
    <s v="Complete Access"/>
    <x v="8"/>
    <x v="1"/>
    <x v="5"/>
    <d v="1900-01-12T00:00:00"/>
    <n v="11"/>
    <x v="11"/>
    <x v="1"/>
  </r>
  <r>
    <x v="249"/>
    <n v="-40"/>
    <x v="593"/>
    <n v="11635.73"/>
    <s v="Complete Access"/>
    <x v="12"/>
    <x v="5"/>
    <x v="8"/>
    <d v="1900-01-12T00:00:00"/>
    <n v="11"/>
    <x v="11"/>
    <x v="1"/>
  </r>
  <r>
    <x v="250"/>
    <n v="-23.43"/>
    <x v="578"/>
    <n v="11675.73"/>
    <s v="Complete Access"/>
    <x v="177"/>
    <x v="1"/>
    <x v="1"/>
    <d v="1900-01-11T00:00:00"/>
    <n v="11"/>
    <x v="11"/>
    <x v="1"/>
  </r>
  <r>
    <x v="250"/>
    <n v="-1.5"/>
    <x v="517"/>
    <n v="11699.16"/>
    <s v="Complete Access"/>
    <x v="34"/>
    <x v="9"/>
    <x v="12"/>
    <d v="1900-01-11T00:00:00"/>
    <n v="11"/>
    <x v="11"/>
    <x v="1"/>
  </r>
  <r>
    <x v="250"/>
    <n v="-15"/>
    <x v="18"/>
    <n v="11700.66"/>
    <s v="Complete Access"/>
    <x v="16"/>
    <x v="1"/>
    <x v="5"/>
    <d v="1900-01-11T00:00:00"/>
    <n v="11"/>
    <x v="11"/>
    <x v="1"/>
  </r>
  <r>
    <x v="250"/>
    <n v="-39.93"/>
    <x v="594"/>
    <n v="11715.66"/>
    <s v="Complete Access"/>
    <x v="8"/>
    <x v="1"/>
    <x v="5"/>
    <d v="1900-01-11T00:00:00"/>
    <n v="11"/>
    <x v="11"/>
    <x v="1"/>
  </r>
  <r>
    <x v="251"/>
    <n v="-8"/>
    <x v="532"/>
    <n v="11755.59"/>
    <s v="Complete Access"/>
    <x v="1"/>
    <x v="1"/>
    <x v="1"/>
    <d v="1900-01-10T00:00:00"/>
    <n v="11"/>
    <x v="11"/>
    <x v="1"/>
  </r>
  <r>
    <x v="252"/>
    <n v="-13.88"/>
    <x v="595"/>
    <n v="11784.59"/>
    <s v="Complete Access"/>
    <x v="234"/>
    <x v="8"/>
    <x v="29"/>
    <d v="1900-01-09T00:00:00"/>
    <n v="11"/>
    <x v="11"/>
    <x v="1"/>
  </r>
  <r>
    <x v="252"/>
    <n v="-21"/>
    <x v="596"/>
    <n v="11763.59"/>
    <s v="Complete Access"/>
    <x v="0"/>
    <x v="0"/>
    <x v="0"/>
    <d v="1900-01-09T00:00:00"/>
    <n v="11"/>
    <x v="11"/>
    <x v="1"/>
  </r>
  <r>
    <x v="253"/>
    <n v="150"/>
    <x v="597"/>
    <n v="11798.47"/>
    <s v="Complete Access"/>
    <x v="36"/>
    <x v="0"/>
    <x v="0"/>
    <d v="1900-01-08T00:00:00"/>
    <n v="10"/>
    <x v="11"/>
    <x v="1"/>
  </r>
  <r>
    <x v="253"/>
    <n v="-8.4"/>
    <x v="532"/>
    <n v="11648.47"/>
    <s v="Complete Access"/>
    <x v="1"/>
    <x v="1"/>
    <x v="1"/>
    <d v="1900-01-08T00:00:00"/>
    <n v="10"/>
    <x v="11"/>
    <x v="1"/>
  </r>
  <r>
    <x v="254"/>
    <n v="-31.17"/>
    <x v="405"/>
    <n v="11656.87"/>
    <s v="Complete Access"/>
    <x v="177"/>
    <x v="1"/>
    <x v="1"/>
    <d v="1900-01-07T00:00:00"/>
    <n v="10"/>
    <x v="11"/>
    <x v="1"/>
  </r>
  <r>
    <x v="254"/>
    <n v="-17.36"/>
    <x v="531"/>
    <n v="11688.04"/>
    <s v="Complete Access"/>
    <x v="215"/>
    <x v="1"/>
    <x v="1"/>
    <d v="1900-01-07T00:00:00"/>
    <n v="10"/>
    <x v="11"/>
    <x v="1"/>
  </r>
  <r>
    <x v="255"/>
    <n v="-11"/>
    <x v="405"/>
    <n v="11705.4"/>
    <s v="Complete Access"/>
    <x v="177"/>
    <x v="1"/>
    <x v="1"/>
    <d v="1900-01-06T00:00:00"/>
    <n v="10"/>
    <x v="11"/>
    <x v="1"/>
  </r>
  <r>
    <x v="255"/>
    <n v="-2"/>
    <x v="598"/>
    <n v="11716.4"/>
    <s v="Complete Access"/>
    <x v="235"/>
    <x v="9"/>
    <x v="32"/>
    <d v="1900-01-06T00:00:00"/>
    <n v="10"/>
    <x v="11"/>
    <x v="1"/>
  </r>
  <r>
    <x v="256"/>
    <n v="-31.94"/>
    <x v="599"/>
    <n v="11718.4"/>
    <s v="Complete Access"/>
    <x v="79"/>
    <x v="15"/>
    <x v="34"/>
    <d v="1900-01-05T00:00:00"/>
    <n v="10"/>
    <x v="11"/>
    <x v="1"/>
  </r>
  <r>
    <x v="257"/>
    <n v="-10.66"/>
    <x v="600"/>
    <n v="11750.34"/>
    <s v="Complete Access"/>
    <x v="236"/>
    <x v="8"/>
    <x v="29"/>
    <d v="1900-01-04T00:00:00"/>
    <n v="10"/>
    <x v="11"/>
    <x v="1"/>
  </r>
  <r>
    <x v="257"/>
    <n v="-19.87"/>
    <x v="601"/>
    <n v="11761"/>
    <s v="Complete Access"/>
    <x v="237"/>
    <x v="15"/>
    <x v="34"/>
    <d v="1900-01-04T00:00:00"/>
    <n v="10"/>
    <x v="11"/>
    <x v="1"/>
  </r>
  <r>
    <x v="257"/>
    <n v="-27.93"/>
    <x v="602"/>
    <n v="11780.87"/>
    <s v="Complete Access"/>
    <x v="34"/>
    <x v="9"/>
    <x v="12"/>
    <d v="1900-01-04T00:00:00"/>
    <n v="10"/>
    <x v="11"/>
    <x v="1"/>
  </r>
  <r>
    <x v="257"/>
    <n v="-25.89"/>
    <x v="603"/>
    <n v="11808.8"/>
    <s v="Complete Access"/>
    <x v="8"/>
    <x v="1"/>
    <x v="5"/>
    <d v="1900-01-04T00:00:00"/>
    <n v="10"/>
    <x v="11"/>
    <x v="1"/>
  </r>
  <r>
    <x v="258"/>
    <n v="-26.54"/>
    <x v="531"/>
    <n v="11834.69"/>
    <s v="Complete Access"/>
    <x v="215"/>
    <x v="1"/>
    <x v="1"/>
    <d v="1900-01-03T00:00:00"/>
    <n v="10"/>
    <x v="11"/>
    <x v="1"/>
  </r>
  <r>
    <x v="259"/>
    <n v="-27.04"/>
    <x v="405"/>
    <n v="11861.23"/>
    <s v="Complete Access"/>
    <x v="177"/>
    <x v="1"/>
    <x v="1"/>
    <d v="1900-01-02T00:00:00"/>
    <n v="10"/>
    <x v="11"/>
    <x v="1"/>
  </r>
  <r>
    <x v="259"/>
    <n v="10000"/>
    <x v="604"/>
    <n v="11888.27"/>
    <s v="Complete Access"/>
    <x v="36"/>
    <x v="0"/>
    <x v="0"/>
    <d v="1900-01-02T00:00:00"/>
    <n v="10"/>
    <x v="11"/>
    <x v="1"/>
  </r>
  <r>
    <x v="260"/>
    <n v="-11.42"/>
    <x v="605"/>
    <n v="1888.27"/>
    <s v="Complete Access"/>
    <x v="238"/>
    <x v="8"/>
    <x v="29"/>
    <d v="1899-12-31T00:00:00"/>
    <n v="9"/>
    <x v="11"/>
    <x v="1"/>
  </r>
  <r>
    <x v="260"/>
    <n v="-195.05"/>
    <x v="606"/>
    <n v="1899.69"/>
    <s v="Complete Access"/>
    <x v="76"/>
    <x v="2"/>
    <x v="2"/>
    <d v="1899-12-31T00:00:00"/>
    <n v="9"/>
    <x v="11"/>
    <x v="1"/>
  </r>
  <r>
    <x v="260"/>
    <n v="-18.5"/>
    <x v="607"/>
    <n v="2094.7399999999998"/>
    <s v="Complete Access"/>
    <x v="239"/>
    <x v="8"/>
    <x v="22"/>
    <d v="1899-12-31T00:00:00"/>
    <n v="9"/>
    <x v="11"/>
    <x v="1"/>
  </r>
  <r>
    <x v="260"/>
    <n v="-11.75"/>
    <x v="608"/>
    <n v="2113.2399999999998"/>
    <s v="Complete Access"/>
    <x v="236"/>
    <x v="8"/>
    <x v="29"/>
    <d v="1899-12-31T00:00:00"/>
    <n v="9"/>
    <x v="11"/>
    <x v="1"/>
  </r>
  <r>
    <x v="260"/>
    <n v="84.34"/>
    <x v="609"/>
    <n v="44945.41"/>
    <s v="Netbank Saver"/>
    <x v="240"/>
    <x v="0"/>
    <x v="55"/>
    <d v="1899-12-31T00:00:00"/>
    <n v="9"/>
    <x v="11"/>
    <x v="1"/>
  </r>
  <r>
    <x v="261"/>
    <n v="-11.35"/>
    <x v="454"/>
    <n v="2124.9899999999998"/>
    <s v="Complete Access"/>
    <x v="9"/>
    <x v="4"/>
    <x v="6"/>
    <d v="1900-01-28T00:00:00"/>
    <n v="9"/>
    <x v="0"/>
    <x v="1"/>
  </r>
  <r>
    <x v="261"/>
    <n v="2348.84"/>
    <x v="610"/>
    <n v="2636.34"/>
    <s v="Complete Access"/>
    <x v="14"/>
    <x v="6"/>
    <x v="9"/>
    <d v="1900-01-28T00:00:00"/>
    <n v="9"/>
    <x v="0"/>
    <x v="1"/>
  </r>
  <r>
    <x v="261"/>
    <n v="-500"/>
    <x v="527"/>
    <n v="2136.34"/>
    <s v="Complete Access"/>
    <x v="13"/>
    <x v="0"/>
    <x v="0"/>
    <d v="1900-01-28T00:00:00"/>
    <n v="9"/>
    <x v="0"/>
    <x v="1"/>
  </r>
  <r>
    <x v="262"/>
    <n v="-20"/>
    <x v="8"/>
    <n v="287.5"/>
    <s v="Complete Access"/>
    <x v="7"/>
    <x v="1"/>
    <x v="5"/>
    <d v="1900-01-27T00:00:00"/>
    <n v="9"/>
    <x v="0"/>
    <x v="1"/>
  </r>
  <r>
    <x v="262"/>
    <n v="-1542.5"/>
    <x v="611"/>
    <n v="307.5"/>
    <s v="Complete Access"/>
    <x v="230"/>
    <x v="13"/>
    <x v="54"/>
    <d v="1900-01-27T00:00:00"/>
    <n v="9"/>
    <x v="0"/>
    <x v="1"/>
  </r>
  <r>
    <x v="263"/>
    <n v="-13.19"/>
    <x v="578"/>
    <n v="1850"/>
    <s v="Complete Access"/>
    <x v="177"/>
    <x v="1"/>
    <x v="1"/>
    <d v="1900-01-26T00:00:00"/>
    <n v="9"/>
    <x v="0"/>
    <x v="1"/>
  </r>
  <r>
    <x v="263"/>
    <n v="-25.44"/>
    <x v="531"/>
    <n v="1863.19"/>
    <s v="Complete Access"/>
    <x v="215"/>
    <x v="1"/>
    <x v="1"/>
    <d v="1900-01-26T00:00:00"/>
    <n v="9"/>
    <x v="0"/>
    <x v="1"/>
  </r>
  <r>
    <x v="263"/>
    <n v="150"/>
    <x v="612"/>
    <n v="1888.63"/>
    <s v="Complete Access"/>
    <x v="36"/>
    <x v="0"/>
    <x v="0"/>
    <d v="1900-01-26T00:00:00"/>
    <n v="9"/>
    <x v="0"/>
    <x v="1"/>
  </r>
  <r>
    <x v="263"/>
    <n v="-26.06"/>
    <x v="613"/>
    <n v="1738.63"/>
    <s v="Complete Access"/>
    <x v="241"/>
    <x v="1"/>
    <x v="5"/>
    <d v="1900-01-26T00:00:00"/>
    <n v="9"/>
    <x v="0"/>
    <x v="1"/>
  </r>
  <r>
    <x v="263"/>
    <n v="-34.36"/>
    <x v="614"/>
    <n v="1764.69"/>
    <s v="Complete Access"/>
    <x v="104"/>
    <x v="1"/>
    <x v="5"/>
    <d v="1900-01-26T00:00:00"/>
    <n v="9"/>
    <x v="0"/>
    <x v="1"/>
  </r>
  <r>
    <x v="264"/>
    <n v="-16"/>
    <x v="8"/>
    <n v="1799.05"/>
    <s v="Complete Access"/>
    <x v="7"/>
    <x v="1"/>
    <x v="5"/>
    <d v="1900-01-25T00:00:00"/>
    <n v="9"/>
    <x v="0"/>
    <x v="1"/>
  </r>
  <r>
    <x v="265"/>
    <n v="-18.75"/>
    <x v="615"/>
    <n v="1815.05"/>
    <s v="Complete Access"/>
    <x v="47"/>
    <x v="1"/>
    <x v="5"/>
    <d v="1900-01-23T00:00:00"/>
    <n v="8"/>
    <x v="0"/>
    <x v="1"/>
  </r>
  <r>
    <x v="265"/>
    <n v="-29.99"/>
    <x v="616"/>
    <n v="1833.8"/>
    <s v="Complete Access"/>
    <x v="228"/>
    <x v="4"/>
    <x v="7"/>
    <d v="1900-01-23T00:00:00"/>
    <n v="8"/>
    <x v="0"/>
    <x v="1"/>
  </r>
  <r>
    <x v="266"/>
    <n v="-29"/>
    <x v="617"/>
    <n v="1863.79"/>
    <s v="Complete Access"/>
    <x v="206"/>
    <x v="13"/>
    <x v="50"/>
    <d v="1900-01-22T00:00:00"/>
    <n v="8"/>
    <x v="0"/>
    <x v="1"/>
  </r>
  <r>
    <x v="266"/>
    <n v="-29"/>
    <x v="618"/>
    <n v="1892.79"/>
    <s v="Complete Access"/>
    <x v="206"/>
    <x v="13"/>
    <x v="50"/>
    <d v="1900-01-22T00:00:00"/>
    <n v="8"/>
    <x v="0"/>
    <x v="1"/>
  </r>
  <r>
    <x v="266"/>
    <n v="-29.99"/>
    <x v="616"/>
    <n v="1921.79"/>
    <s v="Complete Access"/>
    <x v="228"/>
    <x v="4"/>
    <x v="7"/>
    <d v="1900-01-22T00:00:00"/>
    <n v="8"/>
    <x v="0"/>
    <x v="1"/>
  </r>
  <r>
    <x v="267"/>
    <n v="-17.2"/>
    <x v="619"/>
    <n v="1994.78"/>
    <s v="Complete Access"/>
    <x v="242"/>
    <x v="1"/>
    <x v="5"/>
    <d v="1900-01-21T00:00:00"/>
    <n v="8"/>
    <x v="0"/>
    <x v="1"/>
  </r>
  <r>
    <x v="267"/>
    <n v="-3.85"/>
    <x v="620"/>
    <n v="2011.98"/>
    <s v="Complete Access"/>
    <x v="188"/>
    <x v="1"/>
    <x v="1"/>
    <d v="1900-01-21T00:00:00"/>
    <n v="8"/>
    <x v="0"/>
    <x v="1"/>
  </r>
  <r>
    <x v="267"/>
    <n v="-43"/>
    <x v="561"/>
    <n v="1951.78"/>
    <s v="Complete Access"/>
    <x v="223"/>
    <x v="7"/>
    <x v="53"/>
    <d v="1900-01-21T00:00:00"/>
    <n v="8"/>
    <x v="0"/>
    <x v="1"/>
  </r>
  <r>
    <x v="268"/>
    <n v="-3.75"/>
    <x v="621"/>
    <n v="2015.83"/>
    <s v="Complete Access"/>
    <x v="220"/>
    <x v="1"/>
    <x v="5"/>
    <d v="1900-01-20T00:00:00"/>
    <n v="8"/>
    <x v="0"/>
    <x v="1"/>
  </r>
  <r>
    <x v="268"/>
    <n v="-16"/>
    <x v="8"/>
    <n v="2019.58"/>
    <s v="Complete Access"/>
    <x v="7"/>
    <x v="1"/>
    <x v="5"/>
    <d v="1900-01-20T00:00:00"/>
    <n v="8"/>
    <x v="0"/>
    <x v="1"/>
  </r>
  <r>
    <x v="268"/>
    <n v="-101.61"/>
    <x v="622"/>
    <n v="2035.58"/>
    <s v="Complete Access"/>
    <x v="1"/>
    <x v="1"/>
    <x v="1"/>
    <d v="1900-01-20T00:00:00"/>
    <n v="8"/>
    <x v="0"/>
    <x v="1"/>
  </r>
  <r>
    <x v="268"/>
    <n v="-40"/>
    <x v="623"/>
    <n v="2137.19"/>
    <s v="Complete Access"/>
    <x v="12"/>
    <x v="5"/>
    <x v="8"/>
    <d v="1900-01-20T00:00:00"/>
    <n v="8"/>
    <x v="0"/>
    <x v="1"/>
  </r>
  <r>
    <x v="269"/>
    <n v="300"/>
    <x v="624"/>
    <n v="2177.19"/>
    <s v="Complete Access"/>
    <x v="36"/>
    <x v="0"/>
    <x v="0"/>
    <d v="1900-01-18T00:00:00"/>
    <n v="8"/>
    <x v="0"/>
    <x v="1"/>
  </r>
  <r>
    <x v="269"/>
    <n v="-3.2"/>
    <x v="532"/>
    <n v="1877.19"/>
    <s v="Complete Access"/>
    <x v="1"/>
    <x v="1"/>
    <x v="1"/>
    <d v="1900-01-18T00:00:00"/>
    <n v="8"/>
    <x v="0"/>
    <x v="1"/>
  </r>
  <r>
    <x v="269"/>
    <n v="-15"/>
    <x v="18"/>
    <n v="1880.39"/>
    <s v="Complete Access"/>
    <x v="16"/>
    <x v="1"/>
    <x v="5"/>
    <d v="1900-01-18T00:00:00"/>
    <n v="8"/>
    <x v="0"/>
    <x v="1"/>
  </r>
  <r>
    <x v="270"/>
    <n v="-34.880000000000003"/>
    <x v="70"/>
    <n v="1895.39"/>
    <s v="Complete Access"/>
    <x v="8"/>
    <x v="1"/>
    <x v="5"/>
    <d v="1900-01-17T00:00:00"/>
    <n v="8"/>
    <x v="0"/>
    <x v="1"/>
  </r>
  <r>
    <x v="270"/>
    <n v="-13.88"/>
    <x v="595"/>
    <n v="1930.27"/>
    <s v="Complete Access"/>
    <x v="234"/>
    <x v="8"/>
    <x v="29"/>
    <d v="1900-01-17T00:00:00"/>
    <n v="8"/>
    <x v="0"/>
    <x v="1"/>
  </r>
  <r>
    <x v="271"/>
    <n v="-39"/>
    <x v="625"/>
    <n v="1944.15"/>
    <s v="Complete Access"/>
    <x v="206"/>
    <x v="13"/>
    <x v="50"/>
    <d v="1900-01-16T00:00:00"/>
    <n v="7"/>
    <x v="0"/>
    <x v="1"/>
  </r>
  <r>
    <x v="271"/>
    <n v="-29"/>
    <x v="626"/>
    <n v="1983.15"/>
    <s v="Complete Access"/>
    <x v="206"/>
    <x v="13"/>
    <x v="50"/>
    <d v="1900-01-16T00:00:00"/>
    <n v="7"/>
    <x v="0"/>
    <x v="1"/>
  </r>
  <r>
    <x v="272"/>
    <n v="-29"/>
    <x v="627"/>
    <n v="2012.15"/>
    <s v="Complete Access"/>
    <x v="206"/>
    <x v="13"/>
    <x v="50"/>
    <d v="1900-01-15T00:00:00"/>
    <n v="7"/>
    <x v="0"/>
    <x v="1"/>
  </r>
  <r>
    <x v="272"/>
    <n v="-69"/>
    <x v="628"/>
    <n v="2041.15"/>
    <s v="Complete Access"/>
    <x v="207"/>
    <x v="7"/>
    <x v="11"/>
    <d v="1900-01-15T00:00:00"/>
    <n v="7"/>
    <x v="0"/>
    <x v="1"/>
  </r>
  <r>
    <x v="273"/>
    <n v="-11.35"/>
    <x v="454"/>
    <n v="2110.15"/>
    <s v="Complete Access"/>
    <x v="9"/>
    <x v="4"/>
    <x v="6"/>
    <d v="1900-01-14T00:00:00"/>
    <n v="7"/>
    <x v="0"/>
    <x v="1"/>
  </r>
  <r>
    <x v="273"/>
    <n v="-10.130000000000001"/>
    <x v="531"/>
    <n v="2121.5"/>
    <s v="Complete Access"/>
    <x v="215"/>
    <x v="1"/>
    <x v="1"/>
    <d v="1900-01-14T00:00:00"/>
    <n v="7"/>
    <x v="0"/>
    <x v="1"/>
  </r>
  <r>
    <x v="273"/>
    <n v="2348.84"/>
    <x v="629"/>
    <n v="2631.63"/>
    <s v="Complete Access"/>
    <x v="14"/>
    <x v="6"/>
    <x v="9"/>
    <d v="1900-01-14T00:00:00"/>
    <n v="7"/>
    <x v="0"/>
    <x v="1"/>
  </r>
  <r>
    <x v="273"/>
    <n v="-500"/>
    <x v="527"/>
    <n v="2131.63"/>
    <s v="Complete Access"/>
    <x v="13"/>
    <x v="0"/>
    <x v="0"/>
    <d v="1900-01-14T00:00:00"/>
    <n v="7"/>
    <x v="0"/>
    <x v="1"/>
  </r>
  <r>
    <x v="274"/>
    <n v="-91.81"/>
    <x v="405"/>
    <n v="582.79"/>
    <s v="Complete Access"/>
    <x v="177"/>
    <x v="1"/>
    <x v="1"/>
    <d v="1900-01-13T00:00:00"/>
    <n v="7"/>
    <x v="0"/>
    <x v="1"/>
  </r>
  <r>
    <x v="274"/>
    <n v="-15"/>
    <x v="18"/>
    <n v="674.6"/>
    <s v="Complete Access"/>
    <x v="16"/>
    <x v="1"/>
    <x v="5"/>
    <d v="1900-01-13T00:00:00"/>
    <n v="7"/>
    <x v="0"/>
    <x v="1"/>
  </r>
  <r>
    <x v="274"/>
    <n v="-41.19"/>
    <x v="630"/>
    <n v="689.6"/>
    <s v="Complete Access"/>
    <x v="104"/>
    <x v="1"/>
    <x v="5"/>
    <d v="1900-01-13T00:00:00"/>
    <n v="7"/>
    <x v="0"/>
    <x v="1"/>
  </r>
  <r>
    <x v="274"/>
    <n v="-27.11"/>
    <x v="631"/>
    <n v="730.79"/>
    <s v="Complete Access"/>
    <x v="79"/>
    <x v="15"/>
    <x v="34"/>
    <d v="1900-01-13T00:00:00"/>
    <n v="7"/>
    <x v="0"/>
    <x v="1"/>
  </r>
  <r>
    <x v="274"/>
    <n v="-300"/>
    <x v="632"/>
    <n v="282.79000000000002"/>
    <s v="Complete Access"/>
    <x v="0"/>
    <x v="0"/>
    <x v="0"/>
    <d v="1900-01-13T00:00:00"/>
    <n v="7"/>
    <x v="0"/>
    <x v="1"/>
  </r>
  <r>
    <x v="275"/>
    <n v="-16"/>
    <x v="8"/>
    <n v="757.9"/>
    <s v="Complete Access"/>
    <x v="7"/>
    <x v="1"/>
    <x v="5"/>
    <d v="1900-01-12T00:00:00"/>
    <n v="7"/>
    <x v="0"/>
    <x v="1"/>
  </r>
  <r>
    <x v="275"/>
    <n v="-50"/>
    <x v="633"/>
    <n v="773.9"/>
    <s v="Complete Access"/>
    <x v="243"/>
    <x v="1"/>
    <x v="23"/>
    <d v="1900-01-12T00:00:00"/>
    <n v="7"/>
    <x v="0"/>
    <x v="1"/>
  </r>
  <r>
    <x v="275"/>
    <n v="-1.02"/>
    <x v="634"/>
    <n v="823.9"/>
    <s v="Complete Access"/>
    <x v="10"/>
    <x v="0"/>
    <x v="0"/>
    <d v="1900-01-12T00:00:00"/>
    <n v="7"/>
    <x v="0"/>
    <x v="1"/>
  </r>
  <r>
    <x v="275"/>
    <n v="-33.93"/>
    <x v="635"/>
    <n v="824.92"/>
    <s v="Complete Access"/>
    <x v="11"/>
    <x v="4"/>
    <x v="7"/>
    <d v="1900-01-12T00:00:00"/>
    <n v="7"/>
    <x v="0"/>
    <x v="1"/>
  </r>
  <r>
    <x v="275"/>
    <n v="-34.36"/>
    <x v="636"/>
    <n v="858.85"/>
    <s v="Complete Access"/>
    <x v="104"/>
    <x v="1"/>
    <x v="5"/>
    <d v="1900-01-12T00:00:00"/>
    <n v="7"/>
    <x v="0"/>
    <x v="1"/>
  </r>
  <r>
    <x v="275"/>
    <n v="-10.039999999999999"/>
    <x v="637"/>
    <n v="893.21"/>
    <s v="Complete Access"/>
    <x v="56"/>
    <x v="9"/>
    <x v="31"/>
    <d v="1900-01-12T00:00:00"/>
    <n v="7"/>
    <x v="0"/>
    <x v="1"/>
  </r>
  <r>
    <x v="275"/>
    <n v="-40"/>
    <x v="638"/>
    <n v="903.25"/>
    <s v="Complete Access"/>
    <x v="12"/>
    <x v="5"/>
    <x v="8"/>
    <d v="1900-01-12T00:00:00"/>
    <n v="7"/>
    <x v="0"/>
    <x v="1"/>
  </r>
  <r>
    <x v="276"/>
    <n v="-16.5"/>
    <x v="8"/>
    <n v="943.25"/>
    <s v="Complete Access"/>
    <x v="7"/>
    <x v="1"/>
    <x v="5"/>
    <d v="1900-01-11T00:00:00"/>
    <n v="7"/>
    <x v="0"/>
    <x v="1"/>
  </r>
  <r>
    <x v="277"/>
    <n v="800"/>
    <x v="370"/>
    <n v="959.75"/>
    <s v="Complete Access"/>
    <x v="36"/>
    <x v="0"/>
    <x v="0"/>
    <d v="1900-01-10T00:00:00"/>
    <n v="7"/>
    <x v="0"/>
    <x v="1"/>
  </r>
  <r>
    <x v="277"/>
    <n v="-3.5"/>
    <x v="639"/>
    <n v="159.75"/>
    <s v="Complete Access"/>
    <x v="1"/>
    <x v="1"/>
    <x v="1"/>
    <d v="1900-01-10T00:00:00"/>
    <n v="7"/>
    <x v="0"/>
    <x v="1"/>
  </r>
  <r>
    <x v="277"/>
    <n v="-13.88"/>
    <x v="595"/>
    <n v="163.25"/>
    <s v="Complete Access"/>
    <x v="234"/>
    <x v="8"/>
    <x v="29"/>
    <d v="1900-01-10T00:00:00"/>
    <n v="7"/>
    <x v="0"/>
    <x v="1"/>
  </r>
  <r>
    <x v="277"/>
    <n v="100"/>
    <x v="370"/>
    <n v="177.13"/>
    <s v="Complete Access"/>
    <x v="36"/>
    <x v="0"/>
    <x v="0"/>
    <d v="1900-01-10T00:00:00"/>
    <n v="7"/>
    <x v="0"/>
    <x v="1"/>
  </r>
  <r>
    <x v="277"/>
    <n v="-800"/>
    <x v="581"/>
    <n v="44861.07"/>
    <s v="Netbank Saver"/>
    <x v="0"/>
    <x v="0"/>
    <x v="0"/>
    <d v="1900-01-10T00:00:00"/>
    <n v="7"/>
    <x v="0"/>
    <x v="1"/>
  </r>
  <r>
    <x v="277"/>
    <n v="-100"/>
    <x v="581"/>
    <n v="45661.07"/>
    <s v="Netbank Saver"/>
    <x v="0"/>
    <x v="0"/>
    <x v="0"/>
    <d v="1900-01-10T00:00:00"/>
    <n v="7"/>
    <x v="0"/>
    <x v="1"/>
  </r>
  <r>
    <x v="278"/>
    <n v="-6.09"/>
    <x v="640"/>
    <n v="132.13"/>
    <s v="Complete Access"/>
    <x v="244"/>
    <x v="8"/>
    <x v="29"/>
    <d v="1900-01-09T00:00:00"/>
    <n v="6"/>
    <x v="0"/>
    <x v="1"/>
  </r>
  <r>
    <x v="278"/>
    <n v="-29"/>
    <x v="641"/>
    <n v="138.22"/>
    <s v="Complete Access"/>
    <x v="206"/>
    <x v="13"/>
    <x v="50"/>
    <d v="1900-01-09T00:00:00"/>
    <n v="6"/>
    <x v="0"/>
    <x v="1"/>
  </r>
  <r>
    <x v="278"/>
    <n v="-44.48"/>
    <x v="642"/>
    <n v="167.22"/>
    <s v="Complete Access"/>
    <x v="245"/>
    <x v="1"/>
    <x v="5"/>
    <d v="1900-01-09T00:00:00"/>
    <n v="6"/>
    <x v="0"/>
    <x v="1"/>
  </r>
  <r>
    <x v="278"/>
    <n v="-55"/>
    <x v="643"/>
    <n v="77.13"/>
    <s v="Complete Access"/>
    <x v="0"/>
    <x v="0"/>
    <x v="0"/>
    <d v="1900-01-09T00:00:00"/>
    <n v="6"/>
    <x v="0"/>
    <x v="1"/>
  </r>
  <r>
    <x v="279"/>
    <n v="99.5"/>
    <x v="644"/>
    <n v="211.7"/>
    <s v="Complete Access"/>
    <x v="246"/>
    <x v="15"/>
    <x v="56"/>
    <d v="1900-01-08T00:00:00"/>
    <n v="6"/>
    <x v="0"/>
    <x v="1"/>
  </r>
  <r>
    <x v="280"/>
    <n v="-99.5"/>
    <x v="645"/>
    <n v="112.2"/>
    <s v="Complete Access"/>
    <x v="246"/>
    <x v="15"/>
    <x v="56"/>
    <d v="1900-01-07T00:00:00"/>
    <n v="6"/>
    <x v="0"/>
    <x v="1"/>
  </r>
  <r>
    <x v="281"/>
    <n v="-60"/>
    <x v="646"/>
    <n v="211.7"/>
    <s v="Complete Access"/>
    <x v="247"/>
    <x v="9"/>
    <x v="57"/>
    <d v="1900-01-06T00:00:00"/>
    <n v="6"/>
    <x v="0"/>
    <x v="1"/>
  </r>
  <r>
    <x v="281"/>
    <n v="-14.99"/>
    <x v="647"/>
    <n v="271.7"/>
    <s v="Complete Access"/>
    <x v="248"/>
    <x v="3"/>
    <x v="58"/>
    <d v="1900-01-06T00:00:00"/>
    <n v="6"/>
    <x v="0"/>
    <x v="1"/>
  </r>
  <r>
    <x v="281"/>
    <n v="-1302.76"/>
    <x v="648"/>
    <n v="286.69"/>
    <s v="Complete Access"/>
    <x v="246"/>
    <x v="15"/>
    <x v="56"/>
    <d v="1900-01-06T00:00:00"/>
    <n v="6"/>
    <x v="0"/>
    <x v="1"/>
  </r>
  <r>
    <x v="282"/>
    <n v="-3.75"/>
    <x v="621"/>
    <n v="1589.45"/>
    <s v="Complete Access"/>
    <x v="220"/>
    <x v="1"/>
    <x v="5"/>
    <d v="1900-01-05T00:00:00"/>
    <n v="6"/>
    <x v="0"/>
    <x v="1"/>
  </r>
  <r>
    <x v="282"/>
    <n v="-16.5"/>
    <x v="8"/>
    <n v="1593.2"/>
    <s v="Complete Access"/>
    <x v="7"/>
    <x v="1"/>
    <x v="5"/>
    <d v="1900-01-05T00:00:00"/>
    <n v="6"/>
    <x v="0"/>
    <x v="1"/>
  </r>
  <r>
    <x v="282"/>
    <n v="-29"/>
    <x v="649"/>
    <n v="1609.7"/>
    <s v="Complete Access"/>
    <x v="206"/>
    <x v="13"/>
    <x v="50"/>
    <d v="1900-01-05T00:00:00"/>
    <n v="6"/>
    <x v="0"/>
    <x v="1"/>
  </r>
  <r>
    <x v="282"/>
    <n v="-19"/>
    <x v="650"/>
    <n v="1638.7"/>
    <s v="Complete Access"/>
    <x v="243"/>
    <x v="1"/>
    <x v="23"/>
    <d v="1900-01-05T00:00:00"/>
    <n v="6"/>
    <x v="0"/>
    <x v="1"/>
  </r>
  <r>
    <x v="283"/>
    <n v="-30.13"/>
    <x v="578"/>
    <n v="1657.7"/>
    <s v="Complete Access"/>
    <x v="177"/>
    <x v="1"/>
    <x v="1"/>
    <d v="1900-01-04T00:00:00"/>
    <n v="6"/>
    <x v="0"/>
    <x v="1"/>
  </r>
  <r>
    <x v="283"/>
    <n v="-20"/>
    <x v="8"/>
    <n v="1687.83"/>
    <s v="Complete Access"/>
    <x v="7"/>
    <x v="1"/>
    <x v="5"/>
    <d v="1900-01-04T00:00:00"/>
    <n v="6"/>
    <x v="0"/>
    <x v="1"/>
  </r>
  <r>
    <x v="284"/>
    <n v="-13"/>
    <x v="651"/>
    <n v="1711.02"/>
    <s v="Complete Access"/>
    <x v="188"/>
    <x v="1"/>
    <x v="1"/>
    <d v="1900-01-01T00:00:00"/>
    <n v="5"/>
    <x v="0"/>
    <x v="1"/>
  </r>
  <r>
    <x v="284"/>
    <n v="-3.19"/>
    <x v="531"/>
    <n v="1707.83"/>
    <s v="Complete Access"/>
    <x v="215"/>
    <x v="1"/>
    <x v="1"/>
    <d v="1900-01-01T00:00:00"/>
    <n v="5"/>
    <x v="0"/>
    <x v="1"/>
  </r>
  <r>
    <x v="285"/>
    <n v="-296"/>
    <x v="652"/>
    <n v="2234.42"/>
    <s v="Complete Access"/>
    <x v="217"/>
    <x v="0"/>
    <x v="0"/>
    <d v="1899-12-31T00:00:00"/>
    <n v="5"/>
    <x v="0"/>
    <x v="1"/>
  </r>
  <r>
    <x v="285"/>
    <n v="2348.84"/>
    <x v="653"/>
    <n v="3030.44"/>
    <s v="Complete Access"/>
    <x v="14"/>
    <x v="6"/>
    <x v="9"/>
    <d v="1899-12-31T00:00:00"/>
    <n v="5"/>
    <x v="0"/>
    <x v="1"/>
  </r>
  <r>
    <x v="285"/>
    <n v="-4"/>
    <x v="531"/>
    <n v="2230.42"/>
    <s v="Complete Access"/>
    <x v="215"/>
    <x v="1"/>
    <x v="1"/>
    <d v="1899-12-31T00:00:00"/>
    <n v="5"/>
    <x v="0"/>
    <x v="1"/>
  </r>
  <r>
    <x v="285"/>
    <n v="-195.05"/>
    <x v="654"/>
    <n v="1724.02"/>
    <s v="Complete Access"/>
    <x v="76"/>
    <x v="2"/>
    <x v="2"/>
    <d v="1899-12-31T00:00:00"/>
    <n v="5"/>
    <x v="0"/>
    <x v="1"/>
  </r>
  <r>
    <x v="285"/>
    <n v="-11.35"/>
    <x v="454"/>
    <n v="1919.07"/>
    <s v="Complete Access"/>
    <x v="9"/>
    <x v="4"/>
    <x v="6"/>
    <d v="1899-12-31T00:00:00"/>
    <n v="5"/>
    <x v="0"/>
    <x v="1"/>
  </r>
  <r>
    <x v="285"/>
    <n v="-0.02"/>
    <x v="655"/>
    <n v="2530.42"/>
    <s v="Complete Access"/>
    <x v="249"/>
    <x v="0"/>
    <x v="0"/>
    <d v="1899-12-31T00:00:00"/>
    <n v="5"/>
    <x v="0"/>
    <x v="1"/>
  </r>
  <r>
    <x v="285"/>
    <n v="91.35"/>
    <x v="609"/>
    <n v="45761.07"/>
    <s v="Netbank Saver"/>
    <x v="240"/>
    <x v="0"/>
    <x v="55"/>
    <d v="1899-12-31T00:00:00"/>
    <n v="5"/>
    <x v="0"/>
    <x v="1"/>
  </r>
  <r>
    <x v="285"/>
    <n v="-500"/>
    <x v="656"/>
    <n v="2530.44"/>
    <s v="Complete Access"/>
    <x v="13"/>
    <x v="0"/>
    <x v="0"/>
    <d v="1899-12-31T00:00:00"/>
    <n v="5"/>
    <x v="0"/>
    <x v="1"/>
  </r>
  <r>
    <x v="285"/>
    <n v="-300"/>
    <x v="657"/>
    <n v="1930.42"/>
    <s v="Complete Access"/>
    <x v="0"/>
    <x v="0"/>
    <x v="0"/>
    <d v="1899-12-31T00:00:00"/>
    <n v="5"/>
    <x v="0"/>
    <x v="1"/>
  </r>
  <r>
    <x v="286"/>
    <n v="-40"/>
    <x v="658"/>
    <n v="811.26"/>
    <s v="Complete Access"/>
    <x v="12"/>
    <x v="5"/>
    <x v="8"/>
    <d v="1900-01-30T00:00:00"/>
    <n v="5"/>
    <x v="1"/>
    <x v="1"/>
  </r>
  <r>
    <x v="286"/>
    <n v="-19.149999999999999"/>
    <x v="659"/>
    <n v="766.47"/>
    <s v="Complete Access"/>
    <x v="220"/>
    <x v="1"/>
    <x v="5"/>
    <d v="1900-01-30T00:00:00"/>
    <n v="5"/>
    <x v="1"/>
    <x v="1"/>
  </r>
  <r>
    <x v="286"/>
    <n v="-25.64"/>
    <x v="660"/>
    <n v="785.62"/>
    <s v="Complete Access"/>
    <x v="237"/>
    <x v="15"/>
    <x v="34"/>
    <d v="1900-01-30T00:00:00"/>
    <n v="5"/>
    <x v="1"/>
    <x v="1"/>
  </r>
  <r>
    <x v="286"/>
    <n v="-0.25"/>
    <x v="532"/>
    <n v="681.6"/>
    <s v="Complete Access"/>
    <x v="1"/>
    <x v="1"/>
    <x v="1"/>
    <d v="1900-01-30T00:00:00"/>
    <n v="5"/>
    <x v="1"/>
    <x v="1"/>
  </r>
  <r>
    <x v="286"/>
    <n v="-84.62"/>
    <x v="532"/>
    <n v="681.85"/>
    <s v="Complete Access"/>
    <x v="1"/>
    <x v="1"/>
    <x v="1"/>
    <d v="1900-01-30T00:00:00"/>
    <n v="5"/>
    <x v="1"/>
    <x v="1"/>
  </r>
  <r>
    <x v="287"/>
    <n v="-46.21"/>
    <x v="661"/>
    <n v="978.17"/>
    <s v="Complete Access"/>
    <x v="8"/>
    <x v="1"/>
    <x v="5"/>
    <d v="1900-01-29T00:00:00"/>
    <n v="5"/>
    <x v="1"/>
    <x v="1"/>
  </r>
  <r>
    <x v="287"/>
    <n v="-18.18"/>
    <x v="662"/>
    <n v="871.26"/>
    <s v="Complete Access"/>
    <x v="218"/>
    <x v="8"/>
    <x v="29"/>
    <d v="1900-01-29T00:00:00"/>
    <n v="5"/>
    <x v="1"/>
    <x v="1"/>
  </r>
  <r>
    <x v="287"/>
    <n v="-9.6"/>
    <x v="662"/>
    <n v="889.44"/>
    <s v="Complete Access"/>
    <x v="218"/>
    <x v="8"/>
    <x v="29"/>
    <d v="1900-01-29T00:00:00"/>
    <n v="5"/>
    <x v="1"/>
    <x v="1"/>
  </r>
  <r>
    <x v="287"/>
    <n v="-22.62"/>
    <x v="662"/>
    <n v="899.04"/>
    <s v="Complete Access"/>
    <x v="218"/>
    <x v="8"/>
    <x v="29"/>
    <d v="1900-01-29T00:00:00"/>
    <n v="5"/>
    <x v="1"/>
    <x v="1"/>
  </r>
  <r>
    <x v="287"/>
    <n v="-28.28"/>
    <x v="662"/>
    <n v="921.66"/>
    <s v="Complete Access"/>
    <x v="218"/>
    <x v="8"/>
    <x v="29"/>
    <d v="1900-01-29T00:00:00"/>
    <n v="5"/>
    <x v="1"/>
    <x v="1"/>
  </r>
  <r>
    <x v="287"/>
    <n v="-20"/>
    <x v="8"/>
    <n v="851.26"/>
    <s v="Complete Access"/>
    <x v="7"/>
    <x v="1"/>
    <x v="5"/>
    <d v="1900-01-29T00:00:00"/>
    <n v="5"/>
    <x v="1"/>
    <x v="1"/>
  </r>
  <r>
    <x v="287"/>
    <n v="-28.23"/>
    <x v="663"/>
    <n v="949.94"/>
    <s v="Complete Access"/>
    <x v="104"/>
    <x v="1"/>
    <x v="5"/>
    <d v="1900-01-29T00:00:00"/>
    <n v="5"/>
    <x v="1"/>
    <x v="1"/>
  </r>
  <r>
    <x v="288"/>
    <n v="-105.75"/>
    <x v="664"/>
    <n v="1024.3800000000001"/>
    <s v="Complete Access"/>
    <x v="250"/>
    <x v="18"/>
    <x v="59"/>
    <d v="1900-01-28T00:00:00"/>
    <n v="5"/>
    <x v="1"/>
    <x v="1"/>
  </r>
  <r>
    <x v="289"/>
    <n v="-35.68"/>
    <x v="405"/>
    <n v="1186.5899999999999"/>
    <s v="Complete Access"/>
    <x v="177"/>
    <x v="1"/>
    <x v="1"/>
    <d v="1900-01-26T00:00:00"/>
    <n v="4"/>
    <x v="1"/>
    <x v="1"/>
  </r>
  <r>
    <x v="289"/>
    <n v="-56.46"/>
    <x v="532"/>
    <n v="1130.1300000000001"/>
    <s v="Complete Access"/>
    <x v="1"/>
    <x v="1"/>
    <x v="1"/>
    <d v="1900-01-26T00:00:00"/>
    <n v="4"/>
    <x v="1"/>
    <x v="1"/>
  </r>
  <r>
    <x v="290"/>
    <n v="-27.39"/>
    <x v="665"/>
    <n v="1222.27"/>
    <s v="Complete Access"/>
    <x v="8"/>
    <x v="1"/>
    <x v="5"/>
    <d v="1900-01-25T00:00:00"/>
    <n v="4"/>
    <x v="1"/>
    <x v="1"/>
  </r>
  <r>
    <x v="290"/>
    <n v="-11"/>
    <x v="96"/>
    <n v="1249.6600000000001"/>
    <s v="Complete Access"/>
    <x v="47"/>
    <x v="1"/>
    <x v="5"/>
    <d v="1900-01-25T00:00:00"/>
    <n v="4"/>
    <x v="1"/>
    <x v="1"/>
  </r>
  <r>
    <x v="291"/>
    <n v="-19.95"/>
    <x v="28"/>
    <n v="1260.6600000000001"/>
    <s v="Complete Access"/>
    <x v="20"/>
    <x v="9"/>
    <x v="12"/>
    <d v="1900-01-24T00:00:00"/>
    <n v="4"/>
    <x v="1"/>
    <x v="1"/>
  </r>
  <r>
    <x v="291"/>
    <n v="-21.36"/>
    <x v="531"/>
    <n v="1280.6099999999999"/>
    <s v="Complete Access"/>
    <x v="215"/>
    <x v="1"/>
    <x v="1"/>
    <d v="1900-01-24T00:00:00"/>
    <n v="4"/>
    <x v="1"/>
    <x v="1"/>
  </r>
  <r>
    <x v="291"/>
    <n v="-29.99"/>
    <x v="666"/>
    <n v="1301.97"/>
    <s v="Complete Access"/>
    <x v="228"/>
    <x v="4"/>
    <x v="7"/>
    <d v="1900-01-24T00:00:00"/>
    <n v="4"/>
    <x v="1"/>
    <x v="1"/>
  </r>
  <r>
    <x v="292"/>
    <n v="-29.99"/>
    <x v="616"/>
    <n v="1331.96"/>
    <s v="Complete Access"/>
    <x v="228"/>
    <x v="4"/>
    <x v="7"/>
    <d v="1900-01-23T00:00:00"/>
    <n v="4"/>
    <x v="1"/>
    <x v="1"/>
  </r>
  <r>
    <x v="293"/>
    <n v="-39.49"/>
    <x v="667"/>
    <n v="1415.88"/>
    <s v="Complete Access"/>
    <x v="8"/>
    <x v="1"/>
    <x v="5"/>
    <d v="1900-01-22T00:00:00"/>
    <n v="4"/>
    <x v="1"/>
    <x v="1"/>
  </r>
  <r>
    <x v="293"/>
    <n v="-51.29"/>
    <x v="668"/>
    <n v="1455.37"/>
    <s v="Complete Access"/>
    <x v="8"/>
    <x v="1"/>
    <x v="5"/>
    <d v="1900-01-22T00:00:00"/>
    <n v="4"/>
    <x v="1"/>
    <x v="1"/>
  </r>
  <r>
    <x v="293"/>
    <n v="-8.49"/>
    <x v="669"/>
    <n v="1361.95"/>
    <s v="Complete Access"/>
    <x v="251"/>
    <x v="3"/>
    <x v="26"/>
    <d v="1900-01-22T00:00:00"/>
    <n v="4"/>
    <x v="1"/>
    <x v="1"/>
  </r>
  <r>
    <x v="293"/>
    <n v="-7"/>
    <x v="670"/>
    <n v="1389.8"/>
    <s v="Complete Access"/>
    <x v="252"/>
    <x v="1"/>
    <x v="5"/>
    <d v="1900-01-22T00:00:00"/>
    <n v="4"/>
    <x v="1"/>
    <x v="1"/>
  </r>
  <r>
    <x v="293"/>
    <n v="-3.96"/>
    <x v="670"/>
    <n v="1396.8"/>
    <s v="Complete Access"/>
    <x v="252"/>
    <x v="1"/>
    <x v="5"/>
    <d v="1900-01-22T00:00:00"/>
    <n v="4"/>
    <x v="1"/>
    <x v="1"/>
  </r>
  <r>
    <x v="293"/>
    <n v="-15.12"/>
    <x v="670"/>
    <n v="1400.76"/>
    <s v="Complete Access"/>
    <x v="252"/>
    <x v="1"/>
    <x v="5"/>
    <d v="1900-01-22T00:00:00"/>
    <n v="4"/>
    <x v="1"/>
    <x v="1"/>
  </r>
  <r>
    <x v="293"/>
    <n v="-2.5"/>
    <x v="531"/>
    <n v="1387.3"/>
    <s v="Complete Access"/>
    <x v="215"/>
    <x v="1"/>
    <x v="1"/>
    <d v="1900-01-22T00:00:00"/>
    <n v="4"/>
    <x v="1"/>
    <x v="1"/>
  </r>
  <r>
    <x v="293"/>
    <n v="-16.86"/>
    <x v="405"/>
    <n v="1370.44"/>
    <s v="Complete Access"/>
    <x v="177"/>
    <x v="1"/>
    <x v="1"/>
    <d v="1900-01-22T00:00:00"/>
    <n v="4"/>
    <x v="1"/>
    <x v="1"/>
  </r>
  <r>
    <x v="293"/>
    <n v="-26.67"/>
    <x v="671"/>
    <n v="1506.66"/>
    <s v="Complete Access"/>
    <x v="5"/>
    <x v="3"/>
    <x v="3"/>
    <d v="1900-01-22T00:00:00"/>
    <n v="4"/>
    <x v="1"/>
    <x v="1"/>
  </r>
  <r>
    <x v="294"/>
    <n v="-16"/>
    <x v="8"/>
    <n v="1832.33"/>
    <s v="Complete Access"/>
    <x v="7"/>
    <x v="1"/>
    <x v="5"/>
    <d v="1900-01-21T00:00:00"/>
    <n v="4"/>
    <x v="1"/>
    <x v="1"/>
  </r>
  <r>
    <x v="294"/>
    <n v="-299"/>
    <x v="672"/>
    <n v="1533.33"/>
    <s v="Complete Access"/>
    <x v="206"/>
    <x v="13"/>
    <x v="50"/>
    <d v="1900-01-21T00:00:00"/>
    <n v="4"/>
    <x v="1"/>
    <x v="1"/>
  </r>
  <r>
    <x v="294"/>
    <n v="-39.5"/>
    <x v="561"/>
    <n v="1848.33"/>
    <s v="Complete Access"/>
    <x v="223"/>
    <x v="7"/>
    <x v="53"/>
    <d v="1900-01-21T00:00:00"/>
    <n v="4"/>
    <x v="1"/>
    <x v="1"/>
  </r>
  <r>
    <x v="295"/>
    <n v="-69"/>
    <x v="673"/>
    <n v="1887.83"/>
    <s v="Complete Access"/>
    <x v="207"/>
    <x v="7"/>
    <x v="11"/>
    <d v="1900-01-18T00:00:00"/>
    <n v="3"/>
    <x v="1"/>
    <x v="1"/>
  </r>
  <r>
    <x v="295"/>
    <n v="-29"/>
    <x v="674"/>
    <n v="1956.83"/>
    <s v="Complete Access"/>
    <x v="206"/>
    <x v="13"/>
    <x v="50"/>
    <d v="1900-01-18T00:00:00"/>
    <n v="3"/>
    <x v="1"/>
    <x v="1"/>
  </r>
  <r>
    <x v="296"/>
    <n v="2348.83"/>
    <x v="675"/>
    <n v="2531.39"/>
    <s v="Complete Access"/>
    <x v="14"/>
    <x v="6"/>
    <x v="9"/>
    <d v="1900-01-17T00:00:00"/>
    <n v="3"/>
    <x v="1"/>
    <x v="1"/>
  </r>
  <r>
    <x v="296"/>
    <n v="-9.2100000000000009"/>
    <x v="531"/>
    <n v="1997.18"/>
    <s v="Complete Access"/>
    <x v="215"/>
    <x v="1"/>
    <x v="1"/>
    <d v="1900-01-17T00:00:00"/>
    <n v="3"/>
    <x v="1"/>
    <x v="1"/>
  </r>
  <r>
    <x v="296"/>
    <n v="-25"/>
    <x v="676"/>
    <n v="2006.39"/>
    <s v="Complete Access"/>
    <x v="253"/>
    <x v="3"/>
    <x v="60"/>
    <d v="1900-01-17T00:00:00"/>
    <n v="3"/>
    <x v="1"/>
    <x v="1"/>
  </r>
  <r>
    <x v="296"/>
    <n v="-11.35"/>
    <x v="454"/>
    <n v="1985.83"/>
    <s v="Complete Access"/>
    <x v="9"/>
    <x v="4"/>
    <x v="6"/>
    <d v="1900-01-17T00:00:00"/>
    <n v="3"/>
    <x v="1"/>
    <x v="1"/>
  </r>
  <r>
    <x v="296"/>
    <n v="-500"/>
    <x v="656"/>
    <n v="2031.39"/>
    <s v="Complete Access"/>
    <x v="13"/>
    <x v="0"/>
    <x v="0"/>
    <d v="1900-01-17T00:00:00"/>
    <n v="3"/>
    <x v="1"/>
    <x v="1"/>
  </r>
  <r>
    <x v="297"/>
    <n v="-40"/>
    <x v="677"/>
    <n v="239.68"/>
    <s v="Complete Access"/>
    <x v="12"/>
    <x v="5"/>
    <x v="8"/>
    <d v="1900-01-16T00:00:00"/>
    <n v="3"/>
    <x v="1"/>
    <x v="1"/>
  </r>
  <r>
    <x v="297"/>
    <n v="-57.12"/>
    <x v="678"/>
    <n v="182.56"/>
    <s v="Complete Access"/>
    <x v="1"/>
    <x v="1"/>
    <x v="1"/>
    <d v="1900-01-16T00:00:00"/>
    <n v="3"/>
    <x v="1"/>
    <x v="1"/>
  </r>
  <r>
    <x v="298"/>
    <n v="-10.6"/>
    <x v="679"/>
    <n v="296.18"/>
    <s v="Complete Access"/>
    <x v="218"/>
    <x v="8"/>
    <x v="29"/>
    <d v="1900-01-15T00:00:00"/>
    <n v="3"/>
    <x v="1"/>
    <x v="1"/>
  </r>
  <r>
    <x v="298"/>
    <n v="-16.5"/>
    <x v="8"/>
    <n v="279.68"/>
    <s v="Complete Access"/>
    <x v="7"/>
    <x v="1"/>
    <x v="5"/>
    <d v="1900-01-15T00:00:00"/>
    <n v="3"/>
    <x v="1"/>
    <x v="1"/>
  </r>
  <r>
    <x v="298"/>
    <n v="-23.24"/>
    <x v="680"/>
    <n v="306.77999999999997"/>
    <s v="Complete Access"/>
    <x v="104"/>
    <x v="1"/>
    <x v="5"/>
    <d v="1900-01-15T00:00:00"/>
    <n v="3"/>
    <x v="1"/>
    <x v="1"/>
  </r>
  <r>
    <x v="299"/>
    <n v="-14.5"/>
    <x v="18"/>
    <n v="358.52"/>
    <s v="Complete Access"/>
    <x v="16"/>
    <x v="1"/>
    <x v="5"/>
    <d v="1900-01-14T00:00:00"/>
    <n v="3"/>
    <x v="1"/>
    <x v="1"/>
  </r>
  <r>
    <x v="299"/>
    <n v="-28.5"/>
    <x v="681"/>
    <n v="330.02"/>
    <s v="Complete Access"/>
    <x v="254"/>
    <x v="16"/>
    <x v="35"/>
    <d v="1900-01-14T00:00:00"/>
    <n v="3"/>
    <x v="1"/>
    <x v="1"/>
  </r>
  <r>
    <x v="300"/>
    <n v="-343.45"/>
    <x v="682"/>
    <n v="456.03"/>
    <s v="Complete Access"/>
    <x v="255"/>
    <x v="4"/>
    <x v="20"/>
    <d v="1900-01-12T00:00:00"/>
    <n v="2"/>
    <x v="1"/>
    <x v="1"/>
  </r>
  <r>
    <x v="300"/>
    <n v="-38.76"/>
    <x v="177"/>
    <n v="373.02"/>
    <s v="Complete Access"/>
    <x v="72"/>
    <x v="1"/>
    <x v="5"/>
    <d v="1900-01-12T00:00:00"/>
    <n v="2"/>
    <x v="1"/>
    <x v="1"/>
  </r>
  <r>
    <x v="300"/>
    <n v="-0.99"/>
    <x v="683"/>
    <n v="411.78"/>
    <s v="Complete Access"/>
    <x v="10"/>
    <x v="0"/>
    <x v="0"/>
    <d v="1900-01-12T00:00:00"/>
    <n v="2"/>
    <x v="1"/>
    <x v="1"/>
  </r>
  <r>
    <x v="300"/>
    <n v="-10.3"/>
    <x v="683"/>
    <n v="445.73"/>
    <s v="Complete Access"/>
    <x v="10"/>
    <x v="0"/>
    <x v="0"/>
    <d v="1900-01-12T00:00:00"/>
    <n v="2"/>
    <x v="1"/>
    <x v="1"/>
  </r>
  <r>
    <x v="300"/>
    <n v="-32.96"/>
    <x v="684"/>
    <n v="412.77"/>
    <s v="Complete Access"/>
    <x v="11"/>
    <x v="4"/>
    <x v="7"/>
    <d v="1900-01-12T00:00:00"/>
    <n v="2"/>
    <x v="1"/>
    <x v="1"/>
  </r>
  <r>
    <x v="301"/>
    <n v="-1"/>
    <x v="96"/>
    <n v="799.48"/>
    <s v="Complete Access"/>
    <x v="47"/>
    <x v="1"/>
    <x v="5"/>
    <d v="1900-01-11T00:00:00"/>
    <n v="2"/>
    <x v="1"/>
    <x v="1"/>
  </r>
  <r>
    <x v="302"/>
    <n v="-36.15"/>
    <x v="685"/>
    <n v="8.43"/>
    <s v="Complete Access"/>
    <x v="256"/>
    <x v="4"/>
    <x v="47"/>
    <d v="1900-01-10T00:00:00"/>
    <n v="2"/>
    <x v="1"/>
    <x v="1"/>
  </r>
  <r>
    <x v="302"/>
    <n v="-39.840000000000003"/>
    <x v="686"/>
    <n v="44.58"/>
    <s v="Complete Access"/>
    <x v="8"/>
    <x v="1"/>
    <x v="5"/>
    <d v="1900-01-10T00:00:00"/>
    <n v="2"/>
    <x v="1"/>
    <x v="1"/>
  </r>
  <r>
    <x v="302"/>
    <n v="400"/>
    <x v="370"/>
    <n v="407.35"/>
    <s v="Complete Access"/>
    <x v="36"/>
    <x v="0"/>
    <x v="0"/>
    <d v="1900-01-10T00:00:00"/>
    <n v="2"/>
    <x v="1"/>
    <x v="1"/>
  </r>
  <r>
    <x v="302"/>
    <n v="-1.08"/>
    <x v="687"/>
    <n v="7.35"/>
    <s v="Complete Access"/>
    <x v="10"/>
    <x v="0"/>
    <x v="0"/>
    <d v="1900-01-10T00:00:00"/>
    <n v="2"/>
    <x v="1"/>
    <x v="1"/>
  </r>
  <r>
    <x v="302"/>
    <n v="-21.87"/>
    <x v="578"/>
    <n v="800.48"/>
    <s v="Complete Access"/>
    <x v="177"/>
    <x v="1"/>
    <x v="1"/>
    <d v="1900-01-10T00:00:00"/>
    <n v="2"/>
    <x v="1"/>
    <x v="1"/>
  </r>
  <r>
    <x v="302"/>
    <n v="415"/>
    <x v="688"/>
    <n v="822.35"/>
    <s v="Complete Access"/>
    <x v="257"/>
    <x v="0"/>
    <x v="0"/>
    <d v="1900-01-10T00:00:00"/>
    <n v="2"/>
    <x v="1"/>
    <x v="1"/>
  </r>
  <r>
    <x v="302"/>
    <n v="-400"/>
    <x v="581"/>
    <n v="45669.72"/>
    <s v="Netbank Saver"/>
    <x v="0"/>
    <x v="0"/>
    <x v="0"/>
    <d v="1900-01-10T00:00:00"/>
    <n v="2"/>
    <x v="1"/>
    <x v="1"/>
  </r>
  <r>
    <x v="303"/>
    <n v="-5"/>
    <x v="689"/>
    <n v="84.42"/>
    <s v="Complete Access"/>
    <x v="258"/>
    <x v="0"/>
    <x v="0"/>
    <d v="1900-01-09T00:00:00"/>
    <n v="2"/>
    <x v="1"/>
    <x v="1"/>
  </r>
  <r>
    <x v="304"/>
    <n v="-26.11"/>
    <x v="690"/>
    <n v="184.23"/>
    <s v="Complete Access"/>
    <x v="259"/>
    <x v="1"/>
    <x v="5"/>
    <d v="1900-01-08T00:00:00"/>
    <n v="2"/>
    <x v="1"/>
    <x v="1"/>
  </r>
  <r>
    <x v="304"/>
    <n v="-59.9"/>
    <x v="691"/>
    <n v="124.33"/>
    <s v="Complete Access"/>
    <x v="260"/>
    <x v="1"/>
    <x v="5"/>
    <d v="1900-01-08T00:00:00"/>
    <n v="2"/>
    <x v="1"/>
    <x v="1"/>
  </r>
  <r>
    <x v="304"/>
    <n v="-24.64"/>
    <x v="692"/>
    <n v="249.54"/>
    <s v="Complete Access"/>
    <x v="104"/>
    <x v="1"/>
    <x v="5"/>
    <d v="1900-01-08T00:00:00"/>
    <n v="2"/>
    <x v="1"/>
    <x v="1"/>
  </r>
  <r>
    <x v="304"/>
    <n v="-39.200000000000003"/>
    <x v="693"/>
    <n v="210.34"/>
    <s v="Complete Access"/>
    <x v="104"/>
    <x v="1"/>
    <x v="5"/>
    <d v="1900-01-08T00:00:00"/>
    <n v="2"/>
    <x v="1"/>
    <x v="1"/>
  </r>
  <r>
    <x v="304"/>
    <n v="-34.909999999999997"/>
    <x v="694"/>
    <n v="89.42"/>
    <s v="Complete Access"/>
    <x v="91"/>
    <x v="9"/>
    <x v="12"/>
    <d v="1900-01-08T00:00:00"/>
    <n v="2"/>
    <x v="1"/>
    <x v="1"/>
  </r>
  <r>
    <x v="305"/>
    <n v="150"/>
    <x v="370"/>
    <n v="274.18"/>
    <s v="Complete Access"/>
    <x v="36"/>
    <x v="0"/>
    <x v="0"/>
    <d v="1900-01-07T00:00:00"/>
    <n v="2"/>
    <x v="1"/>
    <x v="1"/>
  </r>
  <r>
    <x v="305"/>
    <n v="-59.74"/>
    <x v="405"/>
    <n v="124.18"/>
    <s v="Complete Access"/>
    <x v="177"/>
    <x v="1"/>
    <x v="1"/>
    <d v="1900-01-07T00:00:00"/>
    <n v="2"/>
    <x v="1"/>
    <x v="1"/>
  </r>
  <r>
    <x v="305"/>
    <n v="-21.65"/>
    <x v="532"/>
    <n v="183.92"/>
    <s v="Complete Access"/>
    <x v="1"/>
    <x v="1"/>
    <x v="1"/>
    <d v="1900-01-07T00:00:00"/>
    <n v="2"/>
    <x v="1"/>
    <x v="1"/>
  </r>
  <r>
    <x v="305"/>
    <n v="-150"/>
    <x v="581"/>
    <n v="46069.72"/>
    <s v="Netbank Saver"/>
    <x v="0"/>
    <x v="0"/>
    <x v="0"/>
    <d v="1900-01-07T00:00:00"/>
    <n v="2"/>
    <x v="1"/>
    <x v="1"/>
  </r>
  <r>
    <x v="306"/>
    <n v="500"/>
    <x v="370"/>
    <n v="758.59"/>
    <s v="Complete Access"/>
    <x v="36"/>
    <x v="0"/>
    <x v="0"/>
    <d v="1900-01-06T00:00:00"/>
    <n v="2"/>
    <x v="1"/>
    <x v="1"/>
  </r>
  <r>
    <x v="306"/>
    <n v="-53.02"/>
    <x v="28"/>
    <n v="205.57"/>
    <s v="Complete Access"/>
    <x v="20"/>
    <x v="9"/>
    <x v="12"/>
    <d v="1900-01-06T00:00:00"/>
    <n v="2"/>
    <x v="1"/>
    <x v="1"/>
  </r>
  <r>
    <x v="306"/>
    <n v="-500"/>
    <x v="695"/>
    <n v="258.58999999999997"/>
    <s v="Complete Access"/>
    <x v="261"/>
    <x v="19"/>
    <x v="61"/>
    <d v="1900-01-06T00:00:00"/>
    <n v="2"/>
    <x v="1"/>
    <x v="1"/>
  </r>
  <r>
    <x v="306"/>
    <n v="-500"/>
    <x v="581"/>
    <n v="46219.72"/>
    <s v="Netbank Saver"/>
    <x v="0"/>
    <x v="0"/>
    <x v="0"/>
    <d v="1900-01-06T00:00:00"/>
    <n v="2"/>
    <x v="1"/>
    <x v="1"/>
  </r>
  <r>
    <x v="307"/>
    <n v="-35.82"/>
    <x v="696"/>
    <n v="179.66"/>
    <s v="Complete Access"/>
    <x v="256"/>
    <x v="4"/>
    <x v="47"/>
    <d v="1900-01-05T00:00:00"/>
    <n v="1"/>
    <x v="1"/>
    <x v="1"/>
  </r>
  <r>
    <x v="307"/>
    <n v="80"/>
    <x v="370"/>
    <n v="258.58999999999997"/>
    <s v="Complete Access"/>
    <x v="36"/>
    <x v="0"/>
    <x v="0"/>
    <d v="1900-01-05T00:00:00"/>
    <n v="1"/>
    <x v="1"/>
    <x v="1"/>
  </r>
  <r>
    <x v="307"/>
    <n v="-50.75"/>
    <x v="697"/>
    <n v="215.48"/>
    <s v="Complete Access"/>
    <x v="262"/>
    <x v="8"/>
    <x v="22"/>
    <d v="1900-01-05T00:00:00"/>
    <n v="1"/>
    <x v="1"/>
    <x v="1"/>
  </r>
  <r>
    <x v="307"/>
    <n v="-1.07"/>
    <x v="698"/>
    <n v="178.59"/>
    <s v="Complete Access"/>
    <x v="10"/>
    <x v="0"/>
    <x v="0"/>
    <d v="1900-01-05T00:00:00"/>
    <n v="1"/>
    <x v="1"/>
    <x v="1"/>
  </r>
  <r>
    <x v="307"/>
    <n v="-80"/>
    <x v="581"/>
    <n v="46719.72"/>
    <s v="Netbank Saver"/>
    <x v="0"/>
    <x v="0"/>
    <x v="0"/>
    <d v="1900-01-05T00:00:00"/>
    <n v="1"/>
    <x v="1"/>
    <x v="1"/>
  </r>
  <r>
    <x v="308"/>
    <n v="-1.5"/>
    <x v="699"/>
    <n v="266.23"/>
    <s v="Complete Access"/>
    <x v="34"/>
    <x v="9"/>
    <x v="12"/>
    <d v="1900-01-04T00:00:00"/>
    <n v="1"/>
    <x v="1"/>
    <x v="1"/>
  </r>
  <r>
    <x v="309"/>
    <n v="-2000"/>
    <x v="538"/>
    <n v="395.68"/>
    <s v="Complete Access"/>
    <x v="0"/>
    <x v="0"/>
    <x v="0"/>
    <d v="1900-01-03T00:00:00"/>
    <n v="1"/>
    <x v="1"/>
    <x v="1"/>
  </r>
  <r>
    <x v="309"/>
    <n v="2348.84"/>
    <x v="700"/>
    <n v="2395.6799999999998"/>
    <s v="Complete Access"/>
    <x v="14"/>
    <x v="6"/>
    <x v="9"/>
    <d v="1900-01-03T00:00:00"/>
    <n v="1"/>
    <x v="1"/>
    <x v="1"/>
  </r>
  <r>
    <x v="309"/>
    <n v="-11.46"/>
    <x v="531"/>
    <n v="359.08"/>
    <s v="Complete Access"/>
    <x v="215"/>
    <x v="1"/>
    <x v="1"/>
    <d v="1900-01-03T00:00:00"/>
    <n v="1"/>
    <x v="1"/>
    <x v="1"/>
  </r>
  <r>
    <x v="309"/>
    <n v="-11.35"/>
    <x v="454"/>
    <n v="267.73"/>
    <s v="Complete Access"/>
    <x v="9"/>
    <x v="4"/>
    <x v="6"/>
    <d v="1900-01-03T00:00:00"/>
    <n v="1"/>
    <x v="1"/>
    <x v="1"/>
  </r>
  <r>
    <x v="309"/>
    <n v="-25.14"/>
    <x v="701"/>
    <n v="370.54"/>
    <s v="Complete Access"/>
    <x v="104"/>
    <x v="1"/>
    <x v="5"/>
    <d v="1900-01-03T00:00:00"/>
    <n v="1"/>
    <x v="1"/>
    <x v="1"/>
  </r>
  <r>
    <x v="309"/>
    <n v="2000"/>
    <x v="702"/>
    <n v="46799.72"/>
    <s v="Netbank Saver"/>
    <x v="36"/>
    <x v="0"/>
    <x v="0"/>
    <d v="1900-01-03T00:00:00"/>
    <n v="1"/>
    <x v="1"/>
    <x v="1"/>
  </r>
  <r>
    <x v="309"/>
    <n v="-80"/>
    <x v="703"/>
    <n v="279.08"/>
    <s v="Complete Access"/>
    <x v="0"/>
    <x v="0"/>
    <x v="0"/>
    <d v="1900-01-03T00:00:00"/>
    <n v="1"/>
    <x v="1"/>
    <x v="1"/>
  </r>
  <r>
    <x v="310"/>
    <n v="-181.44"/>
    <x v="704"/>
    <n v="116.62"/>
    <s v="Complete Access"/>
    <x v="256"/>
    <x v="4"/>
    <x v="47"/>
    <d v="1900-01-02T00:00:00"/>
    <n v="1"/>
    <x v="1"/>
    <x v="1"/>
  </r>
  <r>
    <x v="310"/>
    <n v="50"/>
    <x v="370"/>
    <n v="77.290000000000006"/>
    <s v="Complete Access"/>
    <x v="36"/>
    <x v="0"/>
    <x v="0"/>
    <d v="1900-01-02T00:00:00"/>
    <n v="1"/>
    <x v="1"/>
    <x v="1"/>
  </r>
  <r>
    <x v="310"/>
    <n v="160"/>
    <x v="370"/>
    <n v="471.28"/>
    <s v="Complete Access"/>
    <x v="36"/>
    <x v="0"/>
    <x v="0"/>
    <d v="1900-01-02T00:00:00"/>
    <n v="1"/>
    <x v="1"/>
    <x v="1"/>
  </r>
  <r>
    <x v="310"/>
    <n v="85"/>
    <x v="370"/>
    <n v="311.27999999999997"/>
    <s v="Complete Access"/>
    <x v="36"/>
    <x v="0"/>
    <x v="0"/>
    <d v="1900-01-02T00:00:00"/>
    <n v="1"/>
    <x v="1"/>
    <x v="1"/>
  </r>
  <r>
    <x v="310"/>
    <n v="-15"/>
    <x v="705"/>
    <n v="46.84"/>
    <s v="Complete Access"/>
    <x v="263"/>
    <x v="0"/>
    <x v="0"/>
    <d v="1900-01-02T00:00:00"/>
    <n v="1"/>
    <x v="1"/>
    <x v="1"/>
  </r>
  <r>
    <x v="310"/>
    <n v="-5.44"/>
    <x v="706"/>
    <n v="111.18"/>
    <s v="Complete Access"/>
    <x v="10"/>
    <x v="0"/>
    <x v="0"/>
    <d v="1900-01-02T00:00:00"/>
    <n v="1"/>
    <x v="1"/>
    <x v="1"/>
  </r>
  <r>
    <x v="310"/>
    <n v="-39.200000000000003"/>
    <x v="707"/>
    <n v="71.98"/>
    <s v="Complete Access"/>
    <x v="104"/>
    <x v="1"/>
    <x v="5"/>
    <d v="1900-01-02T00:00:00"/>
    <n v="1"/>
    <x v="1"/>
    <x v="1"/>
  </r>
  <r>
    <x v="310"/>
    <n v="-32.26"/>
    <x v="708"/>
    <n v="39.72"/>
    <s v="Complete Access"/>
    <x v="1"/>
    <x v="1"/>
    <x v="1"/>
    <d v="1900-01-02T00:00:00"/>
    <n v="1"/>
    <x v="1"/>
    <x v="1"/>
  </r>
  <r>
    <x v="310"/>
    <n v="-23.22"/>
    <x v="532"/>
    <n v="298.06"/>
    <s v="Complete Access"/>
    <x v="1"/>
    <x v="1"/>
    <x v="1"/>
    <d v="1900-01-02T00:00:00"/>
    <n v="1"/>
    <x v="1"/>
    <x v="1"/>
  </r>
  <r>
    <x v="310"/>
    <n v="-12.43"/>
    <x v="709"/>
    <n v="27.29"/>
    <s v="Complete Access"/>
    <x v="21"/>
    <x v="10"/>
    <x v="13"/>
    <d v="1900-01-02T00:00:00"/>
    <n v="1"/>
    <x v="1"/>
    <x v="1"/>
  </r>
  <r>
    <x v="310"/>
    <n v="-15.45"/>
    <x v="710"/>
    <n v="61.84"/>
    <s v="Complete Access"/>
    <x v="264"/>
    <x v="10"/>
    <x v="13"/>
    <d v="1900-01-02T00:00:00"/>
    <n v="1"/>
    <x v="1"/>
    <x v="1"/>
  </r>
  <r>
    <x v="310"/>
    <n v="-160"/>
    <x v="581"/>
    <n v="44849.72"/>
    <s v="Netbank Saver"/>
    <x v="0"/>
    <x v="0"/>
    <x v="0"/>
    <d v="1900-01-02T00:00:00"/>
    <n v="1"/>
    <x v="1"/>
    <x v="1"/>
  </r>
  <r>
    <x v="310"/>
    <n v="-150"/>
    <x v="711"/>
    <n v="321.27999999999997"/>
    <s v="Complete Access"/>
    <x v="265"/>
    <x v="8"/>
    <x v="22"/>
    <d v="1900-01-02T00:00:00"/>
    <n v="1"/>
    <x v="1"/>
    <x v="1"/>
  </r>
  <r>
    <x v="310"/>
    <n v="-85"/>
    <x v="581"/>
    <n v="45009.72"/>
    <s v="Netbank Saver"/>
    <x v="0"/>
    <x v="0"/>
    <x v="0"/>
    <d v="1900-01-02T00:00:00"/>
    <n v="1"/>
    <x v="1"/>
    <x v="1"/>
  </r>
  <r>
    <x v="310"/>
    <n v="-50"/>
    <x v="581"/>
    <n v="44799.72"/>
    <s v="Netbank Saver"/>
    <x v="0"/>
    <x v="0"/>
    <x v="0"/>
    <d v="1900-01-02T00:00:00"/>
    <n v="1"/>
    <x v="1"/>
    <x v="1"/>
  </r>
  <r>
    <x v="311"/>
    <n v="-195.05"/>
    <x v="712"/>
    <n v="226.28"/>
    <s v="Complete Access"/>
    <x v="76"/>
    <x v="2"/>
    <x v="2"/>
    <d v="1900-01-01T00:00:00"/>
    <n v="1"/>
    <x v="1"/>
    <x v="1"/>
  </r>
  <r>
    <x v="312"/>
    <n v="-0.06"/>
    <x v="655"/>
    <n v="421.33"/>
    <s v="Complete Access"/>
    <x v="249"/>
    <x v="0"/>
    <x v="0"/>
    <d v="1899-12-31T00:00:00"/>
    <n v="1"/>
    <x v="1"/>
    <x v="1"/>
  </r>
  <r>
    <x v="312"/>
    <n v="85.86"/>
    <x v="609"/>
    <n v="45094.720000000001"/>
    <s v="Netbank Saver"/>
    <x v="240"/>
    <x v="0"/>
    <x v="55"/>
    <d v="1899-12-31T00:00:00"/>
    <n v="1"/>
    <x v="1"/>
    <x v="1"/>
  </r>
  <r>
    <x v="313"/>
    <n v="-38.79"/>
    <x v="405"/>
    <n v="421.39"/>
    <s v="Complete Access"/>
    <x v="177"/>
    <x v="1"/>
    <x v="1"/>
    <d v="1900-01-30T00:00:00"/>
    <n v="53"/>
    <x v="2"/>
    <x v="2"/>
  </r>
  <r>
    <x v="314"/>
    <n v="-30.98"/>
    <x v="713"/>
    <n v="460.18"/>
    <s v="Complete Access"/>
    <x v="5"/>
    <x v="3"/>
    <x v="3"/>
    <d v="1900-01-29T00:00:00"/>
    <n v="52"/>
    <x v="2"/>
    <x v="2"/>
  </r>
  <r>
    <x v="315"/>
    <n v="9.5"/>
    <x v="714"/>
    <n v="491.16"/>
    <s v="Complete Access"/>
    <x v="36"/>
    <x v="0"/>
    <x v="0"/>
    <d v="1900-01-28T00:00:00"/>
    <n v="52"/>
    <x v="2"/>
    <x v="2"/>
  </r>
  <r>
    <x v="315"/>
    <n v="-56.2"/>
    <x v="715"/>
    <n v="481.66"/>
    <s v="Complete Access"/>
    <x v="205"/>
    <x v="11"/>
    <x v="49"/>
    <d v="1900-01-28T00:00:00"/>
    <n v="52"/>
    <x v="2"/>
    <x v="2"/>
  </r>
  <r>
    <x v="315"/>
    <n v="-40"/>
    <x v="716"/>
    <n v="537.86"/>
    <s v="Complete Access"/>
    <x v="260"/>
    <x v="1"/>
    <x v="5"/>
    <d v="1900-01-28T00:00:00"/>
    <n v="52"/>
    <x v="2"/>
    <x v="2"/>
  </r>
  <r>
    <x v="316"/>
    <n v="-41.14"/>
    <x v="717"/>
    <n v="622.52"/>
    <s v="Complete Access"/>
    <x v="8"/>
    <x v="1"/>
    <x v="5"/>
    <d v="1900-01-27T00:00:00"/>
    <n v="52"/>
    <x v="2"/>
    <x v="2"/>
  </r>
  <r>
    <x v="316"/>
    <n v="-156.94999999999999"/>
    <x v="718"/>
    <n v="670.46"/>
    <s v="Complete Access"/>
    <x v="266"/>
    <x v="3"/>
    <x v="62"/>
    <d v="1900-01-27T00:00:00"/>
    <n v="52"/>
    <x v="2"/>
    <x v="2"/>
  </r>
  <r>
    <x v="316"/>
    <n v="-14.67"/>
    <x v="719"/>
    <n v="607.85"/>
    <s v="Complete Access"/>
    <x v="267"/>
    <x v="1"/>
    <x v="1"/>
    <d v="1900-01-27T00:00:00"/>
    <n v="52"/>
    <x v="2"/>
    <x v="2"/>
  </r>
  <r>
    <x v="316"/>
    <n v="-6.8"/>
    <x v="720"/>
    <n v="663.66"/>
    <s v="Complete Access"/>
    <x v="44"/>
    <x v="4"/>
    <x v="27"/>
    <d v="1900-01-27T00:00:00"/>
    <n v="52"/>
    <x v="2"/>
    <x v="2"/>
  </r>
  <r>
    <x v="316"/>
    <n v="-29.99"/>
    <x v="721"/>
    <n v="577.86"/>
    <s v="Complete Access"/>
    <x v="228"/>
    <x v="4"/>
    <x v="7"/>
    <d v="1900-01-27T00:00:00"/>
    <n v="52"/>
    <x v="2"/>
    <x v="2"/>
  </r>
  <r>
    <x v="317"/>
    <n v="-2400"/>
    <x v="538"/>
    <n v="827.41"/>
    <s v="Complete Access"/>
    <x v="0"/>
    <x v="0"/>
    <x v="0"/>
    <d v="1900-01-26T00:00:00"/>
    <n v="52"/>
    <x v="2"/>
    <x v="2"/>
  </r>
  <r>
    <x v="317"/>
    <n v="-31.92"/>
    <x v="531"/>
    <n v="3227.41"/>
    <s v="Complete Access"/>
    <x v="215"/>
    <x v="1"/>
    <x v="1"/>
    <d v="1900-01-26T00:00:00"/>
    <n v="52"/>
    <x v="2"/>
    <x v="2"/>
  </r>
  <r>
    <x v="317"/>
    <n v="2400"/>
    <x v="702"/>
    <n v="45008.86"/>
    <s v="Netbank Saver"/>
    <x v="36"/>
    <x v="0"/>
    <x v="0"/>
    <d v="1900-01-26T00:00:00"/>
    <n v="52"/>
    <x v="2"/>
    <x v="2"/>
  </r>
  <r>
    <x v="318"/>
    <n v="-31.74"/>
    <x v="578"/>
    <n v="3259.33"/>
    <s v="Complete Access"/>
    <x v="177"/>
    <x v="1"/>
    <x v="1"/>
    <d v="1900-01-25T00:00:00"/>
    <n v="52"/>
    <x v="2"/>
    <x v="2"/>
  </r>
  <r>
    <x v="319"/>
    <n v="-29.99"/>
    <x v="616"/>
    <n v="3291.07"/>
    <s v="Complete Access"/>
    <x v="228"/>
    <x v="4"/>
    <x v="7"/>
    <d v="1900-01-23T00:00:00"/>
    <n v="52"/>
    <x v="2"/>
    <x v="2"/>
  </r>
  <r>
    <x v="320"/>
    <n v="-24"/>
    <x v="722"/>
    <n v="3323.06"/>
    <s v="Complete Access"/>
    <x v="90"/>
    <x v="8"/>
    <x v="29"/>
    <d v="1900-01-22T00:00:00"/>
    <n v="51"/>
    <x v="2"/>
    <x v="2"/>
  </r>
  <r>
    <x v="320"/>
    <n v="429"/>
    <x v="723"/>
    <n v="3347.06"/>
    <s v="Complete Access"/>
    <x v="206"/>
    <x v="13"/>
    <x v="50"/>
    <d v="1900-01-22T00:00:00"/>
    <n v="51"/>
    <x v="2"/>
    <x v="2"/>
  </r>
  <r>
    <x v="320"/>
    <n v="-2"/>
    <x v="724"/>
    <n v="3321.06"/>
    <s v="Complete Access"/>
    <x v="268"/>
    <x v="10"/>
    <x v="13"/>
    <d v="1900-01-22T00:00:00"/>
    <n v="51"/>
    <x v="2"/>
    <x v="2"/>
  </r>
  <r>
    <x v="320"/>
    <n v="-33.950000000000003"/>
    <x v="725"/>
    <n v="2918.06"/>
    <s v="Complete Access"/>
    <x v="104"/>
    <x v="1"/>
    <x v="5"/>
    <d v="1900-01-22T00:00:00"/>
    <n v="51"/>
    <x v="2"/>
    <x v="2"/>
  </r>
  <r>
    <x v="321"/>
    <n v="-34.020000000000003"/>
    <x v="533"/>
    <n v="3280.01"/>
    <s v="Complete Access"/>
    <x v="215"/>
    <x v="1"/>
    <x v="1"/>
    <d v="1900-01-21T00:00:00"/>
    <n v="51"/>
    <x v="2"/>
    <x v="2"/>
  </r>
  <r>
    <x v="321"/>
    <n v="150"/>
    <x v="726"/>
    <n v="2952.01"/>
    <s v="Complete Access"/>
    <x v="36"/>
    <x v="0"/>
    <x v="0"/>
    <d v="1900-01-21T00:00:00"/>
    <n v="51"/>
    <x v="2"/>
    <x v="2"/>
  </r>
  <r>
    <x v="321"/>
    <n v="-478"/>
    <x v="727"/>
    <n v="2802.01"/>
    <s v="Complete Access"/>
    <x v="206"/>
    <x v="13"/>
    <x v="50"/>
    <d v="1900-01-21T00:00:00"/>
    <n v="51"/>
    <x v="2"/>
    <x v="2"/>
  </r>
  <r>
    <x v="321"/>
    <n v="-39.5"/>
    <x v="561"/>
    <n v="3314.03"/>
    <s v="Complete Access"/>
    <x v="223"/>
    <x v="7"/>
    <x v="53"/>
    <d v="1900-01-21T00:00:00"/>
    <n v="51"/>
    <x v="2"/>
    <x v="2"/>
  </r>
  <r>
    <x v="322"/>
    <n v="2348.84"/>
    <x v="728"/>
    <n v="3931.87"/>
    <s v="Complete Access"/>
    <x v="14"/>
    <x v="6"/>
    <x v="9"/>
    <d v="1900-01-20T00:00:00"/>
    <n v="51"/>
    <x v="2"/>
    <x v="2"/>
  </r>
  <r>
    <x v="322"/>
    <n v="-11.35"/>
    <x v="454"/>
    <n v="3353.53"/>
    <s v="Complete Access"/>
    <x v="9"/>
    <x v="4"/>
    <x v="6"/>
    <d v="1900-01-20T00:00:00"/>
    <n v="51"/>
    <x v="2"/>
    <x v="2"/>
  </r>
  <r>
    <x v="322"/>
    <n v="-66.989999999999995"/>
    <x v="729"/>
    <n v="3364.88"/>
    <s v="Complete Access"/>
    <x v="1"/>
    <x v="1"/>
    <x v="1"/>
    <d v="1900-01-20T00:00:00"/>
    <n v="51"/>
    <x v="2"/>
    <x v="2"/>
  </r>
  <r>
    <x v="322"/>
    <n v="-500"/>
    <x v="656"/>
    <n v="3431.87"/>
    <s v="Complete Access"/>
    <x v="13"/>
    <x v="0"/>
    <x v="0"/>
    <d v="1900-01-20T00:00:00"/>
    <n v="51"/>
    <x v="2"/>
    <x v="2"/>
  </r>
  <r>
    <x v="323"/>
    <n v="-7"/>
    <x v="517"/>
    <n v="1583.03"/>
    <s v="Complete Access"/>
    <x v="34"/>
    <x v="9"/>
    <x v="12"/>
    <d v="1900-01-19T00:00:00"/>
    <n v="51"/>
    <x v="2"/>
    <x v="2"/>
  </r>
  <r>
    <x v="324"/>
    <n v="-41.12"/>
    <x v="730"/>
    <n v="1746.49"/>
    <s v="Complete Access"/>
    <x v="61"/>
    <x v="1"/>
    <x v="1"/>
    <d v="1900-01-18T00:00:00"/>
    <n v="51"/>
    <x v="2"/>
    <x v="2"/>
  </r>
  <r>
    <x v="324"/>
    <n v="-33.880000000000003"/>
    <x v="731"/>
    <n v="1643.61"/>
    <s v="Complete Access"/>
    <x v="8"/>
    <x v="1"/>
    <x v="5"/>
    <d v="1900-01-18T00:00:00"/>
    <n v="51"/>
    <x v="2"/>
    <x v="2"/>
  </r>
  <r>
    <x v="324"/>
    <n v="-22.14"/>
    <x v="732"/>
    <n v="1590.03"/>
    <s v="Complete Access"/>
    <x v="49"/>
    <x v="8"/>
    <x v="29"/>
    <d v="1900-01-18T00:00:00"/>
    <n v="51"/>
    <x v="2"/>
    <x v="2"/>
  </r>
  <r>
    <x v="324"/>
    <n v="-31.44"/>
    <x v="732"/>
    <n v="1612.17"/>
    <s v="Complete Access"/>
    <x v="49"/>
    <x v="8"/>
    <x v="29"/>
    <d v="1900-01-18T00:00:00"/>
    <n v="51"/>
    <x v="2"/>
    <x v="2"/>
  </r>
  <r>
    <x v="324"/>
    <n v="-69"/>
    <x v="733"/>
    <n v="1677.49"/>
    <s v="Complete Access"/>
    <x v="207"/>
    <x v="7"/>
    <x v="11"/>
    <d v="1900-01-18T00:00:00"/>
    <n v="51"/>
    <x v="2"/>
    <x v="2"/>
  </r>
  <r>
    <x v="324"/>
    <n v="-39.299999999999997"/>
    <x v="734"/>
    <n v="1787.61"/>
    <s v="Complete Access"/>
    <x v="269"/>
    <x v="1"/>
    <x v="1"/>
    <d v="1900-01-18T00:00:00"/>
    <n v="51"/>
    <x v="2"/>
    <x v="2"/>
  </r>
  <r>
    <x v="325"/>
    <n v="-2.5"/>
    <x v="532"/>
    <n v="1826.91"/>
    <s v="Complete Access"/>
    <x v="1"/>
    <x v="1"/>
    <x v="1"/>
    <d v="1900-01-17T00:00:00"/>
    <n v="51"/>
    <x v="2"/>
    <x v="2"/>
  </r>
  <r>
    <x v="326"/>
    <n v="-1.86"/>
    <x v="709"/>
    <n v="1829.41"/>
    <s v="Complete Access"/>
    <x v="21"/>
    <x v="10"/>
    <x v="13"/>
    <d v="1900-01-15T00:00:00"/>
    <n v="50"/>
    <x v="2"/>
    <x v="2"/>
  </r>
  <r>
    <x v="327"/>
    <n v="-10.86"/>
    <x v="735"/>
    <n v="1831.27"/>
    <s v="Complete Access"/>
    <x v="270"/>
    <x v="8"/>
    <x v="29"/>
    <d v="1900-01-14T00:00:00"/>
    <n v="50"/>
    <x v="2"/>
    <x v="2"/>
  </r>
  <r>
    <x v="328"/>
    <n v="-30.6"/>
    <x v="736"/>
    <n v="1842.13"/>
    <s v="Complete Access"/>
    <x v="271"/>
    <x v="8"/>
    <x v="29"/>
    <d v="1900-01-13T00:00:00"/>
    <n v="50"/>
    <x v="2"/>
    <x v="2"/>
  </r>
  <r>
    <x v="329"/>
    <n v="-22.13"/>
    <x v="670"/>
    <n v="1872.73"/>
    <s v="Complete Access"/>
    <x v="252"/>
    <x v="1"/>
    <x v="5"/>
    <d v="1900-01-12T00:00:00"/>
    <n v="50"/>
    <x v="2"/>
    <x v="2"/>
  </r>
  <r>
    <x v="329"/>
    <n v="-30.58"/>
    <x v="737"/>
    <n v="1894.86"/>
    <s v="Complete Access"/>
    <x v="272"/>
    <x v="15"/>
    <x v="34"/>
    <d v="1900-01-12T00:00:00"/>
    <n v="50"/>
    <x v="2"/>
    <x v="2"/>
  </r>
  <r>
    <x v="330"/>
    <n v="-38.270000000000003"/>
    <x v="738"/>
    <n v="1925.44"/>
    <s v="Complete Access"/>
    <x v="270"/>
    <x v="8"/>
    <x v="29"/>
    <d v="1900-01-11T00:00:00"/>
    <n v="50"/>
    <x v="2"/>
    <x v="2"/>
  </r>
  <r>
    <x v="330"/>
    <n v="-30.24"/>
    <x v="739"/>
    <n v="1996.13"/>
    <s v="Complete Access"/>
    <x v="104"/>
    <x v="1"/>
    <x v="5"/>
    <d v="1900-01-11T00:00:00"/>
    <n v="50"/>
    <x v="2"/>
    <x v="2"/>
  </r>
  <r>
    <x v="330"/>
    <n v="-32.51"/>
    <x v="740"/>
    <n v="2026.37"/>
    <s v="Complete Access"/>
    <x v="104"/>
    <x v="1"/>
    <x v="5"/>
    <d v="1900-01-11T00:00:00"/>
    <n v="50"/>
    <x v="2"/>
    <x v="2"/>
  </r>
  <r>
    <x v="330"/>
    <n v="-1.5"/>
    <x v="741"/>
    <n v="1963.71"/>
    <s v="Complete Access"/>
    <x v="34"/>
    <x v="9"/>
    <x v="12"/>
    <d v="1900-01-11T00:00:00"/>
    <n v="50"/>
    <x v="2"/>
    <x v="2"/>
  </r>
  <r>
    <x v="330"/>
    <n v="-30.92"/>
    <x v="741"/>
    <n v="1965.21"/>
    <s v="Complete Access"/>
    <x v="34"/>
    <x v="9"/>
    <x v="12"/>
    <d v="1900-01-11T00:00:00"/>
    <n v="50"/>
    <x v="2"/>
    <x v="2"/>
  </r>
  <r>
    <x v="331"/>
    <n v="-30"/>
    <x v="742"/>
    <n v="2109.34"/>
    <s v="Complete Access"/>
    <x v="29"/>
    <x v="4"/>
    <x v="19"/>
    <d v="1900-01-08T00:00:00"/>
    <n v="49"/>
    <x v="2"/>
    <x v="2"/>
  </r>
  <r>
    <x v="331"/>
    <n v="-50.46"/>
    <x v="532"/>
    <n v="2058.88"/>
    <s v="Complete Access"/>
    <x v="1"/>
    <x v="1"/>
    <x v="1"/>
    <d v="1900-01-08T00:00:00"/>
    <n v="49"/>
    <x v="2"/>
    <x v="2"/>
  </r>
  <r>
    <x v="332"/>
    <n v="-6"/>
    <x v="743"/>
    <n v="2139.34"/>
    <s v="Complete Access"/>
    <x v="218"/>
    <x v="8"/>
    <x v="29"/>
    <d v="1900-01-07T00:00:00"/>
    <n v="49"/>
    <x v="2"/>
    <x v="2"/>
  </r>
  <r>
    <x v="332"/>
    <n v="-6"/>
    <x v="743"/>
    <n v="2145.34"/>
    <s v="Complete Access"/>
    <x v="218"/>
    <x v="8"/>
    <x v="29"/>
    <d v="1900-01-07T00:00:00"/>
    <n v="49"/>
    <x v="2"/>
    <x v="2"/>
  </r>
  <r>
    <x v="333"/>
    <n v="-27.2"/>
    <x v="744"/>
    <n v="2662.69"/>
    <s v="Complete Access"/>
    <x v="49"/>
    <x v="8"/>
    <x v="29"/>
    <d v="1900-01-06T00:00:00"/>
    <n v="49"/>
    <x v="2"/>
    <x v="2"/>
  </r>
  <r>
    <x v="333"/>
    <n v="2348.84"/>
    <x v="745"/>
    <n v="2689.89"/>
    <s v="Complete Access"/>
    <x v="14"/>
    <x v="6"/>
    <x v="9"/>
    <d v="1900-01-06T00:00:00"/>
    <n v="49"/>
    <x v="2"/>
    <x v="2"/>
  </r>
  <r>
    <x v="333"/>
    <n v="-11.35"/>
    <x v="454"/>
    <n v="2151.34"/>
    <s v="Complete Access"/>
    <x v="9"/>
    <x v="4"/>
    <x v="6"/>
    <d v="1900-01-06T00:00:00"/>
    <n v="49"/>
    <x v="2"/>
    <x v="2"/>
  </r>
  <r>
    <x v="333"/>
    <n v="-500"/>
    <x v="656"/>
    <n v="2162.69"/>
    <s v="Complete Access"/>
    <x v="13"/>
    <x v="0"/>
    <x v="0"/>
    <d v="1900-01-06T00:00:00"/>
    <n v="49"/>
    <x v="2"/>
    <x v="2"/>
  </r>
  <r>
    <x v="334"/>
    <n v="-29.14"/>
    <x v="531"/>
    <n v="341.05"/>
    <s v="Complete Access"/>
    <x v="215"/>
    <x v="1"/>
    <x v="1"/>
    <d v="1900-01-05T00:00:00"/>
    <n v="49"/>
    <x v="2"/>
    <x v="2"/>
  </r>
  <r>
    <x v="334"/>
    <n v="-223"/>
    <x v="746"/>
    <n v="370.19"/>
    <s v="Complete Access"/>
    <x v="5"/>
    <x v="3"/>
    <x v="3"/>
    <d v="1900-01-05T00:00:00"/>
    <n v="49"/>
    <x v="2"/>
    <x v="2"/>
  </r>
  <r>
    <x v="335"/>
    <n v="-40"/>
    <x v="747"/>
    <n v="888.15"/>
    <s v="Complete Access"/>
    <x v="12"/>
    <x v="5"/>
    <x v="8"/>
    <d v="1900-01-04T00:00:00"/>
    <n v="49"/>
    <x v="2"/>
    <x v="2"/>
  </r>
  <r>
    <x v="335"/>
    <n v="-18.3"/>
    <x v="748"/>
    <n v="796.31"/>
    <s v="Complete Access"/>
    <x v="273"/>
    <x v="1"/>
    <x v="5"/>
    <d v="1900-01-04T00:00:00"/>
    <n v="49"/>
    <x v="2"/>
    <x v="2"/>
  </r>
  <r>
    <x v="335"/>
    <n v="-43.11"/>
    <x v="749"/>
    <n v="609.69000000000005"/>
    <s v="Complete Access"/>
    <x v="259"/>
    <x v="1"/>
    <x v="5"/>
    <d v="1900-01-04T00:00:00"/>
    <n v="49"/>
    <x v="2"/>
    <x v="2"/>
  </r>
  <r>
    <x v="335"/>
    <n v="-34.340000000000003"/>
    <x v="750"/>
    <n v="814.61"/>
    <s v="Complete Access"/>
    <x v="274"/>
    <x v="1"/>
    <x v="5"/>
    <d v="1900-01-04T00:00:00"/>
    <n v="49"/>
    <x v="2"/>
    <x v="2"/>
  </r>
  <r>
    <x v="335"/>
    <n v="-16.5"/>
    <x v="8"/>
    <n v="593.19000000000005"/>
    <s v="Complete Access"/>
    <x v="7"/>
    <x v="1"/>
    <x v="5"/>
    <d v="1900-01-04T00:00:00"/>
    <n v="49"/>
    <x v="2"/>
    <x v="2"/>
  </r>
  <r>
    <x v="335"/>
    <n v="-63.47"/>
    <x v="751"/>
    <n v="732.84"/>
    <s v="Complete Access"/>
    <x v="15"/>
    <x v="4"/>
    <x v="10"/>
    <d v="1900-01-04T00:00:00"/>
    <n v="49"/>
    <x v="2"/>
    <x v="2"/>
  </r>
  <r>
    <x v="335"/>
    <n v="-39.200000000000003"/>
    <x v="752"/>
    <n v="848.95"/>
    <s v="Complete Access"/>
    <x v="104"/>
    <x v="1"/>
    <x v="5"/>
    <d v="1900-01-04T00:00:00"/>
    <n v="49"/>
    <x v="2"/>
    <x v="2"/>
  </r>
  <r>
    <x v="335"/>
    <n v="-34.72"/>
    <x v="753"/>
    <n v="652.79999999999995"/>
    <s v="Complete Access"/>
    <x v="104"/>
    <x v="1"/>
    <x v="5"/>
    <d v="1900-01-04T00:00:00"/>
    <n v="49"/>
    <x v="2"/>
    <x v="2"/>
  </r>
  <r>
    <x v="335"/>
    <n v="-45.32"/>
    <x v="754"/>
    <n v="687.52"/>
    <s v="Complete Access"/>
    <x v="34"/>
    <x v="9"/>
    <x v="12"/>
    <d v="1900-01-04T00:00:00"/>
    <n v="49"/>
    <x v="2"/>
    <x v="2"/>
  </r>
  <r>
    <x v="336"/>
    <n v="300"/>
    <x v="755"/>
    <n v="928.15"/>
    <s v="Complete Access"/>
    <x v="36"/>
    <x v="0"/>
    <x v="0"/>
    <d v="1900-01-03T00:00:00"/>
    <n v="49"/>
    <x v="2"/>
    <x v="2"/>
  </r>
  <r>
    <x v="337"/>
    <n v="150"/>
    <x v="370"/>
    <n v="628.15"/>
    <s v="Complete Access"/>
    <x v="36"/>
    <x v="0"/>
    <x v="0"/>
    <d v="1900-01-02T00:00:00"/>
    <n v="49"/>
    <x v="2"/>
    <x v="2"/>
  </r>
  <r>
    <x v="337"/>
    <n v="-150"/>
    <x v="581"/>
    <n v="42608.86"/>
    <s v="Netbank Saver"/>
    <x v="0"/>
    <x v="0"/>
    <x v="0"/>
    <d v="1900-01-02T00:00:00"/>
    <n v="49"/>
    <x v="2"/>
    <x v="2"/>
  </r>
  <r>
    <x v="338"/>
    <n v="-149.9"/>
    <x v="756"/>
    <n v="397.65"/>
    <s v="Complete Access"/>
    <x v="256"/>
    <x v="4"/>
    <x v="47"/>
    <d v="1900-01-01T00:00:00"/>
    <n v="48"/>
    <x v="2"/>
    <x v="2"/>
  </r>
  <r>
    <x v="338"/>
    <n v="100"/>
    <x v="370"/>
    <n v="493.15"/>
    <s v="Complete Access"/>
    <x v="36"/>
    <x v="0"/>
    <x v="0"/>
    <d v="1900-01-01T00:00:00"/>
    <n v="48"/>
    <x v="2"/>
    <x v="2"/>
  </r>
  <r>
    <x v="338"/>
    <n v="250"/>
    <x v="370"/>
    <n v="547.54999999999995"/>
    <s v="Complete Access"/>
    <x v="36"/>
    <x v="0"/>
    <x v="0"/>
    <d v="1900-01-01T00:00:00"/>
    <n v="48"/>
    <x v="2"/>
    <x v="2"/>
  </r>
  <r>
    <x v="338"/>
    <n v="-15"/>
    <x v="757"/>
    <n v="478.15"/>
    <s v="Complete Access"/>
    <x v="263"/>
    <x v="0"/>
    <x v="0"/>
    <d v="1900-01-01T00:00:00"/>
    <n v="48"/>
    <x v="2"/>
    <x v="2"/>
  </r>
  <r>
    <x v="338"/>
    <n v="-4.5"/>
    <x v="758"/>
    <n v="393.15"/>
    <s v="Complete Access"/>
    <x v="10"/>
    <x v="0"/>
    <x v="0"/>
    <d v="1900-01-01T00:00:00"/>
    <n v="48"/>
    <x v="2"/>
    <x v="2"/>
  </r>
  <r>
    <x v="338"/>
    <n v="-250"/>
    <x v="581"/>
    <n v="42858.86"/>
    <s v="Netbank Saver"/>
    <x v="0"/>
    <x v="0"/>
    <x v="0"/>
    <d v="1900-01-01T00:00:00"/>
    <n v="48"/>
    <x v="2"/>
    <x v="2"/>
  </r>
  <r>
    <x v="338"/>
    <n v="-100"/>
    <x v="581"/>
    <n v="42758.86"/>
    <s v="Netbank Saver"/>
    <x v="0"/>
    <x v="0"/>
    <x v="0"/>
    <d v="1900-01-01T00:00:00"/>
    <n v="48"/>
    <x v="2"/>
    <x v="2"/>
  </r>
  <r>
    <x v="339"/>
    <n v="-17"/>
    <x v="759"/>
    <n v="465.8"/>
    <s v="Complete Access"/>
    <x v="259"/>
    <x v="1"/>
    <x v="5"/>
    <d v="1899-12-31T00:00:00"/>
    <n v="48"/>
    <x v="2"/>
    <x v="2"/>
  </r>
  <r>
    <x v="339"/>
    <n v="26.8"/>
    <x v="760"/>
    <n v="492.6"/>
    <s v="Complete Access"/>
    <x v="36"/>
    <x v="0"/>
    <x v="0"/>
    <d v="1899-12-31T00:00:00"/>
    <n v="48"/>
    <x v="2"/>
    <x v="2"/>
  </r>
  <r>
    <x v="339"/>
    <n v="-195.05"/>
    <x v="761"/>
    <n v="297.55"/>
    <s v="Complete Access"/>
    <x v="76"/>
    <x v="2"/>
    <x v="2"/>
    <d v="1899-12-31T00:00:00"/>
    <n v="48"/>
    <x v="2"/>
    <x v="2"/>
  </r>
  <r>
    <x v="339"/>
    <n v="84.27"/>
    <x v="609"/>
    <n v="43108.86"/>
    <s v="Netbank Saver"/>
    <x v="240"/>
    <x v="0"/>
    <x v="55"/>
    <d v="1899-12-31T00:00:00"/>
    <n v="48"/>
    <x v="2"/>
    <x v="2"/>
  </r>
  <r>
    <x v="340"/>
    <n v="0.02"/>
    <x v="762"/>
    <n v="482.8"/>
    <s v="Complete Access"/>
    <x v="275"/>
    <x v="0"/>
    <x v="0"/>
    <d v="1900-01-29T00:00:00"/>
    <n v="48"/>
    <x v="3"/>
    <x v="2"/>
  </r>
  <r>
    <x v="341"/>
    <n v="-18.350000000000001"/>
    <x v="532"/>
    <n v="482.78"/>
    <s v="Complete Access"/>
    <x v="1"/>
    <x v="1"/>
    <x v="1"/>
    <d v="1900-01-28T00:00:00"/>
    <n v="48"/>
    <x v="3"/>
    <x v="2"/>
  </r>
  <r>
    <x v="342"/>
    <n v="-19.82"/>
    <x v="763"/>
    <n v="531.12"/>
    <s v="Complete Access"/>
    <x v="276"/>
    <x v="1"/>
    <x v="5"/>
    <d v="1900-01-27T00:00:00"/>
    <n v="48"/>
    <x v="3"/>
    <x v="2"/>
  </r>
  <r>
    <x v="342"/>
    <n v="-16"/>
    <x v="8"/>
    <n v="550.94000000000005"/>
    <s v="Complete Access"/>
    <x v="7"/>
    <x v="1"/>
    <x v="5"/>
    <d v="1900-01-27T00:00:00"/>
    <n v="48"/>
    <x v="3"/>
    <x v="2"/>
  </r>
  <r>
    <x v="342"/>
    <n v="-29.99"/>
    <x v="764"/>
    <n v="501.13"/>
    <s v="Complete Access"/>
    <x v="228"/>
    <x v="4"/>
    <x v="7"/>
    <d v="1900-01-27T00:00:00"/>
    <n v="48"/>
    <x v="3"/>
    <x v="2"/>
  </r>
  <r>
    <x v="343"/>
    <n v="-4.5"/>
    <x v="621"/>
    <n v="566.94000000000005"/>
    <s v="Complete Access"/>
    <x v="220"/>
    <x v="1"/>
    <x v="5"/>
    <d v="1900-01-26T00:00:00"/>
    <n v="48"/>
    <x v="3"/>
    <x v="2"/>
  </r>
  <r>
    <x v="343"/>
    <n v="-16.5"/>
    <x v="8"/>
    <n v="571.44000000000005"/>
    <s v="Complete Access"/>
    <x v="7"/>
    <x v="1"/>
    <x v="5"/>
    <d v="1900-01-26T00:00:00"/>
    <n v="48"/>
    <x v="3"/>
    <x v="2"/>
  </r>
  <r>
    <x v="344"/>
    <n v="-22.5"/>
    <x v="765"/>
    <n v="587.94000000000005"/>
    <s v="Complete Access"/>
    <x v="0"/>
    <x v="0"/>
    <x v="0"/>
    <d v="1900-01-25T00:00:00"/>
    <n v="48"/>
    <x v="3"/>
    <x v="2"/>
  </r>
  <r>
    <x v="345"/>
    <n v="-45.05"/>
    <x v="405"/>
    <n v="610.44000000000005"/>
    <s v="Complete Access"/>
    <x v="177"/>
    <x v="1"/>
    <x v="1"/>
    <d v="1900-01-24T00:00:00"/>
    <n v="47"/>
    <x v="3"/>
    <x v="2"/>
  </r>
  <r>
    <x v="346"/>
    <n v="-2200"/>
    <x v="538"/>
    <n v="655.49"/>
    <s v="Complete Access"/>
    <x v="0"/>
    <x v="0"/>
    <x v="0"/>
    <d v="1900-01-23T00:00:00"/>
    <n v="47"/>
    <x v="3"/>
    <x v="2"/>
  </r>
  <r>
    <x v="346"/>
    <n v="-3.6"/>
    <x v="766"/>
    <n v="2855.49"/>
    <s v="Complete Access"/>
    <x v="188"/>
    <x v="1"/>
    <x v="1"/>
    <d v="1900-01-23T00:00:00"/>
    <n v="47"/>
    <x v="3"/>
    <x v="2"/>
  </r>
  <r>
    <x v="346"/>
    <n v="-29.99"/>
    <x v="767"/>
    <n v="2859.09"/>
    <s v="Complete Access"/>
    <x v="228"/>
    <x v="4"/>
    <x v="7"/>
    <d v="1900-01-23T00:00:00"/>
    <n v="47"/>
    <x v="3"/>
    <x v="2"/>
  </r>
  <r>
    <x v="346"/>
    <n v="2200"/>
    <x v="702"/>
    <n v="43024.59"/>
    <s v="Netbank Saver"/>
    <x v="36"/>
    <x v="0"/>
    <x v="0"/>
    <d v="1900-01-23T00:00:00"/>
    <n v="47"/>
    <x v="3"/>
    <x v="2"/>
  </r>
  <r>
    <x v="347"/>
    <n v="-3.3"/>
    <x v="768"/>
    <n v="3119.53"/>
    <s v="Complete Access"/>
    <x v="188"/>
    <x v="1"/>
    <x v="1"/>
    <d v="1900-01-22T00:00:00"/>
    <n v="47"/>
    <x v="3"/>
    <x v="2"/>
  </r>
  <r>
    <x v="347"/>
    <n v="3303.84"/>
    <x v="769"/>
    <n v="3622.83"/>
    <s v="Complete Access"/>
    <x v="14"/>
    <x v="6"/>
    <x v="9"/>
    <d v="1900-01-22T00:00:00"/>
    <n v="47"/>
    <x v="3"/>
    <x v="2"/>
  </r>
  <r>
    <x v="347"/>
    <n v="-11.35"/>
    <x v="454"/>
    <n v="3098.28"/>
    <s v="Complete Access"/>
    <x v="9"/>
    <x v="4"/>
    <x v="6"/>
    <d v="1900-01-22T00:00:00"/>
    <n v="47"/>
    <x v="3"/>
    <x v="2"/>
  </r>
  <r>
    <x v="347"/>
    <n v="-9.9"/>
    <x v="770"/>
    <n v="3109.63"/>
    <s v="Complete Access"/>
    <x v="277"/>
    <x v="8"/>
    <x v="29"/>
    <d v="1900-01-22T00:00:00"/>
    <n v="47"/>
    <x v="3"/>
    <x v="2"/>
  </r>
  <r>
    <x v="347"/>
    <n v="-500"/>
    <x v="656"/>
    <n v="3122.83"/>
    <s v="Complete Access"/>
    <x v="13"/>
    <x v="0"/>
    <x v="0"/>
    <d v="1900-01-22T00:00:00"/>
    <n v="47"/>
    <x v="3"/>
    <x v="2"/>
  </r>
  <r>
    <x v="347"/>
    <n v="-209.2"/>
    <x v="771"/>
    <n v="2889.08"/>
    <s v="Complete Access"/>
    <x v="0"/>
    <x v="0"/>
    <x v="0"/>
    <d v="1900-01-22T00:00:00"/>
    <n v="47"/>
    <x v="3"/>
    <x v="2"/>
  </r>
  <r>
    <x v="348"/>
    <n v="-84.96"/>
    <x v="772"/>
    <n v="318.99"/>
    <s v="Complete Access"/>
    <x v="278"/>
    <x v="20"/>
    <x v="63"/>
    <d v="1900-01-21T00:00:00"/>
    <n v="47"/>
    <x v="3"/>
    <x v="2"/>
  </r>
  <r>
    <x v="348"/>
    <n v="-40"/>
    <x v="773"/>
    <n v="424.45"/>
    <s v="Complete Access"/>
    <x v="12"/>
    <x v="5"/>
    <x v="8"/>
    <d v="1900-01-21T00:00:00"/>
    <n v="47"/>
    <x v="3"/>
    <x v="2"/>
  </r>
  <r>
    <x v="348"/>
    <n v="-20.5"/>
    <x v="18"/>
    <n v="403.95"/>
    <s v="Complete Access"/>
    <x v="16"/>
    <x v="1"/>
    <x v="5"/>
    <d v="1900-01-21T00:00:00"/>
    <n v="47"/>
    <x v="3"/>
    <x v="2"/>
  </r>
  <r>
    <x v="348"/>
    <n v="-39.5"/>
    <x v="561"/>
    <n v="464.45"/>
    <s v="Complete Access"/>
    <x v="223"/>
    <x v="7"/>
    <x v="53"/>
    <d v="1900-01-21T00:00:00"/>
    <n v="47"/>
    <x v="3"/>
    <x v="2"/>
  </r>
  <r>
    <x v="349"/>
    <n v="-39.840000000000003"/>
    <x v="774"/>
    <n v="1301.21"/>
    <s v="Complete Access"/>
    <x v="8"/>
    <x v="1"/>
    <x v="5"/>
    <d v="1900-01-20T00:00:00"/>
    <n v="47"/>
    <x v="3"/>
    <x v="2"/>
  </r>
  <r>
    <x v="349"/>
    <n v="-38.57"/>
    <x v="775"/>
    <n v="1262.6400000000001"/>
    <s v="Complete Access"/>
    <x v="279"/>
    <x v="8"/>
    <x v="29"/>
    <d v="1900-01-20T00:00:00"/>
    <n v="47"/>
    <x v="3"/>
    <x v="2"/>
  </r>
  <r>
    <x v="349"/>
    <n v="-150"/>
    <x v="776"/>
    <n v="1112.6400000000001"/>
    <s v="Complete Access"/>
    <x v="1"/>
    <x v="1"/>
    <x v="1"/>
    <d v="1900-01-20T00:00:00"/>
    <n v="47"/>
    <x v="3"/>
    <x v="2"/>
  </r>
  <r>
    <x v="349"/>
    <n v="-8.69"/>
    <x v="532"/>
    <n v="503.95"/>
    <s v="Complete Access"/>
    <x v="1"/>
    <x v="1"/>
    <x v="1"/>
    <d v="1900-01-20T00:00:00"/>
    <n v="47"/>
    <x v="3"/>
    <x v="2"/>
  </r>
  <r>
    <x v="349"/>
    <n v="600"/>
    <x v="702"/>
    <n v="40824.589999999997"/>
    <s v="Netbank Saver"/>
    <x v="36"/>
    <x v="0"/>
    <x v="0"/>
    <d v="1900-01-20T00:00:00"/>
    <n v="47"/>
    <x v="3"/>
    <x v="2"/>
  </r>
  <r>
    <x v="349"/>
    <n v="-600"/>
    <x v="538"/>
    <n v="512.64"/>
    <s v="Complete Access"/>
    <x v="0"/>
    <x v="0"/>
    <x v="0"/>
    <d v="1900-01-20T00:00:00"/>
    <n v="47"/>
    <x v="3"/>
    <x v="2"/>
  </r>
  <r>
    <x v="350"/>
    <n v="-16.5"/>
    <x v="8"/>
    <n v="1341.05"/>
    <s v="Complete Access"/>
    <x v="7"/>
    <x v="1"/>
    <x v="5"/>
    <d v="1900-01-19T00:00:00"/>
    <n v="47"/>
    <x v="3"/>
    <x v="2"/>
  </r>
  <r>
    <x v="351"/>
    <n v="-18.18"/>
    <x v="777"/>
    <n v="1357.55"/>
    <s v="Complete Access"/>
    <x v="280"/>
    <x v="8"/>
    <x v="29"/>
    <d v="1900-01-17T00:00:00"/>
    <n v="46"/>
    <x v="3"/>
    <x v="2"/>
  </r>
  <r>
    <x v="351"/>
    <n v="-26.26"/>
    <x v="777"/>
    <n v="1375.73"/>
    <s v="Complete Access"/>
    <x v="280"/>
    <x v="8"/>
    <x v="29"/>
    <d v="1900-01-17T00:00:00"/>
    <n v="46"/>
    <x v="3"/>
    <x v="2"/>
  </r>
  <r>
    <x v="351"/>
    <n v="-69"/>
    <x v="778"/>
    <n v="1919.99"/>
    <s v="Complete Access"/>
    <x v="207"/>
    <x v="7"/>
    <x v="11"/>
    <d v="1900-01-17T00:00:00"/>
    <n v="46"/>
    <x v="3"/>
    <x v="2"/>
  </r>
  <r>
    <x v="351"/>
    <n v="-259"/>
    <x v="779"/>
    <n v="1501.99"/>
    <s v="Complete Access"/>
    <x v="281"/>
    <x v="3"/>
    <x v="15"/>
    <d v="1900-01-17T00:00:00"/>
    <n v="46"/>
    <x v="3"/>
    <x v="2"/>
  </r>
  <r>
    <x v="351"/>
    <n v="-159"/>
    <x v="780"/>
    <n v="1760.99"/>
    <s v="Complete Access"/>
    <x v="282"/>
    <x v="3"/>
    <x v="15"/>
    <d v="1900-01-17T00:00:00"/>
    <n v="46"/>
    <x v="3"/>
    <x v="2"/>
  </r>
  <r>
    <x v="351"/>
    <n v="-100"/>
    <x v="781"/>
    <n v="1401.99"/>
    <s v="Complete Access"/>
    <x v="1"/>
    <x v="1"/>
    <x v="1"/>
    <d v="1900-01-17T00:00:00"/>
    <n v="46"/>
    <x v="3"/>
    <x v="2"/>
  </r>
  <r>
    <x v="352"/>
    <n v="-40"/>
    <x v="782"/>
    <n v="2021.44"/>
    <s v="Complete Access"/>
    <x v="130"/>
    <x v="0"/>
    <x v="0"/>
    <d v="1900-01-16T00:00:00"/>
    <n v="46"/>
    <x v="3"/>
    <x v="2"/>
  </r>
  <r>
    <x v="352"/>
    <n v="-14"/>
    <x v="783"/>
    <n v="1988.99"/>
    <s v="Complete Access"/>
    <x v="283"/>
    <x v="1"/>
    <x v="5"/>
    <d v="1900-01-16T00:00:00"/>
    <n v="46"/>
    <x v="3"/>
    <x v="2"/>
  </r>
  <r>
    <x v="352"/>
    <n v="-18.45"/>
    <x v="784"/>
    <n v="2002.99"/>
    <s v="Complete Access"/>
    <x v="284"/>
    <x v="1"/>
    <x v="5"/>
    <d v="1900-01-16T00:00:00"/>
    <n v="46"/>
    <x v="3"/>
    <x v="2"/>
  </r>
  <r>
    <x v="353"/>
    <n v="5.24"/>
    <x v="6"/>
    <n v="2061.44"/>
    <s v="Complete Access"/>
    <x v="6"/>
    <x v="4"/>
    <x v="4"/>
    <d v="1900-01-15T00:00:00"/>
    <n v="46"/>
    <x v="3"/>
    <x v="2"/>
  </r>
  <r>
    <x v="353"/>
    <n v="-81.75"/>
    <x v="785"/>
    <n v="2056.1999999999998"/>
    <s v="Complete Access"/>
    <x v="1"/>
    <x v="1"/>
    <x v="1"/>
    <d v="1900-01-15T00:00:00"/>
    <n v="46"/>
    <x v="3"/>
    <x v="2"/>
  </r>
  <r>
    <x v="354"/>
    <n v="-9.99"/>
    <x v="578"/>
    <n v="2137.9499999999998"/>
    <s v="Complete Access"/>
    <x v="177"/>
    <x v="1"/>
    <x v="1"/>
    <d v="1900-01-14T00:00:00"/>
    <n v="46"/>
    <x v="3"/>
    <x v="2"/>
  </r>
  <r>
    <x v="354"/>
    <n v="-18.93"/>
    <x v="786"/>
    <n v="2147.94"/>
    <s v="Complete Access"/>
    <x v="104"/>
    <x v="1"/>
    <x v="5"/>
    <d v="1900-01-14T00:00:00"/>
    <n v="46"/>
    <x v="3"/>
    <x v="2"/>
  </r>
  <r>
    <x v="355"/>
    <n v="-15.16"/>
    <x v="787"/>
    <n v="2243.71"/>
    <s v="Complete Access"/>
    <x v="8"/>
    <x v="1"/>
    <x v="5"/>
    <d v="1900-01-13T00:00:00"/>
    <n v="46"/>
    <x v="3"/>
    <x v="2"/>
  </r>
  <r>
    <x v="355"/>
    <n v="-40.840000000000003"/>
    <x v="788"/>
    <n v="2182.87"/>
    <s v="Complete Access"/>
    <x v="8"/>
    <x v="1"/>
    <x v="5"/>
    <d v="1900-01-13T00:00:00"/>
    <n v="46"/>
    <x v="3"/>
    <x v="2"/>
  </r>
  <r>
    <x v="355"/>
    <n v="-16"/>
    <x v="8"/>
    <n v="2166.87"/>
    <s v="Complete Access"/>
    <x v="7"/>
    <x v="1"/>
    <x v="5"/>
    <d v="1900-01-13T00:00:00"/>
    <n v="46"/>
    <x v="3"/>
    <x v="2"/>
  </r>
  <r>
    <x v="355"/>
    <n v="-20"/>
    <x v="789"/>
    <n v="2223.71"/>
    <s v="Complete Access"/>
    <x v="15"/>
    <x v="4"/>
    <x v="10"/>
    <d v="1900-01-13T00:00:00"/>
    <n v="46"/>
    <x v="3"/>
    <x v="2"/>
  </r>
  <r>
    <x v="356"/>
    <n v="-22"/>
    <x v="96"/>
    <n v="2258.87"/>
    <s v="Complete Access"/>
    <x v="47"/>
    <x v="1"/>
    <x v="5"/>
    <d v="1900-01-12T00:00:00"/>
    <n v="46"/>
    <x v="3"/>
    <x v="2"/>
  </r>
  <r>
    <x v="357"/>
    <n v="-35.08"/>
    <x v="451"/>
    <n v="2280.87"/>
    <s v="Complete Access"/>
    <x v="190"/>
    <x v="8"/>
    <x v="29"/>
    <d v="1900-01-11T00:00:00"/>
    <n v="46"/>
    <x v="3"/>
    <x v="2"/>
  </r>
  <r>
    <x v="358"/>
    <n v="-39.01"/>
    <x v="405"/>
    <n v="2315.9499999999998"/>
    <s v="Complete Access"/>
    <x v="177"/>
    <x v="1"/>
    <x v="1"/>
    <d v="1900-01-10T00:00:00"/>
    <n v="45"/>
    <x v="3"/>
    <x v="2"/>
  </r>
  <r>
    <x v="359"/>
    <n v="-10.3"/>
    <x v="790"/>
    <n v="1767.96"/>
    <s v="Complete Access"/>
    <x v="285"/>
    <x v="5"/>
    <x v="8"/>
    <d v="1900-01-09T00:00:00"/>
    <n v="45"/>
    <x v="3"/>
    <x v="2"/>
  </r>
  <r>
    <x v="359"/>
    <n v="-10.3"/>
    <x v="790"/>
    <n v="1778.26"/>
    <s v="Complete Access"/>
    <x v="285"/>
    <x v="5"/>
    <x v="8"/>
    <d v="1900-01-09T00:00:00"/>
    <n v="45"/>
    <x v="3"/>
    <x v="2"/>
  </r>
  <r>
    <x v="359"/>
    <n v="600"/>
    <x v="370"/>
    <n v="2354.96"/>
    <s v="Complete Access"/>
    <x v="36"/>
    <x v="0"/>
    <x v="0"/>
    <d v="1900-01-09T00:00:00"/>
    <n v="45"/>
    <x v="3"/>
    <x v="2"/>
  </r>
  <r>
    <x v="359"/>
    <n v="-13"/>
    <x v="791"/>
    <n v="1754.96"/>
    <s v="Complete Access"/>
    <x v="286"/>
    <x v="1"/>
    <x v="5"/>
    <d v="1900-01-09T00:00:00"/>
    <n v="45"/>
    <x v="3"/>
    <x v="2"/>
  </r>
  <r>
    <x v="359"/>
    <n v="-600"/>
    <x v="581"/>
    <n v="40224.589999999997"/>
    <s v="Netbank Saver"/>
    <x v="0"/>
    <x v="0"/>
    <x v="0"/>
    <d v="1900-01-09T00:00:00"/>
    <n v="45"/>
    <x v="3"/>
    <x v="2"/>
  </r>
  <r>
    <x v="360"/>
    <n v="2375.25"/>
    <x v="792"/>
    <n v="2549.91"/>
    <s v="Complete Access"/>
    <x v="14"/>
    <x v="6"/>
    <x v="9"/>
    <d v="1900-01-08T00:00:00"/>
    <n v="45"/>
    <x v="3"/>
    <x v="2"/>
  </r>
  <r>
    <x v="360"/>
    <n v="-11.35"/>
    <x v="454"/>
    <n v="1788.56"/>
    <s v="Complete Access"/>
    <x v="9"/>
    <x v="4"/>
    <x v="6"/>
    <d v="1900-01-08T00:00:00"/>
    <n v="45"/>
    <x v="3"/>
    <x v="2"/>
  </r>
  <r>
    <x v="360"/>
    <n v="-500"/>
    <x v="656"/>
    <n v="1799.91"/>
    <s v="Complete Access"/>
    <x v="13"/>
    <x v="0"/>
    <x v="0"/>
    <d v="1900-01-08T00:00:00"/>
    <n v="45"/>
    <x v="3"/>
    <x v="2"/>
  </r>
  <r>
    <x v="360"/>
    <n v="-250"/>
    <x v="793"/>
    <n v="2299.91"/>
    <s v="Complete Access"/>
    <x v="261"/>
    <x v="19"/>
    <x v="61"/>
    <d v="1900-01-08T00:00:00"/>
    <n v="45"/>
    <x v="3"/>
    <x v="2"/>
  </r>
  <r>
    <x v="361"/>
    <n v="-4.9000000000000004"/>
    <x v="794"/>
    <n v="244.33"/>
    <s v="Complete Access"/>
    <x v="188"/>
    <x v="1"/>
    <x v="1"/>
    <d v="1900-01-07T00:00:00"/>
    <n v="45"/>
    <x v="3"/>
    <x v="2"/>
  </r>
  <r>
    <x v="361"/>
    <n v="-11.9"/>
    <x v="18"/>
    <n v="174.66"/>
    <s v="Complete Access"/>
    <x v="16"/>
    <x v="1"/>
    <x v="5"/>
    <d v="1900-01-07T00:00:00"/>
    <n v="45"/>
    <x v="3"/>
    <x v="2"/>
  </r>
  <r>
    <x v="361"/>
    <n v="-57.77"/>
    <x v="795"/>
    <n v="186.56"/>
    <s v="Complete Access"/>
    <x v="1"/>
    <x v="1"/>
    <x v="1"/>
    <d v="1900-01-07T00:00:00"/>
    <n v="45"/>
    <x v="3"/>
    <x v="2"/>
  </r>
  <r>
    <x v="362"/>
    <n v="-341.09"/>
    <x v="796"/>
    <n v="249.23"/>
    <s v="Complete Access"/>
    <x v="287"/>
    <x v="10"/>
    <x v="13"/>
    <d v="1900-01-06T00:00:00"/>
    <n v="45"/>
    <x v="3"/>
    <x v="2"/>
  </r>
  <r>
    <x v="363"/>
    <n v="-16"/>
    <x v="8"/>
    <n v="590.32000000000005"/>
    <s v="Complete Access"/>
    <x v="7"/>
    <x v="1"/>
    <x v="5"/>
    <d v="1900-01-05T00:00:00"/>
    <n v="45"/>
    <x v="3"/>
    <x v="2"/>
  </r>
  <r>
    <x v="364"/>
    <n v="-39.35"/>
    <x v="578"/>
    <n v="606.32000000000005"/>
    <s v="Complete Access"/>
    <x v="177"/>
    <x v="1"/>
    <x v="1"/>
    <d v="1900-01-03T00:00:00"/>
    <n v="44"/>
    <x v="3"/>
    <x v="2"/>
  </r>
  <r>
    <x v="365"/>
    <n v="500"/>
    <x v="370"/>
    <n v="645.66999999999996"/>
    <s v="Complete Access"/>
    <x v="36"/>
    <x v="0"/>
    <x v="0"/>
    <d v="1900-01-02T00:00:00"/>
    <n v="44"/>
    <x v="3"/>
    <x v="2"/>
  </r>
  <r>
    <x v="365"/>
    <n v="100"/>
    <x v="370"/>
    <n v="470.67"/>
    <s v="Complete Access"/>
    <x v="36"/>
    <x v="0"/>
    <x v="0"/>
    <d v="1900-01-02T00:00:00"/>
    <n v="44"/>
    <x v="3"/>
    <x v="2"/>
  </r>
  <r>
    <x v="365"/>
    <n v="-325"/>
    <x v="797"/>
    <n v="145.66999999999999"/>
    <s v="Complete Access"/>
    <x v="199"/>
    <x v="14"/>
    <x v="46"/>
    <d v="1900-01-02T00:00:00"/>
    <n v="44"/>
    <x v="3"/>
    <x v="2"/>
  </r>
  <r>
    <x v="365"/>
    <n v="-500"/>
    <x v="581"/>
    <n v="40824.589999999997"/>
    <s v="Netbank Saver"/>
    <x v="0"/>
    <x v="0"/>
    <x v="0"/>
    <d v="1900-01-02T00:00:00"/>
    <n v="44"/>
    <x v="3"/>
    <x v="2"/>
  </r>
  <r>
    <x v="365"/>
    <n v="-100"/>
    <x v="581"/>
    <n v="41324.589999999997"/>
    <s v="Netbank Saver"/>
    <x v="0"/>
    <x v="0"/>
    <x v="0"/>
    <d v="1900-01-02T00:00:00"/>
    <n v="44"/>
    <x v="3"/>
    <x v="2"/>
  </r>
  <r>
    <x v="366"/>
    <n v="-10.15"/>
    <x v="798"/>
    <n v="370.67"/>
    <s v="Complete Access"/>
    <x v="188"/>
    <x v="1"/>
    <x v="1"/>
    <d v="1900-01-01T00:00:00"/>
    <n v="44"/>
    <x v="3"/>
    <x v="2"/>
  </r>
  <r>
    <x v="367"/>
    <n v="-40"/>
    <x v="799"/>
    <n v="1075.8699999999999"/>
    <s v="Complete Access"/>
    <x v="12"/>
    <x v="5"/>
    <x v="8"/>
    <d v="1899-12-31T00:00:00"/>
    <n v="44"/>
    <x v="3"/>
    <x v="2"/>
  </r>
  <r>
    <x v="367"/>
    <n v="1000"/>
    <x v="800"/>
    <n v="1115.8699999999999"/>
    <s v="Complete Access"/>
    <x v="288"/>
    <x v="6"/>
    <x v="64"/>
    <d v="1899-12-31T00:00:00"/>
    <n v="44"/>
    <x v="3"/>
    <x v="2"/>
  </r>
  <r>
    <x v="367"/>
    <n v="-195.05"/>
    <x v="801"/>
    <n v="380.82"/>
    <s v="Complete Access"/>
    <x v="76"/>
    <x v="2"/>
    <x v="2"/>
    <d v="1899-12-31T00:00:00"/>
    <n v="44"/>
    <x v="3"/>
    <x v="2"/>
  </r>
  <r>
    <x v="367"/>
    <n v="500"/>
    <x v="702"/>
    <n v="41424.589999999997"/>
    <s v="Netbank Saver"/>
    <x v="36"/>
    <x v="0"/>
    <x v="0"/>
    <d v="1899-12-31T00:00:00"/>
    <n v="44"/>
    <x v="3"/>
    <x v="2"/>
  </r>
  <r>
    <x v="367"/>
    <n v="144.13999999999999"/>
    <x v="609"/>
    <n v="40924.589999999997"/>
    <s v="Netbank Saver"/>
    <x v="240"/>
    <x v="0"/>
    <x v="55"/>
    <d v="1899-12-31T00:00:00"/>
    <n v="44"/>
    <x v="3"/>
    <x v="2"/>
  </r>
  <r>
    <x v="367"/>
    <n v="-500"/>
    <x v="538"/>
    <n v="575.87"/>
    <s v="Complete Access"/>
    <x v="0"/>
    <x v="0"/>
    <x v="0"/>
    <d v="1899-12-31T00:00:00"/>
    <n v="44"/>
    <x v="3"/>
    <x v="2"/>
  </r>
  <r>
    <x v="368"/>
    <n v="-33.979999999999997"/>
    <x v="802"/>
    <n v="312.27999999999997"/>
    <s v="Complete Access"/>
    <x v="8"/>
    <x v="1"/>
    <x v="5"/>
    <d v="1900-01-30T00:00:00"/>
    <n v="44"/>
    <x v="4"/>
    <x v="2"/>
  </r>
  <r>
    <x v="368"/>
    <n v="-37.840000000000003"/>
    <x v="803"/>
    <n v="108.79"/>
    <s v="Complete Access"/>
    <x v="8"/>
    <x v="1"/>
    <x v="5"/>
    <d v="1900-01-30T00:00:00"/>
    <n v="44"/>
    <x v="4"/>
    <x v="2"/>
  </r>
  <r>
    <x v="368"/>
    <n v="200"/>
    <x v="370"/>
    <n v="298.89"/>
    <s v="Complete Access"/>
    <x v="36"/>
    <x v="0"/>
    <x v="0"/>
    <d v="1900-01-30T00:00:00"/>
    <n v="44"/>
    <x v="4"/>
    <x v="2"/>
  </r>
  <r>
    <x v="368"/>
    <n v="-149"/>
    <x v="804"/>
    <n v="163.28"/>
    <s v="Complete Access"/>
    <x v="289"/>
    <x v="3"/>
    <x v="15"/>
    <d v="1900-01-30T00:00:00"/>
    <n v="44"/>
    <x v="4"/>
    <x v="2"/>
  </r>
  <r>
    <x v="368"/>
    <n v="-183.02"/>
    <x v="805"/>
    <n v="115.87"/>
    <s v="Complete Access"/>
    <x v="290"/>
    <x v="1"/>
    <x v="5"/>
    <d v="1900-01-30T00:00:00"/>
    <n v="44"/>
    <x v="4"/>
    <x v="2"/>
  </r>
  <r>
    <x v="368"/>
    <n v="-16.649999999999999"/>
    <x v="806"/>
    <n v="146.63"/>
    <s v="Complete Access"/>
    <x v="291"/>
    <x v="8"/>
    <x v="29"/>
    <d v="1900-01-30T00:00:00"/>
    <n v="44"/>
    <x v="4"/>
    <x v="2"/>
  </r>
  <r>
    <x v="368"/>
    <n v="-9.9"/>
    <x v="807"/>
    <n v="98.89"/>
    <s v="Complete Access"/>
    <x v="277"/>
    <x v="8"/>
    <x v="29"/>
    <d v="1900-01-30T00:00:00"/>
    <n v="44"/>
    <x v="4"/>
    <x v="2"/>
  </r>
  <r>
    <x v="368"/>
    <n v="-200"/>
    <x v="581"/>
    <n v="40780.449999999997"/>
    <s v="Netbank Saver"/>
    <x v="0"/>
    <x v="0"/>
    <x v="0"/>
    <d v="1900-01-30T00:00:00"/>
    <n v="44"/>
    <x v="4"/>
    <x v="2"/>
  </r>
  <r>
    <x v="369"/>
    <n v="-16.5"/>
    <x v="8"/>
    <n v="479.23"/>
    <s v="Complete Access"/>
    <x v="7"/>
    <x v="1"/>
    <x v="5"/>
    <d v="1900-01-29T00:00:00"/>
    <n v="44"/>
    <x v="4"/>
    <x v="2"/>
  </r>
  <r>
    <x v="369"/>
    <n v="-132.97"/>
    <x v="808"/>
    <n v="346.26"/>
    <s v="Complete Access"/>
    <x v="292"/>
    <x v="3"/>
    <x v="15"/>
    <d v="1900-01-29T00:00:00"/>
    <n v="44"/>
    <x v="4"/>
    <x v="2"/>
  </r>
  <r>
    <x v="370"/>
    <n v="-12.36"/>
    <x v="532"/>
    <n v="495.73"/>
    <s v="Complete Access"/>
    <x v="1"/>
    <x v="1"/>
    <x v="1"/>
    <d v="1900-01-27T00:00:00"/>
    <n v="43"/>
    <x v="4"/>
    <x v="2"/>
  </r>
  <r>
    <x v="371"/>
    <n v="-2600"/>
    <x v="538"/>
    <n v="508.09"/>
    <s v="Complete Access"/>
    <x v="0"/>
    <x v="0"/>
    <x v="0"/>
    <d v="1900-01-26T00:00:00"/>
    <n v="43"/>
    <x v="4"/>
    <x v="2"/>
  </r>
  <r>
    <x v="371"/>
    <n v="-40"/>
    <x v="782"/>
    <n v="3108.09"/>
    <s v="Complete Access"/>
    <x v="130"/>
    <x v="0"/>
    <x v="0"/>
    <d v="1900-01-26T00:00:00"/>
    <n v="43"/>
    <x v="4"/>
    <x v="2"/>
  </r>
  <r>
    <x v="371"/>
    <n v="1099"/>
    <x v="809"/>
    <n v="3180.6"/>
    <s v="Complete Access"/>
    <x v="36"/>
    <x v="0"/>
    <x v="0"/>
    <d v="1900-01-26T00:00:00"/>
    <n v="43"/>
    <x v="4"/>
    <x v="2"/>
  </r>
  <r>
    <x v="371"/>
    <n v="-32.51"/>
    <x v="810"/>
    <n v="3148.09"/>
    <s v="Complete Access"/>
    <x v="293"/>
    <x v="15"/>
    <x v="65"/>
    <d v="1900-01-26T00:00:00"/>
    <n v="43"/>
    <x v="4"/>
    <x v="2"/>
  </r>
  <r>
    <x v="371"/>
    <n v="2600"/>
    <x v="702"/>
    <n v="40980.449999999997"/>
    <s v="Netbank Saver"/>
    <x v="36"/>
    <x v="0"/>
    <x v="0"/>
    <d v="1900-01-26T00:00:00"/>
    <n v="43"/>
    <x v="4"/>
    <x v="2"/>
  </r>
  <r>
    <x v="372"/>
    <n v="2348.84"/>
    <x v="811"/>
    <n v="2404.5100000000002"/>
    <s v="Complete Access"/>
    <x v="14"/>
    <x v="6"/>
    <x v="9"/>
    <d v="1900-01-25T00:00:00"/>
    <n v="43"/>
    <x v="4"/>
    <x v="2"/>
  </r>
  <r>
    <x v="372"/>
    <n v="-48.96"/>
    <x v="177"/>
    <n v="2092.9499999999998"/>
    <s v="Complete Access"/>
    <x v="72"/>
    <x v="1"/>
    <x v="5"/>
    <d v="1900-01-25T00:00:00"/>
    <n v="43"/>
    <x v="4"/>
    <x v="2"/>
  </r>
  <r>
    <x v="372"/>
    <n v="-11.35"/>
    <x v="454"/>
    <n v="2081.6"/>
    <s v="Complete Access"/>
    <x v="9"/>
    <x v="4"/>
    <x v="6"/>
    <d v="1900-01-25T00:00:00"/>
    <n v="43"/>
    <x v="4"/>
    <x v="2"/>
  </r>
  <r>
    <x v="372"/>
    <n v="-12.6"/>
    <x v="812"/>
    <n v="2391.91"/>
    <s v="Complete Access"/>
    <x v="294"/>
    <x v="8"/>
    <x v="29"/>
    <d v="1900-01-25T00:00:00"/>
    <n v="43"/>
    <x v="4"/>
    <x v="2"/>
  </r>
  <r>
    <x v="372"/>
    <n v="-250"/>
    <x v="656"/>
    <n v="2141.91"/>
    <s v="Complete Access"/>
    <x v="13"/>
    <x v="0"/>
    <x v="0"/>
    <d v="1900-01-25T00:00:00"/>
    <n v="43"/>
    <x v="4"/>
    <x v="2"/>
  </r>
  <r>
    <x v="373"/>
    <n v="150"/>
    <x v="370"/>
    <n v="158.66999999999999"/>
    <s v="Complete Access"/>
    <x v="36"/>
    <x v="0"/>
    <x v="0"/>
    <d v="1900-01-24T00:00:00"/>
    <n v="43"/>
    <x v="4"/>
    <x v="2"/>
  </r>
  <r>
    <x v="373"/>
    <n v="-129.32"/>
    <x v="813"/>
    <n v="8.67"/>
    <s v="Complete Access"/>
    <x v="295"/>
    <x v="14"/>
    <x v="66"/>
    <d v="1900-01-24T00:00:00"/>
    <n v="43"/>
    <x v="4"/>
    <x v="2"/>
  </r>
  <r>
    <x v="373"/>
    <n v="-30"/>
    <x v="814"/>
    <n v="67.67"/>
    <s v="Complete Access"/>
    <x v="296"/>
    <x v="8"/>
    <x v="22"/>
    <d v="1900-01-24T00:00:00"/>
    <n v="43"/>
    <x v="4"/>
    <x v="2"/>
  </r>
  <r>
    <x v="373"/>
    <n v="-12"/>
    <x v="812"/>
    <n v="55.67"/>
    <s v="Complete Access"/>
    <x v="294"/>
    <x v="8"/>
    <x v="29"/>
    <d v="1900-01-24T00:00:00"/>
    <n v="43"/>
    <x v="4"/>
    <x v="2"/>
  </r>
  <r>
    <x v="373"/>
    <n v="-150"/>
    <x v="581"/>
    <n v="38380.449999999997"/>
    <s v="Netbank Saver"/>
    <x v="0"/>
    <x v="0"/>
    <x v="0"/>
    <d v="1900-01-24T00:00:00"/>
    <n v="43"/>
    <x v="4"/>
    <x v="2"/>
  </r>
  <r>
    <x v="373"/>
    <n v="-61"/>
    <x v="815"/>
    <n v="97.67"/>
    <s v="Complete Access"/>
    <x v="0"/>
    <x v="0"/>
    <x v="0"/>
    <d v="1900-01-24T00:00:00"/>
    <n v="43"/>
    <x v="4"/>
    <x v="2"/>
  </r>
  <r>
    <x v="373"/>
    <n v="-61"/>
    <x v="816"/>
    <n v="97.67"/>
    <s v="Complete Access"/>
    <x v="0"/>
    <x v="0"/>
    <x v="0"/>
    <d v="1900-01-24T00:00:00"/>
    <n v="43"/>
    <x v="4"/>
    <x v="2"/>
  </r>
  <r>
    <x v="373"/>
    <n v="61"/>
    <x v="817"/>
    <n v="158.66999999999999"/>
    <s v="Complete Access"/>
    <x v="13"/>
    <x v="0"/>
    <x v="0"/>
    <d v="1900-01-24T00:00:00"/>
    <n v="43"/>
    <x v="4"/>
    <x v="2"/>
  </r>
  <r>
    <x v="374"/>
    <n v="-3.5"/>
    <x v="621"/>
    <n v="137.99"/>
    <s v="Complete Access"/>
    <x v="220"/>
    <x v="1"/>
    <x v="5"/>
    <d v="1900-01-23T00:00:00"/>
    <n v="43"/>
    <x v="4"/>
    <x v="2"/>
  </r>
  <r>
    <x v="374"/>
    <n v="-16"/>
    <x v="8"/>
    <n v="141.49"/>
    <s v="Complete Access"/>
    <x v="7"/>
    <x v="1"/>
    <x v="5"/>
    <d v="1900-01-23T00:00:00"/>
    <n v="43"/>
    <x v="4"/>
    <x v="2"/>
  </r>
  <r>
    <x v="374"/>
    <n v="-29.99"/>
    <x v="616"/>
    <n v="157.49"/>
    <s v="Complete Access"/>
    <x v="228"/>
    <x v="4"/>
    <x v="7"/>
    <d v="1900-01-23T00:00:00"/>
    <n v="43"/>
    <x v="4"/>
    <x v="2"/>
  </r>
  <r>
    <x v="375"/>
    <n v="100"/>
    <x v="370"/>
    <n v="187.48"/>
    <s v="Complete Access"/>
    <x v="36"/>
    <x v="0"/>
    <x v="0"/>
    <d v="1900-01-22T00:00:00"/>
    <n v="43"/>
    <x v="4"/>
    <x v="2"/>
  </r>
  <r>
    <x v="375"/>
    <n v="-16.5"/>
    <x v="8"/>
    <n v="87.48"/>
    <s v="Complete Access"/>
    <x v="7"/>
    <x v="1"/>
    <x v="5"/>
    <d v="1900-01-22T00:00:00"/>
    <n v="43"/>
    <x v="4"/>
    <x v="2"/>
  </r>
  <r>
    <x v="375"/>
    <n v="-29.99"/>
    <x v="616"/>
    <n v="103.98"/>
    <s v="Complete Access"/>
    <x v="228"/>
    <x v="4"/>
    <x v="7"/>
    <d v="1900-01-22T00:00:00"/>
    <n v="43"/>
    <x v="4"/>
    <x v="2"/>
  </r>
  <r>
    <x v="375"/>
    <n v="-100"/>
    <x v="581"/>
    <n v="38530.449999999997"/>
    <s v="Netbank Saver"/>
    <x v="0"/>
    <x v="0"/>
    <x v="0"/>
    <d v="1900-01-22T00:00:00"/>
    <n v="43"/>
    <x v="4"/>
    <x v="2"/>
  </r>
  <r>
    <x v="376"/>
    <n v="-12.66"/>
    <x v="531"/>
    <n v="133.97"/>
    <s v="Complete Access"/>
    <x v="215"/>
    <x v="1"/>
    <x v="1"/>
    <d v="1900-01-21T00:00:00"/>
    <n v="43"/>
    <x v="4"/>
    <x v="2"/>
  </r>
  <r>
    <x v="376"/>
    <n v="-39.5"/>
    <x v="561"/>
    <n v="146.63"/>
    <s v="Complete Access"/>
    <x v="223"/>
    <x v="7"/>
    <x v="53"/>
    <d v="1900-01-21T00:00:00"/>
    <n v="43"/>
    <x v="4"/>
    <x v="2"/>
  </r>
  <r>
    <x v="377"/>
    <n v="-15.99"/>
    <x v="818"/>
    <n v="283.25"/>
    <s v="Complete Access"/>
    <x v="259"/>
    <x v="1"/>
    <x v="5"/>
    <d v="1900-01-20T00:00:00"/>
    <n v="42"/>
    <x v="4"/>
    <x v="2"/>
  </r>
  <r>
    <x v="377"/>
    <n v="-64.62"/>
    <x v="532"/>
    <n v="218.63"/>
    <s v="Complete Access"/>
    <x v="1"/>
    <x v="1"/>
    <x v="1"/>
    <d v="1900-01-20T00:00:00"/>
    <n v="42"/>
    <x v="4"/>
    <x v="2"/>
  </r>
  <r>
    <x v="377"/>
    <n v="-32.5"/>
    <x v="819"/>
    <n v="186.13"/>
    <s v="Complete Access"/>
    <x v="0"/>
    <x v="0"/>
    <x v="0"/>
    <d v="1900-01-20T00:00:00"/>
    <n v="42"/>
    <x v="4"/>
    <x v="2"/>
  </r>
  <r>
    <x v="378"/>
    <n v="-2.4500000000000002"/>
    <x v="820"/>
    <n v="348.13"/>
    <s v="Complete Access"/>
    <x v="188"/>
    <x v="1"/>
    <x v="1"/>
    <d v="1900-01-19T00:00:00"/>
    <n v="42"/>
    <x v="4"/>
    <x v="2"/>
  </r>
  <r>
    <x v="378"/>
    <n v="-69.459999999999994"/>
    <x v="821"/>
    <n v="350.58"/>
    <s v="Complete Access"/>
    <x v="207"/>
    <x v="7"/>
    <x v="11"/>
    <d v="1900-01-19T00:00:00"/>
    <n v="42"/>
    <x v="4"/>
    <x v="2"/>
  </r>
  <r>
    <x v="378"/>
    <n v="-42.39"/>
    <x v="28"/>
    <n v="299.24"/>
    <s v="Complete Access"/>
    <x v="20"/>
    <x v="9"/>
    <x v="12"/>
    <d v="1900-01-19T00:00:00"/>
    <n v="42"/>
    <x v="4"/>
    <x v="2"/>
  </r>
  <r>
    <x v="378"/>
    <n v="-6.5"/>
    <x v="531"/>
    <n v="341.63"/>
    <s v="Complete Access"/>
    <x v="215"/>
    <x v="1"/>
    <x v="1"/>
    <d v="1900-01-19T00:00:00"/>
    <n v="42"/>
    <x v="4"/>
    <x v="2"/>
  </r>
  <r>
    <x v="379"/>
    <n v="-40"/>
    <x v="822"/>
    <n v="450.5"/>
    <s v="Complete Access"/>
    <x v="12"/>
    <x v="5"/>
    <x v="8"/>
    <d v="1900-01-18T00:00:00"/>
    <n v="42"/>
    <x v="4"/>
    <x v="2"/>
  </r>
  <r>
    <x v="379"/>
    <n v="-30.46"/>
    <x v="823"/>
    <n v="420.04"/>
    <s v="Complete Access"/>
    <x v="1"/>
    <x v="1"/>
    <x v="1"/>
    <d v="1900-01-18T00:00:00"/>
    <n v="42"/>
    <x v="4"/>
    <x v="2"/>
  </r>
  <r>
    <x v="380"/>
    <n v="-16"/>
    <x v="8"/>
    <n v="325.5"/>
    <s v="Complete Access"/>
    <x v="7"/>
    <x v="1"/>
    <x v="5"/>
    <d v="1900-01-17T00:00:00"/>
    <n v="42"/>
    <x v="4"/>
    <x v="2"/>
  </r>
  <r>
    <x v="380"/>
    <n v="165"/>
    <x v="824"/>
    <n v="490.5"/>
    <s v="Complete Access"/>
    <x v="76"/>
    <x v="2"/>
    <x v="2"/>
    <d v="1900-01-17T00:00:00"/>
    <n v="42"/>
    <x v="4"/>
    <x v="2"/>
  </r>
  <r>
    <x v="381"/>
    <n v="-36.72"/>
    <x v="825"/>
    <n v="877.86"/>
    <s v="Complete Access"/>
    <x v="8"/>
    <x v="1"/>
    <x v="5"/>
    <d v="1900-01-16T00:00:00"/>
    <n v="42"/>
    <x v="4"/>
    <x v="2"/>
  </r>
  <r>
    <x v="381"/>
    <n v="-70.989999999999995"/>
    <x v="826"/>
    <n v="914.58"/>
    <s v="Complete Access"/>
    <x v="8"/>
    <x v="1"/>
    <x v="5"/>
    <d v="1900-01-16T00:00:00"/>
    <n v="42"/>
    <x v="4"/>
    <x v="2"/>
  </r>
  <r>
    <x v="381"/>
    <n v="-14.2"/>
    <x v="827"/>
    <n v="836.5"/>
    <s v="Complete Access"/>
    <x v="297"/>
    <x v="1"/>
    <x v="5"/>
    <d v="1900-01-16T00:00:00"/>
    <n v="42"/>
    <x v="4"/>
    <x v="2"/>
  </r>
  <r>
    <x v="381"/>
    <n v="-495"/>
    <x v="828"/>
    <n v="341.5"/>
    <s v="Complete Access"/>
    <x v="192"/>
    <x v="4"/>
    <x v="20"/>
    <d v="1900-01-16T00:00:00"/>
    <n v="42"/>
    <x v="4"/>
    <x v="2"/>
  </r>
  <r>
    <x v="381"/>
    <n v="-7.8"/>
    <x v="829"/>
    <n v="870.06"/>
    <s v="Complete Access"/>
    <x v="218"/>
    <x v="8"/>
    <x v="29"/>
    <d v="1900-01-16T00:00:00"/>
    <n v="42"/>
    <x v="4"/>
    <x v="2"/>
  </r>
  <r>
    <x v="381"/>
    <n v="-13.99"/>
    <x v="533"/>
    <n v="850.7"/>
    <s v="Complete Access"/>
    <x v="215"/>
    <x v="1"/>
    <x v="1"/>
    <d v="1900-01-16T00:00:00"/>
    <n v="42"/>
    <x v="4"/>
    <x v="2"/>
  </r>
  <r>
    <x v="381"/>
    <n v="-5.37"/>
    <x v="405"/>
    <n v="864.69"/>
    <s v="Complete Access"/>
    <x v="177"/>
    <x v="1"/>
    <x v="1"/>
    <d v="1900-01-16T00:00:00"/>
    <n v="42"/>
    <x v="4"/>
    <x v="2"/>
  </r>
  <r>
    <x v="382"/>
    <n v="-3.5"/>
    <x v="621"/>
    <n v="985.57"/>
    <s v="Complete Access"/>
    <x v="220"/>
    <x v="1"/>
    <x v="5"/>
    <d v="1900-01-15T00:00:00"/>
    <n v="42"/>
    <x v="4"/>
    <x v="2"/>
  </r>
  <r>
    <x v="382"/>
    <n v="-16.5"/>
    <x v="8"/>
    <n v="989.07"/>
    <s v="Complete Access"/>
    <x v="7"/>
    <x v="1"/>
    <x v="5"/>
    <d v="1900-01-15T00:00:00"/>
    <n v="42"/>
    <x v="4"/>
    <x v="2"/>
  </r>
  <r>
    <x v="383"/>
    <n v="-1099"/>
    <x v="830"/>
    <n v="1005.57"/>
    <s v="Complete Access"/>
    <x v="298"/>
    <x v="4"/>
    <x v="30"/>
    <d v="1900-01-13T00:00:00"/>
    <n v="41"/>
    <x v="4"/>
    <x v="2"/>
  </r>
  <r>
    <x v="384"/>
    <n v="-15.6"/>
    <x v="831"/>
    <n v="2104.5700000000002"/>
    <s v="Complete Access"/>
    <x v="218"/>
    <x v="8"/>
    <x v="29"/>
    <d v="1900-01-12T00:00:00"/>
    <n v="41"/>
    <x v="4"/>
    <x v="2"/>
  </r>
  <r>
    <x v="384"/>
    <n v="-6"/>
    <x v="831"/>
    <n v="2120.17"/>
    <s v="Complete Access"/>
    <x v="218"/>
    <x v="8"/>
    <x v="29"/>
    <d v="1900-01-12T00:00:00"/>
    <n v="41"/>
    <x v="4"/>
    <x v="2"/>
  </r>
  <r>
    <x v="385"/>
    <n v="2348.83"/>
    <x v="832"/>
    <n v="2387.52"/>
    <s v="Complete Access"/>
    <x v="14"/>
    <x v="6"/>
    <x v="9"/>
    <d v="1900-01-11T00:00:00"/>
    <n v="41"/>
    <x v="4"/>
    <x v="2"/>
  </r>
  <r>
    <x v="385"/>
    <n v="-11.35"/>
    <x v="454"/>
    <n v="2126.17"/>
    <s v="Complete Access"/>
    <x v="9"/>
    <x v="4"/>
    <x v="6"/>
    <d v="1900-01-11T00:00:00"/>
    <n v="41"/>
    <x v="4"/>
    <x v="2"/>
  </r>
  <r>
    <x v="385"/>
    <n v="-250"/>
    <x v="656"/>
    <n v="2137.52"/>
    <s v="Complete Access"/>
    <x v="13"/>
    <x v="0"/>
    <x v="0"/>
    <d v="1900-01-11T00:00:00"/>
    <n v="41"/>
    <x v="4"/>
    <x v="2"/>
  </r>
  <r>
    <x v="386"/>
    <n v="-24.36"/>
    <x v="833"/>
    <n v="38.69"/>
    <s v="Complete Access"/>
    <x v="299"/>
    <x v="8"/>
    <x v="29"/>
    <d v="1900-01-10T00:00:00"/>
    <n v="41"/>
    <x v="4"/>
    <x v="2"/>
  </r>
  <r>
    <x v="386"/>
    <n v="-34.51"/>
    <x v="833"/>
    <n v="63.05"/>
    <s v="Complete Access"/>
    <x v="299"/>
    <x v="8"/>
    <x v="29"/>
    <d v="1900-01-10T00:00:00"/>
    <n v="41"/>
    <x v="4"/>
    <x v="2"/>
  </r>
  <r>
    <x v="386"/>
    <n v="-12.18"/>
    <x v="834"/>
    <n v="97.56"/>
    <s v="Complete Access"/>
    <x v="299"/>
    <x v="8"/>
    <x v="29"/>
    <d v="1900-01-10T00:00:00"/>
    <n v="41"/>
    <x v="4"/>
    <x v="2"/>
  </r>
  <r>
    <x v="387"/>
    <n v="-8.07"/>
    <x v="835"/>
    <n v="109.74"/>
    <s v="Complete Access"/>
    <x v="300"/>
    <x v="3"/>
    <x v="26"/>
    <d v="1900-01-09T00:00:00"/>
    <n v="41"/>
    <x v="4"/>
    <x v="2"/>
  </r>
  <r>
    <x v="388"/>
    <n v="150"/>
    <x v="370"/>
    <n v="166.96"/>
    <s v="Complete Access"/>
    <x v="36"/>
    <x v="0"/>
    <x v="0"/>
    <d v="1900-01-07T00:00:00"/>
    <n v="41"/>
    <x v="4"/>
    <x v="2"/>
  </r>
  <r>
    <x v="388"/>
    <n v="-32.99"/>
    <x v="836"/>
    <n v="117.81"/>
    <s v="Complete Access"/>
    <x v="237"/>
    <x v="15"/>
    <x v="34"/>
    <d v="1900-01-07T00:00:00"/>
    <n v="41"/>
    <x v="4"/>
    <x v="2"/>
  </r>
  <r>
    <x v="388"/>
    <n v="-16.16"/>
    <x v="837"/>
    <n v="150.80000000000001"/>
    <s v="Complete Access"/>
    <x v="301"/>
    <x v="1"/>
    <x v="5"/>
    <d v="1900-01-07T00:00:00"/>
    <n v="41"/>
    <x v="4"/>
    <x v="2"/>
  </r>
  <r>
    <x v="388"/>
    <n v="-150"/>
    <x v="581"/>
    <n v="38630.449999999997"/>
    <s v="Netbank Saver"/>
    <x v="0"/>
    <x v="0"/>
    <x v="0"/>
    <d v="1900-01-07T00:00:00"/>
    <n v="41"/>
    <x v="4"/>
    <x v="2"/>
  </r>
  <r>
    <x v="389"/>
    <n v="-410.07"/>
    <x v="838"/>
    <n v="16.96"/>
    <s v="Complete Access"/>
    <x v="298"/>
    <x v="4"/>
    <x v="30"/>
    <d v="1900-01-06T00:00:00"/>
    <n v="40"/>
    <x v="4"/>
    <x v="2"/>
  </r>
  <r>
    <x v="390"/>
    <n v="-40"/>
    <x v="839"/>
    <n v="490.63"/>
    <s v="Complete Access"/>
    <x v="12"/>
    <x v="5"/>
    <x v="8"/>
    <d v="1900-01-04T00:00:00"/>
    <n v="40"/>
    <x v="4"/>
    <x v="2"/>
  </r>
  <r>
    <x v="390"/>
    <n v="-63.6"/>
    <x v="840"/>
    <n v="427.03"/>
    <s v="Complete Access"/>
    <x v="34"/>
    <x v="9"/>
    <x v="12"/>
    <d v="1900-01-04T00:00:00"/>
    <n v="40"/>
    <x v="4"/>
    <x v="2"/>
  </r>
  <r>
    <x v="391"/>
    <n v="-16.5"/>
    <x v="8"/>
    <n v="530.63"/>
    <s v="Complete Access"/>
    <x v="7"/>
    <x v="1"/>
    <x v="5"/>
    <d v="1900-01-03T00:00:00"/>
    <n v="40"/>
    <x v="4"/>
    <x v="2"/>
  </r>
  <r>
    <x v="391"/>
    <n v="100"/>
    <x v="841"/>
    <n v="547.13"/>
    <s v="Complete Access"/>
    <x v="257"/>
    <x v="0"/>
    <x v="0"/>
    <d v="1900-01-03T00:00:00"/>
    <n v="40"/>
    <x v="4"/>
    <x v="2"/>
  </r>
  <r>
    <x v="391"/>
    <n v="-4.6399999999999997"/>
    <x v="842"/>
    <n v="447.13"/>
    <s v="Complete Access"/>
    <x v="221"/>
    <x v="1"/>
    <x v="5"/>
    <d v="1900-01-03T00:00:00"/>
    <n v="40"/>
    <x v="4"/>
    <x v="2"/>
  </r>
  <r>
    <x v="392"/>
    <n v="-612.19000000000005"/>
    <x v="843"/>
    <n v="646.82000000000005"/>
    <s v="Complete Access"/>
    <x v="13"/>
    <x v="0"/>
    <x v="0"/>
    <d v="1900-01-02T00:00:00"/>
    <n v="40"/>
    <x v="4"/>
    <x v="2"/>
  </r>
  <r>
    <x v="392"/>
    <n v="-55.53"/>
    <x v="844"/>
    <n v="1393.51"/>
    <s v="Complete Access"/>
    <x v="8"/>
    <x v="1"/>
    <x v="5"/>
    <d v="1900-01-02T00:00:00"/>
    <n v="40"/>
    <x v="4"/>
    <x v="2"/>
  </r>
  <r>
    <x v="392"/>
    <n v="-46.77"/>
    <x v="845"/>
    <n v="1346.74"/>
    <s v="Complete Access"/>
    <x v="302"/>
    <x v="8"/>
    <x v="22"/>
    <d v="1900-01-02T00:00:00"/>
    <n v="40"/>
    <x v="4"/>
    <x v="2"/>
  </r>
  <r>
    <x v="392"/>
    <n v="-1.4"/>
    <x v="846"/>
    <n v="1345.34"/>
    <s v="Complete Access"/>
    <x v="10"/>
    <x v="0"/>
    <x v="0"/>
    <d v="1900-01-02T00:00:00"/>
    <n v="40"/>
    <x v="4"/>
    <x v="2"/>
  </r>
  <r>
    <x v="392"/>
    <n v="-16"/>
    <x v="8"/>
    <n v="1259.01"/>
    <s v="Complete Access"/>
    <x v="7"/>
    <x v="1"/>
    <x v="5"/>
    <d v="1900-01-02T00:00:00"/>
    <n v="40"/>
    <x v="4"/>
    <x v="2"/>
  </r>
  <r>
    <x v="392"/>
    <n v="-195.05"/>
    <x v="847"/>
    <n v="451.77"/>
    <s v="Complete Access"/>
    <x v="76"/>
    <x v="2"/>
    <x v="2"/>
    <d v="1900-01-02T00:00:00"/>
    <n v="40"/>
    <x v="4"/>
    <x v="2"/>
  </r>
  <r>
    <x v="392"/>
    <n v="-40.33"/>
    <x v="848"/>
    <n v="1305.01"/>
    <s v="Complete Access"/>
    <x v="181"/>
    <x v="15"/>
    <x v="41"/>
    <d v="1900-01-02T00:00:00"/>
    <n v="40"/>
    <x v="4"/>
    <x v="2"/>
  </r>
  <r>
    <x v="392"/>
    <n v="-30"/>
    <x v="849"/>
    <n v="1275.01"/>
    <s v="Complete Access"/>
    <x v="243"/>
    <x v="1"/>
    <x v="23"/>
    <d v="1900-01-02T00:00:00"/>
    <n v="40"/>
    <x v="4"/>
    <x v="2"/>
  </r>
  <r>
    <x v="393"/>
    <n v="-42.26"/>
    <x v="405"/>
    <n v="1449.04"/>
    <s v="Complete Access"/>
    <x v="177"/>
    <x v="1"/>
    <x v="1"/>
    <d v="1900-01-01T00:00:00"/>
    <n v="40"/>
    <x v="4"/>
    <x v="2"/>
  </r>
  <r>
    <x v="394"/>
    <n v="-0.02"/>
    <x v="655"/>
    <n v="1491.3"/>
    <s v="Complete Access"/>
    <x v="249"/>
    <x v="0"/>
    <x v="0"/>
    <d v="1899-12-31T00:00:00"/>
    <n v="40"/>
    <x v="4"/>
    <x v="2"/>
  </r>
  <r>
    <x v="394"/>
    <n v="132.47999999999999"/>
    <x v="609"/>
    <n v="38780.449999999997"/>
    <s v="Netbank Saver"/>
    <x v="240"/>
    <x v="0"/>
    <x v="55"/>
    <d v="1899-12-31T00:00:00"/>
    <n v="40"/>
    <x v="4"/>
    <x v="2"/>
  </r>
  <r>
    <x v="395"/>
    <n v="-12.65"/>
    <x v="96"/>
    <n v="1542.67"/>
    <s v="Complete Access"/>
    <x v="47"/>
    <x v="1"/>
    <x v="5"/>
    <d v="1900-01-29T00:00:00"/>
    <n v="39"/>
    <x v="5"/>
    <x v="2"/>
  </r>
  <r>
    <x v="395"/>
    <n v="-26.35"/>
    <x v="850"/>
    <n v="1516.32"/>
    <s v="Complete Access"/>
    <x v="303"/>
    <x v="8"/>
    <x v="29"/>
    <d v="1900-01-29T00:00:00"/>
    <n v="39"/>
    <x v="5"/>
    <x v="2"/>
  </r>
  <r>
    <x v="395"/>
    <n v="-25"/>
    <x v="851"/>
    <n v="1491.32"/>
    <s v="Complete Access"/>
    <x v="0"/>
    <x v="0"/>
    <x v="0"/>
    <d v="1900-01-29T00:00:00"/>
    <n v="39"/>
    <x v="5"/>
    <x v="2"/>
  </r>
  <r>
    <x v="396"/>
    <n v="-2348.81"/>
    <x v="538"/>
    <n v="1612.68"/>
    <s v="Complete Access"/>
    <x v="0"/>
    <x v="0"/>
    <x v="0"/>
    <d v="1900-01-27T00:00:00"/>
    <n v="39"/>
    <x v="5"/>
    <x v="2"/>
  </r>
  <r>
    <x v="396"/>
    <n v="2348.84"/>
    <x v="170"/>
    <n v="4211.49"/>
    <s v="Complete Access"/>
    <x v="14"/>
    <x v="6"/>
    <x v="9"/>
    <d v="1900-01-27T00:00:00"/>
    <n v="39"/>
    <x v="5"/>
    <x v="2"/>
  </r>
  <r>
    <x v="396"/>
    <n v="-46.01"/>
    <x v="405"/>
    <n v="1566.67"/>
    <s v="Complete Access"/>
    <x v="177"/>
    <x v="1"/>
    <x v="1"/>
    <d v="1900-01-27T00:00:00"/>
    <n v="39"/>
    <x v="5"/>
    <x v="2"/>
  </r>
  <r>
    <x v="396"/>
    <n v="-11.35"/>
    <x v="454"/>
    <n v="1555.32"/>
    <s v="Complete Access"/>
    <x v="9"/>
    <x v="4"/>
    <x v="6"/>
    <d v="1900-01-27T00:00:00"/>
    <n v="39"/>
    <x v="5"/>
    <x v="2"/>
  </r>
  <r>
    <x v="396"/>
    <n v="2348.81"/>
    <x v="702"/>
    <n v="38647.97"/>
    <s v="Netbank Saver"/>
    <x v="36"/>
    <x v="0"/>
    <x v="0"/>
    <d v="1900-01-27T00:00:00"/>
    <n v="39"/>
    <x v="5"/>
    <x v="2"/>
  </r>
  <r>
    <x v="396"/>
    <n v="-250"/>
    <x v="656"/>
    <n v="3961.49"/>
    <s v="Complete Access"/>
    <x v="13"/>
    <x v="0"/>
    <x v="0"/>
    <d v="1900-01-27T00:00:00"/>
    <n v="39"/>
    <x v="5"/>
    <x v="2"/>
  </r>
  <r>
    <x v="397"/>
    <n v="-16.03"/>
    <x v="852"/>
    <n v="1880.35"/>
    <s v="Complete Access"/>
    <x v="8"/>
    <x v="1"/>
    <x v="5"/>
    <d v="1900-01-26T00:00:00"/>
    <n v="39"/>
    <x v="5"/>
    <x v="2"/>
  </r>
  <r>
    <x v="397"/>
    <n v="-17.18"/>
    <x v="853"/>
    <n v="1863.17"/>
    <s v="Complete Access"/>
    <x v="74"/>
    <x v="4"/>
    <x v="10"/>
    <d v="1900-01-26T00:00:00"/>
    <n v="39"/>
    <x v="5"/>
    <x v="2"/>
  </r>
  <r>
    <x v="397"/>
    <n v="-0.52"/>
    <x v="854"/>
    <n v="1862.65"/>
    <s v="Complete Access"/>
    <x v="10"/>
    <x v="0"/>
    <x v="0"/>
    <d v="1900-01-26T00:00:00"/>
    <n v="39"/>
    <x v="5"/>
    <x v="2"/>
  </r>
  <r>
    <x v="398"/>
    <n v="-16.79"/>
    <x v="855"/>
    <n v="1972.36"/>
    <s v="Complete Access"/>
    <x v="8"/>
    <x v="1"/>
    <x v="5"/>
    <d v="1900-01-25T00:00:00"/>
    <n v="39"/>
    <x v="5"/>
    <x v="2"/>
  </r>
  <r>
    <x v="398"/>
    <n v="-38.5"/>
    <x v="856"/>
    <n v="1989.15"/>
    <s v="Complete Access"/>
    <x v="8"/>
    <x v="1"/>
    <x v="5"/>
    <d v="1900-01-25T00:00:00"/>
    <n v="39"/>
    <x v="5"/>
    <x v="2"/>
  </r>
  <r>
    <x v="398"/>
    <n v="-36.74"/>
    <x v="857"/>
    <n v="1935.62"/>
    <s v="Complete Access"/>
    <x v="8"/>
    <x v="1"/>
    <x v="5"/>
    <d v="1900-01-25T00:00:00"/>
    <n v="39"/>
    <x v="5"/>
    <x v="2"/>
  </r>
  <r>
    <x v="398"/>
    <n v="-16"/>
    <x v="8"/>
    <n v="1896.38"/>
    <s v="Complete Access"/>
    <x v="7"/>
    <x v="1"/>
    <x v="5"/>
    <d v="1900-01-25T00:00:00"/>
    <n v="39"/>
    <x v="5"/>
    <x v="2"/>
  </r>
  <r>
    <x v="398"/>
    <n v="-23.24"/>
    <x v="858"/>
    <n v="1912.38"/>
    <s v="Complete Access"/>
    <x v="304"/>
    <x v="1"/>
    <x v="5"/>
    <d v="1900-01-25T00:00:00"/>
    <n v="39"/>
    <x v="5"/>
    <x v="2"/>
  </r>
  <r>
    <x v="399"/>
    <n v="-13.2"/>
    <x v="859"/>
    <n v="2162.02"/>
    <s v="Complete Access"/>
    <x v="305"/>
    <x v="8"/>
    <x v="29"/>
    <d v="1900-01-22T00:00:00"/>
    <n v="38"/>
    <x v="5"/>
    <x v="2"/>
  </r>
  <r>
    <x v="399"/>
    <n v="-13.9"/>
    <x v="859"/>
    <n v="2175.2199999999998"/>
    <s v="Complete Access"/>
    <x v="305"/>
    <x v="8"/>
    <x v="29"/>
    <d v="1900-01-22T00:00:00"/>
    <n v="38"/>
    <x v="5"/>
    <x v="2"/>
  </r>
  <r>
    <x v="399"/>
    <n v="-8.59"/>
    <x v="451"/>
    <n v="2127.65"/>
    <s v="Complete Access"/>
    <x v="190"/>
    <x v="8"/>
    <x v="29"/>
    <d v="1900-01-22T00:00:00"/>
    <n v="38"/>
    <x v="5"/>
    <x v="2"/>
  </r>
  <r>
    <x v="399"/>
    <n v="-25.78"/>
    <x v="451"/>
    <n v="2136.2399999999998"/>
    <s v="Complete Access"/>
    <x v="190"/>
    <x v="8"/>
    <x v="29"/>
    <d v="1900-01-22T00:00:00"/>
    <n v="38"/>
    <x v="5"/>
    <x v="2"/>
  </r>
  <r>
    <x v="399"/>
    <n v="-100"/>
    <x v="860"/>
    <n v="2027.65"/>
    <s v="Complete Access"/>
    <x v="34"/>
    <x v="9"/>
    <x v="12"/>
    <d v="1900-01-22T00:00:00"/>
    <n v="38"/>
    <x v="5"/>
    <x v="2"/>
  </r>
  <r>
    <x v="400"/>
    <n v="-23.35"/>
    <x v="861"/>
    <n v="2189.8200000000002"/>
    <s v="Complete Access"/>
    <x v="302"/>
    <x v="8"/>
    <x v="22"/>
    <d v="1900-01-21T00:00:00"/>
    <n v="38"/>
    <x v="5"/>
    <x v="2"/>
  </r>
  <r>
    <x v="400"/>
    <n v="-0.7"/>
    <x v="862"/>
    <n v="2189.12"/>
    <s v="Complete Access"/>
    <x v="10"/>
    <x v="0"/>
    <x v="0"/>
    <d v="1900-01-21T00:00:00"/>
    <n v="38"/>
    <x v="5"/>
    <x v="2"/>
  </r>
  <r>
    <x v="401"/>
    <n v="-25"/>
    <x v="863"/>
    <n v="2213.17"/>
    <s v="Complete Access"/>
    <x v="35"/>
    <x v="1"/>
    <x v="23"/>
    <d v="1900-01-20T00:00:00"/>
    <n v="38"/>
    <x v="5"/>
    <x v="2"/>
  </r>
  <r>
    <x v="401"/>
    <n v="-4.6500000000000004"/>
    <x v="532"/>
    <n v="2238.17"/>
    <s v="Complete Access"/>
    <x v="1"/>
    <x v="1"/>
    <x v="1"/>
    <d v="1900-01-20T00:00:00"/>
    <n v="38"/>
    <x v="5"/>
    <x v="2"/>
  </r>
  <r>
    <x v="402"/>
    <n v="-40"/>
    <x v="864"/>
    <n v="2280.23"/>
    <s v="Complete Access"/>
    <x v="12"/>
    <x v="5"/>
    <x v="8"/>
    <d v="1900-01-19T00:00:00"/>
    <n v="38"/>
    <x v="5"/>
    <x v="2"/>
  </r>
  <r>
    <x v="402"/>
    <n v="-14.5"/>
    <x v="8"/>
    <n v="2242.8200000000002"/>
    <s v="Complete Access"/>
    <x v="7"/>
    <x v="1"/>
    <x v="5"/>
    <d v="1900-01-19T00:00:00"/>
    <n v="38"/>
    <x v="5"/>
    <x v="2"/>
  </r>
  <r>
    <x v="402"/>
    <n v="-22.91"/>
    <x v="865"/>
    <n v="2257.3200000000002"/>
    <s v="Complete Access"/>
    <x v="237"/>
    <x v="15"/>
    <x v="34"/>
    <d v="1900-01-19T00:00:00"/>
    <n v="38"/>
    <x v="5"/>
    <x v="2"/>
  </r>
  <r>
    <x v="403"/>
    <n v="-32.4"/>
    <x v="866"/>
    <n v="2399.4699999999998"/>
    <s v="Complete Access"/>
    <x v="306"/>
    <x v="8"/>
    <x v="29"/>
    <d v="1900-01-18T00:00:00"/>
    <n v="38"/>
    <x v="5"/>
    <x v="2"/>
  </r>
  <r>
    <x v="403"/>
    <n v="-21.7"/>
    <x v="867"/>
    <n v="2453.7600000000002"/>
    <s v="Complete Access"/>
    <x v="8"/>
    <x v="1"/>
    <x v="5"/>
    <d v="1900-01-18T00:00:00"/>
    <n v="38"/>
    <x v="5"/>
    <x v="2"/>
  </r>
  <r>
    <x v="403"/>
    <n v="-21.89"/>
    <x v="868"/>
    <n v="2431.87"/>
    <s v="Complete Access"/>
    <x v="8"/>
    <x v="1"/>
    <x v="5"/>
    <d v="1900-01-18T00:00:00"/>
    <n v="38"/>
    <x v="5"/>
    <x v="2"/>
  </r>
  <r>
    <x v="403"/>
    <n v="-34.61"/>
    <x v="869"/>
    <n v="2364.86"/>
    <s v="Complete Access"/>
    <x v="307"/>
    <x v="20"/>
    <x v="63"/>
    <d v="1900-01-18T00:00:00"/>
    <n v="38"/>
    <x v="5"/>
    <x v="2"/>
  </r>
  <r>
    <x v="403"/>
    <n v="-15.5"/>
    <x v="8"/>
    <n v="2320.23"/>
    <s v="Complete Access"/>
    <x v="7"/>
    <x v="1"/>
    <x v="5"/>
    <d v="1900-01-18T00:00:00"/>
    <n v="38"/>
    <x v="5"/>
    <x v="2"/>
  </r>
  <r>
    <x v="403"/>
    <n v="-29.13"/>
    <x v="870"/>
    <n v="2335.73"/>
    <s v="Complete Access"/>
    <x v="304"/>
    <x v="1"/>
    <x v="5"/>
    <d v="1900-01-18T00:00:00"/>
    <n v="38"/>
    <x v="5"/>
    <x v="2"/>
  </r>
  <r>
    <x v="404"/>
    <n v="-14.5"/>
    <x v="8"/>
    <n v="2497.27"/>
    <s v="Complete Access"/>
    <x v="7"/>
    <x v="1"/>
    <x v="5"/>
    <d v="1900-01-17T00:00:00"/>
    <n v="38"/>
    <x v="5"/>
    <x v="2"/>
  </r>
  <r>
    <x v="404"/>
    <n v="-21.81"/>
    <x v="532"/>
    <n v="2475.46"/>
    <s v="Complete Access"/>
    <x v="1"/>
    <x v="1"/>
    <x v="1"/>
    <d v="1900-01-17T00:00:00"/>
    <n v="38"/>
    <x v="5"/>
    <x v="2"/>
  </r>
  <r>
    <x v="405"/>
    <n v="-12.25"/>
    <x v="871"/>
    <n v="2524.27"/>
    <s v="Complete Access"/>
    <x v="47"/>
    <x v="1"/>
    <x v="5"/>
    <d v="1900-01-16T00:00:00"/>
    <n v="38"/>
    <x v="5"/>
    <x v="2"/>
  </r>
  <r>
    <x v="405"/>
    <n v="-12.5"/>
    <x v="872"/>
    <n v="2511.77"/>
    <s v="Complete Access"/>
    <x v="308"/>
    <x v="8"/>
    <x v="29"/>
    <d v="1900-01-16T00:00:00"/>
    <n v="38"/>
    <x v="5"/>
    <x v="2"/>
  </r>
  <r>
    <x v="406"/>
    <n v="-61.51"/>
    <x v="873"/>
    <n v="2536.52"/>
    <s v="Complete Access"/>
    <x v="1"/>
    <x v="1"/>
    <x v="1"/>
    <d v="1900-01-15T00:00:00"/>
    <n v="37"/>
    <x v="5"/>
    <x v="2"/>
  </r>
  <r>
    <x v="407"/>
    <n v="-138"/>
    <x v="874"/>
    <n v="2532.08"/>
    <s v="Complete Access"/>
    <x v="207"/>
    <x v="7"/>
    <x v="11"/>
    <d v="1900-01-13T00:00:00"/>
    <n v="37"/>
    <x v="5"/>
    <x v="2"/>
  </r>
  <r>
    <x v="407"/>
    <n v="2348.84"/>
    <x v="875"/>
    <n v="3170.08"/>
    <s v="Complete Access"/>
    <x v="14"/>
    <x v="6"/>
    <x v="9"/>
    <d v="1900-01-13T00:00:00"/>
    <n v="37"/>
    <x v="5"/>
    <x v="2"/>
  </r>
  <r>
    <x v="407"/>
    <n v="-22.7"/>
    <x v="96"/>
    <n v="2598.0300000000002"/>
    <s v="Complete Access"/>
    <x v="47"/>
    <x v="1"/>
    <x v="5"/>
    <d v="1900-01-13T00:00:00"/>
    <n v="37"/>
    <x v="5"/>
    <x v="2"/>
  </r>
  <r>
    <x v="407"/>
    <n v="100"/>
    <x v="876"/>
    <n v="2620.73"/>
    <s v="Complete Access"/>
    <x v="36"/>
    <x v="0"/>
    <x v="0"/>
    <d v="1900-01-13T00:00:00"/>
    <n v="37"/>
    <x v="5"/>
    <x v="2"/>
  </r>
  <r>
    <x v="407"/>
    <n v="-11.35"/>
    <x v="454"/>
    <n v="2520.73"/>
    <s v="Complete Access"/>
    <x v="9"/>
    <x v="4"/>
    <x v="6"/>
    <d v="1900-01-13T00:00:00"/>
    <n v="37"/>
    <x v="5"/>
    <x v="2"/>
  </r>
  <r>
    <x v="407"/>
    <n v="-500"/>
    <x v="656"/>
    <n v="2670.08"/>
    <s v="Complete Access"/>
    <x v="13"/>
    <x v="0"/>
    <x v="0"/>
    <d v="1900-01-13T00:00:00"/>
    <n v="37"/>
    <x v="5"/>
    <x v="2"/>
  </r>
  <r>
    <x v="408"/>
    <n v="-700"/>
    <x v="581"/>
    <n v="36299.160000000003"/>
    <s v="Netbank Saver"/>
    <x v="0"/>
    <x v="0"/>
    <x v="0"/>
    <d v="1900-01-12T00:00:00"/>
    <n v="37"/>
    <x v="5"/>
    <x v="2"/>
  </r>
  <r>
    <x v="408"/>
    <n v="-6.5"/>
    <x v="877"/>
    <n v="366.74"/>
    <s v="Complete Access"/>
    <x v="61"/>
    <x v="1"/>
    <x v="1"/>
    <d v="1900-01-12T00:00:00"/>
    <n v="37"/>
    <x v="5"/>
    <x v="2"/>
  </r>
  <r>
    <x v="408"/>
    <n v="700"/>
    <x v="370"/>
    <n v="1051.24"/>
    <s v="Complete Access"/>
    <x v="36"/>
    <x v="0"/>
    <x v="0"/>
    <d v="1900-01-12T00:00:00"/>
    <n v="37"/>
    <x v="5"/>
    <x v="2"/>
  </r>
  <r>
    <x v="408"/>
    <n v="-15.5"/>
    <x v="8"/>
    <n v="351.24"/>
    <s v="Complete Access"/>
    <x v="7"/>
    <x v="1"/>
    <x v="5"/>
    <d v="1900-01-12T00:00:00"/>
    <n v="37"/>
    <x v="5"/>
    <x v="2"/>
  </r>
  <r>
    <x v="408"/>
    <n v="-32.86"/>
    <x v="878"/>
    <n v="373.24"/>
    <s v="Complete Access"/>
    <x v="309"/>
    <x v="8"/>
    <x v="22"/>
    <d v="1900-01-12T00:00:00"/>
    <n v="37"/>
    <x v="5"/>
    <x v="2"/>
  </r>
  <r>
    <x v="408"/>
    <n v="-230"/>
    <x v="879"/>
    <n v="821.24"/>
    <s v="Complete Access"/>
    <x v="265"/>
    <x v="8"/>
    <x v="22"/>
    <d v="1900-01-12T00:00:00"/>
    <n v="37"/>
    <x v="5"/>
    <x v="2"/>
  </r>
  <r>
    <x v="409"/>
    <n v="-6.5"/>
    <x v="880"/>
    <n v="450.37"/>
    <s v="Complete Access"/>
    <x v="61"/>
    <x v="1"/>
    <x v="1"/>
    <d v="1900-01-11T00:00:00"/>
    <n v="37"/>
    <x v="5"/>
    <x v="2"/>
  </r>
  <r>
    <x v="409"/>
    <n v="-47.32"/>
    <x v="881"/>
    <n v="456.87"/>
    <s v="Complete Access"/>
    <x v="8"/>
    <x v="1"/>
    <x v="5"/>
    <d v="1900-01-11T00:00:00"/>
    <n v="37"/>
    <x v="5"/>
    <x v="2"/>
  </r>
  <r>
    <x v="409"/>
    <n v="-40"/>
    <x v="882"/>
    <n v="504.19"/>
    <s v="Complete Access"/>
    <x v="12"/>
    <x v="5"/>
    <x v="8"/>
    <d v="1900-01-11T00:00:00"/>
    <n v="37"/>
    <x v="5"/>
    <x v="2"/>
  </r>
  <r>
    <x v="409"/>
    <n v="-29.77"/>
    <x v="883"/>
    <n v="420.6"/>
    <s v="Complete Access"/>
    <x v="27"/>
    <x v="1"/>
    <x v="5"/>
    <d v="1900-01-11T00:00:00"/>
    <n v="37"/>
    <x v="5"/>
    <x v="2"/>
  </r>
  <r>
    <x v="409"/>
    <n v="-14.5"/>
    <x v="8"/>
    <n v="406.1"/>
    <s v="Complete Access"/>
    <x v="7"/>
    <x v="1"/>
    <x v="5"/>
    <d v="1900-01-11T00:00:00"/>
    <n v="37"/>
    <x v="5"/>
    <x v="2"/>
  </r>
  <r>
    <x v="410"/>
    <n v="-24.04"/>
    <x v="436"/>
    <n v="544.19000000000005"/>
    <s v="Complete Access"/>
    <x v="186"/>
    <x v="1"/>
    <x v="5"/>
    <d v="1900-01-10T00:00:00"/>
    <n v="37"/>
    <x v="5"/>
    <x v="2"/>
  </r>
  <r>
    <x v="411"/>
    <n v="500"/>
    <x v="370"/>
    <n v="568.23"/>
    <s v="Complete Access"/>
    <x v="36"/>
    <x v="0"/>
    <x v="0"/>
    <d v="1900-01-09T00:00:00"/>
    <n v="37"/>
    <x v="5"/>
    <x v="2"/>
  </r>
  <r>
    <x v="411"/>
    <n v="75"/>
    <x v="370"/>
    <n v="146.88999999999999"/>
    <s v="Complete Access"/>
    <x v="36"/>
    <x v="0"/>
    <x v="0"/>
    <d v="1900-01-09T00:00:00"/>
    <n v="37"/>
    <x v="5"/>
    <x v="2"/>
  </r>
  <r>
    <x v="411"/>
    <n v="-30.26"/>
    <x v="884"/>
    <n v="68.23"/>
    <s v="Complete Access"/>
    <x v="237"/>
    <x v="15"/>
    <x v="34"/>
    <d v="1900-01-09T00:00:00"/>
    <n v="37"/>
    <x v="5"/>
    <x v="2"/>
  </r>
  <r>
    <x v="411"/>
    <n v="-40.549999999999997"/>
    <x v="885"/>
    <n v="71.89"/>
    <s v="Complete Access"/>
    <x v="310"/>
    <x v="8"/>
    <x v="29"/>
    <d v="1900-01-09T00:00:00"/>
    <n v="37"/>
    <x v="5"/>
    <x v="2"/>
  </r>
  <r>
    <x v="411"/>
    <n v="-500"/>
    <x v="581"/>
    <n v="36999.160000000003"/>
    <s v="Netbank Saver"/>
    <x v="0"/>
    <x v="0"/>
    <x v="0"/>
    <d v="1900-01-09T00:00:00"/>
    <n v="37"/>
    <x v="5"/>
    <x v="2"/>
  </r>
  <r>
    <x v="411"/>
    <n v="-75"/>
    <x v="581"/>
    <n v="37499.160000000003"/>
    <s v="Netbank Saver"/>
    <x v="0"/>
    <x v="0"/>
    <x v="0"/>
    <d v="1900-01-09T00:00:00"/>
    <n v="37"/>
    <x v="5"/>
    <x v="2"/>
  </r>
  <r>
    <x v="411"/>
    <n v="-48.4"/>
    <x v="886"/>
    <n v="98.49"/>
    <s v="Complete Access"/>
    <x v="0"/>
    <x v="0"/>
    <x v="0"/>
    <d v="1900-01-09T00:00:00"/>
    <n v="37"/>
    <x v="5"/>
    <x v="2"/>
  </r>
  <r>
    <x v="412"/>
    <n v="-17.100000000000001"/>
    <x v="96"/>
    <n v="130.13999999999999"/>
    <s v="Complete Access"/>
    <x v="47"/>
    <x v="1"/>
    <x v="5"/>
    <d v="1900-01-08T00:00:00"/>
    <n v="36"/>
    <x v="5"/>
    <x v="2"/>
  </r>
  <r>
    <x v="412"/>
    <n v="-17.7"/>
    <x v="885"/>
    <n v="112.44"/>
    <s v="Complete Access"/>
    <x v="310"/>
    <x v="8"/>
    <x v="29"/>
    <d v="1900-01-08T00:00:00"/>
    <n v="36"/>
    <x v="5"/>
    <x v="2"/>
  </r>
  <r>
    <x v="412"/>
    <n v="-159"/>
    <x v="887"/>
    <n v="147.24"/>
    <s v="Complete Access"/>
    <x v="265"/>
    <x v="8"/>
    <x v="22"/>
    <d v="1900-01-08T00:00:00"/>
    <n v="36"/>
    <x v="5"/>
    <x v="2"/>
  </r>
  <r>
    <x v="413"/>
    <n v="-18.809999999999999"/>
    <x v="888"/>
    <n v="306.24"/>
    <s v="Complete Access"/>
    <x v="27"/>
    <x v="1"/>
    <x v="5"/>
    <d v="1900-01-06T00:00:00"/>
    <n v="36"/>
    <x v="5"/>
    <x v="2"/>
  </r>
  <r>
    <x v="414"/>
    <n v="-14.5"/>
    <x v="8"/>
    <n v="325.05"/>
    <s v="Complete Access"/>
    <x v="7"/>
    <x v="1"/>
    <x v="5"/>
    <d v="1900-01-05T00:00:00"/>
    <n v="36"/>
    <x v="5"/>
    <x v="2"/>
  </r>
  <r>
    <x v="414"/>
    <n v="-58.42"/>
    <x v="889"/>
    <n v="339.55"/>
    <s v="Complete Access"/>
    <x v="1"/>
    <x v="1"/>
    <x v="1"/>
    <d v="1900-01-05T00:00:00"/>
    <n v="36"/>
    <x v="5"/>
    <x v="2"/>
  </r>
  <r>
    <x v="415"/>
    <n v="350"/>
    <x v="370"/>
    <n v="397.97"/>
    <s v="Complete Access"/>
    <x v="36"/>
    <x v="0"/>
    <x v="0"/>
    <d v="1900-01-04T00:00:00"/>
    <n v="36"/>
    <x v="5"/>
    <x v="2"/>
  </r>
  <r>
    <x v="415"/>
    <n v="-480"/>
    <x v="890"/>
    <n v="63.47"/>
    <s v="Complete Access"/>
    <x v="311"/>
    <x v="4"/>
    <x v="17"/>
    <d v="1900-01-04T00:00:00"/>
    <n v="36"/>
    <x v="5"/>
    <x v="2"/>
  </r>
  <r>
    <x v="415"/>
    <n v="-15.5"/>
    <x v="8"/>
    <n v="47.97"/>
    <s v="Complete Access"/>
    <x v="7"/>
    <x v="1"/>
    <x v="5"/>
    <d v="1900-01-04T00:00:00"/>
    <n v="36"/>
    <x v="5"/>
    <x v="2"/>
  </r>
  <r>
    <x v="415"/>
    <n v="-45.22"/>
    <x v="891"/>
    <n v="543.47"/>
    <s v="Complete Access"/>
    <x v="1"/>
    <x v="1"/>
    <x v="1"/>
    <d v="1900-01-04T00:00:00"/>
    <n v="36"/>
    <x v="5"/>
    <x v="2"/>
  </r>
  <r>
    <x v="415"/>
    <n v="-350"/>
    <x v="581"/>
    <n v="37574.160000000003"/>
    <s v="Netbank Saver"/>
    <x v="0"/>
    <x v="0"/>
    <x v="0"/>
    <d v="1900-01-04T00:00:00"/>
    <n v="36"/>
    <x v="5"/>
    <x v="2"/>
  </r>
  <r>
    <x v="416"/>
    <n v="-14.5"/>
    <x v="8"/>
    <n v="588.69000000000005"/>
    <s v="Complete Access"/>
    <x v="7"/>
    <x v="1"/>
    <x v="5"/>
    <d v="1900-01-03T00:00:00"/>
    <n v="36"/>
    <x v="5"/>
    <x v="2"/>
  </r>
  <r>
    <x v="417"/>
    <n v="-18"/>
    <x v="892"/>
    <n v="603.19000000000005"/>
    <s v="Complete Access"/>
    <x v="312"/>
    <x v="1"/>
    <x v="5"/>
    <d v="1900-01-02T00:00:00"/>
    <n v="36"/>
    <x v="5"/>
    <x v="2"/>
  </r>
  <r>
    <x v="418"/>
    <n v="-20"/>
    <x v="782"/>
    <n v="714.54"/>
    <s v="Complete Access"/>
    <x v="130"/>
    <x v="0"/>
    <x v="0"/>
    <d v="1900-01-01T00:00:00"/>
    <n v="35"/>
    <x v="5"/>
    <x v="2"/>
  </r>
  <r>
    <x v="418"/>
    <n v="100"/>
    <x v="370"/>
    <n v="651.19000000000005"/>
    <s v="Complete Access"/>
    <x v="36"/>
    <x v="0"/>
    <x v="0"/>
    <d v="1900-01-01T00:00:00"/>
    <n v="35"/>
    <x v="5"/>
    <x v="2"/>
  </r>
  <r>
    <x v="418"/>
    <n v="270"/>
    <x v="370"/>
    <n v="921.19"/>
    <s v="Complete Access"/>
    <x v="36"/>
    <x v="0"/>
    <x v="0"/>
    <d v="1900-01-01T00:00:00"/>
    <n v="35"/>
    <x v="5"/>
    <x v="2"/>
  </r>
  <r>
    <x v="418"/>
    <n v="300"/>
    <x v="370"/>
    <n v="734.54"/>
    <s v="Complete Access"/>
    <x v="36"/>
    <x v="0"/>
    <x v="0"/>
    <d v="1900-01-01T00:00:00"/>
    <n v="35"/>
    <x v="5"/>
    <x v="2"/>
  </r>
  <r>
    <x v="418"/>
    <n v="-11.6"/>
    <x v="893"/>
    <n v="551.19000000000005"/>
    <s v="Complete Access"/>
    <x v="313"/>
    <x v="8"/>
    <x v="29"/>
    <d v="1900-01-01T00:00:00"/>
    <n v="35"/>
    <x v="5"/>
    <x v="2"/>
  </r>
  <r>
    <x v="418"/>
    <n v="-11.1"/>
    <x v="893"/>
    <n v="562.79"/>
    <s v="Complete Access"/>
    <x v="313"/>
    <x v="8"/>
    <x v="29"/>
    <d v="1900-01-01T00:00:00"/>
    <n v="35"/>
    <x v="5"/>
    <x v="2"/>
  </r>
  <r>
    <x v="418"/>
    <n v="-11.1"/>
    <x v="893"/>
    <n v="573.89"/>
    <s v="Complete Access"/>
    <x v="313"/>
    <x v="8"/>
    <x v="29"/>
    <d v="1900-01-01T00:00:00"/>
    <n v="35"/>
    <x v="5"/>
    <x v="2"/>
  </r>
  <r>
    <x v="418"/>
    <n v="-15"/>
    <x v="894"/>
    <n v="600.99"/>
    <s v="Complete Access"/>
    <x v="263"/>
    <x v="0"/>
    <x v="0"/>
    <d v="1900-01-01T00:00:00"/>
    <n v="35"/>
    <x v="5"/>
    <x v="2"/>
  </r>
  <r>
    <x v="418"/>
    <n v="-16"/>
    <x v="895"/>
    <n v="584.99"/>
    <s v="Complete Access"/>
    <x v="314"/>
    <x v="8"/>
    <x v="29"/>
    <d v="1900-01-01T00:00:00"/>
    <n v="35"/>
    <x v="5"/>
    <x v="2"/>
  </r>
  <r>
    <x v="418"/>
    <n v="-23.6"/>
    <x v="895"/>
    <n v="615.99"/>
    <s v="Complete Access"/>
    <x v="314"/>
    <x v="8"/>
    <x v="29"/>
    <d v="1900-01-01T00:00:00"/>
    <n v="35"/>
    <x v="5"/>
    <x v="2"/>
  </r>
  <r>
    <x v="418"/>
    <n v="-11.6"/>
    <x v="895"/>
    <n v="639.59"/>
    <s v="Complete Access"/>
    <x v="314"/>
    <x v="8"/>
    <x v="29"/>
    <d v="1900-01-01T00:00:00"/>
    <n v="35"/>
    <x v="5"/>
    <x v="2"/>
  </r>
  <r>
    <x v="418"/>
    <n v="-13.2"/>
    <x v="895"/>
    <n v="651.19000000000005"/>
    <s v="Complete Access"/>
    <x v="314"/>
    <x v="8"/>
    <x v="29"/>
    <d v="1900-01-01T00:00:00"/>
    <n v="35"/>
    <x v="5"/>
    <x v="2"/>
  </r>
  <r>
    <x v="418"/>
    <n v="-26.95"/>
    <x v="895"/>
    <n v="664.39"/>
    <s v="Complete Access"/>
    <x v="314"/>
    <x v="8"/>
    <x v="29"/>
    <d v="1900-01-01T00:00:00"/>
    <n v="35"/>
    <x v="5"/>
    <x v="2"/>
  </r>
  <r>
    <x v="418"/>
    <n v="-11.6"/>
    <x v="895"/>
    <n v="691.34"/>
    <s v="Complete Access"/>
    <x v="314"/>
    <x v="8"/>
    <x v="29"/>
    <d v="1900-01-01T00:00:00"/>
    <n v="35"/>
    <x v="5"/>
    <x v="2"/>
  </r>
  <r>
    <x v="418"/>
    <n v="-11.6"/>
    <x v="895"/>
    <n v="702.94"/>
    <s v="Complete Access"/>
    <x v="314"/>
    <x v="8"/>
    <x v="29"/>
    <d v="1900-01-01T00:00:00"/>
    <n v="35"/>
    <x v="5"/>
    <x v="2"/>
  </r>
  <r>
    <x v="418"/>
    <n v="-300"/>
    <x v="581"/>
    <n v="38294.160000000003"/>
    <s v="Netbank Saver"/>
    <x v="0"/>
    <x v="0"/>
    <x v="0"/>
    <d v="1900-01-01T00:00:00"/>
    <n v="35"/>
    <x v="5"/>
    <x v="2"/>
  </r>
  <r>
    <x v="418"/>
    <n v="-270"/>
    <x v="896"/>
    <n v="651.19000000000005"/>
    <s v="Complete Access"/>
    <x v="0"/>
    <x v="0"/>
    <x v="0"/>
    <d v="1900-01-01T00:00:00"/>
    <n v="35"/>
    <x v="5"/>
    <x v="2"/>
  </r>
  <r>
    <x v="418"/>
    <n v="-270"/>
    <x v="581"/>
    <n v="38024.160000000003"/>
    <s v="Netbank Saver"/>
    <x v="0"/>
    <x v="0"/>
    <x v="0"/>
    <d v="1900-01-01T00:00:00"/>
    <n v="35"/>
    <x v="5"/>
    <x v="2"/>
  </r>
  <r>
    <x v="418"/>
    <n v="-100"/>
    <x v="581"/>
    <n v="37924.160000000003"/>
    <s v="Netbank Saver"/>
    <x v="0"/>
    <x v="0"/>
    <x v="0"/>
    <d v="1900-01-01T00:00:00"/>
    <n v="35"/>
    <x v="5"/>
    <x v="2"/>
  </r>
  <r>
    <x v="418"/>
    <n v="-30"/>
    <x v="69"/>
    <n v="621.19000000000005"/>
    <s v="Complete Access"/>
    <x v="0"/>
    <x v="0"/>
    <x v="0"/>
    <d v="1900-01-01T00:00:00"/>
    <n v="35"/>
    <x v="5"/>
    <x v="2"/>
  </r>
  <r>
    <x v="419"/>
    <n v="-3300"/>
    <x v="538"/>
    <n v="635.44000000000005"/>
    <s v="Complete Access"/>
    <x v="0"/>
    <x v="0"/>
    <x v="0"/>
    <d v="1899-12-31T00:00:00"/>
    <n v="35"/>
    <x v="5"/>
    <x v="2"/>
  </r>
  <r>
    <x v="419"/>
    <n v="-5.85"/>
    <x v="897"/>
    <n v="629.59"/>
    <s v="Complete Access"/>
    <x v="27"/>
    <x v="1"/>
    <x v="5"/>
    <d v="1899-12-31T00:00:00"/>
    <n v="35"/>
    <x v="5"/>
    <x v="2"/>
  </r>
  <r>
    <x v="419"/>
    <n v="-195.05"/>
    <x v="898"/>
    <n v="434.54"/>
    <s v="Complete Access"/>
    <x v="76"/>
    <x v="2"/>
    <x v="2"/>
    <d v="1899-12-31T00:00:00"/>
    <n v="35"/>
    <x v="5"/>
    <x v="2"/>
  </r>
  <r>
    <x v="419"/>
    <n v="124.73"/>
    <x v="609"/>
    <n v="38594.160000000003"/>
    <s v="Netbank Saver"/>
    <x v="240"/>
    <x v="0"/>
    <x v="55"/>
    <d v="1899-12-31T00:00:00"/>
    <n v="35"/>
    <x v="5"/>
    <x v="2"/>
  </r>
  <r>
    <x v="419"/>
    <n v="3300"/>
    <x v="702"/>
    <n v="38469.43"/>
    <s v="Netbank Saver"/>
    <x v="36"/>
    <x v="0"/>
    <x v="0"/>
    <d v="1899-12-31T00:00:00"/>
    <n v="35"/>
    <x v="5"/>
    <x v="2"/>
  </r>
  <r>
    <x v="420"/>
    <n v="-500"/>
    <x v="656"/>
    <n v="3886.79"/>
    <s v="Complete Access"/>
    <x v="13"/>
    <x v="0"/>
    <x v="0"/>
    <d v="1900-01-30T00:00:00"/>
    <n v="35"/>
    <x v="6"/>
    <x v="2"/>
  </r>
  <r>
    <x v="420"/>
    <n v="-40"/>
    <x v="899"/>
    <n v="3846.79"/>
    <s v="Complete Access"/>
    <x v="12"/>
    <x v="5"/>
    <x v="8"/>
    <d v="1900-01-30T00:00:00"/>
    <n v="35"/>
    <x v="6"/>
    <x v="2"/>
  </r>
  <r>
    <x v="420"/>
    <n v="2348.84"/>
    <x v="900"/>
    <n v="4386.79"/>
    <s v="Complete Access"/>
    <x v="14"/>
    <x v="6"/>
    <x v="9"/>
    <d v="1900-01-30T00:00:00"/>
    <n v="35"/>
    <x v="6"/>
    <x v="2"/>
  </r>
  <r>
    <x v="420"/>
    <n v="100"/>
    <x v="901"/>
    <n v="3946.79"/>
    <s v="Complete Access"/>
    <x v="36"/>
    <x v="0"/>
    <x v="0"/>
    <d v="1900-01-30T00:00:00"/>
    <n v="35"/>
    <x v="6"/>
    <x v="2"/>
  </r>
  <r>
    <x v="420"/>
    <n v="-11.35"/>
    <x v="454"/>
    <n v="3935.44"/>
    <s v="Complete Access"/>
    <x v="9"/>
    <x v="4"/>
    <x v="6"/>
    <d v="1900-01-30T00:00:00"/>
    <n v="35"/>
    <x v="6"/>
    <x v="2"/>
  </r>
  <r>
    <x v="421"/>
    <n v="-14.5"/>
    <x v="8"/>
    <n v="2037.95"/>
    <s v="Complete Access"/>
    <x v="7"/>
    <x v="1"/>
    <x v="5"/>
    <d v="1900-01-29T00:00:00"/>
    <n v="35"/>
    <x v="6"/>
    <x v="2"/>
  </r>
  <r>
    <x v="422"/>
    <n v="-62.93"/>
    <x v="902"/>
    <n v="2132.59"/>
    <s v="Complete Access"/>
    <x v="8"/>
    <x v="1"/>
    <x v="5"/>
    <d v="1900-01-28T00:00:00"/>
    <n v="35"/>
    <x v="6"/>
    <x v="2"/>
  </r>
  <r>
    <x v="422"/>
    <n v="-40"/>
    <x v="903"/>
    <n v="2195.52"/>
    <s v="Complete Access"/>
    <x v="12"/>
    <x v="5"/>
    <x v="8"/>
    <d v="1900-01-28T00:00:00"/>
    <n v="35"/>
    <x v="6"/>
    <x v="2"/>
  </r>
  <r>
    <x v="422"/>
    <n v="-48"/>
    <x v="904"/>
    <n v="2066.9499999999998"/>
    <s v="Complete Access"/>
    <x v="27"/>
    <x v="1"/>
    <x v="5"/>
    <d v="1900-01-28T00:00:00"/>
    <n v="35"/>
    <x v="6"/>
    <x v="2"/>
  </r>
  <r>
    <x v="422"/>
    <n v="-17.13"/>
    <x v="905"/>
    <n v="2115.46"/>
    <s v="Complete Access"/>
    <x v="74"/>
    <x v="4"/>
    <x v="10"/>
    <d v="1900-01-28T00:00:00"/>
    <n v="35"/>
    <x v="6"/>
    <x v="2"/>
  </r>
  <r>
    <x v="422"/>
    <n v="-0.51"/>
    <x v="906"/>
    <n v="2114.9499999999998"/>
    <s v="Complete Access"/>
    <x v="10"/>
    <x v="0"/>
    <x v="0"/>
    <d v="1900-01-28T00:00:00"/>
    <n v="35"/>
    <x v="6"/>
    <x v="2"/>
  </r>
  <r>
    <x v="422"/>
    <n v="-14.5"/>
    <x v="8"/>
    <n v="2052.4499999999998"/>
    <s v="Complete Access"/>
    <x v="7"/>
    <x v="1"/>
    <x v="5"/>
    <d v="1900-01-28T00:00:00"/>
    <n v="35"/>
    <x v="6"/>
    <x v="2"/>
  </r>
  <r>
    <x v="423"/>
    <n v="16"/>
    <x v="907"/>
    <n v="2235.52"/>
    <s v="Complete Access"/>
    <x v="36"/>
    <x v="0"/>
    <x v="0"/>
    <d v="1900-01-26T00:00:00"/>
    <n v="35"/>
    <x v="6"/>
    <x v="2"/>
  </r>
  <r>
    <x v="424"/>
    <n v="-3.93"/>
    <x v="908"/>
    <n v="2251.89"/>
    <s v="Complete Access"/>
    <x v="285"/>
    <x v="5"/>
    <x v="8"/>
    <d v="1900-01-25T00:00:00"/>
    <n v="34"/>
    <x v="6"/>
    <x v="2"/>
  </r>
  <r>
    <x v="424"/>
    <n v="-32.369999999999997"/>
    <x v="578"/>
    <n v="2219.52"/>
    <s v="Complete Access"/>
    <x v="177"/>
    <x v="1"/>
    <x v="1"/>
    <d v="1900-01-25T00:00:00"/>
    <n v="34"/>
    <x v="6"/>
    <x v="2"/>
  </r>
  <r>
    <x v="425"/>
    <n v="-8.99"/>
    <x v="909"/>
    <n v="2268.8000000000002"/>
    <s v="Complete Access"/>
    <x v="27"/>
    <x v="1"/>
    <x v="5"/>
    <d v="1900-01-24T00:00:00"/>
    <n v="34"/>
    <x v="6"/>
    <x v="2"/>
  </r>
  <r>
    <x v="425"/>
    <n v="-12.98"/>
    <x v="910"/>
    <n v="2255.8200000000002"/>
    <s v="Complete Access"/>
    <x v="315"/>
    <x v="11"/>
    <x v="14"/>
    <d v="1900-01-24T00:00:00"/>
    <n v="34"/>
    <x v="6"/>
    <x v="2"/>
  </r>
  <r>
    <x v="426"/>
    <n v="35"/>
    <x v="911"/>
    <n v="2277.79"/>
    <s v="Complete Access"/>
    <x v="36"/>
    <x v="0"/>
    <x v="0"/>
    <d v="1900-01-23T00:00:00"/>
    <n v="34"/>
    <x v="6"/>
    <x v="2"/>
  </r>
  <r>
    <x v="427"/>
    <n v="-15"/>
    <x v="18"/>
    <n v="2242.79"/>
    <s v="Complete Access"/>
    <x v="16"/>
    <x v="1"/>
    <x v="5"/>
    <d v="1900-01-22T00:00:00"/>
    <n v="34"/>
    <x v="6"/>
    <x v="2"/>
  </r>
  <r>
    <x v="427"/>
    <n v="-11.13"/>
    <x v="912"/>
    <n v="2257.79"/>
    <s v="Complete Access"/>
    <x v="267"/>
    <x v="1"/>
    <x v="1"/>
    <d v="1900-01-22T00:00:00"/>
    <n v="34"/>
    <x v="6"/>
    <x v="2"/>
  </r>
  <r>
    <x v="428"/>
    <n v="-49.28"/>
    <x v="913"/>
    <n v="2410.5100000000002"/>
    <s v="Complete Access"/>
    <x v="8"/>
    <x v="1"/>
    <x v="5"/>
    <d v="1900-01-21T00:00:00"/>
    <n v="34"/>
    <x v="6"/>
    <x v="2"/>
  </r>
  <r>
    <x v="428"/>
    <n v="-107.05"/>
    <x v="914"/>
    <n v="2283.42"/>
    <s v="Complete Access"/>
    <x v="8"/>
    <x v="1"/>
    <x v="5"/>
    <d v="1900-01-21T00:00:00"/>
    <n v="34"/>
    <x v="6"/>
    <x v="2"/>
  </r>
  <r>
    <x v="428"/>
    <n v="-7.8"/>
    <x v="915"/>
    <n v="2459.79"/>
    <s v="Complete Access"/>
    <x v="218"/>
    <x v="8"/>
    <x v="29"/>
    <d v="1900-01-21T00:00:00"/>
    <n v="34"/>
    <x v="6"/>
    <x v="2"/>
  </r>
  <r>
    <x v="428"/>
    <n v="-14.5"/>
    <x v="8"/>
    <n v="2268.92"/>
    <s v="Complete Access"/>
    <x v="7"/>
    <x v="1"/>
    <x v="5"/>
    <d v="1900-01-21T00:00:00"/>
    <n v="34"/>
    <x v="6"/>
    <x v="2"/>
  </r>
  <r>
    <x v="428"/>
    <n v="-20.04"/>
    <x v="916"/>
    <n v="2390.4699999999998"/>
    <s v="Complete Access"/>
    <x v="316"/>
    <x v="1"/>
    <x v="5"/>
    <d v="1900-01-21T00:00:00"/>
    <n v="34"/>
    <x v="6"/>
    <x v="2"/>
  </r>
  <r>
    <x v="429"/>
    <n v="-93.08"/>
    <x v="772"/>
    <n v="2467.59"/>
    <s v="Complete Access"/>
    <x v="278"/>
    <x v="20"/>
    <x v="63"/>
    <d v="1900-01-20T00:00:00"/>
    <n v="34"/>
    <x v="6"/>
    <x v="2"/>
  </r>
  <r>
    <x v="430"/>
    <n v="-17.600000000000001"/>
    <x v="917"/>
    <n v="2525.67"/>
    <s v="Complete Access"/>
    <x v="317"/>
    <x v="1"/>
    <x v="5"/>
    <d v="1900-01-18T00:00:00"/>
    <n v="33"/>
    <x v="6"/>
    <x v="2"/>
  </r>
  <r>
    <x v="430"/>
    <n v="35"/>
    <x v="918"/>
    <n v="2560.67"/>
    <s v="Complete Access"/>
    <x v="36"/>
    <x v="0"/>
    <x v="0"/>
    <d v="1900-01-18T00:00:00"/>
    <n v="33"/>
    <x v="6"/>
    <x v="2"/>
  </r>
  <r>
    <x v="431"/>
    <n v="-342.5"/>
    <x v="919"/>
    <n v="2543.27"/>
    <s v="Complete Access"/>
    <x v="95"/>
    <x v="14"/>
    <x v="38"/>
    <d v="1900-01-17T00:00:00"/>
    <n v="33"/>
    <x v="6"/>
    <x v="2"/>
  </r>
  <r>
    <x v="432"/>
    <n v="-500"/>
    <x v="656"/>
    <n v="2863.83"/>
    <s v="Complete Access"/>
    <x v="13"/>
    <x v="0"/>
    <x v="0"/>
    <d v="1900-01-16T00:00:00"/>
    <n v="33"/>
    <x v="6"/>
    <x v="2"/>
  </r>
  <r>
    <x v="432"/>
    <n v="-28.39"/>
    <x v="920"/>
    <n v="2835.44"/>
    <s v="Complete Access"/>
    <x v="8"/>
    <x v="1"/>
    <x v="5"/>
    <d v="1900-01-16T00:00:00"/>
    <n v="33"/>
    <x v="6"/>
    <x v="2"/>
  </r>
  <r>
    <x v="432"/>
    <n v="2348.83"/>
    <x v="921"/>
    <n v="3363.83"/>
    <s v="Complete Access"/>
    <x v="14"/>
    <x v="6"/>
    <x v="9"/>
    <d v="1900-01-16T00:00:00"/>
    <n v="33"/>
    <x v="6"/>
    <x v="2"/>
  </r>
  <r>
    <x v="432"/>
    <n v="-37.200000000000003"/>
    <x v="922"/>
    <n v="2798.24"/>
    <s v="Complete Access"/>
    <x v="318"/>
    <x v="4"/>
    <x v="25"/>
    <d v="1900-01-16T00:00:00"/>
    <n v="33"/>
    <x v="6"/>
    <x v="2"/>
  </r>
  <r>
    <x v="432"/>
    <n v="-1.1200000000000001"/>
    <x v="923"/>
    <n v="2797.12"/>
    <s v="Complete Access"/>
    <x v="10"/>
    <x v="0"/>
    <x v="0"/>
    <d v="1900-01-16T00:00:00"/>
    <n v="33"/>
    <x v="6"/>
    <x v="2"/>
  </r>
  <r>
    <x v="432"/>
    <n v="100"/>
    <x v="924"/>
    <n v="2897.12"/>
    <s v="Complete Access"/>
    <x v="36"/>
    <x v="0"/>
    <x v="0"/>
    <d v="1900-01-16T00:00:00"/>
    <n v="33"/>
    <x v="6"/>
    <x v="2"/>
  </r>
  <r>
    <x v="432"/>
    <n v="-11.35"/>
    <x v="454"/>
    <n v="2885.77"/>
    <s v="Complete Access"/>
    <x v="9"/>
    <x v="4"/>
    <x v="6"/>
    <d v="1900-01-16T00:00:00"/>
    <n v="33"/>
    <x v="6"/>
    <x v="2"/>
  </r>
  <r>
    <x v="433"/>
    <n v="-100"/>
    <x v="925"/>
    <n v="1106.73"/>
    <s v="Complete Access"/>
    <x v="311"/>
    <x v="4"/>
    <x v="17"/>
    <d v="1900-01-15T00:00:00"/>
    <n v="33"/>
    <x v="6"/>
    <x v="2"/>
  </r>
  <r>
    <x v="433"/>
    <n v="-735.73"/>
    <x v="926"/>
    <n v="1251.42"/>
    <s v="Complete Access"/>
    <x v="93"/>
    <x v="9"/>
    <x v="36"/>
    <d v="1900-01-15T00:00:00"/>
    <n v="33"/>
    <x v="6"/>
    <x v="2"/>
  </r>
  <r>
    <x v="433"/>
    <n v="-18.45"/>
    <x v="578"/>
    <n v="1073.29"/>
    <s v="Complete Access"/>
    <x v="177"/>
    <x v="1"/>
    <x v="1"/>
    <d v="1900-01-15T00:00:00"/>
    <n v="33"/>
    <x v="6"/>
    <x v="2"/>
  </r>
  <r>
    <x v="433"/>
    <n v="-58.29"/>
    <x v="405"/>
    <n v="1015"/>
    <s v="Complete Access"/>
    <x v="177"/>
    <x v="1"/>
    <x v="1"/>
    <d v="1900-01-15T00:00:00"/>
    <n v="33"/>
    <x v="6"/>
    <x v="2"/>
  </r>
  <r>
    <x v="433"/>
    <n v="-14.99"/>
    <x v="927"/>
    <n v="1091.74"/>
    <s v="Complete Access"/>
    <x v="319"/>
    <x v="1"/>
    <x v="5"/>
    <d v="1900-01-15T00:00:00"/>
    <n v="33"/>
    <x v="6"/>
    <x v="2"/>
  </r>
  <r>
    <x v="433"/>
    <n v="-44.69"/>
    <x v="928"/>
    <n v="1206.73"/>
    <s v="Complete Access"/>
    <x v="1"/>
    <x v="1"/>
    <x v="1"/>
    <d v="1900-01-15T00:00:00"/>
    <n v="33"/>
    <x v="6"/>
    <x v="2"/>
  </r>
  <r>
    <x v="434"/>
    <n v="-1000"/>
    <x v="581"/>
    <n v="35169.43"/>
    <s v="Netbank Saver"/>
    <x v="0"/>
    <x v="0"/>
    <x v="0"/>
    <d v="1900-01-14T00:00:00"/>
    <n v="33"/>
    <x v="6"/>
    <x v="2"/>
  </r>
  <r>
    <x v="434"/>
    <n v="1000"/>
    <x v="370"/>
    <n v="1987.15"/>
    <s v="Complete Access"/>
    <x v="36"/>
    <x v="0"/>
    <x v="0"/>
    <d v="1900-01-14T00:00:00"/>
    <n v="33"/>
    <x v="6"/>
    <x v="2"/>
  </r>
  <r>
    <x v="434"/>
    <n v="-16.989999999999998"/>
    <x v="405"/>
    <n v="987.15"/>
    <s v="Complete Access"/>
    <x v="177"/>
    <x v="1"/>
    <x v="1"/>
    <d v="1900-01-14T00:00:00"/>
    <n v="33"/>
    <x v="6"/>
    <x v="2"/>
  </r>
  <r>
    <x v="435"/>
    <n v="-68"/>
    <x v="536"/>
    <n v="1004.14"/>
    <s v="Complete Access"/>
    <x v="216"/>
    <x v="9"/>
    <x v="36"/>
    <d v="1900-01-13T00:00:00"/>
    <n v="33"/>
    <x v="6"/>
    <x v="2"/>
  </r>
  <r>
    <x v="435"/>
    <n v="-22.53"/>
    <x v="532"/>
    <n v="1072.1400000000001"/>
    <s v="Complete Access"/>
    <x v="1"/>
    <x v="1"/>
    <x v="1"/>
    <d v="1900-01-13T00:00:00"/>
    <n v="33"/>
    <x v="6"/>
    <x v="2"/>
  </r>
  <r>
    <x v="436"/>
    <n v="-32"/>
    <x v="929"/>
    <n v="1094.67"/>
    <s v="Complete Access"/>
    <x v="320"/>
    <x v="8"/>
    <x v="29"/>
    <d v="1900-01-11T00:00:00"/>
    <n v="32"/>
    <x v="6"/>
    <x v="2"/>
  </r>
  <r>
    <x v="436"/>
    <n v="-1439.2"/>
    <x v="930"/>
    <n v="1164.97"/>
    <s v="Complete Access"/>
    <x v="321"/>
    <x v="4"/>
    <x v="47"/>
    <d v="1900-01-11T00:00:00"/>
    <n v="32"/>
    <x v="6"/>
    <x v="2"/>
  </r>
  <r>
    <x v="436"/>
    <n v="-38.299999999999997"/>
    <x v="931"/>
    <n v="1126.67"/>
    <s v="Complete Access"/>
    <x v="322"/>
    <x v="1"/>
    <x v="5"/>
    <d v="1900-01-11T00:00:00"/>
    <n v="32"/>
    <x v="6"/>
    <x v="2"/>
  </r>
  <r>
    <x v="437"/>
    <n v="-1500"/>
    <x v="932"/>
    <n v="36169.43"/>
    <s v="Netbank Saver"/>
    <x v="0"/>
    <x v="0"/>
    <x v="0"/>
    <d v="1900-01-09T00:00:00"/>
    <n v="32"/>
    <x v="6"/>
    <x v="2"/>
  </r>
  <r>
    <x v="437"/>
    <n v="1500"/>
    <x v="933"/>
    <n v="2604.17"/>
    <s v="Complete Access"/>
    <x v="36"/>
    <x v="0"/>
    <x v="0"/>
    <d v="1900-01-09T00:00:00"/>
    <n v="32"/>
    <x v="6"/>
    <x v="2"/>
  </r>
  <r>
    <x v="438"/>
    <n v="-1101.8900000000001"/>
    <x v="934"/>
    <n v="1174.6600000000001"/>
    <s v="Complete Access"/>
    <x v="13"/>
    <x v="0"/>
    <x v="0"/>
    <d v="1900-01-08T00:00:00"/>
    <n v="32"/>
    <x v="6"/>
    <x v="2"/>
  </r>
  <r>
    <x v="438"/>
    <n v="-33.24"/>
    <x v="533"/>
    <n v="1104.17"/>
    <s v="Complete Access"/>
    <x v="215"/>
    <x v="1"/>
    <x v="1"/>
    <d v="1900-01-08T00:00:00"/>
    <n v="32"/>
    <x v="6"/>
    <x v="2"/>
  </r>
  <r>
    <x v="438"/>
    <n v="-37.25"/>
    <x v="405"/>
    <n v="1137.4100000000001"/>
    <s v="Complete Access"/>
    <x v="177"/>
    <x v="1"/>
    <x v="1"/>
    <d v="1900-01-08T00:00:00"/>
    <n v="32"/>
    <x v="6"/>
    <x v="2"/>
  </r>
  <r>
    <x v="439"/>
    <n v="1.49"/>
    <x v="935"/>
    <n v="1947.19"/>
    <s v="Complete Access"/>
    <x v="323"/>
    <x v="0"/>
    <x v="0"/>
    <d v="1900-01-07T00:00:00"/>
    <n v="32"/>
    <x v="6"/>
    <x v="2"/>
  </r>
  <r>
    <x v="439"/>
    <n v="1.36"/>
    <x v="935"/>
    <n v="1945.7"/>
    <s v="Complete Access"/>
    <x v="323"/>
    <x v="0"/>
    <x v="0"/>
    <d v="1900-01-07T00:00:00"/>
    <n v="32"/>
    <x v="6"/>
    <x v="2"/>
  </r>
  <r>
    <x v="439"/>
    <n v="0.36"/>
    <x v="935"/>
    <n v="1944.34"/>
    <s v="Complete Access"/>
    <x v="323"/>
    <x v="0"/>
    <x v="0"/>
    <d v="1900-01-07T00:00:00"/>
    <n v="32"/>
    <x v="6"/>
    <x v="2"/>
  </r>
  <r>
    <x v="439"/>
    <n v="1.08"/>
    <x v="935"/>
    <n v="1943.98"/>
    <s v="Complete Access"/>
    <x v="323"/>
    <x v="0"/>
    <x v="0"/>
    <d v="1900-01-07T00:00:00"/>
    <n v="32"/>
    <x v="6"/>
    <x v="2"/>
  </r>
  <r>
    <x v="439"/>
    <n v="5.6"/>
    <x v="935"/>
    <n v="1942.9"/>
    <s v="Complete Access"/>
    <x v="323"/>
    <x v="0"/>
    <x v="0"/>
    <d v="1900-01-07T00:00:00"/>
    <n v="32"/>
    <x v="6"/>
    <x v="2"/>
  </r>
  <r>
    <x v="439"/>
    <n v="49.56"/>
    <x v="936"/>
    <n v="2276.5500000000002"/>
    <s v="Complete Access"/>
    <x v="324"/>
    <x v="0"/>
    <x v="0"/>
    <d v="1900-01-07T00:00:00"/>
    <n v="32"/>
    <x v="6"/>
    <x v="2"/>
  </r>
  <r>
    <x v="439"/>
    <n v="45.39"/>
    <x v="937"/>
    <n v="2226.9899999999998"/>
    <s v="Complete Access"/>
    <x v="324"/>
    <x v="0"/>
    <x v="0"/>
    <d v="1900-01-07T00:00:00"/>
    <n v="32"/>
    <x v="6"/>
    <x v="2"/>
  </r>
  <r>
    <x v="439"/>
    <n v="35.909999999999997"/>
    <x v="938"/>
    <n v="2169.69"/>
    <s v="Complete Access"/>
    <x v="324"/>
    <x v="0"/>
    <x v="0"/>
    <d v="1900-01-07T00:00:00"/>
    <n v="32"/>
    <x v="6"/>
    <x v="2"/>
  </r>
  <r>
    <x v="439"/>
    <n v="186.59"/>
    <x v="939"/>
    <n v="2133.7800000000002"/>
    <s v="Complete Access"/>
    <x v="324"/>
    <x v="0"/>
    <x v="0"/>
    <d v="1900-01-07T00:00:00"/>
    <n v="32"/>
    <x v="6"/>
    <x v="2"/>
  </r>
  <r>
    <x v="439"/>
    <n v="11.91"/>
    <x v="940"/>
    <n v="2181.6"/>
    <s v="Complete Access"/>
    <x v="324"/>
    <x v="0"/>
    <x v="0"/>
    <d v="1900-01-07T00:00:00"/>
    <n v="32"/>
    <x v="6"/>
    <x v="2"/>
  </r>
  <r>
    <x v="440"/>
    <n v="100"/>
    <x v="941"/>
    <n v="2037.3"/>
    <s v="Complete Access"/>
    <x v="27"/>
    <x v="1"/>
    <x v="5"/>
    <d v="1900-01-06T00:00:00"/>
    <n v="32"/>
    <x v="6"/>
    <x v="2"/>
  </r>
  <r>
    <x v="440"/>
    <n v="-100"/>
    <x v="942"/>
    <n v="1937.3"/>
    <s v="Complete Access"/>
    <x v="27"/>
    <x v="1"/>
    <x v="5"/>
    <d v="1900-01-06T00:00:00"/>
    <n v="32"/>
    <x v="6"/>
    <x v="2"/>
  </r>
  <r>
    <x v="440"/>
    <n v="-100"/>
    <x v="942"/>
    <n v="1937.3"/>
    <s v="Complete Access"/>
    <x v="27"/>
    <x v="1"/>
    <x v="5"/>
    <d v="1900-01-06T00:00:00"/>
    <n v="32"/>
    <x v="6"/>
    <x v="2"/>
  </r>
  <r>
    <x v="441"/>
    <n v="-40"/>
    <x v="942"/>
    <n v="2037.3"/>
    <s v="Complete Access"/>
    <x v="27"/>
    <x v="1"/>
    <x v="5"/>
    <d v="1900-01-03T00:00:00"/>
    <n v="31"/>
    <x v="6"/>
    <x v="2"/>
  </r>
  <r>
    <x v="442"/>
    <n v="-35000"/>
    <x v="943"/>
    <n v="1088.6500000000001"/>
    <s v="Complete Access"/>
    <x v="0"/>
    <x v="0"/>
    <x v="0"/>
    <d v="1900-01-02T00:00:00"/>
    <n v="31"/>
    <x v="6"/>
    <x v="2"/>
  </r>
  <r>
    <x v="442"/>
    <n v="-500"/>
    <x v="656"/>
    <n v="36038.65"/>
    <s v="Complete Access"/>
    <x v="13"/>
    <x v="0"/>
    <x v="0"/>
    <d v="1900-01-02T00:00:00"/>
    <n v="31"/>
    <x v="6"/>
    <x v="2"/>
  </r>
  <r>
    <x v="442"/>
    <n v="2348.84"/>
    <x v="944"/>
    <n v="36538.65"/>
    <s v="Complete Access"/>
    <x v="14"/>
    <x v="6"/>
    <x v="9"/>
    <d v="1900-01-02T00:00:00"/>
    <n v="31"/>
    <x v="6"/>
    <x v="2"/>
  </r>
  <r>
    <x v="442"/>
    <n v="100"/>
    <x v="945"/>
    <n v="36138.65"/>
    <s v="Complete Access"/>
    <x v="36"/>
    <x v="0"/>
    <x v="0"/>
    <d v="1900-01-02T00:00:00"/>
    <n v="31"/>
    <x v="6"/>
    <x v="2"/>
  </r>
  <r>
    <x v="442"/>
    <n v="1000"/>
    <x v="946"/>
    <n v="2088.65"/>
    <s v="Complete Access"/>
    <x v="325"/>
    <x v="6"/>
    <x v="64"/>
    <d v="1900-01-02T00:00:00"/>
    <n v="31"/>
    <x v="6"/>
    <x v="2"/>
  </r>
  <r>
    <x v="442"/>
    <n v="-11.35"/>
    <x v="454"/>
    <n v="2077.3000000000002"/>
    <s v="Complete Access"/>
    <x v="9"/>
    <x v="4"/>
    <x v="6"/>
    <d v="1900-01-02T00:00:00"/>
    <n v="31"/>
    <x v="6"/>
    <x v="2"/>
  </r>
  <r>
    <x v="442"/>
    <n v="-50"/>
    <x v="942"/>
    <n v="36088.65"/>
    <s v="Complete Access"/>
    <x v="27"/>
    <x v="1"/>
    <x v="5"/>
    <d v="1900-01-02T00:00:00"/>
    <n v="31"/>
    <x v="6"/>
    <x v="2"/>
  </r>
  <r>
    <x v="442"/>
    <n v="35000"/>
    <x v="947"/>
    <n v="37669.43"/>
    <s v="Netbank Saver"/>
    <x v="36"/>
    <x v="0"/>
    <x v="0"/>
    <d v="1900-01-02T00:00:00"/>
    <n v="31"/>
    <x v="6"/>
    <x v="2"/>
  </r>
  <r>
    <x v="443"/>
    <n v="40"/>
    <x v="941"/>
    <n v="34239.81"/>
    <s v="Complete Access"/>
    <x v="27"/>
    <x v="1"/>
    <x v="5"/>
    <d v="1900-01-01T00:00:00"/>
    <n v="31"/>
    <x v="6"/>
    <x v="2"/>
  </r>
  <r>
    <x v="443"/>
    <n v="-50"/>
    <x v="942"/>
    <n v="34189.81"/>
    <s v="Complete Access"/>
    <x v="27"/>
    <x v="1"/>
    <x v="5"/>
    <d v="1900-01-01T00:00:00"/>
    <n v="31"/>
    <x v="6"/>
    <x v="2"/>
  </r>
  <r>
    <x v="443"/>
    <n v="-40"/>
    <x v="942"/>
    <n v="34199.81"/>
    <s v="Complete Access"/>
    <x v="27"/>
    <x v="1"/>
    <x v="5"/>
    <d v="1900-01-01T00:00:00"/>
    <n v="31"/>
    <x v="6"/>
    <x v="2"/>
  </r>
  <r>
    <x v="444"/>
    <n v="-186.7"/>
    <x v="948"/>
    <n v="34239.81"/>
    <s v="Complete Access"/>
    <x v="76"/>
    <x v="2"/>
    <x v="2"/>
    <d v="1899-12-31T00:00:00"/>
    <n v="31"/>
    <x v="6"/>
    <x v="2"/>
  </r>
  <r>
    <x v="444"/>
    <n v="-20"/>
    <x v="942"/>
    <n v="34426.51"/>
    <s v="Complete Access"/>
    <x v="27"/>
    <x v="1"/>
    <x v="5"/>
    <d v="1899-12-31T00:00:00"/>
    <n v="31"/>
    <x v="6"/>
    <x v="2"/>
  </r>
  <r>
    <x v="444"/>
    <n v="4.9800000000000004"/>
    <x v="609"/>
    <n v="2669.43"/>
    <s v="Netbank Saver"/>
    <x v="240"/>
    <x v="0"/>
    <x v="55"/>
    <d v="1899-12-31T00:00:00"/>
    <n v="31"/>
    <x v="6"/>
    <x v="2"/>
  </r>
  <r>
    <x v="445"/>
    <n v="-60"/>
    <x v="949"/>
    <n v="34446.51"/>
    <s v="Complete Access"/>
    <x v="0"/>
    <x v="0"/>
    <x v="0"/>
    <d v="1900-01-29T00:00:00"/>
    <n v="31"/>
    <x v="7"/>
    <x v="2"/>
  </r>
  <r>
    <x v="445"/>
    <n v="-60"/>
    <x v="949"/>
    <n v="34446.51"/>
    <s v="Complete Access"/>
    <x v="0"/>
    <x v="0"/>
    <x v="0"/>
    <d v="1900-01-29T00:00:00"/>
    <n v="31"/>
    <x v="7"/>
    <x v="2"/>
  </r>
  <r>
    <x v="446"/>
    <n v="150"/>
    <x v="950"/>
    <n v="34656.51"/>
    <s v="Complete Access"/>
    <x v="27"/>
    <x v="1"/>
    <x v="5"/>
    <d v="1900-01-28T00:00:00"/>
    <n v="30"/>
    <x v="7"/>
    <x v="2"/>
  </r>
  <r>
    <x v="446"/>
    <n v="-150"/>
    <x v="951"/>
    <n v="34506.51"/>
    <s v="Complete Access"/>
    <x v="326"/>
    <x v="0"/>
    <x v="42"/>
    <d v="1900-01-28T00:00:00"/>
    <n v="30"/>
    <x v="7"/>
    <x v="2"/>
  </r>
  <r>
    <x v="446"/>
    <n v="-150"/>
    <x v="951"/>
    <n v="34506.51"/>
    <s v="Complete Access"/>
    <x v="326"/>
    <x v="0"/>
    <x v="42"/>
    <d v="1900-01-28T00:00:00"/>
    <n v="30"/>
    <x v="7"/>
    <x v="2"/>
  </r>
  <r>
    <x v="446"/>
    <n v="-150"/>
    <x v="952"/>
    <n v="34506.51"/>
    <s v="Complete Access"/>
    <x v="27"/>
    <x v="1"/>
    <x v="5"/>
    <d v="1900-01-28T00:00:00"/>
    <n v="30"/>
    <x v="7"/>
    <x v="2"/>
  </r>
  <r>
    <x v="447"/>
    <n v="-11.91"/>
    <x v="953"/>
    <n v="34951.949999999997"/>
    <s v="Complete Access"/>
    <x v="8"/>
    <x v="1"/>
    <x v="5"/>
    <d v="1900-01-26T00:00:00"/>
    <n v="30"/>
    <x v="7"/>
    <x v="2"/>
  </r>
  <r>
    <x v="447"/>
    <n v="-49.56"/>
    <x v="954"/>
    <n v="34818.29"/>
    <s v="Complete Access"/>
    <x v="8"/>
    <x v="1"/>
    <x v="5"/>
    <d v="1900-01-26T00:00:00"/>
    <n v="30"/>
    <x v="7"/>
    <x v="2"/>
  </r>
  <r>
    <x v="447"/>
    <n v="-45.39"/>
    <x v="955"/>
    <n v="34869.21"/>
    <s v="Complete Access"/>
    <x v="8"/>
    <x v="1"/>
    <x v="5"/>
    <d v="1900-01-26T00:00:00"/>
    <n v="30"/>
    <x v="7"/>
    <x v="2"/>
  </r>
  <r>
    <x v="447"/>
    <n v="-35.909999999999997"/>
    <x v="956"/>
    <n v="34915.68"/>
    <s v="Complete Access"/>
    <x v="8"/>
    <x v="1"/>
    <x v="5"/>
    <d v="1900-01-26T00:00:00"/>
    <n v="30"/>
    <x v="7"/>
    <x v="2"/>
  </r>
  <r>
    <x v="447"/>
    <n v="-16.39"/>
    <x v="957"/>
    <n v="34657"/>
    <s v="Complete Access"/>
    <x v="74"/>
    <x v="4"/>
    <x v="10"/>
    <d v="1900-01-26T00:00:00"/>
    <n v="30"/>
    <x v="7"/>
    <x v="2"/>
  </r>
  <r>
    <x v="447"/>
    <n v="-0.49"/>
    <x v="958"/>
    <n v="34656.51"/>
    <s v="Complete Access"/>
    <x v="10"/>
    <x v="0"/>
    <x v="0"/>
    <d v="1900-01-26T00:00:00"/>
    <n v="30"/>
    <x v="7"/>
    <x v="2"/>
  </r>
  <r>
    <x v="447"/>
    <n v="-3.3"/>
    <x v="959"/>
    <n v="34703.39"/>
    <s v="Complete Access"/>
    <x v="10"/>
    <x v="0"/>
    <x v="0"/>
    <d v="1900-01-26T00:00:00"/>
    <n v="30"/>
    <x v="7"/>
    <x v="2"/>
  </r>
  <r>
    <x v="447"/>
    <n v="-1.49"/>
    <x v="959"/>
    <n v="34816.800000000003"/>
    <s v="Complete Access"/>
    <x v="10"/>
    <x v="0"/>
    <x v="0"/>
    <d v="1900-01-26T00:00:00"/>
    <n v="30"/>
    <x v="7"/>
    <x v="2"/>
  </r>
  <r>
    <x v="447"/>
    <n v="-1.36"/>
    <x v="959"/>
    <n v="34867.85"/>
    <s v="Complete Access"/>
    <x v="10"/>
    <x v="0"/>
    <x v="0"/>
    <d v="1900-01-26T00:00:00"/>
    <n v="30"/>
    <x v="7"/>
    <x v="2"/>
  </r>
  <r>
    <x v="447"/>
    <n v="-1.08"/>
    <x v="959"/>
    <n v="34914.6"/>
    <s v="Complete Access"/>
    <x v="10"/>
    <x v="0"/>
    <x v="0"/>
    <d v="1900-01-26T00:00:00"/>
    <n v="30"/>
    <x v="7"/>
    <x v="2"/>
  </r>
  <r>
    <x v="447"/>
    <n v="-0.36"/>
    <x v="959"/>
    <n v="34951.589999999997"/>
    <s v="Complete Access"/>
    <x v="10"/>
    <x v="0"/>
    <x v="0"/>
    <d v="1900-01-26T00:00:00"/>
    <n v="30"/>
    <x v="7"/>
    <x v="2"/>
  </r>
  <r>
    <x v="447"/>
    <n v="-15"/>
    <x v="960"/>
    <n v="34673.39"/>
    <s v="Complete Access"/>
    <x v="327"/>
    <x v="4"/>
    <x v="27"/>
    <d v="1900-01-26T00:00:00"/>
    <n v="30"/>
    <x v="7"/>
    <x v="2"/>
  </r>
  <r>
    <x v="447"/>
    <n v="-15"/>
    <x v="960"/>
    <n v="34688.39"/>
    <s v="Complete Access"/>
    <x v="327"/>
    <x v="4"/>
    <x v="27"/>
    <d v="1900-01-26T00:00:00"/>
    <n v="30"/>
    <x v="7"/>
    <x v="2"/>
  </r>
  <r>
    <x v="447"/>
    <n v="-110.11"/>
    <x v="961"/>
    <n v="34706.69"/>
    <s v="Complete Access"/>
    <x v="328"/>
    <x v="4"/>
    <x v="47"/>
    <d v="1900-01-26T00:00:00"/>
    <n v="30"/>
    <x v="7"/>
    <x v="2"/>
  </r>
  <r>
    <x v="448"/>
    <n v="-186.59"/>
    <x v="962"/>
    <n v="34969.46"/>
    <s v="Complete Access"/>
    <x v="8"/>
    <x v="1"/>
    <x v="5"/>
    <d v="1900-01-25T00:00:00"/>
    <n v="30"/>
    <x v="7"/>
    <x v="2"/>
  </r>
  <r>
    <x v="448"/>
    <n v="-5.6"/>
    <x v="959"/>
    <n v="34963.86"/>
    <s v="Complete Access"/>
    <x v="10"/>
    <x v="0"/>
    <x v="0"/>
    <d v="1900-01-25T00:00:00"/>
    <n v="30"/>
    <x v="7"/>
    <x v="2"/>
  </r>
  <r>
    <x v="449"/>
    <n v="-28.49"/>
    <x v="963"/>
    <n v="35201.32"/>
    <s v="Complete Access"/>
    <x v="8"/>
    <x v="1"/>
    <x v="5"/>
    <d v="1900-01-21T00:00:00"/>
    <n v="29"/>
    <x v="7"/>
    <x v="2"/>
  </r>
  <r>
    <x v="449"/>
    <n v="-13.99"/>
    <x v="533"/>
    <n v="35156.050000000003"/>
    <s v="Complete Access"/>
    <x v="215"/>
    <x v="1"/>
    <x v="1"/>
    <d v="1900-01-21T00:00:00"/>
    <n v="29"/>
    <x v="7"/>
    <x v="2"/>
  </r>
  <r>
    <x v="449"/>
    <n v="-31.28"/>
    <x v="405"/>
    <n v="35170.04"/>
    <s v="Complete Access"/>
    <x v="177"/>
    <x v="1"/>
    <x v="1"/>
    <d v="1900-01-21T00:00:00"/>
    <n v="29"/>
    <x v="7"/>
    <x v="2"/>
  </r>
  <r>
    <x v="450"/>
    <n v="-8.76"/>
    <x v="964"/>
    <n v="35229.81"/>
    <s v="Complete Access"/>
    <x v="34"/>
    <x v="9"/>
    <x v="12"/>
    <d v="1900-01-20T00:00:00"/>
    <n v="29"/>
    <x v="7"/>
    <x v="2"/>
  </r>
  <r>
    <x v="450"/>
    <n v="-14"/>
    <x v="964"/>
    <n v="35238.57"/>
    <s v="Complete Access"/>
    <x v="34"/>
    <x v="9"/>
    <x v="12"/>
    <d v="1900-01-20T00:00:00"/>
    <n v="29"/>
    <x v="7"/>
    <x v="2"/>
  </r>
  <r>
    <x v="451"/>
    <n v="-500"/>
    <x v="656"/>
    <n v="35170.42"/>
    <s v="Complete Access"/>
    <x v="13"/>
    <x v="0"/>
    <x v="0"/>
    <d v="1900-01-19T00:00:00"/>
    <n v="29"/>
    <x v="7"/>
    <x v="2"/>
  </r>
  <r>
    <x v="451"/>
    <n v="2348.83"/>
    <x v="965"/>
    <n v="35670.42"/>
    <s v="Complete Access"/>
    <x v="14"/>
    <x v="6"/>
    <x v="9"/>
    <d v="1900-01-19T00:00:00"/>
    <n v="29"/>
    <x v="7"/>
    <x v="2"/>
  </r>
  <r>
    <x v="451"/>
    <n v="-6.5"/>
    <x v="966"/>
    <n v="35263.919999999998"/>
    <s v="Complete Access"/>
    <x v="215"/>
    <x v="1"/>
    <x v="1"/>
    <d v="1900-01-19T00:00:00"/>
    <n v="29"/>
    <x v="7"/>
    <x v="2"/>
  </r>
  <r>
    <x v="451"/>
    <n v="100"/>
    <x v="967"/>
    <n v="35270.42"/>
    <s v="Complete Access"/>
    <x v="36"/>
    <x v="0"/>
    <x v="0"/>
    <d v="1900-01-19T00:00:00"/>
    <n v="29"/>
    <x v="7"/>
    <x v="2"/>
  </r>
  <r>
    <x v="451"/>
    <n v="-11.35"/>
    <x v="454"/>
    <n v="35252.57"/>
    <s v="Complete Access"/>
    <x v="9"/>
    <x v="4"/>
    <x v="6"/>
    <d v="1900-01-19T00:00:00"/>
    <n v="29"/>
    <x v="7"/>
    <x v="2"/>
  </r>
  <r>
    <x v="452"/>
    <n v="-69"/>
    <x v="968"/>
    <n v="33321.589999999997"/>
    <s v="Complete Access"/>
    <x v="207"/>
    <x v="7"/>
    <x v="11"/>
    <d v="1900-01-18T00:00:00"/>
    <n v="29"/>
    <x v="7"/>
    <x v="2"/>
  </r>
  <r>
    <x v="453"/>
    <n v="-13.99"/>
    <x v="405"/>
    <n v="33390.589999999997"/>
    <s v="Complete Access"/>
    <x v="177"/>
    <x v="1"/>
    <x v="1"/>
    <d v="1900-01-17T00:00:00"/>
    <n v="29"/>
    <x v="7"/>
    <x v="2"/>
  </r>
  <r>
    <x v="454"/>
    <n v="-69.81"/>
    <x v="405"/>
    <n v="33404.58"/>
    <s v="Complete Access"/>
    <x v="177"/>
    <x v="1"/>
    <x v="1"/>
    <d v="1900-01-16T00:00:00"/>
    <n v="29"/>
    <x v="7"/>
    <x v="2"/>
  </r>
  <r>
    <x v="454"/>
    <n v="-27.4"/>
    <x v="532"/>
    <n v="33474.39"/>
    <s v="Complete Access"/>
    <x v="1"/>
    <x v="1"/>
    <x v="1"/>
    <d v="1900-01-16T00:00:00"/>
    <n v="29"/>
    <x v="7"/>
    <x v="2"/>
  </r>
  <r>
    <x v="455"/>
    <n v="-16.13"/>
    <x v="969"/>
    <n v="33507.29"/>
    <s v="Complete Access"/>
    <x v="177"/>
    <x v="1"/>
    <x v="1"/>
    <d v="1900-01-14T00:00:00"/>
    <n v="28"/>
    <x v="7"/>
    <x v="2"/>
  </r>
  <r>
    <x v="455"/>
    <n v="-5.5"/>
    <x v="532"/>
    <n v="33501.79"/>
    <s v="Complete Access"/>
    <x v="1"/>
    <x v="1"/>
    <x v="1"/>
    <d v="1900-01-14T00:00:00"/>
    <n v="28"/>
    <x v="7"/>
    <x v="2"/>
  </r>
  <r>
    <x v="456"/>
    <n v="-20"/>
    <x v="970"/>
    <n v="33537.919999999998"/>
    <s v="Complete Access"/>
    <x v="12"/>
    <x v="5"/>
    <x v="8"/>
    <d v="1900-01-11T00:00:00"/>
    <n v="28"/>
    <x v="7"/>
    <x v="2"/>
  </r>
  <r>
    <x v="456"/>
    <n v="-14.5"/>
    <x v="8"/>
    <n v="33523.42"/>
    <s v="Complete Access"/>
    <x v="7"/>
    <x v="1"/>
    <x v="5"/>
    <d v="1900-01-11T00:00:00"/>
    <n v="28"/>
    <x v="7"/>
    <x v="2"/>
  </r>
  <r>
    <x v="457"/>
    <n v="-28.25"/>
    <x v="969"/>
    <n v="33557.919999999998"/>
    <s v="Complete Access"/>
    <x v="177"/>
    <x v="1"/>
    <x v="1"/>
    <d v="1900-01-10T00:00:00"/>
    <n v="28"/>
    <x v="7"/>
    <x v="2"/>
  </r>
  <r>
    <x v="457"/>
    <n v="-14.5"/>
    <x v="8"/>
    <n v="33586.17"/>
    <s v="Complete Access"/>
    <x v="7"/>
    <x v="1"/>
    <x v="5"/>
    <d v="1900-01-10T00:00:00"/>
    <n v="28"/>
    <x v="7"/>
    <x v="2"/>
  </r>
  <r>
    <x v="457"/>
    <n v="396"/>
    <x v="971"/>
    <n v="33600.67"/>
    <s v="Complete Access"/>
    <x v="36"/>
    <x v="0"/>
    <x v="0"/>
    <d v="1900-01-10T00:00:00"/>
    <n v="28"/>
    <x v="7"/>
    <x v="2"/>
  </r>
  <r>
    <x v="458"/>
    <n v="1949.33"/>
    <x v="972"/>
    <n v="33204.67"/>
    <s v="Complete Access"/>
    <x v="192"/>
    <x v="4"/>
    <x v="20"/>
    <d v="1900-01-09T00:00:00"/>
    <n v="28"/>
    <x v="7"/>
    <x v="2"/>
  </r>
  <r>
    <x v="459"/>
    <n v="-39.590000000000003"/>
    <x v="405"/>
    <n v="31255.34"/>
    <s v="Complete Access"/>
    <x v="177"/>
    <x v="1"/>
    <x v="1"/>
    <d v="1900-01-07T00:00:00"/>
    <n v="27"/>
    <x v="7"/>
    <x v="2"/>
  </r>
  <r>
    <x v="460"/>
    <n v="-500"/>
    <x v="656"/>
    <n v="31194.93"/>
    <s v="Complete Access"/>
    <x v="13"/>
    <x v="0"/>
    <x v="0"/>
    <d v="1900-01-05T00:00:00"/>
    <n v="27"/>
    <x v="7"/>
    <x v="2"/>
  </r>
  <r>
    <x v="460"/>
    <n v="-20"/>
    <x v="973"/>
    <n v="31694.93"/>
    <s v="Complete Access"/>
    <x v="12"/>
    <x v="5"/>
    <x v="8"/>
    <d v="1900-01-05T00:00:00"/>
    <n v="27"/>
    <x v="7"/>
    <x v="2"/>
  </r>
  <r>
    <x v="460"/>
    <n v="2348.84"/>
    <x v="974"/>
    <n v="31714.93"/>
    <s v="Complete Access"/>
    <x v="14"/>
    <x v="6"/>
    <x v="9"/>
    <d v="1900-01-05T00:00:00"/>
    <n v="27"/>
    <x v="7"/>
    <x v="2"/>
  </r>
  <r>
    <x v="460"/>
    <n v="100"/>
    <x v="975"/>
    <n v="31294.93"/>
    <s v="Complete Access"/>
    <x v="36"/>
    <x v="0"/>
    <x v="0"/>
    <d v="1900-01-05T00:00:00"/>
    <n v="27"/>
    <x v="7"/>
    <x v="2"/>
  </r>
  <r>
    <x v="461"/>
    <n v="-21.78"/>
    <x v="976"/>
    <n v="29406.93"/>
    <s v="Complete Access"/>
    <x v="8"/>
    <x v="1"/>
    <x v="5"/>
    <d v="1900-01-03T00:00:00"/>
    <n v="27"/>
    <x v="7"/>
    <x v="2"/>
  </r>
  <r>
    <x v="461"/>
    <n v="-20"/>
    <x v="977"/>
    <n v="29448.51"/>
    <s v="Complete Access"/>
    <x v="12"/>
    <x v="5"/>
    <x v="8"/>
    <d v="1900-01-03T00:00:00"/>
    <n v="27"/>
    <x v="7"/>
    <x v="2"/>
  </r>
  <r>
    <x v="461"/>
    <n v="-25.34"/>
    <x v="966"/>
    <n v="29366.09"/>
    <s v="Complete Access"/>
    <x v="215"/>
    <x v="1"/>
    <x v="1"/>
    <d v="1900-01-03T00:00:00"/>
    <n v="27"/>
    <x v="7"/>
    <x v="2"/>
  </r>
  <r>
    <x v="461"/>
    <n v="-15.5"/>
    <x v="8"/>
    <n v="29391.43"/>
    <s v="Complete Access"/>
    <x v="7"/>
    <x v="1"/>
    <x v="5"/>
    <d v="1900-01-03T00:00:00"/>
    <n v="27"/>
    <x v="7"/>
    <x v="2"/>
  </r>
  <r>
    <x v="461"/>
    <n v="-19.8"/>
    <x v="978"/>
    <n v="29428.71"/>
    <s v="Complete Access"/>
    <x v="329"/>
    <x v="4"/>
    <x v="7"/>
    <d v="1900-01-03T00:00:00"/>
    <n v="27"/>
    <x v="7"/>
    <x v="2"/>
  </r>
  <r>
    <x v="462"/>
    <n v="-28.6"/>
    <x v="969"/>
    <n v="29655.21"/>
    <s v="Complete Access"/>
    <x v="177"/>
    <x v="1"/>
    <x v="1"/>
    <d v="1900-01-02T00:00:00"/>
    <n v="27"/>
    <x v="7"/>
    <x v="2"/>
  </r>
  <r>
    <x v="462"/>
    <n v="-14.5"/>
    <x v="8"/>
    <n v="29690.54"/>
    <s v="Complete Access"/>
    <x v="7"/>
    <x v="1"/>
    <x v="5"/>
    <d v="1900-01-02T00:00:00"/>
    <n v="27"/>
    <x v="7"/>
    <x v="2"/>
  </r>
  <r>
    <x v="462"/>
    <n v="-186.7"/>
    <x v="979"/>
    <n v="29468.51"/>
    <s v="Complete Access"/>
    <x v="76"/>
    <x v="2"/>
    <x v="2"/>
    <d v="1900-01-02T00:00:00"/>
    <n v="27"/>
    <x v="7"/>
    <x v="2"/>
  </r>
  <r>
    <x v="462"/>
    <n v="-6.73"/>
    <x v="532"/>
    <n v="29683.81"/>
    <s v="Complete Access"/>
    <x v="1"/>
    <x v="1"/>
    <x v="1"/>
    <d v="1900-01-02T00:00:00"/>
    <n v="27"/>
    <x v="7"/>
    <x v="2"/>
  </r>
  <r>
    <x v="463"/>
    <n v="-38.74"/>
    <x v="532"/>
    <n v="29705.040000000001"/>
    <s v="Complete Access"/>
    <x v="1"/>
    <x v="1"/>
    <x v="1"/>
    <d v="1899-12-31T00:00:00"/>
    <n v="26"/>
    <x v="7"/>
    <x v="2"/>
  </r>
  <r>
    <x v="463"/>
    <n v="4.54"/>
    <x v="609"/>
    <n v="2664.45"/>
    <s v="Netbank Saver"/>
    <x v="240"/>
    <x v="0"/>
    <x v="55"/>
    <d v="1899-12-31T00:00:00"/>
    <n v="26"/>
    <x v="7"/>
    <x v="2"/>
  </r>
  <r>
    <x v="464"/>
    <n v="-362.91"/>
    <x v="980"/>
    <n v="29743.78"/>
    <s v="Complete Access"/>
    <x v="295"/>
    <x v="14"/>
    <x v="66"/>
    <d v="1900-01-28T00:00:00"/>
    <n v="26"/>
    <x v="8"/>
    <x v="2"/>
  </r>
  <r>
    <x v="465"/>
    <n v="-25"/>
    <x v="981"/>
    <n v="30106.69"/>
    <s v="Complete Access"/>
    <x v="330"/>
    <x v="0"/>
    <x v="0"/>
    <d v="1900-01-27T00:00:00"/>
    <n v="26"/>
    <x v="8"/>
    <x v="2"/>
  </r>
  <r>
    <x v="465"/>
    <n v="-16"/>
    <x v="981"/>
    <n v="30131.69"/>
    <s v="Complete Access"/>
    <x v="330"/>
    <x v="0"/>
    <x v="0"/>
    <d v="1900-01-27T00:00:00"/>
    <n v="26"/>
    <x v="8"/>
    <x v="2"/>
  </r>
  <r>
    <x v="466"/>
    <n v="-28.94"/>
    <x v="982"/>
    <n v="30163.69"/>
    <s v="Complete Access"/>
    <x v="8"/>
    <x v="1"/>
    <x v="5"/>
    <d v="1900-01-26T00:00:00"/>
    <n v="26"/>
    <x v="8"/>
    <x v="2"/>
  </r>
  <r>
    <x v="466"/>
    <n v="-16.510000000000002"/>
    <x v="983"/>
    <n v="30193.13"/>
    <s v="Complete Access"/>
    <x v="74"/>
    <x v="4"/>
    <x v="10"/>
    <d v="1900-01-26T00:00:00"/>
    <n v="26"/>
    <x v="8"/>
    <x v="2"/>
  </r>
  <r>
    <x v="466"/>
    <n v="-0.5"/>
    <x v="984"/>
    <n v="30192.63"/>
    <s v="Complete Access"/>
    <x v="10"/>
    <x v="0"/>
    <x v="0"/>
    <d v="1900-01-26T00:00:00"/>
    <n v="26"/>
    <x v="8"/>
    <x v="2"/>
  </r>
  <r>
    <x v="466"/>
    <n v="-16"/>
    <x v="966"/>
    <n v="30147.69"/>
    <s v="Complete Access"/>
    <x v="215"/>
    <x v="1"/>
    <x v="1"/>
    <d v="1900-01-26T00:00:00"/>
    <n v="26"/>
    <x v="8"/>
    <x v="2"/>
  </r>
  <r>
    <x v="467"/>
    <n v="-19.940000000000001"/>
    <x v="969"/>
    <n v="30209.64"/>
    <s v="Complete Access"/>
    <x v="177"/>
    <x v="1"/>
    <x v="1"/>
    <d v="1900-01-24T00:00:00"/>
    <n v="26"/>
    <x v="8"/>
    <x v="2"/>
  </r>
  <r>
    <x v="468"/>
    <n v="-38.39"/>
    <x v="405"/>
    <n v="30229.58"/>
    <s v="Complete Access"/>
    <x v="177"/>
    <x v="1"/>
    <x v="1"/>
    <d v="1900-01-23T00:00:00"/>
    <n v="25"/>
    <x v="8"/>
    <x v="2"/>
  </r>
  <r>
    <x v="469"/>
    <n v="-60.39"/>
    <x v="985"/>
    <n v="30267.97"/>
    <s v="Complete Access"/>
    <x v="1"/>
    <x v="1"/>
    <x v="1"/>
    <d v="1900-01-22T00:00:00"/>
    <n v="25"/>
    <x v="8"/>
    <x v="2"/>
  </r>
  <r>
    <x v="470"/>
    <n v="-500"/>
    <x v="656"/>
    <n v="30228.36"/>
    <s v="Complete Access"/>
    <x v="13"/>
    <x v="0"/>
    <x v="0"/>
    <d v="1900-01-21T00:00:00"/>
    <n v="25"/>
    <x v="8"/>
    <x v="2"/>
  </r>
  <r>
    <x v="470"/>
    <n v="2332.84"/>
    <x v="728"/>
    <n v="30728.36"/>
    <s v="Complete Access"/>
    <x v="14"/>
    <x v="6"/>
    <x v="9"/>
    <d v="1900-01-21T00:00:00"/>
    <n v="25"/>
    <x v="8"/>
    <x v="2"/>
  </r>
  <r>
    <x v="470"/>
    <n v="100"/>
    <x v="986"/>
    <n v="30328.36"/>
    <s v="Complete Access"/>
    <x v="36"/>
    <x v="0"/>
    <x v="0"/>
    <d v="1900-01-21T00:00:00"/>
    <n v="25"/>
    <x v="8"/>
    <x v="2"/>
  </r>
  <r>
    <x v="471"/>
    <n v="-30.27"/>
    <x v="987"/>
    <n v="28480.32"/>
    <s v="Complete Access"/>
    <x v="8"/>
    <x v="1"/>
    <x v="5"/>
    <d v="1900-01-20T00:00:00"/>
    <n v="25"/>
    <x v="8"/>
    <x v="2"/>
  </r>
  <r>
    <x v="471"/>
    <n v="-11"/>
    <x v="988"/>
    <n v="28469.32"/>
    <s v="Complete Access"/>
    <x v="331"/>
    <x v="1"/>
    <x v="5"/>
    <d v="1900-01-20T00:00:00"/>
    <n v="25"/>
    <x v="8"/>
    <x v="2"/>
  </r>
  <r>
    <x v="471"/>
    <n v="-73.8"/>
    <x v="989"/>
    <n v="28395.52"/>
    <s v="Complete Access"/>
    <x v="332"/>
    <x v="1"/>
    <x v="5"/>
    <d v="1900-01-20T00:00:00"/>
    <n v="25"/>
    <x v="8"/>
    <x v="2"/>
  </r>
  <r>
    <x v="472"/>
    <n v="-29.59"/>
    <x v="990"/>
    <n v="28541.56"/>
    <s v="Complete Access"/>
    <x v="8"/>
    <x v="1"/>
    <x v="5"/>
    <d v="1900-01-19T00:00:00"/>
    <n v="25"/>
    <x v="8"/>
    <x v="2"/>
  </r>
  <r>
    <x v="472"/>
    <n v="-30.97"/>
    <x v="969"/>
    <n v="28510.59"/>
    <s v="Complete Access"/>
    <x v="177"/>
    <x v="1"/>
    <x v="1"/>
    <d v="1900-01-19T00:00:00"/>
    <n v="25"/>
    <x v="8"/>
    <x v="2"/>
  </r>
  <r>
    <x v="473"/>
    <n v="-69"/>
    <x v="991"/>
    <n v="28625.03"/>
    <s v="Complete Access"/>
    <x v="207"/>
    <x v="7"/>
    <x v="11"/>
    <d v="1900-01-16T00:00:00"/>
    <n v="24"/>
    <x v="8"/>
    <x v="2"/>
  </r>
  <r>
    <x v="473"/>
    <n v="-16.18"/>
    <x v="992"/>
    <n v="28608.85"/>
    <s v="Complete Access"/>
    <x v="333"/>
    <x v="1"/>
    <x v="5"/>
    <d v="1900-01-16T00:00:00"/>
    <n v="24"/>
    <x v="8"/>
    <x v="2"/>
  </r>
  <r>
    <x v="473"/>
    <n v="-37.700000000000003"/>
    <x v="405"/>
    <n v="28571.15"/>
    <s v="Complete Access"/>
    <x v="177"/>
    <x v="1"/>
    <x v="1"/>
    <d v="1900-01-16T00:00:00"/>
    <n v="24"/>
    <x v="8"/>
    <x v="2"/>
  </r>
  <r>
    <x v="474"/>
    <n v="-4.5"/>
    <x v="993"/>
    <n v="28694.03"/>
    <s v="Complete Access"/>
    <x v="277"/>
    <x v="8"/>
    <x v="29"/>
    <d v="1900-01-14T00:00:00"/>
    <n v="24"/>
    <x v="8"/>
    <x v="2"/>
  </r>
  <r>
    <x v="475"/>
    <n v="-20"/>
    <x v="994"/>
    <n v="28698.53"/>
    <s v="Complete Access"/>
    <x v="12"/>
    <x v="5"/>
    <x v="8"/>
    <d v="1900-01-13T00:00:00"/>
    <n v="24"/>
    <x v="8"/>
    <x v="2"/>
  </r>
  <r>
    <x v="476"/>
    <n v="-27.19"/>
    <x v="995"/>
    <n v="28753.24"/>
    <s v="Complete Access"/>
    <x v="8"/>
    <x v="1"/>
    <x v="5"/>
    <d v="1900-01-12T00:00:00"/>
    <n v="24"/>
    <x v="8"/>
    <x v="2"/>
  </r>
  <r>
    <x v="476"/>
    <n v="-19.72"/>
    <x v="966"/>
    <n v="28718.53"/>
    <s v="Complete Access"/>
    <x v="215"/>
    <x v="1"/>
    <x v="1"/>
    <d v="1900-01-12T00:00:00"/>
    <n v="24"/>
    <x v="8"/>
    <x v="2"/>
  </r>
  <r>
    <x v="476"/>
    <n v="-14.99"/>
    <x v="927"/>
    <n v="28738.25"/>
    <s v="Complete Access"/>
    <x v="319"/>
    <x v="1"/>
    <x v="5"/>
    <d v="1900-01-12T00:00:00"/>
    <n v="24"/>
    <x v="8"/>
    <x v="2"/>
  </r>
  <r>
    <x v="477"/>
    <n v="800"/>
    <x v="946"/>
    <n v="28780.43"/>
    <s v="Complete Access"/>
    <x v="325"/>
    <x v="6"/>
    <x v="64"/>
    <d v="1900-01-11T00:00:00"/>
    <n v="24"/>
    <x v="8"/>
    <x v="2"/>
  </r>
  <r>
    <x v="478"/>
    <n v="-19.34"/>
    <x v="532"/>
    <n v="27980.43"/>
    <s v="Complete Access"/>
    <x v="1"/>
    <x v="1"/>
    <x v="1"/>
    <d v="1900-01-10T00:00:00"/>
    <n v="24"/>
    <x v="8"/>
    <x v="2"/>
  </r>
  <r>
    <x v="479"/>
    <n v="-25.19"/>
    <x v="996"/>
    <n v="28074.32"/>
    <s v="Complete Access"/>
    <x v="8"/>
    <x v="1"/>
    <x v="5"/>
    <d v="1900-01-09T00:00:00"/>
    <n v="23"/>
    <x v="8"/>
    <x v="2"/>
  </r>
  <r>
    <x v="479"/>
    <n v="-74.55"/>
    <x v="405"/>
    <n v="27999.77"/>
    <s v="Complete Access"/>
    <x v="177"/>
    <x v="1"/>
    <x v="1"/>
    <d v="1900-01-09T00:00:00"/>
    <n v="23"/>
    <x v="8"/>
    <x v="2"/>
  </r>
  <r>
    <x v="480"/>
    <n v="-24.09"/>
    <x v="997"/>
    <n v="28099.51"/>
    <s v="Complete Access"/>
    <x v="8"/>
    <x v="1"/>
    <x v="5"/>
    <d v="1900-01-08T00:00:00"/>
    <n v="23"/>
    <x v="8"/>
    <x v="2"/>
  </r>
  <r>
    <x v="481"/>
    <n v="-500"/>
    <x v="656"/>
    <n v="28057.58"/>
    <s v="Complete Access"/>
    <x v="13"/>
    <x v="0"/>
    <x v="0"/>
    <d v="1900-01-07T00:00:00"/>
    <n v="23"/>
    <x v="8"/>
    <x v="2"/>
  </r>
  <r>
    <x v="481"/>
    <n v="2332.84"/>
    <x v="832"/>
    <n v="28557.58"/>
    <s v="Complete Access"/>
    <x v="14"/>
    <x v="6"/>
    <x v="9"/>
    <d v="1900-01-07T00:00:00"/>
    <n v="23"/>
    <x v="8"/>
    <x v="2"/>
  </r>
  <r>
    <x v="481"/>
    <n v="66.02"/>
    <x v="998"/>
    <n v="28123.599999999999"/>
    <s v="Complete Access"/>
    <x v="275"/>
    <x v="0"/>
    <x v="0"/>
    <d v="1900-01-07T00:00:00"/>
    <n v="23"/>
    <x v="8"/>
    <x v="2"/>
  </r>
  <r>
    <x v="482"/>
    <n v="-2.75"/>
    <x v="999"/>
    <n v="26240.74"/>
    <s v="Complete Access"/>
    <x v="188"/>
    <x v="1"/>
    <x v="1"/>
    <d v="1900-01-06T00:00:00"/>
    <n v="23"/>
    <x v="8"/>
    <x v="2"/>
  </r>
  <r>
    <x v="482"/>
    <n v="-3.93"/>
    <x v="1000"/>
    <n v="26243.49"/>
    <s v="Complete Access"/>
    <x v="285"/>
    <x v="5"/>
    <x v="8"/>
    <d v="1900-01-06T00:00:00"/>
    <n v="23"/>
    <x v="8"/>
    <x v="2"/>
  </r>
  <r>
    <x v="482"/>
    <n v="-16"/>
    <x v="1001"/>
    <n v="26224.74"/>
    <s v="Complete Access"/>
    <x v="242"/>
    <x v="1"/>
    <x v="5"/>
    <d v="1900-01-06T00:00:00"/>
    <n v="23"/>
    <x v="8"/>
    <x v="2"/>
  </r>
  <r>
    <x v="483"/>
    <n v="-31.98"/>
    <x v="1002"/>
    <n v="26274.62"/>
    <s v="Complete Access"/>
    <x v="8"/>
    <x v="1"/>
    <x v="5"/>
    <d v="1900-01-05T00:00:00"/>
    <n v="23"/>
    <x v="8"/>
    <x v="2"/>
  </r>
  <r>
    <x v="483"/>
    <n v="-27.2"/>
    <x v="1003"/>
    <n v="26247.42"/>
    <s v="Complete Access"/>
    <x v="304"/>
    <x v="1"/>
    <x v="5"/>
    <d v="1900-01-05T00:00:00"/>
    <n v="23"/>
    <x v="8"/>
    <x v="2"/>
  </r>
  <r>
    <x v="484"/>
    <n v="-16.18"/>
    <x v="1004"/>
    <n v="26625.3"/>
    <s v="Complete Access"/>
    <x v="333"/>
    <x v="1"/>
    <x v="5"/>
    <d v="1900-01-02T00:00:00"/>
    <n v="22"/>
    <x v="8"/>
    <x v="2"/>
  </r>
  <r>
    <x v="484"/>
    <n v="-18.7"/>
    <x v="1005"/>
    <n v="26606.6"/>
    <s v="Complete Access"/>
    <x v="329"/>
    <x v="4"/>
    <x v="7"/>
    <d v="1900-01-02T00:00:00"/>
    <n v="22"/>
    <x v="8"/>
    <x v="2"/>
  </r>
  <r>
    <x v="484"/>
    <n v="-300"/>
    <x v="1006"/>
    <n v="26306.6"/>
    <s v="Complete Access"/>
    <x v="0"/>
    <x v="0"/>
    <x v="0"/>
    <d v="1900-01-02T00:00:00"/>
    <n v="22"/>
    <x v="8"/>
    <x v="2"/>
  </r>
  <r>
    <x v="485"/>
    <n v="-2.75"/>
    <x v="1007"/>
    <n v="26641.48"/>
    <s v="Complete Access"/>
    <x v="188"/>
    <x v="1"/>
    <x v="1"/>
    <d v="1900-01-01T00:00:00"/>
    <n v="22"/>
    <x v="8"/>
    <x v="2"/>
  </r>
  <r>
    <x v="486"/>
    <n v="-20"/>
    <x v="1008"/>
    <n v="26924.85"/>
    <s v="Complete Access"/>
    <x v="12"/>
    <x v="5"/>
    <x v="8"/>
    <d v="1899-12-31T00:00:00"/>
    <n v="22"/>
    <x v="8"/>
    <x v="2"/>
  </r>
  <r>
    <x v="486"/>
    <n v="-50.19"/>
    <x v="1009"/>
    <n v="26874.66"/>
    <s v="Complete Access"/>
    <x v="56"/>
    <x v="9"/>
    <x v="31"/>
    <d v="1899-12-31T00:00:00"/>
    <n v="22"/>
    <x v="8"/>
    <x v="2"/>
  </r>
  <r>
    <x v="486"/>
    <n v="-50.03"/>
    <x v="405"/>
    <n v="26815.43"/>
    <s v="Complete Access"/>
    <x v="177"/>
    <x v="1"/>
    <x v="1"/>
    <d v="1899-12-31T00:00:00"/>
    <n v="22"/>
    <x v="8"/>
    <x v="2"/>
  </r>
  <r>
    <x v="486"/>
    <n v="15.5"/>
    <x v="1010"/>
    <n v="26830.93"/>
    <s v="Complete Access"/>
    <x v="36"/>
    <x v="0"/>
    <x v="0"/>
    <d v="1899-12-31T00:00:00"/>
    <n v="22"/>
    <x v="8"/>
    <x v="2"/>
  </r>
  <r>
    <x v="486"/>
    <n v="-186.7"/>
    <x v="1011"/>
    <n v="26644.23"/>
    <s v="Complete Access"/>
    <x v="76"/>
    <x v="2"/>
    <x v="2"/>
    <d v="1899-12-31T00:00:00"/>
    <n v="22"/>
    <x v="8"/>
    <x v="2"/>
  </r>
  <r>
    <x v="486"/>
    <n v="-9.1999999999999993"/>
    <x v="1012"/>
    <n v="26865.46"/>
    <s v="Complete Access"/>
    <x v="277"/>
    <x v="8"/>
    <x v="29"/>
    <d v="1899-12-31T00:00:00"/>
    <n v="22"/>
    <x v="8"/>
    <x v="2"/>
  </r>
  <r>
    <x v="486"/>
    <n v="4.32"/>
    <x v="609"/>
    <n v="2659.91"/>
    <s v="Netbank Saver"/>
    <x v="240"/>
    <x v="0"/>
    <x v="55"/>
    <d v="1899-12-31T00:00:00"/>
    <n v="22"/>
    <x v="8"/>
    <x v="2"/>
  </r>
  <r>
    <x v="487"/>
    <n v="-16"/>
    <x v="1013"/>
    <n v="26944.85"/>
    <s v="Complete Access"/>
    <x v="242"/>
    <x v="1"/>
    <x v="5"/>
    <d v="1900-01-30T00:00:00"/>
    <n v="22"/>
    <x v="9"/>
    <x v="2"/>
  </r>
  <r>
    <x v="488"/>
    <n v="-37.090000000000003"/>
    <x v="1014"/>
    <n v="26960.85"/>
    <s v="Complete Access"/>
    <x v="8"/>
    <x v="1"/>
    <x v="5"/>
    <d v="1900-01-29T00:00:00"/>
    <n v="22"/>
    <x v="9"/>
    <x v="2"/>
  </r>
  <r>
    <x v="488"/>
    <n v="-20"/>
    <x v="1015"/>
    <n v="26997.94"/>
    <s v="Complete Access"/>
    <x v="12"/>
    <x v="5"/>
    <x v="8"/>
    <d v="1900-01-29T00:00:00"/>
    <n v="22"/>
    <x v="9"/>
    <x v="2"/>
  </r>
  <r>
    <x v="489"/>
    <n v="600"/>
    <x v="946"/>
    <n v="27017.94"/>
    <s v="Complete Access"/>
    <x v="325"/>
    <x v="6"/>
    <x v="64"/>
    <d v="1900-01-27T00:00:00"/>
    <n v="22"/>
    <x v="9"/>
    <x v="2"/>
  </r>
  <r>
    <x v="490"/>
    <n v="-16.850000000000001"/>
    <x v="1016"/>
    <n v="26476.880000000001"/>
    <s v="Complete Access"/>
    <x v="74"/>
    <x v="4"/>
    <x v="10"/>
    <d v="1900-01-26T00:00:00"/>
    <n v="21"/>
    <x v="9"/>
    <x v="2"/>
  </r>
  <r>
    <x v="490"/>
    <n v="-0.51"/>
    <x v="1017"/>
    <n v="26476.37"/>
    <s v="Complete Access"/>
    <x v="10"/>
    <x v="0"/>
    <x v="0"/>
    <d v="1900-01-26T00:00:00"/>
    <n v="21"/>
    <x v="9"/>
    <x v="2"/>
  </r>
  <r>
    <x v="490"/>
    <n v="-44.43"/>
    <x v="405"/>
    <n v="26431.94"/>
    <s v="Complete Access"/>
    <x v="177"/>
    <x v="1"/>
    <x v="1"/>
    <d v="1900-01-26T00:00:00"/>
    <n v="21"/>
    <x v="9"/>
    <x v="2"/>
  </r>
  <r>
    <x v="490"/>
    <n v="-14"/>
    <x v="1018"/>
    <n v="26417.94"/>
    <s v="Complete Access"/>
    <x v="0"/>
    <x v="0"/>
    <x v="0"/>
    <d v="1900-01-26T00:00:00"/>
    <n v="21"/>
    <x v="9"/>
    <x v="2"/>
  </r>
  <r>
    <x v="491"/>
    <n v="-500"/>
    <x v="656"/>
    <n v="26496.48"/>
    <s v="Complete Access"/>
    <x v="13"/>
    <x v="0"/>
    <x v="0"/>
    <d v="1900-01-24T00:00:00"/>
    <n v="21"/>
    <x v="9"/>
    <x v="2"/>
  </r>
  <r>
    <x v="491"/>
    <n v="-2.75"/>
    <x v="1019"/>
    <n v="26493.73"/>
    <s v="Complete Access"/>
    <x v="188"/>
    <x v="1"/>
    <x v="1"/>
    <d v="1900-01-24T00:00:00"/>
    <n v="21"/>
    <x v="9"/>
    <x v="2"/>
  </r>
  <r>
    <x v="491"/>
    <n v="2332.84"/>
    <x v="1020"/>
    <n v="26996.48"/>
    <s v="Complete Access"/>
    <x v="14"/>
    <x v="6"/>
    <x v="9"/>
    <d v="1900-01-24T00:00:00"/>
    <n v="21"/>
    <x v="9"/>
    <x v="2"/>
  </r>
  <r>
    <x v="492"/>
    <n v="-4.6500000000000004"/>
    <x v="1021"/>
    <n v="24708.12"/>
    <s v="Complete Access"/>
    <x v="188"/>
    <x v="1"/>
    <x v="1"/>
    <d v="1900-01-23T00:00:00"/>
    <n v="21"/>
    <x v="9"/>
    <x v="2"/>
  </r>
  <r>
    <x v="492"/>
    <n v="-20"/>
    <x v="1022"/>
    <n v="24712.77"/>
    <s v="Complete Access"/>
    <x v="12"/>
    <x v="5"/>
    <x v="8"/>
    <d v="1900-01-23T00:00:00"/>
    <n v="21"/>
    <x v="9"/>
    <x v="2"/>
  </r>
  <r>
    <x v="492"/>
    <n v="-29.98"/>
    <x v="405"/>
    <n v="24663.64"/>
    <s v="Complete Access"/>
    <x v="177"/>
    <x v="1"/>
    <x v="1"/>
    <d v="1900-01-23T00:00:00"/>
    <n v="21"/>
    <x v="9"/>
    <x v="2"/>
  </r>
  <r>
    <x v="492"/>
    <n v="-14.5"/>
    <x v="8"/>
    <n v="24693.62"/>
    <s v="Complete Access"/>
    <x v="7"/>
    <x v="1"/>
    <x v="5"/>
    <d v="1900-01-23T00:00:00"/>
    <n v="21"/>
    <x v="9"/>
    <x v="2"/>
  </r>
  <r>
    <x v="493"/>
    <n v="-27.19"/>
    <x v="1023"/>
    <n v="24753.84"/>
    <s v="Complete Access"/>
    <x v="8"/>
    <x v="1"/>
    <x v="5"/>
    <d v="1900-01-22T00:00:00"/>
    <n v="21"/>
    <x v="9"/>
    <x v="2"/>
  </r>
  <r>
    <x v="493"/>
    <n v="-44.69"/>
    <x v="1023"/>
    <n v="25030.03"/>
    <s v="Complete Access"/>
    <x v="8"/>
    <x v="1"/>
    <x v="5"/>
    <d v="1900-01-22T00:00:00"/>
    <n v="21"/>
    <x v="9"/>
    <x v="2"/>
  </r>
  <r>
    <x v="493"/>
    <n v="-15"/>
    <x v="1024"/>
    <n v="24738.84"/>
    <s v="Complete Access"/>
    <x v="16"/>
    <x v="1"/>
    <x v="5"/>
    <d v="1900-01-22T00:00:00"/>
    <n v="21"/>
    <x v="9"/>
    <x v="2"/>
  </r>
  <r>
    <x v="493"/>
    <n v="-6.07"/>
    <x v="966"/>
    <n v="24732.77"/>
    <s v="Complete Access"/>
    <x v="215"/>
    <x v="1"/>
    <x v="1"/>
    <d v="1900-01-22T00:00:00"/>
    <n v="21"/>
    <x v="9"/>
    <x v="2"/>
  </r>
  <r>
    <x v="493"/>
    <n v="-13"/>
    <x v="1025"/>
    <n v="24781.03"/>
    <s v="Complete Access"/>
    <x v="334"/>
    <x v="14"/>
    <x v="32"/>
    <d v="1900-01-22T00:00:00"/>
    <n v="21"/>
    <x v="9"/>
    <x v="2"/>
  </r>
  <r>
    <x v="493"/>
    <n v="-236"/>
    <x v="1026"/>
    <n v="24794.03"/>
    <s v="Complete Access"/>
    <x v="335"/>
    <x v="1"/>
    <x v="5"/>
    <d v="1900-01-22T00:00:00"/>
    <n v="21"/>
    <x v="9"/>
    <x v="2"/>
  </r>
  <r>
    <x v="494"/>
    <n v="-25"/>
    <x v="1027"/>
    <n v="25074.720000000001"/>
    <s v="Complete Access"/>
    <x v="336"/>
    <x v="8"/>
    <x v="22"/>
    <d v="1900-01-19T00:00:00"/>
    <n v="20"/>
    <x v="9"/>
    <x v="2"/>
  </r>
  <r>
    <x v="494"/>
    <n v="-37"/>
    <x v="1028"/>
    <n v="25099.72"/>
    <s v="Complete Access"/>
    <x v="0"/>
    <x v="0"/>
    <x v="0"/>
    <d v="1900-01-19T00:00:00"/>
    <n v="20"/>
    <x v="9"/>
    <x v="2"/>
  </r>
  <r>
    <x v="495"/>
    <n v="-2.75"/>
    <x v="1029"/>
    <n v="25216.44"/>
    <s v="Complete Access"/>
    <x v="188"/>
    <x v="1"/>
    <x v="1"/>
    <d v="1900-01-17T00:00:00"/>
    <n v="20"/>
    <x v="9"/>
    <x v="2"/>
  </r>
  <r>
    <x v="495"/>
    <n v="-69"/>
    <x v="1030"/>
    <n v="25219.19"/>
    <s v="Complete Access"/>
    <x v="207"/>
    <x v="7"/>
    <x v="11"/>
    <d v="1900-01-17T00:00:00"/>
    <n v="20"/>
    <x v="9"/>
    <x v="2"/>
  </r>
  <r>
    <x v="495"/>
    <n v="-79.72"/>
    <x v="532"/>
    <n v="25136.720000000001"/>
    <s v="Complete Access"/>
    <x v="1"/>
    <x v="1"/>
    <x v="1"/>
    <d v="1900-01-17T00:00:00"/>
    <n v="20"/>
    <x v="9"/>
    <x v="2"/>
  </r>
  <r>
    <x v="496"/>
    <n v="-2.75"/>
    <x v="1031"/>
    <n v="25288.19"/>
    <s v="Complete Access"/>
    <x v="188"/>
    <x v="1"/>
    <x v="1"/>
    <d v="1900-01-16T00:00:00"/>
    <n v="20"/>
    <x v="9"/>
    <x v="2"/>
  </r>
  <r>
    <x v="496"/>
    <n v="-20"/>
    <x v="1032"/>
    <n v="25290.94"/>
    <s v="Complete Access"/>
    <x v="12"/>
    <x v="5"/>
    <x v="8"/>
    <d v="1900-01-16T00:00:00"/>
    <n v="20"/>
    <x v="9"/>
    <x v="2"/>
  </r>
  <r>
    <x v="497"/>
    <n v="-27.19"/>
    <x v="1033"/>
    <n v="25356.7"/>
    <s v="Complete Access"/>
    <x v="8"/>
    <x v="1"/>
    <x v="5"/>
    <d v="1900-01-15T00:00:00"/>
    <n v="20"/>
    <x v="9"/>
    <x v="2"/>
  </r>
  <r>
    <x v="497"/>
    <n v="-15"/>
    <x v="18"/>
    <n v="25364.7"/>
    <s v="Complete Access"/>
    <x v="16"/>
    <x v="1"/>
    <x v="5"/>
    <d v="1900-01-15T00:00:00"/>
    <n v="20"/>
    <x v="9"/>
    <x v="2"/>
  </r>
  <r>
    <x v="497"/>
    <n v="-53.76"/>
    <x v="405"/>
    <n v="25310.94"/>
    <s v="Complete Access"/>
    <x v="177"/>
    <x v="1"/>
    <x v="1"/>
    <d v="1900-01-15T00:00:00"/>
    <n v="20"/>
    <x v="9"/>
    <x v="2"/>
  </r>
  <r>
    <x v="497"/>
    <n v="23"/>
    <x v="1034"/>
    <n v="25379.7"/>
    <s v="Complete Access"/>
    <x v="36"/>
    <x v="0"/>
    <x v="0"/>
    <d v="1900-01-15T00:00:00"/>
    <n v="20"/>
    <x v="9"/>
    <x v="2"/>
  </r>
  <r>
    <x v="498"/>
    <n v="-14.99"/>
    <x v="1035"/>
    <n v="24983.89"/>
    <s v="Complete Access"/>
    <x v="337"/>
    <x v="1"/>
    <x v="1"/>
    <d v="1900-01-14T00:00:00"/>
    <n v="20"/>
    <x v="9"/>
    <x v="2"/>
  </r>
  <r>
    <x v="498"/>
    <n v="400"/>
    <x v="1036"/>
    <n v="25383.89"/>
    <s v="Complete Access"/>
    <x v="36"/>
    <x v="0"/>
    <x v="0"/>
    <d v="1900-01-14T00:00:00"/>
    <n v="20"/>
    <x v="9"/>
    <x v="2"/>
  </r>
  <r>
    <x v="499"/>
    <n v="-23.33"/>
    <x v="405"/>
    <n v="25065.68"/>
    <s v="Complete Access"/>
    <x v="177"/>
    <x v="1"/>
    <x v="1"/>
    <d v="1900-01-12T00:00:00"/>
    <n v="19"/>
    <x v="9"/>
    <x v="2"/>
  </r>
  <r>
    <x v="499"/>
    <n v="-16.899999999999999"/>
    <x v="451"/>
    <n v="24998.880000000001"/>
    <s v="Complete Access"/>
    <x v="190"/>
    <x v="8"/>
    <x v="29"/>
    <d v="1900-01-12T00:00:00"/>
    <n v="19"/>
    <x v="9"/>
    <x v="2"/>
  </r>
  <r>
    <x v="499"/>
    <n v="-11.7"/>
    <x v="451"/>
    <n v="25015.78"/>
    <s v="Complete Access"/>
    <x v="190"/>
    <x v="8"/>
    <x v="29"/>
    <d v="1900-01-12T00:00:00"/>
    <n v="19"/>
    <x v="9"/>
    <x v="2"/>
  </r>
  <r>
    <x v="499"/>
    <n v="-28"/>
    <x v="451"/>
    <n v="25027.48"/>
    <s v="Complete Access"/>
    <x v="190"/>
    <x v="8"/>
    <x v="29"/>
    <d v="1900-01-12T00:00:00"/>
    <n v="19"/>
    <x v="9"/>
    <x v="2"/>
  </r>
  <r>
    <x v="499"/>
    <n v="-10.199999999999999"/>
    <x v="451"/>
    <n v="25055.48"/>
    <s v="Complete Access"/>
    <x v="190"/>
    <x v="8"/>
    <x v="29"/>
    <d v="1900-01-12T00:00:00"/>
    <n v="19"/>
    <x v="9"/>
    <x v="2"/>
  </r>
  <r>
    <x v="500"/>
    <n v="-25.5"/>
    <x v="1037"/>
    <n v="25089.01"/>
    <s v="Complete Access"/>
    <x v="188"/>
    <x v="1"/>
    <x v="1"/>
    <d v="1900-01-11T00:00:00"/>
    <n v="19"/>
    <x v="9"/>
    <x v="2"/>
  </r>
  <r>
    <x v="501"/>
    <n v="-500"/>
    <x v="656"/>
    <n v="25114.51"/>
    <s v="Complete Access"/>
    <x v="13"/>
    <x v="0"/>
    <x v="0"/>
    <d v="1900-01-10T00:00:00"/>
    <n v="19"/>
    <x v="9"/>
    <x v="2"/>
  </r>
  <r>
    <x v="501"/>
    <n v="2332.84"/>
    <x v="1038"/>
    <n v="25614.51"/>
    <s v="Complete Access"/>
    <x v="14"/>
    <x v="6"/>
    <x v="9"/>
    <d v="1900-01-10T00:00:00"/>
    <n v="19"/>
    <x v="9"/>
    <x v="2"/>
  </r>
  <r>
    <x v="502"/>
    <n v="-20"/>
    <x v="1039"/>
    <n v="23281.67"/>
    <s v="Complete Access"/>
    <x v="12"/>
    <x v="5"/>
    <x v="8"/>
    <d v="1900-01-09T00:00:00"/>
    <n v="19"/>
    <x v="9"/>
    <x v="2"/>
  </r>
  <r>
    <x v="503"/>
    <n v="-15"/>
    <x v="18"/>
    <n v="23301.67"/>
    <s v="Complete Access"/>
    <x v="16"/>
    <x v="1"/>
    <x v="5"/>
    <d v="1900-01-08T00:00:00"/>
    <n v="19"/>
    <x v="9"/>
    <x v="2"/>
  </r>
  <r>
    <x v="503"/>
    <n v="-5"/>
    <x v="1040"/>
    <n v="23316.67"/>
    <s v="Complete Access"/>
    <x v="338"/>
    <x v="1"/>
    <x v="5"/>
    <d v="1900-01-08T00:00:00"/>
    <n v="19"/>
    <x v="9"/>
    <x v="2"/>
  </r>
  <r>
    <x v="503"/>
    <n v="-51.62"/>
    <x v="1041"/>
    <n v="23321.67"/>
    <s v="Complete Access"/>
    <x v="34"/>
    <x v="9"/>
    <x v="12"/>
    <d v="1900-01-08T00:00:00"/>
    <n v="19"/>
    <x v="9"/>
    <x v="2"/>
  </r>
  <r>
    <x v="504"/>
    <n v="-317"/>
    <x v="1042"/>
    <n v="23056.29"/>
    <s v="Complete Access"/>
    <x v="339"/>
    <x v="1"/>
    <x v="5"/>
    <d v="1900-01-06T00:00:00"/>
    <n v="19"/>
    <x v="9"/>
    <x v="2"/>
  </r>
  <r>
    <x v="504"/>
    <n v="-0.9"/>
    <x v="1043"/>
    <n v="23373.29"/>
    <s v="Complete Access"/>
    <x v="30"/>
    <x v="4"/>
    <x v="20"/>
    <d v="1900-01-06T00:00:00"/>
    <n v="19"/>
    <x v="9"/>
    <x v="2"/>
  </r>
  <r>
    <x v="504"/>
    <n v="-12.25"/>
    <x v="1044"/>
    <n v="23374.19"/>
    <s v="Complete Access"/>
    <x v="30"/>
    <x v="4"/>
    <x v="20"/>
    <d v="1900-01-06T00:00:00"/>
    <n v="19"/>
    <x v="9"/>
    <x v="2"/>
  </r>
  <r>
    <x v="504"/>
    <n v="-10.5"/>
    <x v="1044"/>
    <n v="23386.44"/>
    <s v="Complete Access"/>
    <x v="30"/>
    <x v="4"/>
    <x v="20"/>
    <d v="1900-01-06T00:00:00"/>
    <n v="19"/>
    <x v="9"/>
    <x v="2"/>
  </r>
  <r>
    <x v="504"/>
    <n v="317"/>
    <x v="1045"/>
    <n v="23373.29"/>
    <s v="Complete Access"/>
    <x v="36"/>
    <x v="0"/>
    <x v="0"/>
    <d v="1900-01-06T00:00:00"/>
    <n v="19"/>
    <x v="9"/>
    <x v="2"/>
  </r>
  <r>
    <x v="505"/>
    <n v="-1600"/>
    <x v="1046"/>
    <n v="23557.439999999999"/>
    <s v="Complete Access"/>
    <x v="340"/>
    <x v="4"/>
    <x v="20"/>
    <d v="1900-01-05T00:00:00"/>
    <n v="18"/>
    <x v="9"/>
    <x v="2"/>
  </r>
  <r>
    <x v="505"/>
    <n v="-15.15"/>
    <x v="96"/>
    <n v="23396.94"/>
    <s v="Complete Access"/>
    <x v="47"/>
    <x v="1"/>
    <x v="5"/>
    <d v="1900-01-05T00:00:00"/>
    <n v="18"/>
    <x v="9"/>
    <x v="2"/>
  </r>
  <r>
    <x v="505"/>
    <n v="-118"/>
    <x v="112"/>
    <n v="23439.439999999999"/>
    <s v="Complete Access"/>
    <x v="50"/>
    <x v="4"/>
    <x v="25"/>
    <d v="1900-01-05T00:00:00"/>
    <n v="18"/>
    <x v="9"/>
    <x v="2"/>
  </r>
  <r>
    <x v="505"/>
    <n v="-27.35"/>
    <x v="966"/>
    <n v="23412.09"/>
    <s v="Complete Access"/>
    <x v="215"/>
    <x v="1"/>
    <x v="1"/>
    <d v="1900-01-05T00:00:00"/>
    <n v="18"/>
    <x v="9"/>
    <x v="2"/>
  </r>
  <r>
    <x v="506"/>
    <n v="-2.75"/>
    <x v="1047"/>
    <n v="25157.439999999999"/>
    <s v="Complete Access"/>
    <x v="188"/>
    <x v="1"/>
    <x v="1"/>
    <d v="1900-01-04T00:00:00"/>
    <n v="18"/>
    <x v="9"/>
    <x v="2"/>
  </r>
  <r>
    <x v="507"/>
    <n v="-2.75"/>
    <x v="1048"/>
    <n v="25198.23"/>
    <s v="Complete Access"/>
    <x v="188"/>
    <x v="1"/>
    <x v="1"/>
    <d v="1900-01-03T00:00:00"/>
    <n v="18"/>
    <x v="9"/>
    <x v="2"/>
  </r>
  <r>
    <x v="507"/>
    <n v="-38.04"/>
    <x v="966"/>
    <n v="25160.19"/>
    <s v="Complete Access"/>
    <x v="215"/>
    <x v="1"/>
    <x v="1"/>
    <d v="1900-01-03T00:00:00"/>
    <n v="18"/>
    <x v="9"/>
    <x v="2"/>
  </r>
  <r>
    <x v="508"/>
    <n v="-2.75"/>
    <x v="1049"/>
    <n v="25259.200000000001"/>
    <s v="Complete Access"/>
    <x v="188"/>
    <x v="1"/>
    <x v="1"/>
    <d v="1900-01-02T00:00:00"/>
    <n v="18"/>
    <x v="9"/>
    <x v="2"/>
  </r>
  <r>
    <x v="508"/>
    <n v="-4"/>
    <x v="1049"/>
    <n v="25261.95"/>
    <s v="Complete Access"/>
    <x v="188"/>
    <x v="1"/>
    <x v="1"/>
    <d v="1900-01-02T00:00:00"/>
    <n v="18"/>
    <x v="9"/>
    <x v="2"/>
  </r>
  <r>
    <x v="508"/>
    <n v="-20"/>
    <x v="1050"/>
    <n v="25394.13"/>
    <s v="Complete Access"/>
    <x v="12"/>
    <x v="5"/>
    <x v="8"/>
    <d v="1900-01-02T00:00:00"/>
    <n v="18"/>
    <x v="9"/>
    <x v="2"/>
  </r>
  <r>
    <x v="508"/>
    <n v="-106.29"/>
    <x v="1051"/>
    <n v="25269.14"/>
    <s v="Complete Access"/>
    <x v="341"/>
    <x v="4"/>
    <x v="20"/>
    <d v="1900-01-02T00:00:00"/>
    <n v="18"/>
    <x v="9"/>
    <x v="2"/>
  </r>
  <r>
    <x v="508"/>
    <n v="-18.7"/>
    <x v="1052"/>
    <n v="25375.43"/>
    <s v="Complete Access"/>
    <x v="329"/>
    <x v="4"/>
    <x v="7"/>
    <d v="1900-01-02T00:00:00"/>
    <n v="18"/>
    <x v="9"/>
    <x v="2"/>
  </r>
  <r>
    <x v="508"/>
    <n v="-3.19"/>
    <x v="1053"/>
    <n v="25265.95"/>
    <s v="Complete Access"/>
    <x v="10"/>
    <x v="0"/>
    <x v="0"/>
    <d v="1900-01-02T00:00:00"/>
    <n v="18"/>
    <x v="9"/>
    <x v="2"/>
  </r>
  <r>
    <x v="508"/>
    <n v="-58.22"/>
    <x v="405"/>
    <n v="25200.98"/>
    <s v="Complete Access"/>
    <x v="177"/>
    <x v="1"/>
    <x v="1"/>
    <d v="1900-01-02T00:00:00"/>
    <n v="18"/>
    <x v="9"/>
    <x v="2"/>
  </r>
  <r>
    <x v="509"/>
    <n v="-27.19"/>
    <x v="1054"/>
    <n v="25646.83"/>
    <s v="Complete Access"/>
    <x v="8"/>
    <x v="1"/>
    <x v="5"/>
    <d v="1900-01-01T00:00:00"/>
    <n v="18"/>
    <x v="9"/>
    <x v="2"/>
  </r>
  <r>
    <x v="509"/>
    <n v="-46"/>
    <x v="1055"/>
    <n v="25600.83"/>
    <s v="Complete Access"/>
    <x v="342"/>
    <x v="20"/>
    <x v="63"/>
    <d v="1900-01-01T00:00:00"/>
    <n v="18"/>
    <x v="9"/>
    <x v="2"/>
  </r>
  <r>
    <x v="509"/>
    <n v="-186.7"/>
    <x v="1056"/>
    <n v="25414.13"/>
    <s v="Complete Access"/>
    <x v="76"/>
    <x v="2"/>
    <x v="2"/>
    <d v="1900-01-01T00:00:00"/>
    <n v="18"/>
    <x v="9"/>
    <x v="2"/>
  </r>
  <r>
    <x v="509"/>
    <n v="-181.3"/>
    <x v="1057"/>
    <n v="25232.83"/>
    <s v="Complete Access"/>
    <x v="76"/>
    <x v="2"/>
    <x v="2"/>
    <d v="1900-01-01T00:00:00"/>
    <n v="18"/>
    <x v="9"/>
    <x v="2"/>
  </r>
  <r>
    <x v="509"/>
    <n v="181.3"/>
    <x v="1058"/>
    <n v="25414.13"/>
    <s v="Complete Access"/>
    <x v="76"/>
    <x v="2"/>
    <x v="2"/>
    <d v="1900-01-01T00:00:00"/>
    <n v="18"/>
    <x v="9"/>
    <x v="2"/>
  </r>
  <r>
    <x v="510"/>
    <n v="-15"/>
    <x v="18"/>
    <n v="25674.02"/>
    <s v="Complete Access"/>
    <x v="16"/>
    <x v="1"/>
    <x v="5"/>
    <d v="1899-12-31T00:00:00"/>
    <n v="18"/>
    <x v="9"/>
    <x v="2"/>
  </r>
  <r>
    <x v="510"/>
    <n v="4.03"/>
    <x v="609"/>
    <n v="2655.59"/>
    <s v="Netbank Saver"/>
    <x v="240"/>
    <x v="0"/>
    <x v="55"/>
    <d v="1899-12-31T00:00:00"/>
    <n v="18"/>
    <x v="9"/>
    <x v="2"/>
  </r>
  <r>
    <x v="511"/>
    <n v="-283.70999999999998"/>
    <x v="1059"/>
    <n v="25689.02"/>
    <s v="Complete Access"/>
    <x v="295"/>
    <x v="14"/>
    <x v="66"/>
    <d v="1900-01-28T00:00:00"/>
    <n v="17"/>
    <x v="10"/>
    <x v="2"/>
  </r>
  <r>
    <x v="511"/>
    <n v="-283.70999999999998"/>
    <x v="1059"/>
    <n v="25972.73"/>
    <s v="Complete Access"/>
    <x v="295"/>
    <x v="14"/>
    <x v="66"/>
    <d v="1900-01-28T00:00:00"/>
    <n v="17"/>
    <x v="10"/>
    <x v="2"/>
  </r>
  <r>
    <x v="512"/>
    <n v="-2.75"/>
    <x v="1060"/>
    <n v="26310.54"/>
    <s v="Complete Access"/>
    <x v="188"/>
    <x v="1"/>
    <x v="1"/>
    <d v="1900-01-27T00:00:00"/>
    <n v="17"/>
    <x v="10"/>
    <x v="2"/>
  </r>
  <r>
    <x v="512"/>
    <n v="-54.1"/>
    <x v="405"/>
    <n v="26256.44"/>
    <s v="Complete Access"/>
    <x v="177"/>
    <x v="1"/>
    <x v="1"/>
    <d v="1900-01-27T00:00:00"/>
    <n v="17"/>
    <x v="10"/>
    <x v="2"/>
  </r>
  <r>
    <x v="512"/>
    <n v="-51.15"/>
    <x v="1061"/>
    <n v="26313.29"/>
    <s v="Complete Access"/>
    <x v="1"/>
    <x v="1"/>
    <x v="1"/>
    <d v="1900-01-27T00:00:00"/>
    <n v="17"/>
    <x v="10"/>
    <x v="2"/>
  </r>
  <r>
    <x v="513"/>
    <n v="-500"/>
    <x v="656"/>
    <n v="26438.54"/>
    <s v="Complete Access"/>
    <x v="13"/>
    <x v="0"/>
    <x v="0"/>
    <d v="1900-01-26T00:00:00"/>
    <n v="17"/>
    <x v="10"/>
    <x v="2"/>
  </r>
  <r>
    <x v="513"/>
    <n v="-37.090000000000003"/>
    <x v="1062"/>
    <n v="26364.44"/>
    <s v="Complete Access"/>
    <x v="8"/>
    <x v="1"/>
    <x v="5"/>
    <d v="1900-01-26T00:00:00"/>
    <n v="17"/>
    <x v="10"/>
    <x v="2"/>
  </r>
  <r>
    <x v="513"/>
    <n v="-20"/>
    <x v="1063"/>
    <n v="26418.54"/>
    <s v="Complete Access"/>
    <x v="12"/>
    <x v="5"/>
    <x v="8"/>
    <d v="1900-01-26T00:00:00"/>
    <n v="17"/>
    <x v="10"/>
    <x v="2"/>
  </r>
  <r>
    <x v="513"/>
    <n v="2332.84"/>
    <x v="1064"/>
    <n v="26938.54"/>
    <s v="Complete Access"/>
    <x v="14"/>
    <x v="6"/>
    <x v="9"/>
    <d v="1900-01-26T00:00:00"/>
    <n v="17"/>
    <x v="10"/>
    <x v="2"/>
  </r>
  <r>
    <x v="513"/>
    <n v="-16.510000000000002"/>
    <x v="1065"/>
    <n v="26402.03"/>
    <s v="Complete Access"/>
    <x v="74"/>
    <x v="4"/>
    <x v="10"/>
    <d v="1900-01-26T00:00:00"/>
    <n v="17"/>
    <x v="10"/>
    <x v="2"/>
  </r>
  <r>
    <x v="513"/>
    <n v="-0.5"/>
    <x v="1066"/>
    <n v="26401.53"/>
    <s v="Complete Access"/>
    <x v="10"/>
    <x v="0"/>
    <x v="0"/>
    <d v="1900-01-26T00:00:00"/>
    <n v="17"/>
    <x v="10"/>
    <x v="2"/>
  </r>
  <r>
    <x v="514"/>
    <n v="-23.67"/>
    <x v="969"/>
    <n v="24605.7"/>
    <s v="Complete Access"/>
    <x v="177"/>
    <x v="1"/>
    <x v="1"/>
    <d v="1900-01-25T00:00:00"/>
    <n v="17"/>
    <x v="10"/>
    <x v="2"/>
  </r>
  <r>
    <x v="514"/>
    <n v="-400"/>
    <x v="657"/>
    <n v="24629.37"/>
    <s v="Complete Access"/>
    <x v="0"/>
    <x v="0"/>
    <x v="0"/>
    <d v="1900-01-25T00:00:00"/>
    <n v="17"/>
    <x v="10"/>
    <x v="2"/>
  </r>
  <r>
    <x v="515"/>
    <n v="-27.19"/>
    <x v="1067"/>
    <n v="24577.56"/>
    <s v="Complete Access"/>
    <x v="8"/>
    <x v="1"/>
    <x v="5"/>
    <d v="1900-01-24T00:00:00"/>
    <n v="17"/>
    <x v="10"/>
    <x v="2"/>
  </r>
  <r>
    <x v="515"/>
    <n v="-48.19"/>
    <x v="1068"/>
    <n v="24529.37"/>
    <s v="Complete Access"/>
    <x v="8"/>
    <x v="1"/>
    <x v="5"/>
    <d v="1900-01-24T00:00:00"/>
    <n v="17"/>
    <x v="10"/>
    <x v="2"/>
  </r>
  <r>
    <x v="515"/>
    <n v="500"/>
    <x v="946"/>
    <n v="25029.37"/>
    <s v="Complete Access"/>
    <x v="325"/>
    <x v="6"/>
    <x v="64"/>
    <d v="1900-01-24T00:00:00"/>
    <n v="17"/>
    <x v="10"/>
    <x v="2"/>
  </r>
  <r>
    <x v="516"/>
    <n v="-72.05"/>
    <x v="405"/>
    <n v="24604.75"/>
    <s v="Complete Access"/>
    <x v="177"/>
    <x v="1"/>
    <x v="1"/>
    <d v="1900-01-23T00:00:00"/>
    <n v="17"/>
    <x v="10"/>
    <x v="2"/>
  </r>
  <r>
    <x v="517"/>
    <n v="-2.75"/>
    <x v="1069"/>
    <n v="24676.799999999999"/>
    <s v="Complete Access"/>
    <x v="188"/>
    <x v="1"/>
    <x v="1"/>
    <d v="1900-01-20T00:00:00"/>
    <n v="16"/>
    <x v="10"/>
    <x v="2"/>
  </r>
  <r>
    <x v="517"/>
    <n v="-69"/>
    <x v="1070"/>
    <n v="24695.73"/>
    <s v="Complete Access"/>
    <x v="207"/>
    <x v="7"/>
    <x v="11"/>
    <d v="1900-01-20T00:00:00"/>
    <n v="16"/>
    <x v="10"/>
    <x v="2"/>
  </r>
  <r>
    <x v="517"/>
    <n v="-16.18"/>
    <x v="1071"/>
    <n v="24679.55"/>
    <s v="Complete Access"/>
    <x v="333"/>
    <x v="1"/>
    <x v="5"/>
    <d v="1900-01-20T00:00:00"/>
    <n v="16"/>
    <x v="10"/>
    <x v="2"/>
  </r>
  <r>
    <x v="518"/>
    <n v="-28.93"/>
    <x v="1072"/>
    <n v="24764.73"/>
    <s v="Complete Access"/>
    <x v="8"/>
    <x v="1"/>
    <x v="5"/>
    <d v="1900-01-19T00:00:00"/>
    <n v="16"/>
    <x v="10"/>
    <x v="2"/>
  </r>
  <r>
    <x v="519"/>
    <n v="-10.45"/>
    <x v="1073"/>
    <n v="24802.86"/>
    <s v="Complete Access"/>
    <x v="188"/>
    <x v="1"/>
    <x v="1"/>
    <d v="1900-01-18T00:00:00"/>
    <n v="16"/>
    <x v="10"/>
    <x v="2"/>
  </r>
  <r>
    <x v="519"/>
    <n v="-33.79"/>
    <x v="1074"/>
    <n v="24813.31"/>
    <s v="Complete Access"/>
    <x v="8"/>
    <x v="1"/>
    <x v="5"/>
    <d v="1900-01-18T00:00:00"/>
    <n v="16"/>
    <x v="10"/>
    <x v="2"/>
  </r>
  <r>
    <x v="519"/>
    <n v="-9.1999999999999993"/>
    <x v="807"/>
    <n v="24793.66"/>
    <s v="Complete Access"/>
    <x v="277"/>
    <x v="8"/>
    <x v="29"/>
    <d v="1900-01-18T00:00:00"/>
    <n v="16"/>
    <x v="10"/>
    <x v="2"/>
  </r>
  <r>
    <x v="520"/>
    <n v="-22.3"/>
    <x v="1075"/>
    <n v="25000.45"/>
    <s v="Complete Access"/>
    <x v="8"/>
    <x v="1"/>
    <x v="5"/>
    <d v="1900-01-17T00:00:00"/>
    <n v="16"/>
    <x v="10"/>
    <x v="2"/>
  </r>
  <r>
    <x v="520"/>
    <n v="-18.559999999999999"/>
    <x v="1075"/>
    <n v="25022.75"/>
    <s v="Complete Access"/>
    <x v="8"/>
    <x v="1"/>
    <x v="5"/>
    <d v="1900-01-17T00:00:00"/>
    <n v="16"/>
    <x v="10"/>
    <x v="2"/>
  </r>
  <r>
    <x v="520"/>
    <n v="-20"/>
    <x v="1076"/>
    <n v="25041.31"/>
    <s v="Complete Access"/>
    <x v="12"/>
    <x v="5"/>
    <x v="8"/>
    <d v="1900-01-17T00:00:00"/>
    <n v="16"/>
    <x v="10"/>
    <x v="2"/>
  </r>
  <r>
    <x v="520"/>
    <n v="-35.89"/>
    <x v="1077"/>
    <n v="24887.63"/>
    <s v="Complete Access"/>
    <x v="343"/>
    <x v="1"/>
    <x v="5"/>
    <d v="1900-01-17T00:00:00"/>
    <n v="16"/>
    <x v="10"/>
    <x v="2"/>
  </r>
  <r>
    <x v="520"/>
    <n v="-74.69"/>
    <x v="1078"/>
    <n v="24925.759999999998"/>
    <s v="Complete Access"/>
    <x v="344"/>
    <x v="4"/>
    <x v="25"/>
    <d v="1900-01-17T00:00:00"/>
    <n v="16"/>
    <x v="10"/>
    <x v="2"/>
  </r>
  <r>
    <x v="520"/>
    <n v="-2.2400000000000002"/>
    <x v="1079"/>
    <n v="24923.52"/>
    <s v="Complete Access"/>
    <x v="10"/>
    <x v="0"/>
    <x v="0"/>
    <d v="1900-01-17T00:00:00"/>
    <n v="16"/>
    <x v="10"/>
    <x v="2"/>
  </r>
  <r>
    <x v="520"/>
    <n v="-40.53"/>
    <x v="405"/>
    <n v="24847.1"/>
    <s v="Complete Access"/>
    <x v="177"/>
    <x v="1"/>
    <x v="1"/>
    <d v="1900-01-17T00:00:00"/>
    <n v="16"/>
    <x v="10"/>
    <x v="2"/>
  </r>
  <r>
    <x v="521"/>
    <n v="-14.5"/>
    <x v="18"/>
    <n v="24461.31"/>
    <s v="Complete Access"/>
    <x v="16"/>
    <x v="1"/>
    <x v="5"/>
    <d v="1900-01-16T00:00:00"/>
    <n v="16"/>
    <x v="10"/>
    <x v="2"/>
  </r>
  <r>
    <x v="521"/>
    <n v="600"/>
    <x v="946"/>
    <n v="25061.31"/>
    <s v="Complete Access"/>
    <x v="325"/>
    <x v="6"/>
    <x v="64"/>
    <d v="1900-01-16T00:00:00"/>
    <n v="16"/>
    <x v="10"/>
    <x v="2"/>
  </r>
  <r>
    <x v="522"/>
    <n v="-23.41"/>
    <x v="405"/>
    <n v="24475.81"/>
    <s v="Complete Access"/>
    <x v="177"/>
    <x v="1"/>
    <x v="1"/>
    <d v="1900-01-15T00:00:00"/>
    <n v="16"/>
    <x v="10"/>
    <x v="2"/>
  </r>
  <r>
    <x v="522"/>
    <n v="9"/>
    <x v="1080"/>
    <n v="24499.22"/>
    <s v="Complete Access"/>
    <x v="36"/>
    <x v="0"/>
    <x v="0"/>
    <d v="1900-01-15T00:00:00"/>
    <n v="16"/>
    <x v="10"/>
    <x v="2"/>
  </r>
  <r>
    <x v="523"/>
    <n v="-25.28"/>
    <x v="1081"/>
    <n v="24490.22"/>
    <s v="Complete Access"/>
    <x v="333"/>
    <x v="1"/>
    <x v="5"/>
    <d v="1900-01-14T00:00:00"/>
    <n v="15"/>
    <x v="10"/>
    <x v="2"/>
  </r>
  <r>
    <x v="524"/>
    <n v="-500"/>
    <x v="656"/>
    <n v="24611.79"/>
    <s v="Complete Access"/>
    <x v="13"/>
    <x v="0"/>
    <x v="0"/>
    <d v="1900-01-12T00:00:00"/>
    <n v="15"/>
    <x v="10"/>
    <x v="2"/>
  </r>
  <r>
    <x v="524"/>
    <n v="-13.2"/>
    <x v="827"/>
    <n v="24515.5"/>
    <s v="Complete Access"/>
    <x v="297"/>
    <x v="1"/>
    <x v="5"/>
    <d v="1900-01-12T00:00:00"/>
    <n v="15"/>
    <x v="10"/>
    <x v="2"/>
  </r>
  <r>
    <x v="524"/>
    <n v="2332.84"/>
    <x v="1082"/>
    <n v="25111.79"/>
    <s v="Complete Access"/>
    <x v="14"/>
    <x v="6"/>
    <x v="9"/>
    <d v="1900-01-12T00:00:00"/>
    <n v="15"/>
    <x v="10"/>
    <x v="2"/>
  </r>
  <r>
    <x v="524"/>
    <n v="-73.89"/>
    <x v="1083"/>
    <n v="24528.7"/>
    <s v="Complete Access"/>
    <x v="1"/>
    <x v="1"/>
    <x v="1"/>
    <d v="1900-01-12T00:00:00"/>
    <n v="15"/>
    <x v="10"/>
    <x v="2"/>
  </r>
  <r>
    <x v="524"/>
    <n v="-9.1999999999999993"/>
    <x v="1084"/>
    <n v="24602.59"/>
    <s v="Complete Access"/>
    <x v="277"/>
    <x v="8"/>
    <x v="29"/>
    <d v="1900-01-12T00:00:00"/>
    <n v="15"/>
    <x v="10"/>
    <x v="2"/>
  </r>
  <r>
    <x v="525"/>
    <n v="-49.6"/>
    <x v="1085"/>
    <n v="22997.85"/>
    <s v="Complete Access"/>
    <x v="345"/>
    <x v="4"/>
    <x v="47"/>
    <d v="1900-01-11T00:00:00"/>
    <n v="15"/>
    <x v="10"/>
    <x v="2"/>
  </r>
  <r>
    <x v="525"/>
    <n v="-34.33"/>
    <x v="1086"/>
    <n v="23047.45"/>
    <s v="Complete Access"/>
    <x v="8"/>
    <x v="1"/>
    <x v="5"/>
    <d v="1900-01-11T00:00:00"/>
    <n v="15"/>
    <x v="10"/>
    <x v="2"/>
  </r>
  <r>
    <x v="525"/>
    <n v="-20"/>
    <x v="1087"/>
    <n v="23081.78"/>
    <s v="Complete Access"/>
    <x v="12"/>
    <x v="5"/>
    <x v="8"/>
    <d v="1900-01-11T00:00:00"/>
    <n v="15"/>
    <x v="10"/>
    <x v="2"/>
  </r>
  <r>
    <x v="525"/>
    <n v="-139"/>
    <x v="1088"/>
    <n v="22815.8"/>
    <s v="Complete Access"/>
    <x v="346"/>
    <x v="4"/>
    <x v="7"/>
    <d v="1900-01-11T00:00:00"/>
    <n v="15"/>
    <x v="10"/>
    <x v="2"/>
  </r>
  <r>
    <x v="525"/>
    <n v="-25"/>
    <x v="681"/>
    <n v="22790.799999999999"/>
    <s v="Complete Access"/>
    <x v="254"/>
    <x v="16"/>
    <x v="35"/>
    <d v="1900-01-11T00:00:00"/>
    <n v="15"/>
    <x v="10"/>
    <x v="2"/>
  </r>
  <r>
    <x v="525"/>
    <n v="-1.49"/>
    <x v="1089"/>
    <n v="22996.36"/>
    <s v="Complete Access"/>
    <x v="10"/>
    <x v="0"/>
    <x v="0"/>
    <d v="1900-01-11T00:00:00"/>
    <n v="15"/>
    <x v="10"/>
    <x v="2"/>
  </r>
  <r>
    <x v="525"/>
    <n v="-11.85"/>
    <x v="969"/>
    <n v="22778.95"/>
    <s v="Complete Access"/>
    <x v="177"/>
    <x v="1"/>
    <x v="1"/>
    <d v="1900-01-11T00:00:00"/>
    <n v="15"/>
    <x v="10"/>
    <x v="2"/>
  </r>
  <r>
    <x v="525"/>
    <n v="-41.56"/>
    <x v="1090"/>
    <n v="22954.799999999999"/>
    <s v="Complete Access"/>
    <x v="91"/>
    <x v="9"/>
    <x v="12"/>
    <d v="1900-01-11T00:00:00"/>
    <n v="15"/>
    <x v="10"/>
    <x v="2"/>
  </r>
  <r>
    <x v="526"/>
    <n v="-8.6999999999999993"/>
    <x v="1091"/>
    <n v="23101.78"/>
    <s v="Complete Access"/>
    <x v="1"/>
    <x v="1"/>
    <x v="1"/>
    <d v="1900-01-10T00:00:00"/>
    <n v="15"/>
    <x v="10"/>
    <x v="2"/>
  </r>
  <r>
    <x v="527"/>
    <n v="800"/>
    <x v="1092"/>
    <n v="23110.48"/>
    <s v="Complete Access"/>
    <x v="325"/>
    <x v="6"/>
    <x v="64"/>
    <d v="1900-01-07T00:00:00"/>
    <n v="14"/>
    <x v="10"/>
    <x v="2"/>
  </r>
  <r>
    <x v="528"/>
    <n v="-47.11"/>
    <x v="405"/>
    <n v="22310.48"/>
    <s v="Complete Access"/>
    <x v="177"/>
    <x v="1"/>
    <x v="1"/>
    <d v="1900-01-06T00:00:00"/>
    <n v="14"/>
    <x v="10"/>
    <x v="2"/>
  </r>
  <r>
    <x v="529"/>
    <n v="-20"/>
    <x v="1093"/>
    <n v="22386.89"/>
    <s v="Complete Access"/>
    <x v="12"/>
    <x v="5"/>
    <x v="8"/>
    <d v="1900-01-04T00:00:00"/>
    <n v="14"/>
    <x v="10"/>
    <x v="2"/>
  </r>
  <r>
    <x v="529"/>
    <n v="-20.100000000000001"/>
    <x v="96"/>
    <n v="22357.59"/>
    <s v="Complete Access"/>
    <x v="47"/>
    <x v="1"/>
    <x v="5"/>
    <d v="1900-01-04T00:00:00"/>
    <n v="14"/>
    <x v="10"/>
    <x v="2"/>
  </r>
  <r>
    <x v="529"/>
    <n v="-9.1999999999999993"/>
    <x v="1094"/>
    <n v="22377.69"/>
    <s v="Complete Access"/>
    <x v="277"/>
    <x v="8"/>
    <x v="29"/>
    <d v="1900-01-04T00:00:00"/>
    <n v="14"/>
    <x v="10"/>
    <x v="2"/>
  </r>
  <r>
    <x v="530"/>
    <n v="-14.5"/>
    <x v="18"/>
    <n v="22406.89"/>
    <s v="Complete Access"/>
    <x v="16"/>
    <x v="1"/>
    <x v="5"/>
    <d v="1900-01-03T00:00:00"/>
    <n v="14"/>
    <x v="10"/>
    <x v="2"/>
  </r>
  <r>
    <x v="530"/>
    <n v="-18.7"/>
    <x v="1095"/>
    <n v="22462.37"/>
    <s v="Complete Access"/>
    <x v="329"/>
    <x v="4"/>
    <x v="7"/>
    <d v="1900-01-03T00:00:00"/>
    <n v="14"/>
    <x v="10"/>
    <x v="2"/>
  </r>
  <r>
    <x v="530"/>
    <n v="-40.98"/>
    <x v="1096"/>
    <n v="22421.39"/>
    <s v="Complete Access"/>
    <x v="5"/>
    <x v="3"/>
    <x v="3"/>
    <d v="1900-01-03T00:00:00"/>
    <n v="14"/>
    <x v="10"/>
    <x v="2"/>
  </r>
  <r>
    <x v="531"/>
    <n v="-186.7"/>
    <x v="1097"/>
    <n v="22481.07"/>
    <s v="Complete Access"/>
    <x v="76"/>
    <x v="2"/>
    <x v="2"/>
    <d v="1900-01-02T00:00:00"/>
    <n v="14"/>
    <x v="10"/>
    <x v="2"/>
  </r>
  <r>
    <x v="532"/>
    <n v="-120.58"/>
    <x v="405"/>
    <n v="22667.77"/>
    <s v="Complete Access"/>
    <x v="177"/>
    <x v="1"/>
    <x v="1"/>
    <d v="1900-01-01T00:00:00"/>
    <n v="14"/>
    <x v="10"/>
    <x v="2"/>
  </r>
  <r>
    <x v="533"/>
    <n v="-94"/>
    <x v="1098"/>
    <n v="22788.35"/>
    <s v="Complete Access"/>
    <x v="347"/>
    <x v="3"/>
    <x v="62"/>
    <d v="1899-12-31T00:00:00"/>
    <n v="13"/>
    <x v="10"/>
    <x v="2"/>
  </r>
  <r>
    <x v="533"/>
    <n v="3.87"/>
    <x v="609"/>
    <n v="2651.56"/>
    <s v="Netbank Saver"/>
    <x v="240"/>
    <x v="0"/>
    <x v="55"/>
    <d v="1899-12-31T00:00:00"/>
    <n v="13"/>
    <x v="10"/>
    <x v="2"/>
  </r>
  <r>
    <x v="534"/>
    <n v="-11.5"/>
    <x v="827"/>
    <n v="22950.46"/>
    <s v="Complete Access"/>
    <x v="297"/>
    <x v="1"/>
    <x v="5"/>
    <d v="1900-01-30T00:00:00"/>
    <n v="13"/>
    <x v="11"/>
    <x v="2"/>
  </r>
  <r>
    <x v="534"/>
    <n v="-5.4"/>
    <x v="533"/>
    <n v="22945.06"/>
    <s v="Complete Access"/>
    <x v="215"/>
    <x v="1"/>
    <x v="1"/>
    <d v="1900-01-30T00:00:00"/>
    <n v="13"/>
    <x v="11"/>
    <x v="2"/>
  </r>
  <r>
    <x v="534"/>
    <n v="-62.71"/>
    <x v="405"/>
    <n v="22882.35"/>
    <s v="Complete Access"/>
    <x v="177"/>
    <x v="1"/>
    <x v="1"/>
    <d v="1900-01-30T00:00:00"/>
    <n v="13"/>
    <x v="11"/>
    <x v="2"/>
  </r>
  <r>
    <x v="534"/>
    <n v="-11.99"/>
    <x v="1099"/>
    <n v="22971.16"/>
    <s v="Complete Access"/>
    <x v="15"/>
    <x v="4"/>
    <x v="10"/>
    <d v="1900-01-30T00:00:00"/>
    <n v="13"/>
    <x v="11"/>
    <x v="2"/>
  </r>
  <r>
    <x v="534"/>
    <n v="-9.1999999999999993"/>
    <x v="1100"/>
    <n v="22961.96"/>
    <s v="Complete Access"/>
    <x v="277"/>
    <x v="8"/>
    <x v="29"/>
    <d v="1900-01-30T00:00:00"/>
    <n v="13"/>
    <x v="11"/>
    <x v="2"/>
  </r>
  <r>
    <x v="535"/>
    <n v="-500"/>
    <x v="656"/>
    <n v="21839.72"/>
    <s v="Complete Access"/>
    <x v="13"/>
    <x v="0"/>
    <x v="0"/>
    <d v="1900-01-29T00:00:00"/>
    <n v="13"/>
    <x v="11"/>
    <x v="2"/>
  </r>
  <r>
    <x v="535"/>
    <n v="-20"/>
    <x v="1101"/>
    <n v="21819.72"/>
    <s v="Complete Access"/>
    <x v="12"/>
    <x v="5"/>
    <x v="8"/>
    <d v="1900-01-29T00:00:00"/>
    <n v="13"/>
    <x v="11"/>
    <x v="2"/>
  </r>
  <r>
    <x v="535"/>
    <n v="2332.84"/>
    <x v="1102"/>
    <n v="22339.72"/>
    <s v="Complete Access"/>
    <x v="14"/>
    <x v="6"/>
    <x v="9"/>
    <d v="1900-01-29T00:00:00"/>
    <n v="13"/>
    <x v="11"/>
    <x v="2"/>
  </r>
  <r>
    <x v="535"/>
    <n v="-20.07"/>
    <x v="1103"/>
    <n v="21783.15"/>
    <s v="Complete Access"/>
    <x v="56"/>
    <x v="9"/>
    <x v="31"/>
    <d v="1900-01-29T00:00:00"/>
    <n v="13"/>
    <x v="11"/>
    <x v="2"/>
  </r>
  <r>
    <x v="535"/>
    <n v="-16.5"/>
    <x v="1103"/>
    <n v="21803.22"/>
    <s v="Complete Access"/>
    <x v="56"/>
    <x v="9"/>
    <x v="31"/>
    <d v="1900-01-29T00:00:00"/>
    <n v="13"/>
    <x v="11"/>
    <x v="2"/>
  </r>
  <r>
    <x v="535"/>
    <n v="1200"/>
    <x v="1104"/>
    <n v="22983.15"/>
    <s v="Complete Access"/>
    <x v="325"/>
    <x v="6"/>
    <x v="64"/>
    <d v="1900-01-29T00:00:00"/>
    <n v="13"/>
    <x v="11"/>
    <x v="2"/>
  </r>
  <r>
    <x v="536"/>
    <n v="-20"/>
    <x v="1105"/>
    <n v="20055.919999999998"/>
    <s v="Complete Access"/>
    <x v="12"/>
    <x v="5"/>
    <x v="8"/>
    <d v="1900-01-27T00:00:00"/>
    <n v="13"/>
    <x v="11"/>
    <x v="2"/>
  </r>
  <r>
    <x v="536"/>
    <n v="-16.61"/>
    <x v="1106"/>
    <n v="20039.310000000001"/>
    <s v="Complete Access"/>
    <x v="74"/>
    <x v="4"/>
    <x v="10"/>
    <d v="1900-01-27T00:00:00"/>
    <n v="13"/>
    <x v="11"/>
    <x v="2"/>
  </r>
  <r>
    <x v="536"/>
    <n v="-0.5"/>
    <x v="1107"/>
    <n v="20038.810000000001"/>
    <s v="Complete Access"/>
    <x v="10"/>
    <x v="0"/>
    <x v="0"/>
    <d v="1900-01-27T00:00:00"/>
    <n v="13"/>
    <x v="11"/>
    <x v="2"/>
  </r>
  <r>
    <x v="536"/>
    <n v="-17.89"/>
    <x v="966"/>
    <n v="20006.88"/>
    <s v="Complete Access"/>
    <x v="215"/>
    <x v="1"/>
    <x v="1"/>
    <d v="1900-01-27T00:00:00"/>
    <n v="13"/>
    <x v="11"/>
    <x v="2"/>
  </r>
  <r>
    <x v="536"/>
    <n v="-14.04"/>
    <x v="436"/>
    <n v="20024.77"/>
    <s v="Complete Access"/>
    <x v="186"/>
    <x v="1"/>
    <x v="5"/>
    <d v="1900-01-27T00:00:00"/>
    <n v="13"/>
    <x v="11"/>
    <x v="2"/>
  </r>
  <r>
    <x v="537"/>
    <n v="-16.18"/>
    <x v="1108"/>
    <n v="20075.919999999998"/>
    <s v="Complete Access"/>
    <x v="348"/>
    <x v="1"/>
    <x v="5"/>
    <d v="1900-01-26T00:00:00"/>
    <n v="13"/>
    <x v="11"/>
    <x v="2"/>
  </r>
  <r>
    <x v="538"/>
    <n v="-25.6"/>
    <x v="405"/>
    <n v="20092.099999999999"/>
    <s v="Complete Access"/>
    <x v="177"/>
    <x v="1"/>
    <x v="1"/>
    <d v="1900-01-25T00:00:00"/>
    <n v="13"/>
    <x v="11"/>
    <x v="2"/>
  </r>
  <r>
    <x v="539"/>
    <n v="-73.680000000000007"/>
    <x v="405"/>
    <n v="20119.2"/>
    <s v="Complete Access"/>
    <x v="177"/>
    <x v="1"/>
    <x v="1"/>
    <d v="1900-01-24T00:00:00"/>
    <n v="12"/>
    <x v="11"/>
    <x v="2"/>
  </r>
  <r>
    <x v="539"/>
    <n v="-1.5"/>
    <x v="517"/>
    <n v="20117.7"/>
    <s v="Complete Access"/>
    <x v="34"/>
    <x v="9"/>
    <x v="12"/>
    <d v="1900-01-24T00:00:00"/>
    <n v="12"/>
    <x v="11"/>
    <x v="2"/>
  </r>
  <r>
    <x v="540"/>
    <n v="-20"/>
    <x v="1109"/>
    <n v="20202.080000000002"/>
    <s v="Complete Access"/>
    <x v="12"/>
    <x v="5"/>
    <x v="8"/>
    <d v="1900-01-23T00:00:00"/>
    <n v="12"/>
    <x v="11"/>
    <x v="2"/>
  </r>
  <r>
    <x v="540"/>
    <n v="-9.1999999999999993"/>
    <x v="1110"/>
    <n v="20192.88"/>
    <s v="Complete Access"/>
    <x v="277"/>
    <x v="8"/>
    <x v="29"/>
    <d v="1900-01-23T00:00:00"/>
    <n v="12"/>
    <x v="11"/>
    <x v="2"/>
  </r>
  <r>
    <x v="541"/>
    <n v="-69"/>
    <x v="1111"/>
    <n v="20304.05"/>
    <s v="Complete Access"/>
    <x v="207"/>
    <x v="7"/>
    <x v="11"/>
    <d v="1900-01-22T00:00:00"/>
    <n v="12"/>
    <x v="11"/>
    <x v="2"/>
  </r>
  <r>
    <x v="541"/>
    <n v="-12.99"/>
    <x v="1112"/>
    <n v="20222.080000000002"/>
    <s v="Complete Access"/>
    <x v="15"/>
    <x v="4"/>
    <x v="10"/>
    <d v="1900-01-22T00:00:00"/>
    <n v="12"/>
    <x v="11"/>
    <x v="2"/>
  </r>
  <r>
    <x v="541"/>
    <n v="-68.98"/>
    <x v="1113"/>
    <n v="20235.07"/>
    <s v="Complete Access"/>
    <x v="1"/>
    <x v="1"/>
    <x v="1"/>
    <d v="1900-01-22T00:00:00"/>
    <n v="12"/>
    <x v="11"/>
    <x v="2"/>
  </r>
  <r>
    <x v="542"/>
    <n v="-14.99"/>
    <x v="1114"/>
    <n v="20373.05"/>
    <s v="Complete Access"/>
    <x v="15"/>
    <x v="4"/>
    <x v="10"/>
    <d v="1900-01-21T00:00:00"/>
    <n v="12"/>
    <x v="11"/>
    <x v="2"/>
  </r>
  <r>
    <x v="542"/>
    <n v="-37.49"/>
    <x v="1115"/>
    <n v="20388.04"/>
    <s v="Complete Access"/>
    <x v="237"/>
    <x v="15"/>
    <x v="34"/>
    <d v="1900-01-21T00:00:00"/>
    <n v="12"/>
    <x v="11"/>
    <x v="2"/>
  </r>
  <r>
    <x v="543"/>
    <n v="-24.08"/>
    <x v="1116"/>
    <n v="20440.52"/>
    <s v="Complete Access"/>
    <x v="8"/>
    <x v="1"/>
    <x v="5"/>
    <d v="1900-01-20T00:00:00"/>
    <n v="12"/>
    <x v="11"/>
    <x v="2"/>
  </r>
  <r>
    <x v="543"/>
    <n v="-25.21"/>
    <x v="1117"/>
    <n v="20464.599999999999"/>
    <s v="Complete Access"/>
    <x v="343"/>
    <x v="1"/>
    <x v="5"/>
    <d v="1900-01-20T00:00:00"/>
    <n v="12"/>
    <x v="11"/>
    <x v="2"/>
  </r>
  <r>
    <x v="543"/>
    <n v="-14.99"/>
    <x v="1118"/>
    <n v="20425.53"/>
    <s v="Complete Access"/>
    <x v="15"/>
    <x v="4"/>
    <x v="10"/>
    <d v="1900-01-20T00:00:00"/>
    <n v="12"/>
    <x v="11"/>
    <x v="2"/>
  </r>
  <r>
    <x v="544"/>
    <n v="-14.04"/>
    <x v="436"/>
    <n v="20489.810000000001"/>
    <s v="Complete Access"/>
    <x v="186"/>
    <x v="1"/>
    <x v="5"/>
    <d v="1900-01-19T00:00:00"/>
    <n v="12"/>
    <x v="11"/>
    <x v="2"/>
  </r>
  <r>
    <x v="545"/>
    <n v="15"/>
    <x v="1119"/>
    <n v="20503.849999999999"/>
    <s v="Complete Access"/>
    <x v="36"/>
    <x v="0"/>
    <x v="0"/>
    <d v="1900-01-18T00:00:00"/>
    <n v="12"/>
    <x v="11"/>
    <x v="2"/>
  </r>
  <r>
    <x v="546"/>
    <n v="-50"/>
    <x v="1120"/>
    <n v="20553.849999999999"/>
    <s v="Complete Access"/>
    <x v="130"/>
    <x v="0"/>
    <x v="0"/>
    <d v="1900-01-17T00:00:00"/>
    <n v="11"/>
    <x v="11"/>
    <x v="2"/>
  </r>
  <r>
    <x v="546"/>
    <n v="-127.72"/>
    <x v="1121"/>
    <n v="19909.54"/>
    <s v="Complete Access"/>
    <x v="345"/>
    <x v="4"/>
    <x v="47"/>
    <d v="1900-01-17T00:00:00"/>
    <n v="11"/>
    <x v="11"/>
    <x v="2"/>
  </r>
  <r>
    <x v="546"/>
    <n v="-30"/>
    <x v="1122"/>
    <n v="20523.849999999999"/>
    <s v="Complete Access"/>
    <x v="349"/>
    <x v="1"/>
    <x v="5"/>
    <d v="1900-01-17T00:00:00"/>
    <n v="11"/>
    <x v="11"/>
    <x v="2"/>
  </r>
  <r>
    <x v="546"/>
    <n v="-15"/>
    <x v="1123"/>
    <n v="20488.849999999999"/>
    <s v="Complete Access"/>
    <x v="350"/>
    <x v="1"/>
    <x v="5"/>
    <d v="1900-01-17T00:00:00"/>
    <n v="11"/>
    <x v="11"/>
    <x v="2"/>
  </r>
  <r>
    <x v="546"/>
    <n v="-20"/>
    <x v="1123"/>
    <n v="20503.849999999999"/>
    <s v="Complete Access"/>
    <x v="350"/>
    <x v="1"/>
    <x v="5"/>
    <d v="1900-01-17T00:00:00"/>
    <n v="11"/>
    <x v="11"/>
    <x v="2"/>
  </r>
  <r>
    <x v="546"/>
    <n v="-3.83"/>
    <x v="1124"/>
    <n v="19905.71"/>
    <s v="Complete Access"/>
    <x v="10"/>
    <x v="0"/>
    <x v="0"/>
    <d v="1900-01-17T00:00:00"/>
    <n v="11"/>
    <x v="11"/>
    <x v="2"/>
  </r>
  <r>
    <x v="546"/>
    <n v="700"/>
    <x v="1125"/>
    <n v="20603.849999999999"/>
    <s v="Complete Access"/>
    <x v="325"/>
    <x v="6"/>
    <x v="64"/>
    <d v="1900-01-17T00:00:00"/>
    <n v="11"/>
    <x v="11"/>
    <x v="2"/>
  </r>
  <r>
    <x v="546"/>
    <n v="-1.86"/>
    <x v="1126"/>
    <n v="19903.849999999999"/>
    <s v="Complete Access"/>
    <x v="44"/>
    <x v="4"/>
    <x v="27"/>
    <d v="1900-01-17T00:00:00"/>
    <n v="11"/>
    <x v="11"/>
    <x v="2"/>
  </r>
  <r>
    <x v="547"/>
    <n v="-500"/>
    <x v="656"/>
    <n v="20028.919999999998"/>
    <s v="Complete Access"/>
    <x v="13"/>
    <x v="0"/>
    <x v="0"/>
    <d v="1900-01-15T00:00:00"/>
    <n v="11"/>
    <x v="11"/>
    <x v="2"/>
  </r>
  <r>
    <x v="547"/>
    <n v="-20"/>
    <x v="1127"/>
    <n v="20008.919999999998"/>
    <s v="Complete Access"/>
    <x v="12"/>
    <x v="5"/>
    <x v="8"/>
    <d v="1900-01-15T00:00:00"/>
    <n v="11"/>
    <x v="11"/>
    <x v="2"/>
  </r>
  <r>
    <x v="547"/>
    <n v="2332.84"/>
    <x v="1128"/>
    <n v="20528.919999999998"/>
    <s v="Complete Access"/>
    <x v="14"/>
    <x v="6"/>
    <x v="9"/>
    <d v="1900-01-15T00:00:00"/>
    <n v="11"/>
    <x v="11"/>
    <x v="2"/>
  </r>
  <r>
    <x v="547"/>
    <n v="28.34"/>
    <x v="6"/>
    <n v="20037.259999999998"/>
    <s v="Complete Access"/>
    <x v="6"/>
    <x v="4"/>
    <x v="4"/>
    <d v="1900-01-15T00:00:00"/>
    <n v="11"/>
    <x v="11"/>
    <x v="2"/>
  </r>
  <r>
    <x v="548"/>
    <n v="-13.4"/>
    <x v="827"/>
    <n v="18196.080000000002"/>
    <s v="Complete Access"/>
    <x v="297"/>
    <x v="1"/>
    <x v="5"/>
    <d v="1900-01-14T00:00:00"/>
    <n v="11"/>
    <x v="11"/>
    <x v="2"/>
  </r>
  <r>
    <x v="549"/>
    <n v="-18.2"/>
    <x v="1129"/>
    <n v="18221.509999999998"/>
    <s v="Complete Access"/>
    <x v="8"/>
    <x v="1"/>
    <x v="5"/>
    <d v="1900-01-13T00:00:00"/>
    <n v="11"/>
    <x v="11"/>
    <x v="2"/>
  </r>
  <r>
    <x v="549"/>
    <n v="-12.03"/>
    <x v="1108"/>
    <n v="18209.48"/>
    <s v="Complete Access"/>
    <x v="348"/>
    <x v="1"/>
    <x v="5"/>
    <d v="1900-01-13T00:00:00"/>
    <n v="11"/>
    <x v="11"/>
    <x v="2"/>
  </r>
  <r>
    <x v="550"/>
    <n v="-8.49"/>
    <x v="1108"/>
    <n v="18304.32"/>
    <s v="Complete Access"/>
    <x v="348"/>
    <x v="1"/>
    <x v="5"/>
    <d v="1900-01-12T00:00:00"/>
    <n v="11"/>
    <x v="11"/>
    <x v="2"/>
  </r>
  <r>
    <x v="550"/>
    <n v="-14.5"/>
    <x v="18"/>
    <n v="18289.82"/>
    <s v="Complete Access"/>
    <x v="16"/>
    <x v="1"/>
    <x v="5"/>
    <d v="1900-01-12T00:00:00"/>
    <n v="11"/>
    <x v="11"/>
    <x v="2"/>
  </r>
  <r>
    <x v="550"/>
    <n v="-50.11"/>
    <x v="405"/>
    <n v="18239.71"/>
    <s v="Complete Access"/>
    <x v="177"/>
    <x v="1"/>
    <x v="1"/>
    <d v="1900-01-12T00:00:00"/>
    <n v="11"/>
    <x v="11"/>
    <x v="2"/>
  </r>
  <r>
    <x v="551"/>
    <n v="-16.649999999999999"/>
    <x v="1130"/>
    <n v="18357.37"/>
    <s v="Complete Access"/>
    <x v="351"/>
    <x v="1"/>
    <x v="5"/>
    <d v="1900-01-11T00:00:00"/>
    <n v="11"/>
    <x v="11"/>
    <x v="2"/>
  </r>
  <r>
    <x v="551"/>
    <n v="900"/>
    <x v="1131"/>
    <n v="18374.02"/>
    <s v="Complete Access"/>
    <x v="325"/>
    <x v="6"/>
    <x v="64"/>
    <d v="1900-01-11T00:00:00"/>
    <n v="11"/>
    <x v="11"/>
    <x v="2"/>
  </r>
  <r>
    <x v="551"/>
    <n v="-44.56"/>
    <x v="532"/>
    <n v="18312.810000000001"/>
    <s v="Complete Access"/>
    <x v="1"/>
    <x v="1"/>
    <x v="1"/>
    <d v="1900-01-11T00:00:00"/>
    <n v="11"/>
    <x v="11"/>
    <x v="2"/>
  </r>
  <r>
    <x v="552"/>
    <n v="-55.14"/>
    <x v="405"/>
    <n v="17474.02"/>
    <s v="Complete Access"/>
    <x v="177"/>
    <x v="1"/>
    <x v="1"/>
    <d v="1900-01-10T00:00:00"/>
    <n v="10"/>
    <x v="11"/>
    <x v="2"/>
  </r>
  <r>
    <x v="553"/>
    <n v="-16.18"/>
    <x v="1132"/>
    <n v="17529.16"/>
    <s v="Complete Access"/>
    <x v="333"/>
    <x v="1"/>
    <x v="5"/>
    <d v="1900-01-09T00:00:00"/>
    <n v="10"/>
    <x v="11"/>
    <x v="2"/>
  </r>
  <r>
    <x v="554"/>
    <n v="-32.590000000000003"/>
    <x v="533"/>
    <n v="17545.34"/>
    <s v="Complete Access"/>
    <x v="215"/>
    <x v="1"/>
    <x v="1"/>
    <d v="1900-01-08T00:00:00"/>
    <n v="10"/>
    <x v="11"/>
    <x v="2"/>
  </r>
  <r>
    <x v="555"/>
    <n v="-66.7"/>
    <x v="532"/>
    <n v="17577.93"/>
    <s v="Complete Access"/>
    <x v="1"/>
    <x v="1"/>
    <x v="1"/>
    <d v="1900-01-05T00:00:00"/>
    <n v="10"/>
    <x v="11"/>
    <x v="2"/>
  </r>
  <r>
    <x v="556"/>
    <n v="-17.47"/>
    <x v="533"/>
    <n v="17644.63"/>
    <s v="Complete Access"/>
    <x v="215"/>
    <x v="1"/>
    <x v="1"/>
    <d v="1900-01-04T00:00:00"/>
    <n v="10"/>
    <x v="11"/>
    <x v="2"/>
  </r>
  <r>
    <x v="556"/>
    <n v="-19.64"/>
    <x v="405"/>
    <n v="17662.099999999999"/>
    <s v="Complete Access"/>
    <x v="177"/>
    <x v="1"/>
    <x v="1"/>
    <d v="1900-01-04T00:00:00"/>
    <n v="10"/>
    <x v="11"/>
    <x v="2"/>
  </r>
  <r>
    <x v="557"/>
    <n v="-40.229999999999997"/>
    <x v="405"/>
    <n v="17681.740000000002"/>
    <s v="Complete Access"/>
    <x v="177"/>
    <x v="1"/>
    <x v="1"/>
    <d v="1900-01-03T00:00:00"/>
    <n v="9"/>
    <x v="11"/>
    <x v="2"/>
  </r>
  <r>
    <x v="558"/>
    <n v="-3.93"/>
    <x v="1133"/>
    <n v="17611.669999999998"/>
    <s v="Complete Access"/>
    <x v="285"/>
    <x v="5"/>
    <x v="8"/>
    <d v="1900-01-02T00:00:00"/>
    <n v="9"/>
    <x v="11"/>
    <x v="2"/>
  </r>
  <r>
    <x v="558"/>
    <n v="-16"/>
    <x v="1134"/>
    <n v="17721.97"/>
    <s v="Complete Access"/>
    <x v="242"/>
    <x v="1"/>
    <x v="5"/>
    <d v="1900-01-02T00:00:00"/>
    <n v="9"/>
    <x v="11"/>
    <x v="2"/>
  </r>
  <r>
    <x v="558"/>
    <n v="145"/>
    <x v="1135"/>
    <n v="17756.669999999998"/>
    <s v="Complete Access"/>
    <x v="352"/>
    <x v="4"/>
    <x v="67"/>
    <d v="1900-01-02T00:00:00"/>
    <n v="9"/>
    <x v="11"/>
    <x v="2"/>
  </r>
  <r>
    <x v="558"/>
    <n v="-18.7"/>
    <x v="1136"/>
    <n v="17737.97"/>
    <s v="Complete Access"/>
    <x v="329"/>
    <x v="4"/>
    <x v="7"/>
    <d v="1900-01-02T00:00:00"/>
    <n v="9"/>
    <x v="11"/>
    <x v="2"/>
  </r>
  <r>
    <x v="559"/>
    <n v="-500"/>
    <x v="656"/>
    <n v="17470.23"/>
    <s v="Complete Access"/>
    <x v="13"/>
    <x v="0"/>
    <x v="0"/>
    <d v="1900-01-01T00:00:00"/>
    <n v="9"/>
    <x v="11"/>
    <x v="2"/>
  </r>
  <r>
    <x v="559"/>
    <n v="-10.55"/>
    <x v="1137"/>
    <n v="17439.68"/>
    <s v="Complete Access"/>
    <x v="188"/>
    <x v="1"/>
    <x v="1"/>
    <d v="1900-01-01T00:00:00"/>
    <n v="9"/>
    <x v="11"/>
    <x v="2"/>
  </r>
  <r>
    <x v="559"/>
    <n v="-20"/>
    <x v="1138"/>
    <n v="17450.23"/>
    <s v="Complete Access"/>
    <x v="12"/>
    <x v="5"/>
    <x v="8"/>
    <d v="1900-01-01T00:00:00"/>
    <n v="9"/>
    <x v="11"/>
    <x v="2"/>
  </r>
  <r>
    <x v="559"/>
    <n v="-16.18"/>
    <x v="1139"/>
    <n v="17423.5"/>
    <s v="Complete Access"/>
    <x v="333"/>
    <x v="1"/>
    <x v="5"/>
    <d v="1900-01-01T00:00:00"/>
    <n v="9"/>
    <x v="11"/>
    <x v="2"/>
  </r>
  <r>
    <x v="559"/>
    <n v="2332.84"/>
    <x v="1140"/>
    <n v="17970.23"/>
    <s v="Complete Access"/>
    <x v="14"/>
    <x v="6"/>
    <x v="9"/>
    <d v="1900-01-01T00:00:00"/>
    <n v="9"/>
    <x v="11"/>
    <x v="2"/>
  </r>
  <r>
    <x v="559"/>
    <n v="-7.9"/>
    <x v="96"/>
    <n v="17615.599999999999"/>
    <s v="Complete Access"/>
    <x v="47"/>
    <x v="1"/>
    <x v="5"/>
    <d v="1900-01-01T00:00:00"/>
    <n v="9"/>
    <x v="11"/>
    <x v="2"/>
  </r>
  <r>
    <x v="559"/>
    <n v="200"/>
    <x v="1141"/>
    <n v="17623.5"/>
    <s v="Complete Access"/>
    <x v="36"/>
    <x v="0"/>
    <x v="0"/>
    <d v="1900-01-01T00:00:00"/>
    <n v="9"/>
    <x v="11"/>
    <x v="2"/>
  </r>
  <r>
    <x v="560"/>
    <n v="-186.7"/>
    <x v="1142"/>
    <n v="15637.39"/>
    <s v="Complete Access"/>
    <x v="76"/>
    <x v="2"/>
    <x v="2"/>
    <d v="1899-12-31T00:00:00"/>
    <n v="9"/>
    <x v="11"/>
    <x v="2"/>
  </r>
  <r>
    <x v="560"/>
    <n v="3.25"/>
    <x v="609"/>
    <n v="2647.69"/>
    <s v="Netbank Saver"/>
    <x v="240"/>
    <x v="0"/>
    <x v="55"/>
    <d v="1899-12-31T00:00:00"/>
    <n v="9"/>
    <x v="11"/>
    <x v="2"/>
  </r>
  <r>
    <x v="560"/>
    <n v="-200"/>
    <x v="1006"/>
    <n v="15824.09"/>
    <s v="Complete Access"/>
    <x v="0"/>
    <x v="0"/>
    <x v="0"/>
    <d v="1899-12-31T00:00:00"/>
    <n v="9"/>
    <x v="11"/>
    <x v="2"/>
  </r>
  <r>
    <x v="561"/>
    <n v="-5.72"/>
    <x v="1143"/>
    <n v="16152.55"/>
    <s v="Complete Access"/>
    <x v="285"/>
    <x v="5"/>
    <x v="8"/>
    <d v="1900-01-27T00:00:00"/>
    <n v="9"/>
    <x v="0"/>
    <x v="2"/>
  </r>
  <r>
    <x v="561"/>
    <n v="-20"/>
    <x v="1144"/>
    <n v="16158.27"/>
    <s v="Complete Access"/>
    <x v="12"/>
    <x v="5"/>
    <x v="8"/>
    <d v="1900-01-27T00:00:00"/>
    <n v="9"/>
    <x v="0"/>
    <x v="2"/>
  </r>
  <r>
    <x v="561"/>
    <n v="-14.5"/>
    <x v="18"/>
    <n v="16052.94"/>
    <s v="Complete Access"/>
    <x v="16"/>
    <x v="1"/>
    <x v="5"/>
    <d v="1900-01-27T00:00:00"/>
    <n v="9"/>
    <x v="0"/>
    <x v="2"/>
  </r>
  <r>
    <x v="561"/>
    <n v="-3.5"/>
    <x v="405"/>
    <n v="16049.44"/>
    <s v="Complete Access"/>
    <x v="177"/>
    <x v="1"/>
    <x v="1"/>
    <d v="1900-01-27T00:00:00"/>
    <n v="9"/>
    <x v="0"/>
    <x v="2"/>
  </r>
  <r>
    <x v="561"/>
    <n v="-25.35"/>
    <x v="532"/>
    <n v="16024.09"/>
    <s v="Complete Access"/>
    <x v="1"/>
    <x v="1"/>
    <x v="1"/>
    <d v="1900-01-27T00:00:00"/>
    <n v="9"/>
    <x v="0"/>
    <x v="2"/>
  </r>
  <r>
    <x v="561"/>
    <n v="-40"/>
    <x v="1145"/>
    <n v="16067.44"/>
    <s v="Complete Access"/>
    <x v="243"/>
    <x v="1"/>
    <x v="23"/>
    <d v="1900-01-27T00:00:00"/>
    <n v="9"/>
    <x v="0"/>
    <x v="2"/>
  </r>
  <r>
    <x v="561"/>
    <n v="-45.11"/>
    <x v="1146"/>
    <n v="16107.44"/>
    <s v="Complete Access"/>
    <x v="34"/>
    <x v="9"/>
    <x v="12"/>
    <d v="1900-01-27T00:00:00"/>
    <n v="9"/>
    <x v="0"/>
    <x v="2"/>
  </r>
  <r>
    <x v="562"/>
    <n v="-3.76"/>
    <x v="966"/>
    <n v="16169.78"/>
    <s v="Complete Access"/>
    <x v="215"/>
    <x v="1"/>
    <x v="1"/>
    <d v="1900-01-26T00:00:00"/>
    <n v="9"/>
    <x v="0"/>
    <x v="2"/>
  </r>
  <r>
    <x v="562"/>
    <n v="8.49"/>
    <x v="6"/>
    <n v="16178.27"/>
    <s v="Complete Access"/>
    <x v="6"/>
    <x v="4"/>
    <x v="4"/>
    <d v="1900-01-26T00:00:00"/>
    <n v="9"/>
    <x v="0"/>
    <x v="2"/>
  </r>
  <r>
    <x v="563"/>
    <n v="-7.99"/>
    <x v="966"/>
    <n v="16173.54"/>
    <s v="Complete Access"/>
    <x v="215"/>
    <x v="1"/>
    <x v="1"/>
    <d v="1900-01-25T00:00:00"/>
    <n v="9"/>
    <x v="0"/>
    <x v="2"/>
  </r>
  <r>
    <x v="563"/>
    <n v="-63.52"/>
    <x v="405"/>
    <n v="16181.53"/>
    <s v="Complete Access"/>
    <x v="177"/>
    <x v="1"/>
    <x v="1"/>
    <d v="1900-01-25T00:00:00"/>
    <n v="9"/>
    <x v="0"/>
    <x v="2"/>
  </r>
  <r>
    <x v="564"/>
    <n v="-23.19"/>
    <x v="1147"/>
    <n v="16466.73"/>
    <s v="Complete Access"/>
    <x v="8"/>
    <x v="1"/>
    <x v="5"/>
    <d v="1900-01-24T00:00:00"/>
    <n v="8"/>
    <x v="0"/>
    <x v="2"/>
  </r>
  <r>
    <x v="564"/>
    <n v="-12.7"/>
    <x v="1148"/>
    <n v="16245.05"/>
    <s v="Complete Access"/>
    <x v="297"/>
    <x v="1"/>
    <x v="5"/>
    <d v="1900-01-24T00:00:00"/>
    <n v="8"/>
    <x v="0"/>
    <x v="2"/>
  </r>
  <r>
    <x v="564"/>
    <n v="-9.99"/>
    <x v="966"/>
    <n v="16257.75"/>
    <s v="Complete Access"/>
    <x v="215"/>
    <x v="1"/>
    <x v="1"/>
    <d v="1900-01-24T00:00:00"/>
    <n v="8"/>
    <x v="0"/>
    <x v="2"/>
  </r>
  <r>
    <x v="564"/>
    <n v="-8.4"/>
    <x v="405"/>
    <n v="16267.74"/>
    <s v="Complete Access"/>
    <x v="177"/>
    <x v="1"/>
    <x v="1"/>
    <d v="1900-01-24T00:00:00"/>
    <n v="8"/>
    <x v="0"/>
    <x v="2"/>
  </r>
  <r>
    <x v="564"/>
    <n v="-190.59"/>
    <x v="1149"/>
    <n v="16276.14"/>
    <s v="Complete Access"/>
    <x v="353"/>
    <x v="1"/>
    <x v="5"/>
    <d v="1900-01-24T00:00:00"/>
    <n v="8"/>
    <x v="0"/>
    <x v="2"/>
  </r>
  <r>
    <x v="565"/>
    <n v="-33.68"/>
    <x v="405"/>
    <n v="16489.919999999998"/>
    <s v="Complete Access"/>
    <x v="177"/>
    <x v="1"/>
    <x v="1"/>
    <d v="1900-01-23T00:00:00"/>
    <n v="8"/>
    <x v="0"/>
    <x v="2"/>
  </r>
  <r>
    <x v="566"/>
    <n v="-9.65"/>
    <x v="1150"/>
    <n v="16523.599999999999"/>
    <s v="Complete Access"/>
    <x v="285"/>
    <x v="5"/>
    <x v="8"/>
    <d v="1900-01-22T00:00:00"/>
    <n v="8"/>
    <x v="0"/>
    <x v="2"/>
  </r>
  <r>
    <x v="566"/>
    <n v="20"/>
    <x v="1151"/>
    <n v="16523.599999999999"/>
    <s v="Complete Access"/>
    <x v="36"/>
    <x v="0"/>
    <x v="0"/>
    <d v="1900-01-22T00:00:00"/>
    <n v="8"/>
    <x v="0"/>
    <x v="2"/>
  </r>
  <r>
    <x v="566"/>
    <n v="-20"/>
    <x v="1152"/>
    <n v="16503.599999999999"/>
    <s v="Complete Access"/>
    <x v="34"/>
    <x v="9"/>
    <x v="12"/>
    <d v="1900-01-22T00:00:00"/>
    <n v="8"/>
    <x v="0"/>
    <x v="2"/>
  </r>
  <r>
    <x v="567"/>
    <n v="-12.05"/>
    <x v="96"/>
    <n v="16533.25"/>
    <s v="Complete Access"/>
    <x v="47"/>
    <x v="1"/>
    <x v="5"/>
    <d v="1900-01-21T00:00:00"/>
    <n v="8"/>
    <x v="0"/>
    <x v="2"/>
  </r>
  <r>
    <x v="568"/>
    <n v="-37.130000000000003"/>
    <x v="1153"/>
    <n v="16699.5"/>
    <s v="Complete Access"/>
    <x v="8"/>
    <x v="1"/>
    <x v="5"/>
    <d v="1900-01-20T00:00:00"/>
    <n v="8"/>
    <x v="0"/>
    <x v="2"/>
  </r>
  <r>
    <x v="568"/>
    <n v="-2.75"/>
    <x v="1154"/>
    <n v="16769.03"/>
    <s v="Complete Access"/>
    <x v="285"/>
    <x v="5"/>
    <x v="8"/>
    <d v="1900-01-20T00:00:00"/>
    <n v="8"/>
    <x v="0"/>
    <x v="2"/>
  </r>
  <r>
    <x v="568"/>
    <n v="-145"/>
    <x v="1155"/>
    <n v="16554.5"/>
    <s v="Complete Access"/>
    <x v="352"/>
    <x v="4"/>
    <x v="67"/>
    <d v="1900-01-20T00:00:00"/>
    <n v="8"/>
    <x v="0"/>
    <x v="2"/>
  </r>
  <r>
    <x v="568"/>
    <n v="-32.4"/>
    <x v="1156"/>
    <n v="16736.63"/>
    <s v="Complete Access"/>
    <x v="1"/>
    <x v="1"/>
    <x v="1"/>
    <d v="1900-01-20T00:00:00"/>
    <n v="8"/>
    <x v="0"/>
    <x v="2"/>
  </r>
  <r>
    <x v="568"/>
    <n v="-9.1999999999999993"/>
    <x v="807"/>
    <n v="16545.3"/>
    <s v="Complete Access"/>
    <x v="277"/>
    <x v="8"/>
    <x v="29"/>
    <d v="1900-01-20T00:00:00"/>
    <n v="8"/>
    <x v="0"/>
    <x v="2"/>
  </r>
  <r>
    <x v="569"/>
    <n v="-24.29"/>
    <x v="532"/>
    <n v="16771.78"/>
    <s v="Complete Access"/>
    <x v="1"/>
    <x v="1"/>
    <x v="1"/>
    <d v="1900-01-19T00:00:00"/>
    <n v="8"/>
    <x v="0"/>
    <x v="2"/>
  </r>
  <r>
    <x v="569"/>
    <n v="-24.04"/>
    <x v="436"/>
    <n v="16796.07"/>
    <s v="Complete Access"/>
    <x v="186"/>
    <x v="1"/>
    <x v="5"/>
    <d v="1900-01-19T00:00:00"/>
    <n v="8"/>
    <x v="0"/>
    <x v="2"/>
  </r>
  <r>
    <x v="570"/>
    <n v="-9.44"/>
    <x v="532"/>
    <n v="16826.11"/>
    <s v="Complete Access"/>
    <x v="1"/>
    <x v="1"/>
    <x v="1"/>
    <d v="1900-01-18T00:00:00"/>
    <n v="8"/>
    <x v="0"/>
    <x v="2"/>
  </r>
  <r>
    <x v="570"/>
    <n v="-6"/>
    <x v="1157"/>
    <n v="16820.11"/>
    <s v="Complete Access"/>
    <x v="0"/>
    <x v="0"/>
    <x v="0"/>
    <d v="1900-01-18T00:00:00"/>
    <n v="8"/>
    <x v="0"/>
    <x v="2"/>
  </r>
  <r>
    <x v="571"/>
    <n v="-23.19"/>
    <x v="1158"/>
    <n v="16873.68"/>
    <s v="Complete Access"/>
    <x v="8"/>
    <x v="1"/>
    <x v="5"/>
    <d v="1900-01-17T00:00:00"/>
    <n v="7"/>
    <x v="0"/>
    <x v="2"/>
  </r>
  <r>
    <x v="571"/>
    <n v="-9.65"/>
    <x v="1159"/>
    <n v="16896.87"/>
    <s v="Complete Access"/>
    <x v="285"/>
    <x v="5"/>
    <x v="8"/>
    <d v="1900-01-17T00:00:00"/>
    <n v="7"/>
    <x v="0"/>
    <x v="2"/>
  </r>
  <r>
    <x v="571"/>
    <n v="-38.130000000000003"/>
    <x v="969"/>
    <n v="16835.55"/>
    <s v="Complete Access"/>
    <x v="177"/>
    <x v="1"/>
    <x v="1"/>
    <d v="1900-01-17T00:00:00"/>
    <n v="7"/>
    <x v="0"/>
    <x v="2"/>
  </r>
  <r>
    <x v="572"/>
    <n v="-9.65"/>
    <x v="1160"/>
    <n v="17030.79"/>
    <s v="Complete Access"/>
    <x v="285"/>
    <x v="5"/>
    <x v="8"/>
    <d v="1900-01-16T00:00:00"/>
    <n v="7"/>
    <x v="0"/>
    <x v="2"/>
  </r>
  <r>
    <x v="572"/>
    <n v="-149"/>
    <x v="1161"/>
    <n v="16869.02"/>
    <s v="Complete Access"/>
    <x v="354"/>
    <x v="1"/>
    <x v="5"/>
    <d v="1900-01-16T00:00:00"/>
    <n v="7"/>
    <x v="0"/>
    <x v="2"/>
  </r>
  <r>
    <x v="572"/>
    <n v="-12.77"/>
    <x v="533"/>
    <n v="17018.02"/>
    <s v="Complete Access"/>
    <x v="215"/>
    <x v="1"/>
    <x v="1"/>
    <d v="1900-01-16T00:00:00"/>
    <n v="7"/>
    <x v="0"/>
    <x v="2"/>
  </r>
  <r>
    <x v="572"/>
    <n v="37.5"/>
    <x v="1162"/>
    <n v="16906.52"/>
    <s v="Complete Access"/>
    <x v="36"/>
    <x v="0"/>
    <x v="0"/>
    <d v="1900-01-16T00:00:00"/>
    <n v="7"/>
    <x v="0"/>
    <x v="2"/>
  </r>
  <r>
    <x v="573"/>
    <n v="-500"/>
    <x v="656"/>
    <n v="17134.259999999998"/>
    <s v="Complete Access"/>
    <x v="13"/>
    <x v="0"/>
    <x v="0"/>
    <d v="1900-01-15T00:00:00"/>
    <n v="7"/>
    <x v="0"/>
    <x v="2"/>
  </r>
  <r>
    <x v="573"/>
    <n v="-9.65"/>
    <x v="1163"/>
    <n v="17124.61"/>
    <s v="Complete Access"/>
    <x v="285"/>
    <x v="5"/>
    <x v="8"/>
    <d v="1900-01-15T00:00:00"/>
    <n v="7"/>
    <x v="0"/>
    <x v="2"/>
  </r>
  <r>
    <x v="573"/>
    <n v="-69"/>
    <x v="1164"/>
    <n v="17055.61"/>
    <s v="Complete Access"/>
    <x v="207"/>
    <x v="7"/>
    <x v="11"/>
    <d v="1900-01-15T00:00:00"/>
    <n v="7"/>
    <x v="0"/>
    <x v="2"/>
  </r>
  <r>
    <x v="573"/>
    <n v="-15.17"/>
    <x v="1165"/>
    <n v="17040.439999999999"/>
    <s v="Complete Access"/>
    <x v="333"/>
    <x v="1"/>
    <x v="5"/>
    <d v="1900-01-15T00:00:00"/>
    <n v="7"/>
    <x v="0"/>
    <x v="2"/>
  </r>
  <r>
    <x v="573"/>
    <n v="2332.84"/>
    <x v="1166"/>
    <n v="17634.259999999998"/>
    <s v="Complete Access"/>
    <x v="14"/>
    <x v="6"/>
    <x v="9"/>
    <d v="1900-01-15T00:00:00"/>
    <n v="7"/>
    <x v="0"/>
    <x v="2"/>
  </r>
  <r>
    <x v="574"/>
    <n v="-20"/>
    <x v="1167"/>
    <n v="15307.42"/>
    <s v="Complete Access"/>
    <x v="130"/>
    <x v="0"/>
    <x v="0"/>
    <d v="1900-01-14T00:00:00"/>
    <n v="7"/>
    <x v="0"/>
    <x v="2"/>
  </r>
  <r>
    <x v="574"/>
    <n v="-15.92"/>
    <x v="1168"/>
    <n v="15327.9"/>
    <s v="Complete Access"/>
    <x v="74"/>
    <x v="4"/>
    <x v="10"/>
    <d v="1900-01-14T00:00:00"/>
    <n v="7"/>
    <x v="0"/>
    <x v="2"/>
  </r>
  <r>
    <x v="574"/>
    <n v="-0.48"/>
    <x v="1169"/>
    <n v="15327.42"/>
    <s v="Complete Access"/>
    <x v="10"/>
    <x v="0"/>
    <x v="0"/>
    <d v="1900-01-14T00:00:00"/>
    <n v="7"/>
    <x v="0"/>
    <x v="2"/>
  </r>
  <r>
    <x v="574"/>
    <n v="-6"/>
    <x v="966"/>
    <n v="15301.42"/>
    <s v="Complete Access"/>
    <x v="215"/>
    <x v="1"/>
    <x v="1"/>
    <d v="1900-01-14T00:00:00"/>
    <n v="7"/>
    <x v="0"/>
    <x v="2"/>
  </r>
  <r>
    <x v="574"/>
    <n v="-34.99"/>
    <x v="1170"/>
    <n v="15343.82"/>
    <s v="Complete Access"/>
    <x v="1"/>
    <x v="1"/>
    <x v="1"/>
    <d v="1900-01-14T00:00:00"/>
    <n v="7"/>
    <x v="0"/>
    <x v="2"/>
  </r>
  <r>
    <x v="575"/>
    <n v="-44.99"/>
    <x v="1171"/>
    <n v="15457.41"/>
    <s v="Complete Access"/>
    <x v="8"/>
    <x v="1"/>
    <x v="5"/>
    <d v="1900-01-13T00:00:00"/>
    <n v="7"/>
    <x v="0"/>
    <x v="2"/>
  </r>
  <r>
    <x v="575"/>
    <n v="-26.71"/>
    <x v="1171"/>
    <n v="15502.4"/>
    <s v="Complete Access"/>
    <x v="8"/>
    <x v="1"/>
    <x v="5"/>
    <d v="1900-01-13T00:00:00"/>
    <n v="7"/>
    <x v="0"/>
    <x v="2"/>
  </r>
  <r>
    <x v="575"/>
    <n v="-43.52"/>
    <x v="1172"/>
    <n v="15413.89"/>
    <s v="Complete Access"/>
    <x v="355"/>
    <x v="8"/>
    <x v="29"/>
    <d v="1900-01-13T00:00:00"/>
    <n v="7"/>
    <x v="0"/>
    <x v="2"/>
  </r>
  <r>
    <x v="575"/>
    <n v="-17.579999999999998"/>
    <x v="966"/>
    <n v="15378.81"/>
    <s v="Complete Access"/>
    <x v="215"/>
    <x v="1"/>
    <x v="1"/>
    <d v="1900-01-13T00:00:00"/>
    <n v="7"/>
    <x v="0"/>
    <x v="2"/>
  </r>
  <r>
    <x v="575"/>
    <n v="-17.5"/>
    <x v="1173"/>
    <n v="15396.39"/>
    <s v="Complete Access"/>
    <x v="356"/>
    <x v="8"/>
    <x v="29"/>
    <d v="1900-01-13T00:00:00"/>
    <n v="7"/>
    <x v="0"/>
    <x v="2"/>
  </r>
  <r>
    <x v="576"/>
    <n v="-17.5"/>
    <x v="532"/>
    <n v="15529.11"/>
    <s v="Complete Access"/>
    <x v="1"/>
    <x v="1"/>
    <x v="1"/>
    <d v="1900-01-11T00:00:00"/>
    <n v="7"/>
    <x v="0"/>
    <x v="2"/>
  </r>
  <r>
    <x v="576"/>
    <n v="-0.59"/>
    <x v="532"/>
    <n v="15546.61"/>
    <s v="Complete Access"/>
    <x v="1"/>
    <x v="1"/>
    <x v="1"/>
    <d v="1900-01-11T00:00:00"/>
    <n v="7"/>
    <x v="0"/>
    <x v="2"/>
  </r>
  <r>
    <x v="577"/>
    <n v="-9.65"/>
    <x v="1174"/>
    <n v="15574.73"/>
    <s v="Complete Access"/>
    <x v="285"/>
    <x v="5"/>
    <x v="8"/>
    <d v="1900-01-10T00:00:00"/>
    <n v="6"/>
    <x v="0"/>
    <x v="2"/>
  </r>
  <r>
    <x v="577"/>
    <n v="-27.53"/>
    <x v="969"/>
    <n v="15547.2"/>
    <s v="Complete Access"/>
    <x v="177"/>
    <x v="1"/>
    <x v="1"/>
    <d v="1900-01-10T00:00:00"/>
    <n v="6"/>
    <x v="0"/>
    <x v="2"/>
  </r>
  <r>
    <x v="578"/>
    <n v="-26.02"/>
    <x v="1175"/>
    <n v="15608.72"/>
    <s v="Complete Access"/>
    <x v="357"/>
    <x v="3"/>
    <x v="60"/>
    <d v="1900-01-09T00:00:00"/>
    <n v="6"/>
    <x v="0"/>
    <x v="2"/>
  </r>
  <r>
    <x v="578"/>
    <n v="-9.65"/>
    <x v="1174"/>
    <n v="15639.79"/>
    <s v="Complete Access"/>
    <x v="285"/>
    <x v="5"/>
    <x v="8"/>
    <d v="1900-01-09T00:00:00"/>
    <n v="6"/>
    <x v="0"/>
    <x v="2"/>
  </r>
  <r>
    <x v="578"/>
    <n v="-5.05"/>
    <x v="1176"/>
    <n v="15634.74"/>
    <s v="Complete Access"/>
    <x v="285"/>
    <x v="5"/>
    <x v="8"/>
    <d v="1900-01-09T00:00:00"/>
    <n v="6"/>
    <x v="0"/>
    <x v="2"/>
  </r>
  <r>
    <x v="578"/>
    <n v="-15.14"/>
    <x v="966"/>
    <n v="15584.38"/>
    <s v="Complete Access"/>
    <x v="215"/>
    <x v="1"/>
    <x v="1"/>
    <d v="1900-01-09T00:00:00"/>
    <n v="6"/>
    <x v="0"/>
    <x v="2"/>
  </r>
  <r>
    <x v="578"/>
    <n v="-9.1999999999999993"/>
    <x v="1177"/>
    <n v="15599.52"/>
    <s v="Complete Access"/>
    <x v="277"/>
    <x v="8"/>
    <x v="29"/>
    <d v="1900-01-09T00:00:00"/>
    <n v="6"/>
    <x v="0"/>
    <x v="2"/>
  </r>
  <r>
    <x v="579"/>
    <n v="-10.039999999999999"/>
    <x v="1176"/>
    <n v="15665.62"/>
    <s v="Complete Access"/>
    <x v="285"/>
    <x v="5"/>
    <x v="8"/>
    <d v="1900-01-08T00:00:00"/>
    <n v="6"/>
    <x v="0"/>
    <x v="2"/>
  </r>
  <r>
    <x v="579"/>
    <n v="-16.18"/>
    <x v="1178"/>
    <n v="15649.44"/>
    <s v="Complete Access"/>
    <x v="333"/>
    <x v="1"/>
    <x v="5"/>
    <d v="1900-01-08T00:00:00"/>
    <n v="6"/>
    <x v="0"/>
    <x v="2"/>
  </r>
  <r>
    <x v="580"/>
    <n v="700"/>
    <x v="1179"/>
    <n v="15675.66"/>
    <s v="Complete Access"/>
    <x v="288"/>
    <x v="6"/>
    <x v="64"/>
    <d v="1900-01-07T00:00:00"/>
    <n v="6"/>
    <x v="0"/>
    <x v="2"/>
  </r>
  <r>
    <x v="580"/>
    <n v="-43.35"/>
    <x v="1180"/>
    <n v="14975.66"/>
    <s v="Complete Access"/>
    <x v="1"/>
    <x v="1"/>
    <x v="1"/>
    <d v="1900-01-07T00:00:00"/>
    <n v="6"/>
    <x v="0"/>
    <x v="2"/>
  </r>
  <r>
    <x v="581"/>
    <n v="-25.3"/>
    <x v="1181"/>
    <n v="15043.05"/>
    <s v="Complete Access"/>
    <x v="8"/>
    <x v="1"/>
    <x v="5"/>
    <d v="1900-01-06T00:00:00"/>
    <n v="6"/>
    <x v="0"/>
    <x v="2"/>
  </r>
  <r>
    <x v="581"/>
    <n v="-10.99"/>
    <x v="1182"/>
    <n v="15068.35"/>
    <s v="Complete Access"/>
    <x v="177"/>
    <x v="1"/>
    <x v="1"/>
    <d v="1900-01-06T00:00:00"/>
    <n v="6"/>
    <x v="0"/>
    <x v="2"/>
  </r>
  <r>
    <x v="581"/>
    <n v="-42.6"/>
    <x v="1183"/>
    <n v="15079.34"/>
    <s v="Complete Access"/>
    <x v="177"/>
    <x v="1"/>
    <x v="1"/>
    <d v="1900-01-06T00:00:00"/>
    <n v="6"/>
    <x v="0"/>
    <x v="2"/>
  </r>
  <r>
    <x v="581"/>
    <n v="-24.04"/>
    <x v="436"/>
    <n v="15019.01"/>
    <s v="Complete Access"/>
    <x v="186"/>
    <x v="1"/>
    <x v="5"/>
    <d v="1900-01-06T00:00:00"/>
    <n v="6"/>
    <x v="0"/>
    <x v="2"/>
  </r>
  <r>
    <x v="582"/>
    <n v="-12.94"/>
    <x v="966"/>
    <n v="15121.94"/>
    <s v="Complete Access"/>
    <x v="215"/>
    <x v="1"/>
    <x v="1"/>
    <d v="1900-01-05T00:00:00"/>
    <n v="6"/>
    <x v="0"/>
    <x v="2"/>
  </r>
  <r>
    <x v="582"/>
    <n v="-337.12"/>
    <x v="1184"/>
    <n v="15134.88"/>
    <s v="Complete Access"/>
    <x v="0"/>
    <x v="0"/>
    <x v="0"/>
    <d v="1900-01-05T00:00:00"/>
    <n v="6"/>
    <x v="0"/>
    <x v="2"/>
  </r>
  <r>
    <x v="583"/>
    <n v="-9.65"/>
    <x v="1185"/>
    <n v="15486"/>
    <s v="Complete Access"/>
    <x v="285"/>
    <x v="5"/>
    <x v="8"/>
    <d v="1900-01-03T00:00:00"/>
    <n v="5"/>
    <x v="0"/>
    <x v="2"/>
  </r>
  <r>
    <x v="583"/>
    <n v="-14"/>
    <x v="1157"/>
    <n v="15472"/>
    <s v="Complete Access"/>
    <x v="0"/>
    <x v="0"/>
    <x v="0"/>
    <d v="1900-01-03T00:00:00"/>
    <n v="5"/>
    <x v="0"/>
    <x v="2"/>
  </r>
  <r>
    <x v="584"/>
    <n v="-9.65"/>
    <x v="1186"/>
    <n v="15918.82"/>
    <s v="Complete Access"/>
    <x v="285"/>
    <x v="5"/>
    <x v="8"/>
    <d v="1900-01-02T00:00:00"/>
    <n v="5"/>
    <x v="0"/>
    <x v="2"/>
  </r>
  <r>
    <x v="584"/>
    <n v="-18.7"/>
    <x v="1187"/>
    <n v="15890"/>
    <s v="Complete Access"/>
    <x v="329"/>
    <x v="4"/>
    <x v="7"/>
    <d v="1900-01-02T00:00:00"/>
    <n v="5"/>
    <x v="0"/>
    <x v="2"/>
  </r>
  <r>
    <x v="584"/>
    <n v="-315"/>
    <x v="1188"/>
    <n v="15575"/>
    <s v="Complete Access"/>
    <x v="247"/>
    <x v="9"/>
    <x v="57"/>
    <d v="1900-01-02T00:00:00"/>
    <n v="5"/>
    <x v="0"/>
    <x v="2"/>
  </r>
  <r>
    <x v="584"/>
    <n v="-10.119999999999999"/>
    <x v="1189"/>
    <n v="15908.7"/>
    <s v="Complete Access"/>
    <x v="358"/>
    <x v="1"/>
    <x v="5"/>
    <d v="1900-01-02T00:00:00"/>
    <n v="5"/>
    <x v="0"/>
    <x v="2"/>
  </r>
  <r>
    <x v="584"/>
    <n v="-80"/>
    <x v="1190"/>
    <n v="15495"/>
    <s v="Complete Access"/>
    <x v="359"/>
    <x v="11"/>
    <x v="16"/>
    <d v="1900-01-02T00:00:00"/>
    <n v="5"/>
    <x v="0"/>
    <x v="2"/>
  </r>
  <r>
    <x v="584"/>
    <n v="-39.1"/>
    <x v="969"/>
    <n v="15455.9"/>
    <s v="Complete Access"/>
    <x v="177"/>
    <x v="1"/>
    <x v="1"/>
    <d v="1900-01-02T00:00:00"/>
    <n v="5"/>
    <x v="0"/>
    <x v="2"/>
  </r>
  <r>
    <x v="584"/>
    <n v="39.75"/>
    <x v="1191"/>
    <n v="15495.65"/>
    <s v="Complete Access"/>
    <x v="26"/>
    <x v="11"/>
    <x v="18"/>
    <d v="1900-01-02T00:00:00"/>
    <n v="5"/>
    <x v="0"/>
    <x v="2"/>
  </r>
  <r>
    <x v="585"/>
    <n v="-500"/>
    <x v="656"/>
    <n v="15967.97"/>
    <s v="Complete Access"/>
    <x v="13"/>
    <x v="0"/>
    <x v="0"/>
    <d v="1900-01-01T00:00:00"/>
    <n v="5"/>
    <x v="0"/>
    <x v="2"/>
  </r>
  <r>
    <x v="585"/>
    <n v="2410.4299999999998"/>
    <x v="1192"/>
    <n v="16467.97"/>
    <s v="Complete Access"/>
    <x v="14"/>
    <x v="6"/>
    <x v="9"/>
    <d v="1900-01-01T00:00:00"/>
    <n v="5"/>
    <x v="0"/>
    <x v="2"/>
  </r>
  <r>
    <x v="585"/>
    <n v="-39.5"/>
    <x v="1193"/>
    <n v="15928.47"/>
    <s v="Complete Access"/>
    <x v="360"/>
    <x v="7"/>
    <x v="53"/>
    <d v="1900-01-01T00:00:00"/>
    <n v="5"/>
    <x v="0"/>
    <x v="2"/>
  </r>
  <r>
    <x v="586"/>
    <n v="-9.65"/>
    <x v="1194"/>
    <n v="14258.96"/>
    <s v="Complete Access"/>
    <x v="285"/>
    <x v="5"/>
    <x v="8"/>
    <d v="1899-12-31T00:00:00"/>
    <n v="5"/>
    <x v="0"/>
    <x v="2"/>
  </r>
  <r>
    <x v="586"/>
    <n v="-14.72"/>
    <x v="1195"/>
    <n v="14244.24"/>
    <s v="Complete Access"/>
    <x v="16"/>
    <x v="1"/>
    <x v="5"/>
    <d v="1899-12-31T00:00:00"/>
    <n v="5"/>
    <x v="0"/>
    <x v="2"/>
  </r>
  <r>
    <x v="586"/>
    <n v="-186.7"/>
    <x v="1196"/>
    <n v="14057.54"/>
    <s v="Complete Access"/>
    <x v="76"/>
    <x v="2"/>
    <x v="2"/>
    <d v="1899-12-31T00:00:00"/>
    <n v="5"/>
    <x v="0"/>
    <x v="2"/>
  </r>
  <r>
    <x v="586"/>
    <n v="3.59"/>
    <x v="609"/>
    <n v="2644.44"/>
    <s v="Netbank Saver"/>
    <x v="240"/>
    <x v="0"/>
    <x v="55"/>
    <d v="1899-12-31T00:00:00"/>
    <n v="5"/>
    <x v="0"/>
    <x v="2"/>
  </r>
  <r>
    <x v="587"/>
    <n v="-79.989999999999995"/>
    <x v="1197"/>
    <n v="14268.61"/>
    <s v="Complete Access"/>
    <x v="8"/>
    <x v="1"/>
    <x v="5"/>
    <d v="1900-01-30T00:00:00"/>
    <n v="5"/>
    <x v="1"/>
    <x v="2"/>
  </r>
  <r>
    <x v="587"/>
    <n v="-12.7"/>
    <x v="1198"/>
    <n v="14348.6"/>
    <s v="Complete Access"/>
    <x v="177"/>
    <x v="1"/>
    <x v="1"/>
    <d v="1900-01-30T00:00:00"/>
    <n v="5"/>
    <x v="1"/>
    <x v="2"/>
  </r>
  <r>
    <x v="587"/>
    <n v="-19.760000000000002"/>
    <x v="1199"/>
    <n v="14361.3"/>
    <s v="Complete Access"/>
    <x v="1"/>
    <x v="1"/>
    <x v="1"/>
    <d v="1900-01-30T00:00:00"/>
    <n v="5"/>
    <x v="1"/>
    <x v="2"/>
  </r>
  <r>
    <x v="588"/>
    <n v="-19.09"/>
    <x v="966"/>
    <n v="14381.06"/>
    <s v="Complete Access"/>
    <x v="215"/>
    <x v="1"/>
    <x v="1"/>
    <d v="1900-01-29T00:00:00"/>
    <n v="5"/>
    <x v="1"/>
    <x v="2"/>
  </r>
  <r>
    <x v="589"/>
    <n v="-16.649999999999999"/>
    <x v="1130"/>
    <n v="14400.15"/>
    <s v="Complete Access"/>
    <x v="351"/>
    <x v="1"/>
    <x v="5"/>
    <d v="1900-01-28T00:00:00"/>
    <n v="5"/>
    <x v="1"/>
    <x v="2"/>
  </r>
  <r>
    <x v="589"/>
    <n v="22"/>
    <x v="1200"/>
    <n v="14416.8"/>
    <s v="Complete Access"/>
    <x v="36"/>
    <x v="0"/>
    <x v="0"/>
    <d v="1900-01-28T00:00:00"/>
    <n v="5"/>
    <x v="1"/>
    <x v="2"/>
  </r>
  <r>
    <x v="589"/>
    <n v="30"/>
    <x v="1201"/>
    <n v="14394.8"/>
    <s v="Complete Access"/>
    <x v="36"/>
    <x v="0"/>
    <x v="0"/>
    <d v="1900-01-28T00:00:00"/>
    <n v="5"/>
    <x v="1"/>
    <x v="2"/>
  </r>
  <r>
    <x v="590"/>
    <n v="-53.99"/>
    <x v="1202"/>
    <n v="14390.78"/>
    <s v="Complete Access"/>
    <x v="8"/>
    <x v="1"/>
    <x v="5"/>
    <d v="1900-01-27T00:00:00"/>
    <n v="4"/>
    <x v="1"/>
    <x v="2"/>
  </r>
  <r>
    <x v="590"/>
    <n v="-9.65"/>
    <x v="1203"/>
    <n v="14474.18"/>
    <s v="Complete Access"/>
    <x v="285"/>
    <x v="5"/>
    <x v="8"/>
    <d v="1900-01-27T00:00:00"/>
    <n v="4"/>
    <x v="1"/>
    <x v="2"/>
  </r>
  <r>
    <x v="590"/>
    <n v="-9.65"/>
    <x v="1204"/>
    <n v="14464.53"/>
    <s v="Complete Access"/>
    <x v="285"/>
    <x v="5"/>
    <x v="8"/>
    <d v="1900-01-27T00:00:00"/>
    <n v="4"/>
    <x v="1"/>
    <x v="2"/>
  </r>
  <r>
    <x v="590"/>
    <n v="-19.760000000000002"/>
    <x v="1205"/>
    <n v="14444.77"/>
    <s v="Complete Access"/>
    <x v="177"/>
    <x v="1"/>
    <x v="1"/>
    <d v="1900-01-27T00:00:00"/>
    <n v="4"/>
    <x v="1"/>
    <x v="2"/>
  </r>
  <r>
    <x v="590"/>
    <n v="-16.98"/>
    <x v="1206"/>
    <n v="14373.8"/>
    <s v="Complete Access"/>
    <x v="196"/>
    <x v="11"/>
    <x v="14"/>
    <d v="1900-01-27T00:00:00"/>
    <n v="4"/>
    <x v="1"/>
    <x v="2"/>
  </r>
  <r>
    <x v="590"/>
    <n v="-9"/>
    <x v="1207"/>
    <n v="14364.8"/>
    <s v="Complete Access"/>
    <x v="277"/>
    <x v="8"/>
    <x v="29"/>
    <d v="1900-01-27T00:00:00"/>
    <n v="4"/>
    <x v="1"/>
    <x v="2"/>
  </r>
  <r>
    <x v="591"/>
    <n v="-2.0499999999999998"/>
    <x v="1208"/>
    <n v="14486.02"/>
    <s v="Complete Access"/>
    <x v="188"/>
    <x v="1"/>
    <x v="1"/>
    <d v="1900-01-25T00:00:00"/>
    <n v="4"/>
    <x v="1"/>
    <x v="2"/>
  </r>
  <r>
    <x v="591"/>
    <n v="-2.19"/>
    <x v="1209"/>
    <n v="14483.83"/>
    <s v="Complete Access"/>
    <x v="77"/>
    <x v="4"/>
    <x v="27"/>
    <d v="1900-01-25T00:00:00"/>
    <n v="4"/>
    <x v="1"/>
    <x v="2"/>
  </r>
  <r>
    <x v="592"/>
    <n v="-10"/>
    <x v="1210"/>
    <n v="14534.37"/>
    <s v="Complete Access"/>
    <x v="361"/>
    <x v="8"/>
    <x v="22"/>
    <d v="1900-01-24T00:00:00"/>
    <n v="4"/>
    <x v="1"/>
    <x v="2"/>
  </r>
  <r>
    <x v="592"/>
    <n v="-20"/>
    <x v="681"/>
    <n v="14464.07"/>
    <s v="Complete Access"/>
    <x v="254"/>
    <x v="16"/>
    <x v="35"/>
    <d v="1900-01-24T00:00:00"/>
    <n v="4"/>
    <x v="1"/>
    <x v="2"/>
  </r>
  <r>
    <x v="592"/>
    <n v="-27.48"/>
    <x v="1211"/>
    <n v="14544.37"/>
    <s v="Complete Access"/>
    <x v="177"/>
    <x v="1"/>
    <x v="1"/>
    <d v="1900-01-24T00:00:00"/>
    <n v="4"/>
    <x v="1"/>
    <x v="2"/>
  </r>
  <r>
    <x v="592"/>
    <n v="24"/>
    <x v="1201"/>
    <n v="14488.07"/>
    <s v="Complete Access"/>
    <x v="36"/>
    <x v="0"/>
    <x v="0"/>
    <d v="1900-01-24T00:00:00"/>
    <n v="4"/>
    <x v="1"/>
    <x v="2"/>
  </r>
  <r>
    <x v="592"/>
    <n v="-50.3"/>
    <x v="1212"/>
    <n v="14484.07"/>
    <s v="Complete Access"/>
    <x v="1"/>
    <x v="1"/>
    <x v="1"/>
    <d v="1900-01-24T00:00:00"/>
    <n v="4"/>
    <x v="1"/>
    <x v="2"/>
  </r>
  <r>
    <x v="593"/>
    <n v="-9.65"/>
    <x v="1213"/>
    <n v="14730.25"/>
    <s v="Complete Access"/>
    <x v="285"/>
    <x v="5"/>
    <x v="8"/>
    <d v="1900-01-23T00:00:00"/>
    <n v="4"/>
    <x v="1"/>
    <x v="2"/>
  </r>
  <r>
    <x v="593"/>
    <n v="-19.82"/>
    <x v="1214"/>
    <n v="14754.31"/>
    <s v="Complete Access"/>
    <x v="362"/>
    <x v="1"/>
    <x v="5"/>
    <d v="1900-01-23T00:00:00"/>
    <n v="4"/>
    <x v="1"/>
    <x v="2"/>
  </r>
  <r>
    <x v="593"/>
    <n v="52.38"/>
    <x v="1215"/>
    <n v="14782.63"/>
    <s v="Complete Access"/>
    <x v="363"/>
    <x v="4"/>
    <x v="25"/>
    <d v="1900-01-23T00:00:00"/>
    <n v="4"/>
    <x v="1"/>
    <x v="2"/>
  </r>
  <r>
    <x v="593"/>
    <n v="-130.5"/>
    <x v="1216"/>
    <n v="14623.81"/>
    <s v="Complete Access"/>
    <x v="232"/>
    <x v="3"/>
    <x v="15"/>
    <d v="1900-01-23T00:00:00"/>
    <n v="4"/>
    <x v="1"/>
    <x v="2"/>
  </r>
  <r>
    <x v="593"/>
    <n v="-11"/>
    <x v="1217"/>
    <n v="14571.85"/>
    <s v="Complete Access"/>
    <x v="364"/>
    <x v="8"/>
    <x v="22"/>
    <d v="1900-01-23T00:00:00"/>
    <n v="4"/>
    <x v="1"/>
    <x v="2"/>
  </r>
  <r>
    <x v="593"/>
    <n v="-8.5"/>
    <x v="1218"/>
    <n v="14774.13"/>
    <s v="Complete Access"/>
    <x v="365"/>
    <x v="1"/>
    <x v="5"/>
    <d v="1900-01-23T00:00:00"/>
    <n v="4"/>
    <x v="1"/>
    <x v="2"/>
  </r>
  <r>
    <x v="593"/>
    <n v="-28.26"/>
    <x v="1219"/>
    <n v="14595.55"/>
    <s v="Complete Access"/>
    <x v="177"/>
    <x v="1"/>
    <x v="1"/>
    <d v="1900-01-23T00:00:00"/>
    <n v="4"/>
    <x v="1"/>
    <x v="2"/>
  </r>
  <r>
    <x v="593"/>
    <n v="-6.5"/>
    <x v="1220"/>
    <n v="14582.85"/>
    <s v="Complete Access"/>
    <x v="1"/>
    <x v="1"/>
    <x v="1"/>
    <d v="1900-01-23T00:00:00"/>
    <n v="4"/>
    <x v="1"/>
    <x v="2"/>
  </r>
  <r>
    <x v="593"/>
    <n v="-6.2"/>
    <x v="1221"/>
    <n v="14589.35"/>
    <s v="Complete Access"/>
    <x v="34"/>
    <x v="9"/>
    <x v="12"/>
    <d v="1900-01-23T00:00:00"/>
    <n v="4"/>
    <x v="1"/>
    <x v="2"/>
  </r>
  <r>
    <x v="594"/>
    <n v="-9"/>
    <x v="1222"/>
    <n v="14889.9"/>
    <s v="Complete Access"/>
    <x v="365"/>
    <x v="1"/>
    <x v="5"/>
    <d v="1900-01-20T00:00:00"/>
    <n v="3"/>
    <x v="1"/>
    <x v="2"/>
  </r>
  <r>
    <x v="594"/>
    <n v="-43.49"/>
    <x v="1223"/>
    <n v="14908.1"/>
    <s v="Complete Access"/>
    <x v="177"/>
    <x v="1"/>
    <x v="1"/>
    <d v="1900-01-20T00:00:00"/>
    <n v="3"/>
    <x v="1"/>
    <x v="2"/>
  </r>
  <r>
    <x v="594"/>
    <n v="-9.1999999999999993"/>
    <x v="1224"/>
    <n v="14898.9"/>
    <s v="Complete Access"/>
    <x v="277"/>
    <x v="8"/>
    <x v="29"/>
    <d v="1900-01-20T00:00:00"/>
    <n v="3"/>
    <x v="1"/>
    <x v="2"/>
  </r>
  <r>
    <x v="594"/>
    <n v="-150"/>
    <x v="1225"/>
    <n v="14739.9"/>
    <s v="Complete Access"/>
    <x v="0"/>
    <x v="0"/>
    <x v="0"/>
    <d v="1900-01-20T00:00:00"/>
    <n v="3"/>
    <x v="1"/>
    <x v="2"/>
  </r>
  <r>
    <x v="595"/>
    <n v="-9.65"/>
    <x v="1226"/>
    <n v="14971.59"/>
    <s v="Complete Access"/>
    <x v="285"/>
    <x v="5"/>
    <x v="8"/>
    <d v="1900-01-19T00:00:00"/>
    <n v="3"/>
    <x v="1"/>
    <x v="2"/>
  </r>
  <r>
    <x v="595"/>
    <n v="-20"/>
    <x v="1227"/>
    <n v="14951.59"/>
    <s v="Complete Access"/>
    <x v="366"/>
    <x v="8"/>
    <x v="29"/>
    <d v="1900-01-19T00:00:00"/>
    <n v="3"/>
    <x v="1"/>
    <x v="2"/>
  </r>
  <r>
    <x v="596"/>
    <n v="-500"/>
    <x v="656"/>
    <n v="14981.24"/>
    <s v="Complete Access"/>
    <x v="13"/>
    <x v="0"/>
    <x v="0"/>
    <d v="1900-01-18T00:00:00"/>
    <n v="3"/>
    <x v="1"/>
    <x v="2"/>
  </r>
  <r>
    <x v="596"/>
    <n v="-69"/>
    <x v="1228"/>
    <n v="15534.67"/>
    <s v="Complete Access"/>
    <x v="207"/>
    <x v="7"/>
    <x v="11"/>
    <d v="1900-01-18T00:00:00"/>
    <n v="3"/>
    <x v="1"/>
    <x v="2"/>
  </r>
  <r>
    <x v="596"/>
    <n v="2422.16"/>
    <x v="1229"/>
    <n v="15603.67"/>
    <s v="Complete Access"/>
    <x v="14"/>
    <x v="6"/>
    <x v="9"/>
    <d v="1900-01-18T00:00:00"/>
    <n v="3"/>
    <x v="1"/>
    <x v="2"/>
  </r>
  <r>
    <x v="596"/>
    <n v="-1.56"/>
    <x v="1230"/>
    <n v="15481.24"/>
    <s v="Complete Access"/>
    <x v="10"/>
    <x v="0"/>
    <x v="0"/>
    <d v="1900-01-18T00:00:00"/>
    <n v="3"/>
    <x v="1"/>
    <x v="2"/>
  </r>
  <r>
    <x v="596"/>
    <n v="-51.87"/>
    <x v="1231"/>
    <n v="15482.8"/>
    <s v="Complete Access"/>
    <x v="363"/>
    <x v="4"/>
    <x v="25"/>
    <d v="1900-01-18T00:00:00"/>
    <n v="3"/>
    <x v="1"/>
    <x v="2"/>
  </r>
  <r>
    <x v="597"/>
    <n v="-179.34"/>
    <x v="1232"/>
    <n v="13186.89"/>
    <s v="Complete Access"/>
    <x v="256"/>
    <x v="4"/>
    <x v="47"/>
    <d v="1900-01-17T00:00:00"/>
    <n v="3"/>
    <x v="1"/>
    <x v="2"/>
  </r>
  <r>
    <x v="597"/>
    <n v="-9.65"/>
    <x v="1233"/>
    <n v="13439.88"/>
    <s v="Complete Access"/>
    <x v="285"/>
    <x v="5"/>
    <x v="8"/>
    <d v="1900-01-17T00:00:00"/>
    <n v="3"/>
    <x v="1"/>
    <x v="2"/>
  </r>
  <r>
    <x v="597"/>
    <n v="16.45"/>
    <x v="1234"/>
    <n v="13456.33"/>
    <s v="Complete Access"/>
    <x v="367"/>
    <x v="4"/>
    <x v="7"/>
    <d v="1900-01-17T00:00:00"/>
    <n v="3"/>
    <x v="1"/>
    <x v="2"/>
  </r>
  <r>
    <x v="597"/>
    <n v="-8.1"/>
    <x v="1235"/>
    <n v="13448.23"/>
    <s v="Complete Access"/>
    <x v="358"/>
    <x v="1"/>
    <x v="5"/>
    <d v="1900-01-17T00:00:00"/>
    <n v="3"/>
    <x v="1"/>
    <x v="2"/>
  </r>
  <r>
    <x v="597"/>
    <n v="-5.38"/>
    <x v="1236"/>
    <n v="13181.51"/>
    <s v="Complete Access"/>
    <x v="10"/>
    <x v="0"/>
    <x v="0"/>
    <d v="1900-01-17T00:00:00"/>
    <n v="3"/>
    <x v="1"/>
    <x v="2"/>
  </r>
  <r>
    <x v="597"/>
    <n v="-82"/>
    <x v="1237"/>
    <n v="13366.23"/>
    <s v="Complete Access"/>
    <x v="368"/>
    <x v="8"/>
    <x v="22"/>
    <d v="1900-01-17T00:00:00"/>
    <n v="3"/>
    <x v="1"/>
    <x v="2"/>
  </r>
  <r>
    <x v="598"/>
    <n v="-24.97"/>
    <x v="1238"/>
    <n v="12759.44"/>
    <s v="Complete Access"/>
    <x v="8"/>
    <x v="1"/>
    <x v="5"/>
    <d v="1900-01-16T00:00:00"/>
    <n v="3"/>
    <x v="1"/>
    <x v="2"/>
  </r>
  <r>
    <x v="598"/>
    <n v="-13"/>
    <x v="18"/>
    <n v="13449.53"/>
    <s v="Complete Access"/>
    <x v="16"/>
    <x v="1"/>
    <x v="5"/>
    <d v="1900-01-16T00:00:00"/>
    <n v="3"/>
    <x v="1"/>
    <x v="2"/>
  </r>
  <r>
    <x v="598"/>
    <n v="-16"/>
    <x v="1239"/>
    <n v="12707.01"/>
    <s v="Complete Access"/>
    <x v="74"/>
    <x v="4"/>
    <x v="10"/>
    <d v="1900-01-16T00:00:00"/>
    <n v="3"/>
    <x v="1"/>
    <x v="2"/>
  </r>
  <r>
    <x v="598"/>
    <n v="-0.48"/>
    <x v="1240"/>
    <n v="12706.53"/>
    <s v="Complete Access"/>
    <x v="10"/>
    <x v="0"/>
    <x v="0"/>
    <d v="1900-01-16T00:00:00"/>
    <n v="3"/>
    <x v="1"/>
    <x v="2"/>
  </r>
  <r>
    <x v="598"/>
    <n v="-17"/>
    <x v="1241"/>
    <n v="12844.28"/>
    <s v="Complete Access"/>
    <x v="177"/>
    <x v="1"/>
    <x v="1"/>
    <d v="1900-01-16T00:00:00"/>
    <n v="3"/>
    <x v="1"/>
    <x v="2"/>
  </r>
  <r>
    <x v="598"/>
    <n v="655"/>
    <x v="1242"/>
    <n v="13361.53"/>
    <s v="Complete Access"/>
    <x v="257"/>
    <x v="0"/>
    <x v="0"/>
    <d v="1900-01-16T00:00:00"/>
    <n v="3"/>
    <x v="1"/>
    <x v="2"/>
  </r>
  <r>
    <x v="598"/>
    <n v="101"/>
    <x v="1243"/>
    <n v="13462.53"/>
    <s v="Complete Access"/>
    <x v="257"/>
    <x v="0"/>
    <x v="0"/>
    <d v="1900-01-16T00:00:00"/>
    <n v="3"/>
    <x v="1"/>
    <x v="2"/>
  </r>
  <r>
    <x v="598"/>
    <n v="-59.87"/>
    <x v="1244"/>
    <n v="12784.41"/>
    <s v="Complete Access"/>
    <x v="1"/>
    <x v="1"/>
    <x v="1"/>
    <d v="1900-01-16T00:00:00"/>
    <n v="3"/>
    <x v="1"/>
    <x v="2"/>
  </r>
  <r>
    <x v="598"/>
    <n v="-36.43"/>
    <x v="1245"/>
    <n v="12723.01"/>
    <s v="Complete Access"/>
    <x v="34"/>
    <x v="9"/>
    <x v="12"/>
    <d v="1900-01-16T00:00:00"/>
    <n v="3"/>
    <x v="1"/>
    <x v="2"/>
  </r>
  <r>
    <x v="599"/>
    <n v="-60"/>
    <x v="1246"/>
    <n v="12861.28"/>
    <s v="Complete Access"/>
    <x v="369"/>
    <x v="20"/>
    <x v="63"/>
    <d v="1900-01-15T00:00:00"/>
    <n v="3"/>
    <x v="1"/>
    <x v="2"/>
  </r>
  <r>
    <x v="600"/>
    <n v="-12"/>
    <x v="1247"/>
    <n v="12921.28"/>
    <s v="Complete Access"/>
    <x v="370"/>
    <x v="20"/>
    <x v="63"/>
    <d v="1900-01-13T00:00:00"/>
    <n v="2"/>
    <x v="1"/>
    <x v="2"/>
  </r>
  <r>
    <x v="601"/>
    <n v="-29.16"/>
    <x v="1248"/>
    <n v="12934.15"/>
    <s v="Complete Access"/>
    <x v="74"/>
    <x v="4"/>
    <x v="10"/>
    <d v="1900-01-12T00:00:00"/>
    <n v="2"/>
    <x v="1"/>
    <x v="2"/>
  </r>
  <r>
    <x v="601"/>
    <n v="-0.87"/>
    <x v="1249"/>
    <n v="12933.28"/>
    <s v="Complete Access"/>
    <x v="10"/>
    <x v="0"/>
    <x v="0"/>
    <d v="1900-01-12T00:00:00"/>
    <n v="2"/>
    <x v="1"/>
    <x v="2"/>
  </r>
  <r>
    <x v="601"/>
    <n v="-12.14"/>
    <x v="1250"/>
    <n v="12963.31"/>
    <s v="Complete Access"/>
    <x v="215"/>
    <x v="1"/>
    <x v="1"/>
    <d v="1900-01-12T00:00:00"/>
    <n v="2"/>
    <x v="1"/>
    <x v="2"/>
  </r>
  <r>
    <x v="601"/>
    <n v="-16.78"/>
    <x v="1251"/>
    <n v="12975.45"/>
    <s v="Complete Access"/>
    <x v="177"/>
    <x v="1"/>
    <x v="1"/>
    <d v="1900-01-12T00:00:00"/>
    <n v="2"/>
    <x v="1"/>
    <x v="2"/>
  </r>
  <r>
    <x v="602"/>
    <n v="-16.45"/>
    <x v="1252"/>
    <n v="12992.23"/>
    <s v="Complete Access"/>
    <x v="367"/>
    <x v="4"/>
    <x v="7"/>
    <d v="1900-01-11T00:00:00"/>
    <n v="2"/>
    <x v="1"/>
    <x v="2"/>
  </r>
  <r>
    <x v="603"/>
    <n v="-20.86"/>
    <x v="1253"/>
    <n v="13097.05"/>
    <s v="Complete Access"/>
    <x v="8"/>
    <x v="1"/>
    <x v="5"/>
    <d v="1900-01-09T00:00:00"/>
    <n v="2"/>
    <x v="1"/>
    <x v="2"/>
  </r>
  <r>
    <x v="603"/>
    <n v="-5.94"/>
    <x v="1254"/>
    <n v="13008.86"/>
    <s v="Complete Access"/>
    <x v="74"/>
    <x v="4"/>
    <x v="10"/>
    <d v="1900-01-09T00:00:00"/>
    <n v="2"/>
    <x v="1"/>
    <x v="2"/>
  </r>
  <r>
    <x v="603"/>
    <n v="-5.94"/>
    <x v="1254"/>
    <n v="13014.98"/>
    <s v="Complete Access"/>
    <x v="74"/>
    <x v="4"/>
    <x v="10"/>
    <d v="1900-01-09T00:00:00"/>
    <n v="2"/>
    <x v="1"/>
    <x v="2"/>
  </r>
  <r>
    <x v="603"/>
    <n v="-0.18"/>
    <x v="1255"/>
    <n v="13008.68"/>
    <s v="Complete Access"/>
    <x v="10"/>
    <x v="0"/>
    <x v="0"/>
    <d v="1900-01-09T00:00:00"/>
    <n v="2"/>
    <x v="1"/>
    <x v="2"/>
  </r>
  <r>
    <x v="603"/>
    <n v="-0.18"/>
    <x v="1256"/>
    <n v="13014.8"/>
    <s v="Complete Access"/>
    <x v="10"/>
    <x v="0"/>
    <x v="0"/>
    <d v="1900-01-09T00:00:00"/>
    <n v="2"/>
    <x v="1"/>
    <x v="2"/>
  </r>
  <r>
    <x v="603"/>
    <n v="-76.13"/>
    <x v="1257"/>
    <n v="13020.92"/>
    <s v="Complete Access"/>
    <x v="371"/>
    <x v="1"/>
    <x v="5"/>
    <d v="1900-01-09T00:00:00"/>
    <n v="2"/>
    <x v="1"/>
    <x v="2"/>
  </r>
  <r>
    <x v="604"/>
    <n v="-22.42"/>
    <x v="1258"/>
    <n v="13149.91"/>
    <s v="Complete Access"/>
    <x v="8"/>
    <x v="1"/>
    <x v="5"/>
    <d v="1900-01-06T00:00:00"/>
    <n v="1"/>
    <x v="1"/>
    <x v="2"/>
  </r>
  <r>
    <x v="604"/>
    <n v="-32"/>
    <x v="1259"/>
    <n v="13117.91"/>
    <s v="Complete Access"/>
    <x v="372"/>
    <x v="20"/>
    <x v="63"/>
    <d v="1900-01-06T00:00:00"/>
    <n v="1"/>
    <x v="1"/>
    <x v="2"/>
  </r>
  <r>
    <x v="604"/>
    <n v="22.99"/>
    <x v="1260"/>
    <n v="13172.33"/>
    <s v="Complete Access"/>
    <x v="373"/>
    <x v="8"/>
    <x v="7"/>
    <d v="1900-01-06T00:00:00"/>
    <n v="1"/>
    <x v="1"/>
    <x v="2"/>
  </r>
  <r>
    <x v="604"/>
    <n v="22.99"/>
    <x v="1261"/>
    <n v="13149.34"/>
    <s v="Complete Access"/>
    <x v="373"/>
    <x v="8"/>
    <x v="7"/>
    <d v="1900-01-06T00:00:00"/>
    <n v="1"/>
    <x v="1"/>
    <x v="2"/>
  </r>
  <r>
    <x v="605"/>
    <n v="-22.99"/>
    <x v="1262"/>
    <n v="13188.35"/>
    <s v="Complete Access"/>
    <x v="373"/>
    <x v="8"/>
    <x v="7"/>
    <d v="1900-01-05T00:00:00"/>
    <n v="1"/>
    <x v="1"/>
    <x v="2"/>
  </r>
  <r>
    <x v="605"/>
    <n v="-12"/>
    <x v="1263"/>
    <n v="13126.35"/>
    <s v="Complete Access"/>
    <x v="374"/>
    <x v="8"/>
    <x v="29"/>
    <d v="1900-01-05T00:00:00"/>
    <n v="1"/>
    <x v="1"/>
    <x v="2"/>
  </r>
  <r>
    <x v="605"/>
    <n v="-50"/>
    <x v="1264"/>
    <n v="13138.35"/>
    <s v="Complete Access"/>
    <x v="265"/>
    <x v="8"/>
    <x v="22"/>
    <d v="1900-01-05T00:00:00"/>
    <n v="1"/>
    <x v="1"/>
    <x v="2"/>
  </r>
  <r>
    <x v="606"/>
    <n v="-500"/>
    <x v="656"/>
    <n v="13261.21"/>
    <s v="Complete Access"/>
    <x v="13"/>
    <x v="0"/>
    <x v="0"/>
    <d v="1900-01-04T00:00:00"/>
    <n v="1"/>
    <x v="1"/>
    <x v="2"/>
  </r>
  <r>
    <x v="606"/>
    <n v="2422.16"/>
    <x v="1265"/>
    <n v="13761.21"/>
    <s v="Complete Access"/>
    <x v="14"/>
    <x v="6"/>
    <x v="9"/>
    <d v="1900-01-04T00:00:00"/>
    <n v="1"/>
    <x v="1"/>
    <x v="2"/>
  </r>
  <r>
    <x v="606"/>
    <n v="-49.87"/>
    <x v="1266"/>
    <n v="13211.34"/>
    <s v="Complete Access"/>
    <x v="1"/>
    <x v="1"/>
    <x v="1"/>
    <d v="1900-01-04T00:00:00"/>
    <n v="1"/>
    <x v="1"/>
    <x v="2"/>
  </r>
  <r>
    <x v="607"/>
    <n v="-35.74"/>
    <x v="1267"/>
    <n v="11810.63"/>
    <s v="Complete Access"/>
    <x v="8"/>
    <x v="1"/>
    <x v="5"/>
    <d v="1900-01-03T00:00:00"/>
    <n v="1"/>
    <x v="1"/>
    <x v="2"/>
  </r>
  <r>
    <x v="607"/>
    <n v="-26.3"/>
    <x v="1268"/>
    <n v="11784.33"/>
    <s v="Complete Access"/>
    <x v="8"/>
    <x v="1"/>
    <x v="5"/>
    <d v="1900-01-03T00:00:00"/>
    <n v="1"/>
    <x v="1"/>
    <x v="2"/>
  </r>
  <r>
    <x v="607"/>
    <n v="-23.19"/>
    <x v="1269"/>
    <n v="11339.05"/>
    <s v="Complete Access"/>
    <x v="8"/>
    <x v="1"/>
    <x v="5"/>
    <d v="1900-01-03T00:00:00"/>
    <n v="1"/>
    <x v="1"/>
    <x v="2"/>
  </r>
  <r>
    <x v="607"/>
    <n v="-89"/>
    <x v="1270"/>
    <n v="11693.14"/>
    <s v="Complete Access"/>
    <x v="289"/>
    <x v="3"/>
    <x v="15"/>
    <d v="1900-01-03T00:00:00"/>
    <n v="1"/>
    <x v="1"/>
    <x v="2"/>
  </r>
  <r>
    <x v="607"/>
    <n v="-18.7"/>
    <x v="1271"/>
    <n v="11873.18"/>
    <s v="Complete Access"/>
    <x v="329"/>
    <x v="4"/>
    <x v="7"/>
    <d v="1900-01-03T00:00:00"/>
    <n v="1"/>
    <x v="1"/>
    <x v="2"/>
  </r>
  <r>
    <x v="607"/>
    <n v="-12.17"/>
    <x v="1272"/>
    <n v="11362.24"/>
    <s v="Complete Access"/>
    <x v="215"/>
    <x v="1"/>
    <x v="1"/>
    <d v="1900-01-03T00:00:00"/>
    <n v="1"/>
    <x v="1"/>
    <x v="2"/>
  </r>
  <r>
    <x v="607"/>
    <n v="-237.6"/>
    <x v="1273"/>
    <n v="11455.54"/>
    <s v="Complete Access"/>
    <x v="375"/>
    <x v="3"/>
    <x v="15"/>
    <d v="1900-01-03T00:00:00"/>
    <n v="1"/>
    <x v="1"/>
    <x v="2"/>
  </r>
  <r>
    <x v="607"/>
    <n v="-46.16"/>
    <x v="1274"/>
    <n v="11374.41"/>
    <s v="Complete Access"/>
    <x v="177"/>
    <x v="1"/>
    <x v="1"/>
    <d v="1900-01-03T00:00:00"/>
    <n v="1"/>
    <x v="1"/>
    <x v="2"/>
  </r>
  <r>
    <x v="607"/>
    <n v="-26.81"/>
    <x v="1275"/>
    <n v="11846.37"/>
    <s v="Complete Access"/>
    <x v="1"/>
    <x v="1"/>
    <x v="1"/>
    <d v="1900-01-03T00:00:00"/>
    <n v="1"/>
    <x v="1"/>
    <x v="2"/>
  </r>
  <r>
    <x v="607"/>
    <n v="-2.19"/>
    <x v="1276"/>
    <n v="11782.14"/>
    <s v="Complete Access"/>
    <x v="77"/>
    <x v="4"/>
    <x v="27"/>
    <d v="1900-01-03T00:00:00"/>
    <n v="1"/>
    <x v="1"/>
    <x v="2"/>
  </r>
  <r>
    <x v="607"/>
    <n v="-34.97"/>
    <x v="1277"/>
    <n v="11420.57"/>
    <s v="Complete Access"/>
    <x v="376"/>
    <x v="3"/>
    <x v="15"/>
    <d v="1900-01-03T00:00:00"/>
    <n v="1"/>
    <x v="1"/>
    <x v="2"/>
  </r>
  <r>
    <x v="608"/>
    <n v="-18"/>
    <x v="1278"/>
    <n v="12078.58"/>
    <s v="Complete Access"/>
    <x v="377"/>
    <x v="8"/>
    <x v="29"/>
    <d v="1900-01-02T00:00:00"/>
    <n v="1"/>
    <x v="1"/>
    <x v="2"/>
  </r>
  <r>
    <x v="608"/>
    <n v="-22.8"/>
    <x v="1278"/>
    <n v="12096.58"/>
    <s v="Complete Access"/>
    <x v="377"/>
    <x v="8"/>
    <x v="29"/>
    <d v="1900-01-02T00:00:00"/>
    <n v="1"/>
    <x v="1"/>
    <x v="2"/>
  </r>
  <r>
    <x v="608"/>
    <n v="-186.7"/>
    <x v="1279"/>
    <n v="11891.88"/>
    <s v="Complete Access"/>
    <x v="76"/>
    <x v="2"/>
    <x v="2"/>
    <d v="1900-01-02T00:00:00"/>
    <n v="1"/>
    <x v="1"/>
    <x v="2"/>
  </r>
  <r>
    <x v="609"/>
    <n v="3.31"/>
    <x v="609"/>
    <n v="2640.85"/>
    <s v="Netbank Saver"/>
    <x v="240"/>
    <x v="0"/>
    <x v="55"/>
    <d v="1899-12-31T00:00:00"/>
    <n v="1"/>
    <x v="1"/>
    <x v="2"/>
  </r>
  <r>
    <x v="610"/>
    <n v="-26.3"/>
    <x v="1269"/>
    <n v="12205.98"/>
    <s v="Complete Access"/>
    <x v="8"/>
    <x v="1"/>
    <x v="5"/>
    <d v="1900-01-30T00:00:00"/>
    <n v="53"/>
    <x v="2"/>
    <x v="3"/>
  </r>
  <r>
    <x v="610"/>
    <n v="-38.619999999999997"/>
    <x v="1280"/>
    <n v="12167.36"/>
    <s v="Complete Access"/>
    <x v="8"/>
    <x v="1"/>
    <x v="5"/>
    <d v="1900-01-30T00:00:00"/>
    <n v="53"/>
    <x v="2"/>
    <x v="3"/>
  </r>
  <r>
    <x v="610"/>
    <n v="-22.99"/>
    <x v="1281"/>
    <n v="12144.37"/>
    <s v="Complete Access"/>
    <x v="373"/>
    <x v="8"/>
    <x v="7"/>
    <d v="1900-01-30T00:00:00"/>
    <n v="53"/>
    <x v="2"/>
    <x v="3"/>
  </r>
  <r>
    <x v="610"/>
    <n v="-24.99"/>
    <x v="969"/>
    <n v="12119.38"/>
    <s v="Complete Access"/>
    <x v="177"/>
    <x v="1"/>
    <x v="1"/>
    <d v="1900-01-30T00:00:00"/>
    <n v="53"/>
    <x v="2"/>
    <x v="3"/>
  </r>
  <r>
    <x v="611"/>
    <n v="22.99"/>
    <x v="1282"/>
    <n v="12232.28"/>
    <s v="Complete Access"/>
    <x v="373"/>
    <x v="8"/>
    <x v="7"/>
    <d v="1900-01-29T00:00:00"/>
    <n v="53"/>
    <x v="2"/>
    <x v="3"/>
  </r>
  <r>
    <x v="612"/>
    <n v="-22.44"/>
    <x v="1283"/>
    <n v="12707.71"/>
    <s v="Complete Access"/>
    <x v="378"/>
    <x v="4"/>
    <x v="25"/>
    <d v="1900-01-28T00:00:00"/>
    <n v="53"/>
    <x v="2"/>
    <x v="3"/>
  </r>
  <r>
    <x v="612"/>
    <n v="-73.7"/>
    <x v="1284"/>
    <n v="12305.02"/>
    <s v="Complete Access"/>
    <x v="256"/>
    <x v="4"/>
    <x v="47"/>
    <d v="1900-01-28T00:00:00"/>
    <n v="53"/>
    <x v="2"/>
    <x v="3"/>
  </r>
  <r>
    <x v="612"/>
    <n v="-28.19"/>
    <x v="1285"/>
    <n v="12384.71"/>
    <s v="Complete Access"/>
    <x v="8"/>
    <x v="1"/>
    <x v="5"/>
    <d v="1900-01-28T00:00:00"/>
    <n v="53"/>
    <x v="2"/>
    <x v="3"/>
  </r>
  <r>
    <x v="612"/>
    <n v="-23.19"/>
    <x v="1286"/>
    <n v="12226.47"/>
    <s v="Complete Access"/>
    <x v="8"/>
    <x v="1"/>
    <x v="5"/>
    <d v="1900-01-28T00:00:00"/>
    <n v="53"/>
    <x v="2"/>
    <x v="3"/>
  </r>
  <r>
    <x v="612"/>
    <n v="-6"/>
    <x v="1287"/>
    <n v="12220.47"/>
    <s v="Complete Access"/>
    <x v="74"/>
    <x v="4"/>
    <x v="10"/>
    <d v="1900-01-28T00:00:00"/>
    <n v="53"/>
    <x v="2"/>
    <x v="3"/>
  </r>
  <r>
    <x v="612"/>
    <n v="-43"/>
    <x v="1288"/>
    <n v="12249.66"/>
    <s v="Complete Access"/>
    <x v="35"/>
    <x v="1"/>
    <x v="23"/>
    <d v="1900-01-28T00:00:00"/>
    <n v="53"/>
    <x v="2"/>
    <x v="3"/>
  </r>
  <r>
    <x v="612"/>
    <n v="-0.67"/>
    <x v="1289"/>
    <n v="12707.04"/>
    <s v="Complete Access"/>
    <x v="10"/>
    <x v="0"/>
    <x v="0"/>
    <d v="1900-01-28T00:00:00"/>
    <n v="53"/>
    <x v="2"/>
    <x v="3"/>
  </r>
  <r>
    <x v="612"/>
    <n v="-2.21"/>
    <x v="1290"/>
    <n v="12302.81"/>
    <s v="Complete Access"/>
    <x v="10"/>
    <x v="0"/>
    <x v="0"/>
    <d v="1900-01-28T00:00:00"/>
    <n v="53"/>
    <x v="2"/>
    <x v="3"/>
  </r>
  <r>
    <x v="612"/>
    <n v="-0.18"/>
    <x v="1291"/>
    <n v="12220.29"/>
    <s v="Complete Access"/>
    <x v="10"/>
    <x v="0"/>
    <x v="0"/>
    <d v="1900-01-28T00:00:00"/>
    <n v="53"/>
    <x v="2"/>
    <x v="3"/>
  </r>
  <r>
    <x v="612"/>
    <n v="-294.14"/>
    <x v="1292"/>
    <n v="12412.9"/>
    <s v="Complete Access"/>
    <x v="379"/>
    <x v="4"/>
    <x v="47"/>
    <d v="1900-01-28T00:00:00"/>
    <n v="53"/>
    <x v="2"/>
    <x v="3"/>
  </r>
  <r>
    <x v="612"/>
    <n v="-5.99"/>
    <x v="1293"/>
    <n v="12378.72"/>
    <s v="Complete Access"/>
    <x v="222"/>
    <x v="11"/>
    <x v="14"/>
    <d v="1900-01-28T00:00:00"/>
    <n v="53"/>
    <x v="2"/>
    <x v="3"/>
  </r>
  <r>
    <x v="612"/>
    <n v="-10.15"/>
    <x v="1294"/>
    <n v="12292.66"/>
    <s v="Complete Access"/>
    <x v="1"/>
    <x v="1"/>
    <x v="1"/>
    <d v="1900-01-28T00:00:00"/>
    <n v="53"/>
    <x v="2"/>
    <x v="3"/>
  </r>
  <r>
    <x v="612"/>
    <n v="-11"/>
    <x v="1157"/>
    <n v="12209.29"/>
    <s v="Complete Access"/>
    <x v="0"/>
    <x v="0"/>
    <x v="0"/>
    <d v="1900-01-28T00:00:00"/>
    <n v="53"/>
    <x v="2"/>
    <x v="3"/>
  </r>
  <r>
    <x v="613"/>
    <n v="-14.3"/>
    <x v="1295"/>
    <n v="12730.15"/>
    <s v="Complete Access"/>
    <x v="0"/>
    <x v="0"/>
    <x v="0"/>
    <d v="1900-01-27T00:00:00"/>
    <n v="53"/>
    <x v="2"/>
    <x v="3"/>
  </r>
  <r>
    <x v="614"/>
    <n v="-34.630000000000003"/>
    <x v="1286"/>
    <n v="12751.45"/>
    <s v="Complete Access"/>
    <x v="8"/>
    <x v="1"/>
    <x v="5"/>
    <d v="1900-01-23T00:00:00"/>
    <n v="52"/>
    <x v="2"/>
    <x v="3"/>
  </r>
  <r>
    <x v="614"/>
    <n v="-7"/>
    <x v="1222"/>
    <n v="12744.45"/>
    <s v="Complete Access"/>
    <x v="365"/>
    <x v="1"/>
    <x v="5"/>
    <d v="1900-01-23T00:00:00"/>
    <n v="52"/>
    <x v="2"/>
    <x v="3"/>
  </r>
  <r>
    <x v="615"/>
    <n v="-150"/>
    <x v="782"/>
    <n v="12786.08"/>
    <s v="Complete Access"/>
    <x v="130"/>
    <x v="0"/>
    <x v="0"/>
    <d v="1900-01-22T00:00:00"/>
    <n v="52"/>
    <x v="2"/>
    <x v="3"/>
  </r>
  <r>
    <x v="615"/>
    <n v="-26.3"/>
    <x v="1296"/>
    <n v="12936.08"/>
    <s v="Complete Access"/>
    <x v="8"/>
    <x v="1"/>
    <x v="5"/>
    <d v="1900-01-22T00:00:00"/>
    <n v="52"/>
    <x v="2"/>
    <x v="3"/>
  </r>
  <r>
    <x v="616"/>
    <n v="-500"/>
    <x v="656"/>
    <n v="12985.62"/>
    <s v="Complete Access"/>
    <x v="13"/>
    <x v="0"/>
    <x v="0"/>
    <d v="1900-01-21T00:00:00"/>
    <n v="52"/>
    <x v="2"/>
    <x v="3"/>
  </r>
  <r>
    <x v="616"/>
    <n v="2422.16"/>
    <x v="1297"/>
    <n v="13485.62"/>
    <s v="Complete Access"/>
    <x v="14"/>
    <x v="6"/>
    <x v="9"/>
    <d v="1900-01-21T00:00:00"/>
    <n v="52"/>
    <x v="2"/>
    <x v="3"/>
  </r>
  <r>
    <x v="616"/>
    <n v="-23.24"/>
    <x v="1298"/>
    <n v="12962.38"/>
    <s v="Complete Access"/>
    <x v="304"/>
    <x v="1"/>
    <x v="5"/>
    <d v="1900-01-21T00:00:00"/>
    <n v="52"/>
    <x v="2"/>
    <x v="3"/>
  </r>
  <r>
    <x v="617"/>
    <n v="-26.3"/>
    <x v="1299"/>
    <n v="11115.51"/>
    <s v="Complete Access"/>
    <x v="8"/>
    <x v="1"/>
    <x v="5"/>
    <d v="1900-01-20T00:00:00"/>
    <n v="52"/>
    <x v="2"/>
    <x v="3"/>
  </r>
  <r>
    <x v="617"/>
    <n v="-38.049999999999997"/>
    <x v="1300"/>
    <n v="11063.46"/>
    <s v="Complete Access"/>
    <x v="380"/>
    <x v="8"/>
    <x v="22"/>
    <d v="1900-01-20T00:00:00"/>
    <n v="52"/>
    <x v="2"/>
    <x v="3"/>
  </r>
  <r>
    <x v="617"/>
    <n v="-14"/>
    <x v="1301"/>
    <n v="11101.51"/>
    <s v="Complete Access"/>
    <x v="34"/>
    <x v="9"/>
    <x v="12"/>
    <d v="1900-01-20T00:00:00"/>
    <n v="52"/>
    <x v="2"/>
    <x v="3"/>
  </r>
  <r>
    <x v="618"/>
    <n v="-24.08"/>
    <x v="1302"/>
    <n v="11166.96"/>
    <s v="Complete Access"/>
    <x v="8"/>
    <x v="1"/>
    <x v="5"/>
    <d v="1900-01-19T00:00:00"/>
    <n v="52"/>
    <x v="2"/>
    <x v="3"/>
  </r>
  <r>
    <x v="618"/>
    <n v="-35.74"/>
    <x v="1303"/>
    <n v="11191.04"/>
    <s v="Complete Access"/>
    <x v="8"/>
    <x v="1"/>
    <x v="5"/>
    <d v="1900-01-19T00:00:00"/>
    <n v="52"/>
    <x v="2"/>
    <x v="3"/>
  </r>
  <r>
    <x v="618"/>
    <n v="-16.649999999999999"/>
    <x v="1304"/>
    <n v="11150.31"/>
    <s v="Complete Access"/>
    <x v="351"/>
    <x v="1"/>
    <x v="5"/>
    <d v="1900-01-19T00:00:00"/>
    <n v="52"/>
    <x v="2"/>
    <x v="3"/>
  </r>
  <r>
    <x v="618"/>
    <n v="-8.5"/>
    <x v="1305"/>
    <n v="11141.81"/>
    <s v="Complete Access"/>
    <x v="365"/>
    <x v="1"/>
    <x v="5"/>
    <d v="1900-01-19T00:00:00"/>
    <n v="52"/>
    <x v="2"/>
    <x v="3"/>
  </r>
  <r>
    <x v="619"/>
    <n v="-13.5"/>
    <x v="1306"/>
    <n v="11281.78"/>
    <s v="Complete Access"/>
    <x v="381"/>
    <x v="1"/>
    <x v="1"/>
    <d v="1900-01-17T00:00:00"/>
    <n v="52"/>
    <x v="2"/>
    <x v="3"/>
  </r>
  <r>
    <x v="619"/>
    <n v="-55"/>
    <x v="1307"/>
    <n v="11226.78"/>
    <s v="Complete Access"/>
    <x v="205"/>
    <x v="11"/>
    <x v="49"/>
    <d v="1900-01-17T00:00:00"/>
    <n v="52"/>
    <x v="2"/>
    <x v="3"/>
  </r>
  <r>
    <x v="620"/>
    <n v="-69"/>
    <x v="1308"/>
    <n v="11295.28"/>
    <s v="Complete Access"/>
    <x v="207"/>
    <x v="7"/>
    <x v="11"/>
    <d v="1900-01-16T00:00:00"/>
    <n v="51"/>
    <x v="2"/>
    <x v="3"/>
  </r>
  <r>
    <x v="620"/>
    <n v="-6.2"/>
    <x v="1309"/>
    <n v="11364.28"/>
    <s v="Complete Access"/>
    <x v="215"/>
    <x v="1"/>
    <x v="1"/>
    <d v="1900-01-16T00:00:00"/>
    <n v="51"/>
    <x v="2"/>
    <x v="3"/>
  </r>
  <r>
    <x v="621"/>
    <n v="-6.54"/>
    <x v="1310"/>
    <n v="11382.88"/>
    <s v="Complete Access"/>
    <x v="285"/>
    <x v="5"/>
    <x v="8"/>
    <d v="1900-01-15T00:00:00"/>
    <n v="51"/>
    <x v="2"/>
    <x v="3"/>
  </r>
  <r>
    <x v="621"/>
    <n v="-12.4"/>
    <x v="1311"/>
    <n v="11370.48"/>
    <s v="Complete Access"/>
    <x v="297"/>
    <x v="1"/>
    <x v="5"/>
    <d v="1900-01-15T00:00:00"/>
    <n v="51"/>
    <x v="2"/>
    <x v="3"/>
  </r>
  <r>
    <x v="622"/>
    <n v="-690"/>
    <x v="1312"/>
    <n v="11389.42"/>
    <s v="Complete Access"/>
    <x v="0"/>
    <x v="0"/>
    <x v="0"/>
    <d v="1900-01-14T00:00:00"/>
    <n v="51"/>
    <x v="2"/>
    <x v="3"/>
  </r>
  <r>
    <x v="622"/>
    <n v="-43.68"/>
    <x v="1313"/>
    <n v="12080.73"/>
    <s v="Complete Access"/>
    <x v="74"/>
    <x v="4"/>
    <x v="10"/>
    <d v="1900-01-14T00:00:00"/>
    <n v="51"/>
    <x v="2"/>
    <x v="3"/>
  </r>
  <r>
    <x v="622"/>
    <n v="-1.31"/>
    <x v="1314"/>
    <n v="12079.42"/>
    <s v="Complete Access"/>
    <x v="10"/>
    <x v="0"/>
    <x v="0"/>
    <d v="1900-01-14T00:00:00"/>
    <n v="51"/>
    <x v="2"/>
    <x v="3"/>
  </r>
  <r>
    <x v="622"/>
    <n v="-1.99"/>
    <x v="1315"/>
    <n v="12187.54"/>
    <s v="Complete Access"/>
    <x v="177"/>
    <x v="1"/>
    <x v="1"/>
    <d v="1900-01-14T00:00:00"/>
    <n v="51"/>
    <x v="2"/>
    <x v="3"/>
  </r>
  <r>
    <x v="622"/>
    <n v="-36.130000000000003"/>
    <x v="1316"/>
    <n v="12151.41"/>
    <s v="Complete Access"/>
    <x v="304"/>
    <x v="1"/>
    <x v="5"/>
    <d v="1900-01-14T00:00:00"/>
    <n v="51"/>
    <x v="2"/>
    <x v="3"/>
  </r>
  <r>
    <x v="622"/>
    <n v="-26"/>
    <x v="1317"/>
    <n v="12125.41"/>
    <s v="Complete Access"/>
    <x v="243"/>
    <x v="1"/>
    <x v="23"/>
    <d v="1900-01-14T00:00:00"/>
    <n v="51"/>
    <x v="2"/>
    <x v="3"/>
  </r>
  <r>
    <x v="622"/>
    <n v="-1"/>
    <x v="1318"/>
    <n v="12124.41"/>
    <s v="Complete Access"/>
    <x v="34"/>
    <x v="9"/>
    <x v="12"/>
    <d v="1900-01-14T00:00:00"/>
    <n v="51"/>
    <x v="2"/>
    <x v="3"/>
  </r>
  <r>
    <x v="623"/>
    <n v="-8.4700000000000006"/>
    <x v="1319"/>
    <n v="12213.98"/>
    <s v="Complete Access"/>
    <x v="285"/>
    <x v="5"/>
    <x v="8"/>
    <d v="1900-01-13T00:00:00"/>
    <n v="51"/>
    <x v="2"/>
    <x v="3"/>
  </r>
  <r>
    <x v="623"/>
    <n v="-9.4499999999999993"/>
    <x v="1320"/>
    <n v="12204.53"/>
    <s v="Complete Access"/>
    <x v="237"/>
    <x v="15"/>
    <x v="34"/>
    <d v="1900-01-13T00:00:00"/>
    <n v="51"/>
    <x v="2"/>
    <x v="3"/>
  </r>
  <r>
    <x v="623"/>
    <n v="-15"/>
    <x v="1321"/>
    <n v="12189.53"/>
    <s v="Complete Access"/>
    <x v="277"/>
    <x v="8"/>
    <x v="29"/>
    <d v="1900-01-13T00:00:00"/>
    <n v="51"/>
    <x v="2"/>
    <x v="3"/>
  </r>
  <r>
    <x v="624"/>
    <n v="-20.32"/>
    <x v="1322"/>
    <n v="12384.3"/>
    <s v="Complete Access"/>
    <x v="8"/>
    <x v="1"/>
    <x v="5"/>
    <d v="1900-01-12T00:00:00"/>
    <n v="51"/>
    <x v="2"/>
    <x v="3"/>
  </r>
  <r>
    <x v="624"/>
    <n v="-2.2400000000000002"/>
    <x v="1323"/>
    <n v="12414.27"/>
    <s v="Complete Access"/>
    <x v="285"/>
    <x v="5"/>
    <x v="8"/>
    <d v="1900-01-12T00:00:00"/>
    <n v="51"/>
    <x v="2"/>
    <x v="3"/>
  </r>
  <r>
    <x v="624"/>
    <n v="-9.65"/>
    <x v="1324"/>
    <n v="12404.62"/>
    <s v="Complete Access"/>
    <x v="285"/>
    <x v="5"/>
    <x v="8"/>
    <d v="1900-01-12T00:00:00"/>
    <n v="51"/>
    <x v="2"/>
    <x v="3"/>
  </r>
  <r>
    <x v="624"/>
    <n v="-12.2"/>
    <x v="1325"/>
    <n v="12372.1"/>
    <s v="Complete Access"/>
    <x v="297"/>
    <x v="1"/>
    <x v="5"/>
    <d v="1900-01-12T00:00:00"/>
    <n v="51"/>
    <x v="2"/>
    <x v="3"/>
  </r>
  <r>
    <x v="624"/>
    <n v="-42.9"/>
    <x v="1326"/>
    <n v="12230.5"/>
    <s v="Complete Access"/>
    <x v="329"/>
    <x v="4"/>
    <x v="7"/>
    <d v="1900-01-12T00:00:00"/>
    <n v="51"/>
    <x v="2"/>
    <x v="3"/>
  </r>
  <r>
    <x v="624"/>
    <n v="-18.7"/>
    <x v="1326"/>
    <n v="12273.4"/>
    <s v="Complete Access"/>
    <x v="329"/>
    <x v="4"/>
    <x v="7"/>
    <d v="1900-01-12T00:00:00"/>
    <n v="51"/>
    <x v="2"/>
    <x v="3"/>
  </r>
  <r>
    <x v="624"/>
    <n v="-78"/>
    <x v="1327"/>
    <n v="12292.1"/>
    <s v="Complete Access"/>
    <x v="29"/>
    <x v="4"/>
    <x v="19"/>
    <d v="1900-01-12T00:00:00"/>
    <n v="51"/>
    <x v="2"/>
    <x v="3"/>
  </r>
  <r>
    <x v="624"/>
    <n v="-7.82"/>
    <x v="1328"/>
    <n v="12222.68"/>
    <s v="Complete Access"/>
    <x v="382"/>
    <x v="3"/>
    <x v="3"/>
    <d v="1900-01-12T00:00:00"/>
    <n v="51"/>
    <x v="2"/>
    <x v="3"/>
  </r>
  <r>
    <x v="624"/>
    <n v="-2"/>
    <x v="1329"/>
    <n v="12370.1"/>
    <s v="Complete Access"/>
    <x v="47"/>
    <x v="1"/>
    <x v="5"/>
    <d v="1900-01-12T00:00:00"/>
    <n v="51"/>
    <x v="2"/>
    <x v="3"/>
  </r>
  <r>
    <x v="624"/>
    <n v="-0.23"/>
    <x v="1330"/>
    <n v="12222.45"/>
    <s v="Complete Access"/>
    <x v="10"/>
    <x v="0"/>
    <x v="0"/>
    <d v="1900-01-12T00:00:00"/>
    <n v="51"/>
    <x v="2"/>
    <x v="3"/>
  </r>
  <r>
    <x v="625"/>
    <n v="-9.65"/>
    <x v="1331"/>
    <n v="12521.71"/>
    <s v="Complete Access"/>
    <x v="285"/>
    <x v="5"/>
    <x v="8"/>
    <d v="1900-01-09T00:00:00"/>
    <n v="50"/>
    <x v="2"/>
    <x v="3"/>
  </r>
  <r>
    <x v="625"/>
    <n v="-13.2"/>
    <x v="1332"/>
    <n v="12508.51"/>
    <s v="Complete Access"/>
    <x v="16"/>
    <x v="1"/>
    <x v="5"/>
    <d v="1900-01-09T00:00:00"/>
    <n v="50"/>
    <x v="2"/>
    <x v="3"/>
  </r>
  <r>
    <x v="625"/>
    <n v="-65"/>
    <x v="1333"/>
    <n v="12443.51"/>
    <s v="Complete Access"/>
    <x v="0"/>
    <x v="0"/>
    <x v="0"/>
    <d v="1900-01-09T00:00:00"/>
    <n v="50"/>
    <x v="2"/>
    <x v="3"/>
  </r>
  <r>
    <x v="625"/>
    <n v="-27"/>
    <x v="1028"/>
    <n v="12416.51"/>
    <s v="Complete Access"/>
    <x v="0"/>
    <x v="0"/>
    <x v="0"/>
    <d v="1900-01-09T00:00:00"/>
    <n v="50"/>
    <x v="2"/>
    <x v="3"/>
  </r>
  <r>
    <x v="626"/>
    <n v="-22.99"/>
    <x v="1334"/>
    <n v="12031.36"/>
    <s v="Complete Access"/>
    <x v="373"/>
    <x v="8"/>
    <x v="7"/>
    <d v="1900-01-08T00:00:00"/>
    <n v="50"/>
    <x v="2"/>
    <x v="3"/>
  </r>
  <r>
    <x v="626"/>
    <n v="500"/>
    <x v="1335"/>
    <n v="12531.36"/>
    <s v="Complete Access"/>
    <x v="36"/>
    <x v="0"/>
    <x v="0"/>
    <d v="1900-01-08T00:00:00"/>
    <n v="50"/>
    <x v="2"/>
    <x v="3"/>
  </r>
  <r>
    <x v="627"/>
    <n v="-500"/>
    <x v="656"/>
    <n v="12501.81"/>
    <s v="Complete Access"/>
    <x v="13"/>
    <x v="0"/>
    <x v="0"/>
    <d v="1900-01-07T00:00:00"/>
    <n v="50"/>
    <x v="2"/>
    <x v="3"/>
  </r>
  <r>
    <x v="627"/>
    <n v="-13.2"/>
    <x v="1336"/>
    <n v="12488.61"/>
    <s v="Complete Access"/>
    <x v="297"/>
    <x v="1"/>
    <x v="5"/>
    <d v="1900-01-07T00:00:00"/>
    <n v="50"/>
    <x v="2"/>
    <x v="3"/>
  </r>
  <r>
    <x v="627"/>
    <n v="2422.16"/>
    <x v="1337"/>
    <n v="13001.81"/>
    <s v="Complete Access"/>
    <x v="14"/>
    <x v="6"/>
    <x v="9"/>
    <d v="1900-01-07T00:00:00"/>
    <n v="50"/>
    <x v="2"/>
    <x v="3"/>
  </r>
  <r>
    <x v="627"/>
    <n v="-434.26"/>
    <x v="1338"/>
    <n v="12054.35"/>
    <s v="Complete Access"/>
    <x v="379"/>
    <x v="4"/>
    <x v="47"/>
    <d v="1900-01-07T00:00:00"/>
    <n v="50"/>
    <x v="2"/>
    <x v="3"/>
  </r>
  <r>
    <x v="628"/>
    <n v="-9.65"/>
    <x v="1339"/>
    <n v="10621.89"/>
    <s v="Complete Access"/>
    <x v="285"/>
    <x v="5"/>
    <x v="8"/>
    <d v="1900-01-06T00:00:00"/>
    <n v="50"/>
    <x v="2"/>
    <x v="3"/>
  </r>
  <r>
    <x v="628"/>
    <n v="-13.2"/>
    <x v="1340"/>
    <n v="10608.69"/>
    <s v="Complete Access"/>
    <x v="16"/>
    <x v="1"/>
    <x v="5"/>
    <d v="1900-01-06T00:00:00"/>
    <n v="50"/>
    <x v="2"/>
    <x v="3"/>
  </r>
  <r>
    <x v="628"/>
    <n v="-24.04"/>
    <x v="436"/>
    <n v="10579.65"/>
    <s v="Complete Access"/>
    <x v="186"/>
    <x v="1"/>
    <x v="5"/>
    <d v="1900-01-06T00:00:00"/>
    <n v="50"/>
    <x v="2"/>
    <x v="3"/>
  </r>
  <r>
    <x v="628"/>
    <n v="-5"/>
    <x v="1341"/>
    <n v="10603.69"/>
    <s v="Complete Access"/>
    <x v="34"/>
    <x v="9"/>
    <x v="12"/>
    <d v="1900-01-06T00:00:00"/>
    <n v="50"/>
    <x v="2"/>
    <x v="3"/>
  </r>
  <r>
    <x v="629"/>
    <n v="-33.520000000000003"/>
    <x v="1342"/>
    <n v="10331.540000000001"/>
    <s v="Complete Access"/>
    <x v="8"/>
    <x v="1"/>
    <x v="5"/>
    <d v="1900-01-05T00:00:00"/>
    <n v="50"/>
    <x v="2"/>
    <x v="3"/>
  </r>
  <r>
    <x v="629"/>
    <n v="-45.39"/>
    <x v="1343"/>
    <n v="10365.06"/>
    <s v="Complete Access"/>
    <x v="8"/>
    <x v="1"/>
    <x v="5"/>
    <d v="1900-01-05T00:00:00"/>
    <n v="50"/>
    <x v="2"/>
    <x v="3"/>
  </r>
  <r>
    <x v="629"/>
    <n v="300"/>
    <x v="1344"/>
    <n v="10631.54"/>
    <s v="Complete Access"/>
    <x v="36"/>
    <x v="0"/>
    <x v="0"/>
    <d v="1900-01-05T00:00:00"/>
    <n v="50"/>
    <x v="2"/>
    <x v="3"/>
  </r>
  <r>
    <x v="630"/>
    <n v="-4.8"/>
    <x v="1345"/>
    <n v="10410.450000000001"/>
    <s v="Complete Access"/>
    <x v="383"/>
    <x v="1"/>
    <x v="5"/>
    <d v="1900-01-04T00:00:00"/>
    <n v="50"/>
    <x v="2"/>
    <x v="3"/>
  </r>
  <r>
    <x v="630"/>
    <n v="-20"/>
    <x v="1346"/>
    <n v="10415.25"/>
    <s v="Complete Access"/>
    <x v="0"/>
    <x v="0"/>
    <x v="0"/>
    <d v="1900-01-04T00:00:00"/>
    <n v="50"/>
    <x v="2"/>
    <x v="3"/>
  </r>
  <r>
    <x v="631"/>
    <n v="-94.9"/>
    <x v="1347"/>
    <n v="10447.6"/>
    <s v="Complete Access"/>
    <x v="341"/>
    <x v="4"/>
    <x v="20"/>
    <d v="1900-01-02T00:00:00"/>
    <n v="49"/>
    <x v="2"/>
    <x v="3"/>
  </r>
  <r>
    <x v="631"/>
    <n v="-2.85"/>
    <x v="1348"/>
    <n v="10444.75"/>
    <s v="Complete Access"/>
    <x v="10"/>
    <x v="0"/>
    <x v="0"/>
    <d v="1900-01-02T00:00:00"/>
    <n v="49"/>
    <x v="2"/>
    <x v="3"/>
  </r>
  <r>
    <x v="631"/>
    <n v="-9.5"/>
    <x v="1222"/>
    <n v="10435.25"/>
    <s v="Complete Access"/>
    <x v="365"/>
    <x v="1"/>
    <x v="5"/>
    <d v="1900-01-02T00:00:00"/>
    <n v="49"/>
    <x v="2"/>
    <x v="3"/>
  </r>
  <r>
    <x v="632"/>
    <n v="20"/>
    <x v="1349"/>
    <n v="10542.5"/>
    <s v="Complete Access"/>
    <x v="36"/>
    <x v="0"/>
    <x v="0"/>
    <d v="1900-01-01T00:00:00"/>
    <n v="49"/>
    <x v="2"/>
    <x v="3"/>
  </r>
  <r>
    <x v="632"/>
    <n v="-37.200000000000003"/>
    <x v="1350"/>
    <n v="10522.5"/>
    <s v="Complete Access"/>
    <x v="91"/>
    <x v="9"/>
    <x v="12"/>
    <d v="1900-01-01T00:00:00"/>
    <n v="49"/>
    <x v="2"/>
    <x v="3"/>
  </r>
  <r>
    <x v="633"/>
    <n v="-186.7"/>
    <x v="1351"/>
    <n v="10559.7"/>
    <s v="Complete Access"/>
    <x v="76"/>
    <x v="2"/>
    <x v="2"/>
    <d v="1899-12-31T00:00:00"/>
    <n v="49"/>
    <x v="2"/>
    <x v="3"/>
  </r>
  <r>
    <x v="633"/>
    <n v="-73.069999999999993"/>
    <x v="1352"/>
    <n v="10746.4"/>
    <s v="Complete Access"/>
    <x v="1"/>
    <x v="1"/>
    <x v="1"/>
    <d v="1899-12-31T00:00:00"/>
    <n v="49"/>
    <x v="2"/>
    <x v="3"/>
  </r>
  <r>
    <x v="633"/>
    <n v="0.1"/>
    <x v="609"/>
    <n v="2637.54"/>
    <s v="Netbank Saver"/>
    <x v="240"/>
    <x v="0"/>
    <x v="55"/>
    <d v="1899-12-31T00:00:00"/>
    <n v="49"/>
    <x v="2"/>
    <x v="3"/>
  </r>
  <r>
    <x v="634"/>
    <n v="-13.2"/>
    <x v="1148"/>
    <n v="10889.47"/>
    <s v="Complete Access"/>
    <x v="297"/>
    <x v="1"/>
    <x v="5"/>
    <d v="1900-01-29T00:00:00"/>
    <n v="49"/>
    <x v="3"/>
    <x v="3"/>
  </r>
  <r>
    <x v="634"/>
    <n v="2635.41"/>
    <x v="1353"/>
    <n v="2637.44"/>
    <s v="Netbank Saver"/>
    <x v="384"/>
    <x v="14"/>
    <x v="68"/>
    <d v="1900-01-29T00:00:00"/>
    <n v="49"/>
    <x v="3"/>
    <x v="3"/>
  </r>
  <r>
    <x v="634"/>
    <n v="-70"/>
    <x v="1354"/>
    <n v="10819.47"/>
    <s v="Complete Access"/>
    <x v="0"/>
    <x v="0"/>
    <x v="0"/>
    <d v="1900-01-29T00:00:00"/>
    <n v="49"/>
    <x v="3"/>
    <x v="3"/>
  </r>
  <r>
    <x v="635"/>
    <n v="-102.35"/>
    <x v="1355"/>
    <n v="11756.7"/>
    <s v="Complete Access"/>
    <x v="385"/>
    <x v="20"/>
    <x v="63"/>
    <d v="1900-01-28T00:00:00"/>
    <n v="49"/>
    <x v="3"/>
    <x v="3"/>
  </r>
  <r>
    <x v="635"/>
    <n v="-147.74"/>
    <x v="1356"/>
    <n v="10995.67"/>
    <s v="Complete Access"/>
    <x v="256"/>
    <x v="4"/>
    <x v="47"/>
    <d v="1900-01-28T00:00:00"/>
    <n v="49"/>
    <x v="3"/>
    <x v="3"/>
  </r>
  <r>
    <x v="635"/>
    <n v="-595.42999999999995"/>
    <x v="1357"/>
    <n v="11161.27"/>
    <s v="Complete Access"/>
    <x v="256"/>
    <x v="4"/>
    <x v="47"/>
    <d v="1900-01-28T00:00:00"/>
    <n v="49"/>
    <x v="3"/>
    <x v="3"/>
  </r>
  <r>
    <x v="635"/>
    <n v="-35.74"/>
    <x v="1358"/>
    <n v="11894.79"/>
    <s v="Complete Access"/>
    <x v="8"/>
    <x v="1"/>
    <x v="5"/>
    <d v="1900-01-28T00:00:00"/>
    <n v="49"/>
    <x v="3"/>
    <x v="3"/>
  </r>
  <r>
    <x v="635"/>
    <n v="-35.74"/>
    <x v="1359"/>
    <n v="11859.05"/>
    <s v="Complete Access"/>
    <x v="8"/>
    <x v="1"/>
    <x v="5"/>
    <d v="1900-01-28T00:00:00"/>
    <n v="49"/>
    <x v="3"/>
    <x v="3"/>
  </r>
  <r>
    <x v="635"/>
    <n v="-53.99"/>
    <x v="1360"/>
    <n v="11941.03"/>
    <s v="Complete Access"/>
    <x v="8"/>
    <x v="1"/>
    <x v="5"/>
    <d v="1900-01-28T00:00:00"/>
    <n v="49"/>
    <x v="3"/>
    <x v="3"/>
  </r>
  <r>
    <x v="635"/>
    <n v="-79"/>
    <x v="1361"/>
    <n v="10902.67"/>
    <s v="Complete Access"/>
    <x v="298"/>
    <x v="4"/>
    <x v="30"/>
    <d v="1900-01-28T00:00:00"/>
    <n v="49"/>
    <x v="3"/>
    <x v="3"/>
  </r>
  <r>
    <x v="635"/>
    <n v="-4.43"/>
    <x v="1362"/>
    <n v="10991.24"/>
    <s v="Complete Access"/>
    <x v="10"/>
    <x v="0"/>
    <x v="0"/>
    <d v="1900-01-28T00:00:00"/>
    <n v="49"/>
    <x v="3"/>
    <x v="3"/>
  </r>
  <r>
    <x v="635"/>
    <n v="-17.86"/>
    <x v="1362"/>
    <n v="11143.41"/>
    <s v="Complete Access"/>
    <x v="10"/>
    <x v="0"/>
    <x v="0"/>
    <d v="1900-01-28T00:00:00"/>
    <n v="49"/>
    <x v="3"/>
    <x v="3"/>
  </r>
  <r>
    <x v="635"/>
    <n v="-9.57"/>
    <x v="969"/>
    <n v="10981.67"/>
    <s v="Complete Access"/>
    <x v="177"/>
    <x v="1"/>
    <x v="1"/>
    <d v="1900-01-28T00:00:00"/>
    <n v="49"/>
    <x v="3"/>
    <x v="3"/>
  </r>
  <r>
    <x v="635"/>
    <n v="-21.99"/>
    <x v="1363"/>
    <n v="11995.02"/>
    <s v="Complete Access"/>
    <x v="104"/>
    <x v="1"/>
    <x v="5"/>
    <d v="1900-01-28T00:00:00"/>
    <n v="49"/>
    <x v="3"/>
    <x v="3"/>
  </r>
  <r>
    <x v="635"/>
    <n v="-10.5"/>
    <x v="1364"/>
    <n v="11930.53"/>
    <s v="Complete Access"/>
    <x v="34"/>
    <x v="9"/>
    <x v="12"/>
    <d v="1900-01-28T00:00:00"/>
    <n v="49"/>
    <x v="3"/>
    <x v="3"/>
  </r>
  <r>
    <x v="636"/>
    <n v="1752.9"/>
    <x v="1365"/>
    <n v="12017.01"/>
    <s v="Complete Access"/>
    <x v="192"/>
    <x v="4"/>
    <x v="20"/>
    <d v="1900-01-27T00:00:00"/>
    <n v="49"/>
    <x v="3"/>
    <x v="3"/>
  </r>
  <r>
    <x v="637"/>
    <n v="-2299"/>
    <x v="1366"/>
    <n v="10290.26"/>
    <s v="Complete Access"/>
    <x v="386"/>
    <x v="4"/>
    <x v="17"/>
    <d v="1900-01-24T00:00:00"/>
    <n v="48"/>
    <x v="3"/>
    <x v="3"/>
  </r>
  <r>
    <x v="637"/>
    <n v="-26.15"/>
    <x v="1367"/>
    <n v="10264.11"/>
    <s v="Complete Access"/>
    <x v="34"/>
    <x v="9"/>
    <x v="12"/>
    <d v="1900-01-24T00:00:00"/>
    <n v="48"/>
    <x v="3"/>
    <x v="3"/>
  </r>
  <r>
    <x v="638"/>
    <n v="-500"/>
    <x v="656"/>
    <n v="12637.5"/>
    <s v="Complete Access"/>
    <x v="13"/>
    <x v="0"/>
    <x v="0"/>
    <d v="1900-01-23T00:00:00"/>
    <n v="48"/>
    <x v="3"/>
    <x v="3"/>
  </r>
  <r>
    <x v="638"/>
    <n v="-13.2"/>
    <x v="1148"/>
    <n v="12589.26"/>
    <s v="Complete Access"/>
    <x v="297"/>
    <x v="1"/>
    <x v="5"/>
    <d v="1900-01-23T00:00:00"/>
    <n v="48"/>
    <x v="3"/>
    <x v="3"/>
  </r>
  <r>
    <x v="638"/>
    <n v="2422.17"/>
    <x v="1368"/>
    <n v="13137.5"/>
    <s v="Complete Access"/>
    <x v="14"/>
    <x v="6"/>
    <x v="9"/>
    <d v="1900-01-23T00:00:00"/>
    <n v="48"/>
    <x v="3"/>
    <x v="3"/>
  </r>
  <r>
    <x v="638"/>
    <n v="-35.04"/>
    <x v="1369"/>
    <n v="12602.46"/>
    <s v="Complete Access"/>
    <x v="1"/>
    <x v="1"/>
    <x v="1"/>
    <d v="1900-01-23T00:00:00"/>
    <n v="48"/>
    <x v="3"/>
    <x v="3"/>
  </r>
  <r>
    <x v="639"/>
    <n v="-29.63"/>
    <x v="1370"/>
    <n v="12309.6"/>
    <s v="Complete Access"/>
    <x v="8"/>
    <x v="1"/>
    <x v="5"/>
    <d v="1900-01-22T00:00:00"/>
    <n v="48"/>
    <x v="3"/>
    <x v="3"/>
  </r>
  <r>
    <x v="639"/>
    <n v="-35.58"/>
    <x v="1371"/>
    <n v="12274.02"/>
    <s v="Complete Access"/>
    <x v="29"/>
    <x v="4"/>
    <x v="19"/>
    <d v="1900-01-22T00:00:00"/>
    <n v="48"/>
    <x v="3"/>
    <x v="3"/>
  </r>
  <r>
    <x v="639"/>
    <n v="-1558.69"/>
    <x v="1372"/>
    <n v="10715.33"/>
    <s v="Complete Access"/>
    <x v="387"/>
    <x v="4"/>
    <x v="20"/>
    <d v="1900-01-22T00:00:00"/>
    <n v="48"/>
    <x v="3"/>
    <x v="3"/>
  </r>
  <r>
    <x v="640"/>
    <n v="-26.3"/>
    <x v="1373"/>
    <n v="12464.17"/>
    <s v="Complete Access"/>
    <x v="8"/>
    <x v="1"/>
    <x v="5"/>
    <d v="1900-01-21T00:00:00"/>
    <n v="48"/>
    <x v="3"/>
    <x v="3"/>
  </r>
  <r>
    <x v="640"/>
    <n v="-38.06"/>
    <x v="1374"/>
    <n v="12357.73"/>
    <s v="Complete Access"/>
    <x v="8"/>
    <x v="1"/>
    <x v="5"/>
    <d v="1900-01-21T00:00:00"/>
    <n v="48"/>
    <x v="3"/>
    <x v="3"/>
  </r>
  <r>
    <x v="640"/>
    <n v="-12.5"/>
    <x v="988"/>
    <n v="12345.23"/>
    <s v="Complete Access"/>
    <x v="331"/>
    <x v="1"/>
    <x v="5"/>
    <d v="1900-01-21T00:00:00"/>
    <n v="48"/>
    <x v="3"/>
    <x v="3"/>
  </r>
  <r>
    <x v="640"/>
    <n v="-45.04"/>
    <x v="1375"/>
    <n v="12397.14"/>
    <s v="Complete Access"/>
    <x v="344"/>
    <x v="4"/>
    <x v="25"/>
    <d v="1900-01-21T00:00:00"/>
    <n v="48"/>
    <x v="3"/>
    <x v="3"/>
  </r>
  <r>
    <x v="640"/>
    <n v="-1.35"/>
    <x v="1376"/>
    <n v="12395.79"/>
    <s v="Complete Access"/>
    <x v="10"/>
    <x v="0"/>
    <x v="0"/>
    <d v="1900-01-21T00:00:00"/>
    <n v="48"/>
    <x v="3"/>
    <x v="3"/>
  </r>
  <r>
    <x v="640"/>
    <n v="-36.29"/>
    <x v="1377"/>
    <n v="12490.47"/>
    <s v="Complete Access"/>
    <x v="104"/>
    <x v="1"/>
    <x v="5"/>
    <d v="1900-01-21T00:00:00"/>
    <n v="48"/>
    <x v="3"/>
    <x v="3"/>
  </r>
  <r>
    <x v="640"/>
    <n v="-21.99"/>
    <x v="1378"/>
    <n v="12442.18"/>
    <s v="Complete Access"/>
    <x v="104"/>
    <x v="1"/>
    <x v="5"/>
    <d v="1900-01-21T00:00:00"/>
    <n v="48"/>
    <x v="3"/>
    <x v="3"/>
  </r>
  <r>
    <x v="640"/>
    <n v="-6"/>
    <x v="1379"/>
    <n v="12339.23"/>
    <s v="Complete Access"/>
    <x v="0"/>
    <x v="0"/>
    <x v="0"/>
    <d v="1900-01-21T00:00:00"/>
    <n v="48"/>
    <x v="3"/>
    <x v="3"/>
  </r>
  <r>
    <x v="641"/>
    <n v="-18.420000000000002"/>
    <x v="1380"/>
    <n v="12602.96"/>
    <s v="Complete Access"/>
    <x v="8"/>
    <x v="1"/>
    <x v="5"/>
    <d v="1900-01-18T00:00:00"/>
    <n v="47"/>
    <x v="3"/>
    <x v="3"/>
  </r>
  <r>
    <x v="641"/>
    <n v="-32.979999999999997"/>
    <x v="1381"/>
    <n v="12631.96"/>
    <s v="Complete Access"/>
    <x v="248"/>
    <x v="3"/>
    <x v="58"/>
    <d v="1900-01-18T00:00:00"/>
    <n v="47"/>
    <x v="3"/>
    <x v="3"/>
  </r>
  <r>
    <x v="641"/>
    <n v="-10.58"/>
    <x v="1382"/>
    <n v="12621.38"/>
    <s v="Complete Access"/>
    <x v="221"/>
    <x v="1"/>
    <x v="5"/>
    <d v="1900-01-18T00:00:00"/>
    <n v="47"/>
    <x v="3"/>
    <x v="3"/>
  </r>
  <r>
    <x v="641"/>
    <n v="-42"/>
    <x v="1383"/>
    <n v="12540.96"/>
    <s v="Complete Access"/>
    <x v="388"/>
    <x v="4"/>
    <x v="20"/>
    <d v="1900-01-18T00:00:00"/>
    <n v="47"/>
    <x v="3"/>
    <x v="3"/>
  </r>
  <r>
    <x v="641"/>
    <n v="-20"/>
    <x v="1384"/>
    <n v="12582.96"/>
    <s v="Complete Access"/>
    <x v="0"/>
    <x v="0"/>
    <x v="0"/>
    <d v="1900-01-18T00:00:00"/>
    <n v="47"/>
    <x v="3"/>
    <x v="3"/>
  </r>
  <r>
    <x v="641"/>
    <n v="-14.2"/>
    <x v="1385"/>
    <n v="12526.76"/>
    <s v="Complete Access"/>
    <x v="0"/>
    <x v="0"/>
    <x v="0"/>
    <d v="1900-01-18T00:00:00"/>
    <n v="47"/>
    <x v="3"/>
    <x v="3"/>
  </r>
  <r>
    <x v="642"/>
    <n v="-9.65"/>
    <x v="1386"/>
    <n v="12747.14"/>
    <s v="Complete Access"/>
    <x v="285"/>
    <x v="5"/>
    <x v="8"/>
    <d v="1900-01-17T00:00:00"/>
    <n v="47"/>
    <x v="3"/>
    <x v="3"/>
  </r>
  <r>
    <x v="642"/>
    <n v="-98.5"/>
    <x v="1387"/>
    <n v="12756.79"/>
    <s v="Complete Access"/>
    <x v="389"/>
    <x v="8"/>
    <x v="22"/>
    <d v="1900-01-17T00:00:00"/>
    <n v="47"/>
    <x v="3"/>
    <x v="3"/>
  </r>
  <r>
    <x v="642"/>
    <n v="-69"/>
    <x v="1388"/>
    <n v="12678.14"/>
    <s v="Complete Access"/>
    <x v="207"/>
    <x v="7"/>
    <x v="11"/>
    <d v="1900-01-17T00:00:00"/>
    <n v="47"/>
    <x v="3"/>
    <x v="3"/>
  </r>
  <r>
    <x v="642"/>
    <n v="-13.2"/>
    <x v="1148"/>
    <n v="12664.94"/>
    <s v="Complete Access"/>
    <x v="297"/>
    <x v="1"/>
    <x v="5"/>
    <d v="1900-01-17T00:00:00"/>
    <n v="47"/>
    <x v="3"/>
    <x v="3"/>
  </r>
  <r>
    <x v="643"/>
    <n v="-13.2"/>
    <x v="1389"/>
    <n v="12962.24"/>
    <s v="Complete Access"/>
    <x v="16"/>
    <x v="1"/>
    <x v="5"/>
    <d v="1900-01-16T00:00:00"/>
    <n v="47"/>
    <x v="3"/>
    <x v="3"/>
  </r>
  <r>
    <x v="643"/>
    <n v="-82"/>
    <x v="1390"/>
    <n v="12855.29"/>
    <s v="Complete Access"/>
    <x v="390"/>
    <x v="1"/>
    <x v="5"/>
    <d v="1900-01-16T00:00:00"/>
    <n v="47"/>
    <x v="3"/>
    <x v="3"/>
  </r>
  <r>
    <x v="643"/>
    <n v="-24.95"/>
    <x v="1391"/>
    <n v="12937.29"/>
    <s v="Complete Access"/>
    <x v="19"/>
    <x v="3"/>
    <x v="3"/>
    <d v="1900-01-16T00:00:00"/>
    <n v="47"/>
    <x v="3"/>
    <x v="3"/>
  </r>
  <r>
    <x v="644"/>
    <n v="-33.96"/>
    <x v="1392"/>
    <n v="13019.15"/>
    <s v="Complete Access"/>
    <x v="8"/>
    <x v="1"/>
    <x v="5"/>
    <d v="1900-01-15T00:00:00"/>
    <n v="47"/>
    <x v="3"/>
    <x v="3"/>
  </r>
  <r>
    <x v="644"/>
    <n v="-37.72"/>
    <x v="1393"/>
    <n v="12981.43"/>
    <s v="Complete Access"/>
    <x v="8"/>
    <x v="1"/>
    <x v="5"/>
    <d v="1900-01-15T00:00:00"/>
    <n v="47"/>
    <x v="3"/>
    <x v="3"/>
  </r>
  <r>
    <x v="644"/>
    <n v="-5.99"/>
    <x v="1394"/>
    <n v="12975.44"/>
    <s v="Complete Access"/>
    <x v="352"/>
    <x v="4"/>
    <x v="67"/>
    <d v="1900-01-15T00:00:00"/>
    <n v="47"/>
    <x v="3"/>
    <x v="3"/>
  </r>
  <r>
    <x v="645"/>
    <n v="-34.96"/>
    <x v="1395"/>
    <n v="11553.11"/>
    <s v="Complete Access"/>
    <x v="8"/>
    <x v="1"/>
    <x v="5"/>
    <d v="1900-01-14T00:00:00"/>
    <n v="47"/>
    <x v="3"/>
    <x v="3"/>
  </r>
  <r>
    <x v="645"/>
    <n v="-34.86"/>
    <x v="1396"/>
    <n v="11606.24"/>
    <s v="Complete Access"/>
    <x v="74"/>
    <x v="4"/>
    <x v="10"/>
    <d v="1900-01-14T00:00:00"/>
    <n v="47"/>
    <x v="3"/>
    <x v="3"/>
  </r>
  <r>
    <x v="645"/>
    <n v="-1.05"/>
    <x v="1397"/>
    <n v="11605.19"/>
    <s v="Complete Access"/>
    <x v="10"/>
    <x v="0"/>
    <x v="0"/>
    <d v="1900-01-14T00:00:00"/>
    <n v="47"/>
    <x v="3"/>
    <x v="3"/>
  </r>
  <r>
    <x v="645"/>
    <n v="1500"/>
    <x v="1398"/>
    <n v="13053.11"/>
    <s v="Complete Access"/>
    <x v="391"/>
    <x v="4"/>
    <x v="20"/>
    <d v="1900-01-14T00:00:00"/>
    <n v="47"/>
    <x v="3"/>
    <x v="3"/>
  </r>
  <r>
    <x v="645"/>
    <n v="-17.12"/>
    <x v="1399"/>
    <n v="11588.07"/>
    <s v="Complete Access"/>
    <x v="1"/>
    <x v="1"/>
    <x v="1"/>
    <d v="1900-01-14T00:00:00"/>
    <n v="47"/>
    <x v="3"/>
    <x v="3"/>
  </r>
  <r>
    <x v="646"/>
    <n v="1500"/>
    <x v="1400"/>
    <n v="11641.1"/>
    <s v="Complete Access"/>
    <x v="391"/>
    <x v="4"/>
    <x v="20"/>
    <d v="1900-01-13T00:00:00"/>
    <n v="47"/>
    <x v="3"/>
    <x v="3"/>
  </r>
  <r>
    <x v="646"/>
    <n v="-65.28"/>
    <x v="1401"/>
    <n v="10141.1"/>
    <s v="Complete Access"/>
    <x v="0"/>
    <x v="0"/>
    <x v="0"/>
    <d v="1900-01-13T00:00:00"/>
    <n v="47"/>
    <x v="3"/>
    <x v="3"/>
  </r>
  <r>
    <x v="647"/>
    <n v="-6.68"/>
    <x v="1402"/>
    <n v="10240.36"/>
    <s v="Complete Access"/>
    <x v="285"/>
    <x v="5"/>
    <x v="8"/>
    <d v="1900-01-11T00:00:00"/>
    <n v="46"/>
    <x v="3"/>
    <x v="3"/>
  </r>
  <r>
    <x v="647"/>
    <n v="-15.14"/>
    <x v="1130"/>
    <n v="10215.879999999999"/>
    <s v="Complete Access"/>
    <x v="351"/>
    <x v="1"/>
    <x v="5"/>
    <d v="1900-01-11T00:00:00"/>
    <n v="46"/>
    <x v="3"/>
    <x v="3"/>
  </r>
  <r>
    <x v="647"/>
    <n v="-9.5"/>
    <x v="1222"/>
    <n v="10206.379999999999"/>
    <s v="Complete Access"/>
    <x v="365"/>
    <x v="1"/>
    <x v="5"/>
    <d v="1900-01-11T00:00:00"/>
    <n v="46"/>
    <x v="3"/>
    <x v="3"/>
  </r>
  <r>
    <x v="647"/>
    <n v="-9.34"/>
    <x v="1403"/>
    <n v="10231.02"/>
    <s v="Complete Access"/>
    <x v="304"/>
    <x v="1"/>
    <x v="5"/>
    <d v="1900-01-11T00:00:00"/>
    <n v="46"/>
    <x v="3"/>
    <x v="3"/>
  </r>
  <r>
    <x v="648"/>
    <n v="-8.98"/>
    <x v="1404"/>
    <n v="10255.49"/>
    <s v="Complete Access"/>
    <x v="285"/>
    <x v="5"/>
    <x v="8"/>
    <d v="1900-01-10T00:00:00"/>
    <n v="46"/>
    <x v="3"/>
    <x v="3"/>
  </r>
  <r>
    <x v="648"/>
    <n v="-8.4499999999999993"/>
    <x v="1405"/>
    <n v="10247.040000000001"/>
    <s v="Complete Access"/>
    <x v="392"/>
    <x v="3"/>
    <x v="26"/>
    <d v="1900-01-10T00:00:00"/>
    <n v="46"/>
    <x v="3"/>
    <x v="3"/>
  </r>
  <r>
    <x v="649"/>
    <n v="-500"/>
    <x v="656"/>
    <n v="10356.27"/>
    <s v="Complete Access"/>
    <x v="13"/>
    <x v="0"/>
    <x v="0"/>
    <d v="1900-01-09T00:00:00"/>
    <n v="46"/>
    <x v="3"/>
    <x v="3"/>
  </r>
  <r>
    <x v="649"/>
    <n v="2409.83"/>
    <x v="1406"/>
    <n v="10856.27"/>
    <s v="Complete Access"/>
    <x v="14"/>
    <x v="6"/>
    <x v="9"/>
    <d v="1900-01-09T00:00:00"/>
    <n v="46"/>
    <x v="3"/>
    <x v="3"/>
  </r>
  <r>
    <x v="649"/>
    <n v="-91.8"/>
    <x v="1407"/>
    <n v="10264.469999999999"/>
    <s v="Complete Access"/>
    <x v="393"/>
    <x v="11"/>
    <x v="49"/>
    <d v="1900-01-09T00:00:00"/>
    <n v="46"/>
    <x v="3"/>
    <x v="3"/>
  </r>
  <r>
    <x v="650"/>
    <n v="-8.5"/>
    <x v="1408"/>
    <n v="8509.18"/>
    <s v="Complete Access"/>
    <x v="394"/>
    <x v="1"/>
    <x v="5"/>
    <d v="1900-01-08T00:00:00"/>
    <n v="46"/>
    <x v="3"/>
    <x v="3"/>
  </r>
  <r>
    <x v="650"/>
    <n v="-20"/>
    <x v="1409"/>
    <n v="8489.18"/>
    <s v="Complete Access"/>
    <x v="395"/>
    <x v="9"/>
    <x v="39"/>
    <d v="1900-01-08T00:00:00"/>
    <n v="46"/>
    <x v="3"/>
    <x v="3"/>
  </r>
  <r>
    <x v="650"/>
    <n v="-35.049999999999997"/>
    <x v="1410"/>
    <n v="8517.68"/>
    <s v="Complete Access"/>
    <x v="1"/>
    <x v="1"/>
    <x v="1"/>
    <d v="1900-01-08T00:00:00"/>
    <n v="46"/>
    <x v="3"/>
    <x v="3"/>
  </r>
  <r>
    <x v="650"/>
    <n v="-42.74"/>
    <x v="1411"/>
    <n v="8446.44"/>
    <s v="Complete Access"/>
    <x v="34"/>
    <x v="9"/>
    <x v="12"/>
    <d v="1900-01-08T00:00:00"/>
    <n v="46"/>
    <x v="3"/>
    <x v="3"/>
  </r>
  <r>
    <x v="651"/>
    <n v="-37.119999999999997"/>
    <x v="1412"/>
    <n v="8552.73"/>
    <s v="Complete Access"/>
    <x v="8"/>
    <x v="1"/>
    <x v="5"/>
    <d v="1900-01-07T00:00:00"/>
    <n v="46"/>
    <x v="3"/>
    <x v="3"/>
  </r>
  <r>
    <x v="652"/>
    <n v="-3.99"/>
    <x v="1413"/>
    <n v="8620.51"/>
    <s v="Complete Access"/>
    <x v="396"/>
    <x v="11"/>
    <x v="14"/>
    <d v="1900-01-06T00:00:00"/>
    <n v="46"/>
    <x v="3"/>
    <x v="3"/>
  </r>
  <r>
    <x v="652"/>
    <n v="-30.66"/>
    <x v="1414"/>
    <n v="8589.85"/>
    <s v="Complete Access"/>
    <x v="397"/>
    <x v="1"/>
    <x v="1"/>
    <d v="1900-01-06T00:00:00"/>
    <n v="46"/>
    <x v="3"/>
    <x v="3"/>
  </r>
  <r>
    <x v="653"/>
    <n v="-9.65"/>
    <x v="1415"/>
    <n v="8624.5"/>
    <s v="Complete Access"/>
    <x v="285"/>
    <x v="5"/>
    <x v="8"/>
    <d v="1900-01-04T00:00:00"/>
    <n v="45"/>
    <x v="3"/>
    <x v="3"/>
  </r>
  <r>
    <x v="654"/>
    <n v="-9.65"/>
    <x v="1416"/>
    <n v="8634.15"/>
    <s v="Complete Access"/>
    <x v="285"/>
    <x v="5"/>
    <x v="8"/>
    <d v="1900-01-03T00:00:00"/>
    <n v="45"/>
    <x v="3"/>
    <x v="3"/>
  </r>
  <r>
    <x v="655"/>
    <n v="-22.62"/>
    <x v="1417"/>
    <n v="8643.7999999999993"/>
    <s v="Complete Access"/>
    <x v="186"/>
    <x v="1"/>
    <x v="5"/>
    <d v="1900-01-02T00:00:00"/>
    <n v="45"/>
    <x v="3"/>
    <x v="3"/>
  </r>
  <r>
    <x v="656"/>
    <n v="-9.65"/>
    <x v="1418"/>
    <n v="8691.44"/>
    <s v="Complete Access"/>
    <x v="285"/>
    <x v="5"/>
    <x v="8"/>
    <d v="1900-01-01T00:00:00"/>
    <n v="45"/>
    <x v="3"/>
    <x v="3"/>
  </r>
  <r>
    <x v="656"/>
    <n v="-11.02"/>
    <x v="1108"/>
    <n v="8666.42"/>
    <s v="Complete Access"/>
    <x v="348"/>
    <x v="1"/>
    <x v="5"/>
    <d v="1900-01-01T00:00:00"/>
    <n v="45"/>
    <x v="3"/>
    <x v="3"/>
  </r>
  <r>
    <x v="656"/>
    <n v="-14"/>
    <x v="1419"/>
    <n v="8677.44"/>
    <s v="Complete Access"/>
    <x v="242"/>
    <x v="1"/>
    <x v="5"/>
    <d v="1900-01-01T00:00:00"/>
    <n v="45"/>
    <x v="3"/>
    <x v="3"/>
  </r>
  <r>
    <x v="657"/>
    <n v="-26.3"/>
    <x v="1420"/>
    <n v="8944.4699999999993"/>
    <s v="Complete Access"/>
    <x v="8"/>
    <x v="1"/>
    <x v="5"/>
    <d v="1899-12-31T00:00:00"/>
    <n v="45"/>
    <x v="3"/>
    <x v="3"/>
  </r>
  <r>
    <x v="657"/>
    <n v="-186.7"/>
    <x v="1421"/>
    <n v="8701.09"/>
    <s v="Complete Access"/>
    <x v="76"/>
    <x v="2"/>
    <x v="2"/>
    <d v="1899-12-31T00:00:00"/>
    <n v="45"/>
    <x v="3"/>
    <x v="3"/>
  </r>
  <r>
    <x v="657"/>
    <n v="-56.68"/>
    <x v="1422"/>
    <n v="8887.7900000000009"/>
    <s v="Complete Access"/>
    <x v="1"/>
    <x v="1"/>
    <x v="1"/>
    <d v="1899-12-31T00:00:00"/>
    <n v="45"/>
    <x v="3"/>
    <x v="3"/>
  </r>
  <r>
    <x v="658"/>
    <n v="-15"/>
    <x v="1423"/>
    <n v="8970.77"/>
    <s v="Complete Access"/>
    <x v="0"/>
    <x v="0"/>
    <x v="0"/>
    <d v="1900-01-28T00:00:00"/>
    <n v="44"/>
    <x v="4"/>
    <x v="3"/>
  </r>
  <r>
    <x v="659"/>
    <n v="-500"/>
    <x v="656"/>
    <n v="9061.2900000000009"/>
    <s v="Complete Access"/>
    <x v="13"/>
    <x v="0"/>
    <x v="0"/>
    <d v="1900-01-26T00:00:00"/>
    <n v="44"/>
    <x v="4"/>
    <x v="3"/>
  </r>
  <r>
    <x v="659"/>
    <n v="2543.0300000000002"/>
    <x v="1424"/>
    <n v="9561.2900000000009"/>
    <s v="Complete Access"/>
    <x v="14"/>
    <x v="6"/>
    <x v="9"/>
    <d v="1900-01-26T00:00:00"/>
    <n v="44"/>
    <x v="4"/>
    <x v="3"/>
  </r>
  <r>
    <x v="659"/>
    <n v="-75.52"/>
    <x v="1425"/>
    <n v="8985.77"/>
    <s v="Complete Access"/>
    <x v="1"/>
    <x v="1"/>
    <x v="1"/>
    <d v="1900-01-26T00:00:00"/>
    <n v="44"/>
    <x v="4"/>
    <x v="3"/>
  </r>
  <r>
    <x v="660"/>
    <n v="-3.2"/>
    <x v="1426"/>
    <n v="7074.26"/>
    <s v="Complete Access"/>
    <x v="285"/>
    <x v="5"/>
    <x v="8"/>
    <d v="1900-01-25T00:00:00"/>
    <n v="44"/>
    <x v="4"/>
    <x v="3"/>
  </r>
  <r>
    <x v="660"/>
    <n v="-31"/>
    <x v="1427"/>
    <n v="7043.26"/>
    <s v="Complete Access"/>
    <x v="398"/>
    <x v="1"/>
    <x v="5"/>
    <d v="1900-01-25T00:00:00"/>
    <n v="44"/>
    <x v="4"/>
    <x v="3"/>
  </r>
  <r>
    <x v="660"/>
    <n v="-13"/>
    <x v="1428"/>
    <n v="7030.26"/>
    <s v="Complete Access"/>
    <x v="0"/>
    <x v="0"/>
    <x v="0"/>
    <d v="1900-01-25T00:00:00"/>
    <n v="44"/>
    <x v="4"/>
    <x v="3"/>
  </r>
  <r>
    <x v="660"/>
    <n v="-12"/>
    <x v="1429"/>
    <n v="7018.26"/>
    <s v="Complete Access"/>
    <x v="0"/>
    <x v="0"/>
    <x v="0"/>
    <d v="1900-01-25T00:00:00"/>
    <n v="44"/>
    <x v="4"/>
    <x v="3"/>
  </r>
  <r>
    <x v="661"/>
    <n v="-26.3"/>
    <x v="1430"/>
    <n v="7118.41"/>
    <s v="Complete Access"/>
    <x v="8"/>
    <x v="1"/>
    <x v="5"/>
    <d v="1900-01-24T00:00:00"/>
    <n v="44"/>
    <x v="4"/>
    <x v="3"/>
  </r>
  <r>
    <x v="661"/>
    <n v="-27.75"/>
    <x v="1431"/>
    <n v="7144.71"/>
    <s v="Complete Access"/>
    <x v="8"/>
    <x v="1"/>
    <x v="5"/>
    <d v="1900-01-24T00:00:00"/>
    <n v="44"/>
    <x v="4"/>
    <x v="3"/>
  </r>
  <r>
    <x v="661"/>
    <n v="-40.950000000000003"/>
    <x v="1432"/>
    <n v="7077.46"/>
    <s v="Complete Access"/>
    <x v="8"/>
    <x v="1"/>
    <x v="5"/>
    <d v="1900-01-24T00:00:00"/>
    <n v="44"/>
    <x v="4"/>
    <x v="3"/>
  </r>
  <r>
    <x v="661"/>
    <n v="-5.5"/>
    <x v="1433"/>
    <n v="7172.46"/>
    <s v="Complete Access"/>
    <x v="285"/>
    <x v="5"/>
    <x v="8"/>
    <d v="1900-01-24T00:00:00"/>
    <n v="44"/>
    <x v="4"/>
    <x v="3"/>
  </r>
  <r>
    <x v="662"/>
    <n v="76"/>
    <x v="1434"/>
    <n v="7177.96"/>
    <s v="Complete Access"/>
    <x v="36"/>
    <x v="0"/>
    <x v="0"/>
    <d v="1900-01-22T00:00:00"/>
    <n v="44"/>
    <x v="4"/>
    <x v="3"/>
  </r>
  <r>
    <x v="662"/>
    <n v="-157.5"/>
    <x v="1435"/>
    <n v="7101.96"/>
    <s v="Complete Access"/>
    <x v="399"/>
    <x v="1"/>
    <x v="5"/>
    <d v="1900-01-22T00:00:00"/>
    <n v="44"/>
    <x v="4"/>
    <x v="3"/>
  </r>
  <r>
    <x v="663"/>
    <n v="-9.65"/>
    <x v="1436"/>
    <n v="7259.46"/>
    <s v="Complete Access"/>
    <x v="285"/>
    <x v="5"/>
    <x v="8"/>
    <d v="1900-01-21T00:00:00"/>
    <n v="43"/>
    <x v="4"/>
    <x v="3"/>
  </r>
  <r>
    <x v="664"/>
    <n v="-50"/>
    <x v="782"/>
    <n v="7269.11"/>
    <s v="Complete Access"/>
    <x v="130"/>
    <x v="0"/>
    <x v="0"/>
    <d v="1900-01-20T00:00:00"/>
    <n v="43"/>
    <x v="4"/>
    <x v="3"/>
  </r>
  <r>
    <x v="664"/>
    <n v="-7.86"/>
    <x v="1437"/>
    <n v="7428.15"/>
    <s v="Complete Access"/>
    <x v="285"/>
    <x v="5"/>
    <x v="8"/>
    <d v="1900-01-20T00:00:00"/>
    <n v="43"/>
    <x v="4"/>
    <x v="3"/>
  </r>
  <r>
    <x v="664"/>
    <n v="-69"/>
    <x v="1438"/>
    <n v="7359.15"/>
    <s v="Complete Access"/>
    <x v="207"/>
    <x v="7"/>
    <x v="11"/>
    <d v="1900-01-20T00:00:00"/>
    <n v="43"/>
    <x v="4"/>
    <x v="3"/>
  </r>
  <r>
    <x v="664"/>
    <n v="-40.04"/>
    <x v="1439"/>
    <n v="7319.11"/>
    <s v="Complete Access"/>
    <x v="1"/>
    <x v="1"/>
    <x v="1"/>
    <d v="1900-01-20T00:00:00"/>
    <n v="43"/>
    <x v="4"/>
    <x v="3"/>
  </r>
  <r>
    <x v="665"/>
    <n v="-9.99"/>
    <x v="1440"/>
    <n v="7405.01"/>
    <s v="Complete Access"/>
    <x v="100"/>
    <x v="9"/>
    <x v="32"/>
    <d v="1900-01-19T00:00:00"/>
    <n v="43"/>
    <x v="4"/>
    <x v="3"/>
  </r>
  <r>
    <x v="665"/>
    <n v="-9.99"/>
    <x v="1441"/>
    <n v="7415"/>
    <s v="Complete Access"/>
    <x v="400"/>
    <x v="9"/>
    <x v="32"/>
    <d v="1900-01-19T00:00:00"/>
    <n v="43"/>
    <x v="4"/>
    <x v="3"/>
  </r>
  <r>
    <x v="665"/>
    <n v="-14"/>
    <x v="1442"/>
    <n v="7391.01"/>
    <s v="Complete Access"/>
    <x v="242"/>
    <x v="1"/>
    <x v="5"/>
    <d v="1900-01-19T00:00:00"/>
    <n v="43"/>
    <x v="4"/>
    <x v="3"/>
  </r>
  <r>
    <x v="665"/>
    <n v="45"/>
    <x v="1443"/>
    <n v="7436.01"/>
    <s v="Complete Access"/>
    <x v="36"/>
    <x v="0"/>
    <x v="0"/>
    <d v="1900-01-19T00:00:00"/>
    <n v="43"/>
    <x v="4"/>
    <x v="3"/>
  </r>
  <r>
    <x v="666"/>
    <n v="-31.63"/>
    <x v="1444"/>
    <n v="7527"/>
    <s v="Complete Access"/>
    <x v="8"/>
    <x v="1"/>
    <x v="5"/>
    <d v="1900-01-18T00:00:00"/>
    <n v="43"/>
    <x v="4"/>
    <x v="3"/>
  </r>
  <r>
    <x v="666"/>
    <n v="-11.02"/>
    <x v="1108"/>
    <n v="7515.98"/>
    <s v="Complete Access"/>
    <x v="348"/>
    <x v="1"/>
    <x v="5"/>
    <d v="1900-01-18T00:00:00"/>
    <n v="43"/>
    <x v="4"/>
    <x v="3"/>
  </r>
  <r>
    <x v="666"/>
    <n v="-90.99"/>
    <x v="989"/>
    <n v="7424.99"/>
    <s v="Complete Access"/>
    <x v="332"/>
    <x v="1"/>
    <x v="5"/>
    <d v="1900-01-18T00:00:00"/>
    <n v="43"/>
    <x v="4"/>
    <x v="3"/>
  </r>
  <r>
    <x v="667"/>
    <n v="-20.059999999999999"/>
    <x v="1445"/>
    <n v="7790.61"/>
    <s v="Complete Access"/>
    <x v="401"/>
    <x v="20"/>
    <x v="63"/>
    <d v="1900-01-17T00:00:00"/>
    <n v="43"/>
    <x v="4"/>
    <x v="3"/>
  </r>
  <r>
    <x v="667"/>
    <n v="-22.97"/>
    <x v="1446"/>
    <n v="7810.67"/>
    <s v="Complete Access"/>
    <x v="8"/>
    <x v="1"/>
    <x v="5"/>
    <d v="1900-01-17T00:00:00"/>
    <n v="43"/>
    <x v="4"/>
    <x v="3"/>
  </r>
  <r>
    <x v="667"/>
    <n v="-26.3"/>
    <x v="1447"/>
    <n v="7833.64"/>
    <s v="Complete Access"/>
    <x v="8"/>
    <x v="1"/>
    <x v="5"/>
    <d v="1900-01-17T00:00:00"/>
    <n v="43"/>
    <x v="4"/>
    <x v="3"/>
  </r>
  <r>
    <x v="667"/>
    <n v="-36.68"/>
    <x v="1448"/>
    <n v="7571.73"/>
    <s v="Complete Access"/>
    <x v="8"/>
    <x v="1"/>
    <x v="5"/>
    <d v="1900-01-17T00:00:00"/>
    <n v="43"/>
    <x v="4"/>
    <x v="3"/>
  </r>
  <r>
    <x v="667"/>
    <n v="-6.15"/>
    <x v="1449"/>
    <n v="7859.94"/>
    <s v="Complete Access"/>
    <x v="285"/>
    <x v="5"/>
    <x v="8"/>
    <d v="1900-01-17T00:00:00"/>
    <n v="43"/>
    <x v="4"/>
    <x v="3"/>
  </r>
  <r>
    <x v="667"/>
    <n v="-5.99"/>
    <x v="1450"/>
    <n v="7784.62"/>
    <s v="Complete Access"/>
    <x v="352"/>
    <x v="4"/>
    <x v="67"/>
    <d v="1900-01-17T00:00:00"/>
    <n v="43"/>
    <x v="4"/>
    <x v="3"/>
  </r>
  <r>
    <x v="667"/>
    <n v="-15.64"/>
    <x v="1451"/>
    <n v="7612.98"/>
    <s v="Complete Access"/>
    <x v="351"/>
    <x v="1"/>
    <x v="5"/>
    <d v="1900-01-17T00:00:00"/>
    <n v="43"/>
    <x v="4"/>
    <x v="3"/>
  </r>
  <r>
    <x v="667"/>
    <n v="-156"/>
    <x v="1452"/>
    <n v="7628.62"/>
    <s v="Complete Access"/>
    <x v="50"/>
    <x v="4"/>
    <x v="25"/>
    <d v="1900-01-17T00:00:00"/>
    <n v="43"/>
    <x v="4"/>
    <x v="3"/>
  </r>
  <r>
    <x v="667"/>
    <n v="-4.57"/>
    <x v="1453"/>
    <n v="7608.41"/>
    <s v="Complete Access"/>
    <x v="402"/>
    <x v="1"/>
    <x v="5"/>
    <d v="1900-01-17T00:00:00"/>
    <n v="43"/>
    <x v="4"/>
    <x v="3"/>
  </r>
  <r>
    <x v="667"/>
    <n v="-13.1"/>
    <x v="1454"/>
    <n v="7558.63"/>
    <s v="Complete Access"/>
    <x v="1"/>
    <x v="1"/>
    <x v="1"/>
    <d v="1900-01-17T00:00:00"/>
    <n v="43"/>
    <x v="4"/>
    <x v="3"/>
  </r>
  <r>
    <x v="668"/>
    <n v="-30.96"/>
    <x v="1455"/>
    <n v="7866.09"/>
    <s v="Complete Access"/>
    <x v="403"/>
    <x v="1"/>
    <x v="5"/>
    <d v="1900-01-15T00:00:00"/>
    <n v="43"/>
    <x v="4"/>
    <x v="3"/>
  </r>
  <r>
    <x v="669"/>
    <n v="-28.96"/>
    <x v="1456"/>
    <n v="7915.22"/>
    <s v="Complete Access"/>
    <x v="8"/>
    <x v="1"/>
    <x v="5"/>
    <d v="1900-01-14T00:00:00"/>
    <n v="42"/>
    <x v="4"/>
    <x v="3"/>
  </r>
  <r>
    <x v="669"/>
    <n v="-9.65"/>
    <x v="1457"/>
    <n v="7926.35"/>
    <s v="Complete Access"/>
    <x v="285"/>
    <x v="5"/>
    <x v="8"/>
    <d v="1900-01-14T00:00:00"/>
    <n v="42"/>
    <x v="4"/>
    <x v="3"/>
  </r>
  <r>
    <x v="669"/>
    <n v="17.829999999999998"/>
    <x v="1458"/>
    <n v="7944.18"/>
    <s v="Complete Access"/>
    <x v="74"/>
    <x v="4"/>
    <x v="10"/>
    <d v="1900-01-14T00:00:00"/>
    <n v="42"/>
    <x v="4"/>
    <x v="3"/>
  </r>
  <r>
    <x v="669"/>
    <n v="-17.64"/>
    <x v="1459"/>
    <n v="7897.58"/>
    <s v="Complete Access"/>
    <x v="74"/>
    <x v="4"/>
    <x v="10"/>
    <d v="1900-01-14T00:00:00"/>
    <n v="42"/>
    <x v="4"/>
    <x v="3"/>
  </r>
  <r>
    <x v="669"/>
    <n v="-0.53"/>
    <x v="1460"/>
    <n v="7897.05"/>
    <s v="Complete Access"/>
    <x v="10"/>
    <x v="0"/>
    <x v="0"/>
    <d v="1900-01-14T00:00:00"/>
    <n v="42"/>
    <x v="4"/>
    <x v="3"/>
  </r>
  <r>
    <x v="670"/>
    <n v="-9.65"/>
    <x v="1461"/>
    <n v="7949.2"/>
    <s v="Complete Access"/>
    <x v="285"/>
    <x v="5"/>
    <x v="8"/>
    <d v="1900-01-13T00:00:00"/>
    <n v="42"/>
    <x v="4"/>
    <x v="3"/>
  </r>
  <r>
    <x v="670"/>
    <n v="-13.2"/>
    <x v="1462"/>
    <n v="7936"/>
    <s v="Complete Access"/>
    <x v="16"/>
    <x v="1"/>
    <x v="5"/>
    <d v="1900-01-13T00:00:00"/>
    <n v="42"/>
    <x v="4"/>
    <x v="3"/>
  </r>
  <r>
    <x v="671"/>
    <n v="-500"/>
    <x v="656"/>
    <n v="7958.85"/>
    <s v="Complete Access"/>
    <x v="13"/>
    <x v="0"/>
    <x v="0"/>
    <d v="1900-01-12T00:00:00"/>
    <n v="42"/>
    <x v="4"/>
    <x v="3"/>
  </r>
  <r>
    <x v="671"/>
    <n v="2379.48"/>
    <x v="1463"/>
    <n v="8458.85"/>
    <s v="Complete Access"/>
    <x v="14"/>
    <x v="6"/>
    <x v="9"/>
    <d v="1900-01-12T00:00:00"/>
    <n v="42"/>
    <x v="4"/>
    <x v="3"/>
  </r>
  <r>
    <x v="672"/>
    <n v="-9.65"/>
    <x v="1464"/>
    <n v="6117.21"/>
    <s v="Complete Access"/>
    <x v="285"/>
    <x v="5"/>
    <x v="8"/>
    <d v="1900-01-11T00:00:00"/>
    <n v="42"/>
    <x v="4"/>
    <x v="3"/>
  </r>
  <r>
    <x v="672"/>
    <n v="-7.08"/>
    <x v="1108"/>
    <n v="6079.37"/>
    <s v="Complete Access"/>
    <x v="348"/>
    <x v="1"/>
    <x v="5"/>
    <d v="1900-01-11T00:00:00"/>
    <n v="42"/>
    <x v="4"/>
    <x v="3"/>
  </r>
  <r>
    <x v="672"/>
    <n v="-6.99"/>
    <x v="1465"/>
    <n v="6110.22"/>
    <s v="Complete Access"/>
    <x v="222"/>
    <x v="11"/>
    <x v="14"/>
    <d v="1900-01-11T00:00:00"/>
    <n v="42"/>
    <x v="4"/>
    <x v="3"/>
  </r>
  <r>
    <x v="672"/>
    <n v="-23.77"/>
    <x v="1466"/>
    <n v="6086.45"/>
    <s v="Complete Access"/>
    <x v="1"/>
    <x v="1"/>
    <x v="1"/>
    <d v="1900-01-11T00:00:00"/>
    <n v="42"/>
    <x v="4"/>
    <x v="3"/>
  </r>
  <r>
    <x v="673"/>
    <n v="-44.83"/>
    <x v="1467"/>
    <n v="6196.39"/>
    <s v="Complete Access"/>
    <x v="8"/>
    <x v="1"/>
    <x v="5"/>
    <d v="1900-01-10T00:00:00"/>
    <n v="42"/>
    <x v="4"/>
    <x v="3"/>
  </r>
  <r>
    <x v="673"/>
    <n v="-8.49"/>
    <x v="1108"/>
    <n v="6130.16"/>
    <s v="Complete Access"/>
    <x v="348"/>
    <x v="1"/>
    <x v="5"/>
    <d v="1900-01-10T00:00:00"/>
    <n v="42"/>
    <x v="4"/>
    <x v="3"/>
  </r>
  <r>
    <x v="673"/>
    <n v="-3.3"/>
    <x v="659"/>
    <n v="6126.86"/>
    <s v="Complete Access"/>
    <x v="220"/>
    <x v="1"/>
    <x v="5"/>
    <d v="1900-01-10T00:00:00"/>
    <n v="42"/>
    <x v="4"/>
    <x v="3"/>
  </r>
  <r>
    <x v="673"/>
    <n v="-17.16"/>
    <x v="1468"/>
    <n v="6139.16"/>
    <s v="Complete Access"/>
    <x v="74"/>
    <x v="4"/>
    <x v="10"/>
    <d v="1900-01-10T00:00:00"/>
    <n v="42"/>
    <x v="4"/>
    <x v="3"/>
  </r>
  <r>
    <x v="673"/>
    <n v="-0.51"/>
    <x v="1469"/>
    <n v="6138.65"/>
    <s v="Complete Access"/>
    <x v="10"/>
    <x v="0"/>
    <x v="0"/>
    <d v="1900-01-10T00:00:00"/>
    <n v="42"/>
    <x v="4"/>
    <x v="3"/>
  </r>
  <r>
    <x v="673"/>
    <n v="-40.07"/>
    <x v="1470"/>
    <n v="6156.32"/>
    <s v="Complete Access"/>
    <x v="64"/>
    <x v="9"/>
    <x v="12"/>
    <d v="1900-01-10T00:00:00"/>
    <n v="42"/>
    <x v="4"/>
    <x v="3"/>
  </r>
  <r>
    <x v="674"/>
    <n v="-13.14"/>
    <x v="1108"/>
    <n v="6241.22"/>
    <s v="Complete Access"/>
    <x v="348"/>
    <x v="1"/>
    <x v="5"/>
    <d v="1900-01-09T00:00:00"/>
    <n v="42"/>
    <x v="4"/>
    <x v="3"/>
  </r>
  <r>
    <x v="675"/>
    <n v="-100"/>
    <x v="1471"/>
    <n v="6257.16"/>
    <s v="Complete Access"/>
    <x v="130"/>
    <x v="0"/>
    <x v="0"/>
    <d v="1900-01-07T00:00:00"/>
    <n v="41"/>
    <x v="4"/>
    <x v="3"/>
  </r>
  <r>
    <x v="675"/>
    <n v="-50"/>
    <x v="782"/>
    <n v="6357.16"/>
    <s v="Complete Access"/>
    <x v="130"/>
    <x v="0"/>
    <x v="0"/>
    <d v="1900-01-07T00:00:00"/>
    <n v="41"/>
    <x v="4"/>
    <x v="3"/>
  </r>
  <r>
    <x v="675"/>
    <n v="-2.8"/>
    <x v="72"/>
    <n v="6254.36"/>
    <s v="Complete Access"/>
    <x v="37"/>
    <x v="0"/>
    <x v="0"/>
    <d v="1900-01-07T00:00:00"/>
    <n v="41"/>
    <x v="4"/>
    <x v="3"/>
  </r>
  <r>
    <x v="676"/>
    <n v="-100"/>
    <x v="782"/>
    <n v="6407.16"/>
    <s v="Complete Access"/>
    <x v="130"/>
    <x v="0"/>
    <x v="0"/>
    <d v="1900-01-06T00:00:00"/>
    <n v="41"/>
    <x v="4"/>
    <x v="3"/>
  </r>
  <r>
    <x v="677"/>
    <n v="-22.99"/>
    <x v="1472"/>
    <n v="6603.47"/>
    <s v="Complete Access"/>
    <x v="8"/>
    <x v="1"/>
    <x v="5"/>
    <d v="1900-01-05T00:00:00"/>
    <n v="41"/>
    <x v="4"/>
    <x v="3"/>
  </r>
  <r>
    <x v="677"/>
    <n v="-8.4700000000000006"/>
    <x v="1473"/>
    <n v="6626.46"/>
    <s v="Complete Access"/>
    <x v="285"/>
    <x v="5"/>
    <x v="8"/>
    <d v="1900-01-05T00:00:00"/>
    <n v="41"/>
    <x v="4"/>
    <x v="3"/>
  </r>
  <r>
    <x v="677"/>
    <n v="-96.31"/>
    <x v="1474"/>
    <n v="6507.16"/>
    <s v="Complete Access"/>
    <x v="1"/>
    <x v="1"/>
    <x v="1"/>
    <d v="1900-01-05T00:00:00"/>
    <n v="41"/>
    <x v="4"/>
    <x v="3"/>
  </r>
  <r>
    <x v="678"/>
    <n v="-22.79"/>
    <x v="1472"/>
    <n v="6634.93"/>
    <s v="Complete Access"/>
    <x v="8"/>
    <x v="1"/>
    <x v="5"/>
    <d v="1900-01-04T00:00:00"/>
    <n v="41"/>
    <x v="4"/>
    <x v="3"/>
  </r>
  <r>
    <x v="679"/>
    <n v="-26.09"/>
    <x v="1475"/>
    <n v="6850.49"/>
    <s v="Complete Access"/>
    <x v="8"/>
    <x v="1"/>
    <x v="5"/>
    <d v="1900-01-03T00:00:00"/>
    <n v="41"/>
    <x v="4"/>
    <x v="3"/>
  </r>
  <r>
    <x v="679"/>
    <n v="-39.19"/>
    <x v="1475"/>
    <n v="6876.58"/>
    <s v="Complete Access"/>
    <x v="8"/>
    <x v="1"/>
    <x v="5"/>
    <d v="1900-01-03T00:00:00"/>
    <n v="41"/>
    <x v="4"/>
    <x v="3"/>
  </r>
  <r>
    <x v="679"/>
    <n v="-41.1"/>
    <x v="1476"/>
    <n v="6915.77"/>
    <s v="Complete Access"/>
    <x v="104"/>
    <x v="1"/>
    <x v="5"/>
    <d v="1900-01-03T00:00:00"/>
    <n v="41"/>
    <x v="4"/>
    <x v="3"/>
  </r>
  <r>
    <x v="679"/>
    <n v="-180.55"/>
    <x v="1477"/>
    <n v="6657.72"/>
    <s v="Complete Access"/>
    <x v="76"/>
    <x v="2"/>
    <x v="2"/>
    <d v="1900-01-03T00:00:00"/>
    <n v="41"/>
    <x v="4"/>
    <x v="3"/>
  </r>
  <r>
    <x v="679"/>
    <n v="-4.24"/>
    <x v="436"/>
    <n v="6838.27"/>
    <s v="Complete Access"/>
    <x v="186"/>
    <x v="1"/>
    <x v="5"/>
    <d v="1900-01-03T00:00:00"/>
    <n v="41"/>
    <x v="4"/>
    <x v="3"/>
  </r>
  <r>
    <x v="679"/>
    <n v="-7.98"/>
    <x v="436"/>
    <n v="6842.51"/>
    <s v="Complete Access"/>
    <x v="186"/>
    <x v="1"/>
    <x v="5"/>
    <d v="1900-01-03T00:00:00"/>
    <n v="41"/>
    <x v="4"/>
    <x v="3"/>
  </r>
  <r>
    <x v="680"/>
    <n v="-9.65"/>
    <x v="1478"/>
    <n v="6977.82"/>
    <s v="Complete Access"/>
    <x v="285"/>
    <x v="5"/>
    <x v="8"/>
    <d v="1900-01-29T00:00:00"/>
    <n v="40"/>
    <x v="5"/>
    <x v="3"/>
  </r>
  <r>
    <x v="680"/>
    <n v="-20.95"/>
    <x v="96"/>
    <n v="6956.87"/>
    <s v="Complete Access"/>
    <x v="47"/>
    <x v="1"/>
    <x v="5"/>
    <d v="1900-01-29T00:00:00"/>
    <n v="40"/>
    <x v="5"/>
    <x v="3"/>
  </r>
  <r>
    <x v="681"/>
    <n v="-500"/>
    <x v="656"/>
    <n v="6996.27"/>
    <s v="Complete Access"/>
    <x v="13"/>
    <x v="0"/>
    <x v="0"/>
    <d v="1900-01-28T00:00:00"/>
    <n v="40"/>
    <x v="5"/>
    <x v="3"/>
  </r>
  <r>
    <x v="681"/>
    <n v="2727.1"/>
    <x v="1479"/>
    <n v="7496.27"/>
    <s v="Complete Access"/>
    <x v="14"/>
    <x v="6"/>
    <x v="9"/>
    <d v="1900-01-28T00:00:00"/>
    <n v="40"/>
    <x v="5"/>
    <x v="3"/>
  </r>
  <r>
    <x v="681"/>
    <n v="-8.8000000000000007"/>
    <x v="1480"/>
    <n v="6987.47"/>
    <s v="Complete Access"/>
    <x v="277"/>
    <x v="8"/>
    <x v="29"/>
    <d v="1900-01-28T00:00:00"/>
    <n v="40"/>
    <x v="5"/>
    <x v="3"/>
  </r>
  <r>
    <x v="682"/>
    <n v="-23.89"/>
    <x v="1481"/>
    <n v="4785.67"/>
    <s v="Complete Access"/>
    <x v="8"/>
    <x v="1"/>
    <x v="5"/>
    <d v="1900-01-27T00:00:00"/>
    <n v="40"/>
    <x v="5"/>
    <x v="3"/>
  </r>
  <r>
    <x v="682"/>
    <n v="-9.65"/>
    <x v="1482"/>
    <n v="4846.42"/>
    <s v="Complete Access"/>
    <x v="285"/>
    <x v="5"/>
    <x v="8"/>
    <d v="1900-01-27T00:00:00"/>
    <n v="40"/>
    <x v="5"/>
    <x v="3"/>
  </r>
  <r>
    <x v="682"/>
    <n v="-3.3"/>
    <x v="1483"/>
    <n v="4769.17"/>
    <s v="Complete Access"/>
    <x v="220"/>
    <x v="1"/>
    <x v="5"/>
    <d v="1900-01-27T00:00:00"/>
    <n v="40"/>
    <x v="5"/>
    <x v="3"/>
  </r>
  <r>
    <x v="682"/>
    <n v="-13.2"/>
    <x v="1484"/>
    <n v="4772.47"/>
    <s v="Complete Access"/>
    <x v="16"/>
    <x v="1"/>
    <x v="5"/>
    <d v="1900-01-27T00:00:00"/>
    <n v="40"/>
    <x v="5"/>
    <x v="3"/>
  </r>
  <r>
    <x v="682"/>
    <n v="-36.86"/>
    <x v="1485"/>
    <n v="4809.5600000000004"/>
    <s v="Complete Access"/>
    <x v="237"/>
    <x v="15"/>
    <x v="34"/>
    <d v="1900-01-27T00:00:00"/>
    <n v="40"/>
    <x v="5"/>
    <x v="3"/>
  </r>
  <r>
    <x v="683"/>
    <n v="-5"/>
    <x v="1345"/>
    <n v="4862.05"/>
    <s v="Complete Access"/>
    <x v="383"/>
    <x v="1"/>
    <x v="5"/>
    <d v="1900-01-26T00:00:00"/>
    <n v="40"/>
    <x v="5"/>
    <x v="3"/>
  </r>
  <r>
    <x v="683"/>
    <n v="-32.33"/>
    <x v="1486"/>
    <n v="5036.05"/>
    <s v="Complete Access"/>
    <x v="8"/>
    <x v="1"/>
    <x v="5"/>
    <d v="1900-01-26T00:00:00"/>
    <n v="40"/>
    <x v="5"/>
    <x v="3"/>
  </r>
  <r>
    <x v="683"/>
    <n v="-169"/>
    <x v="1487"/>
    <n v="4867.05"/>
    <s v="Complete Access"/>
    <x v="289"/>
    <x v="3"/>
    <x v="15"/>
    <d v="1900-01-26T00:00:00"/>
    <n v="40"/>
    <x v="5"/>
    <x v="3"/>
  </r>
  <r>
    <x v="683"/>
    <n v="214"/>
    <x v="1488"/>
    <n v="5070.07"/>
    <s v="Complete Access"/>
    <x v="404"/>
    <x v="0"/>
    <x v="0"/>
    <d v="1900-01-26T00:00:00"/>
    <n v="40"/>
    <x v="5"/>
    <x v="3"/>
  </r>
  <r>
    <x v="683"/>
    <n v="-5.98"/>
    <x v="1489"/>
    <n v="4856.07"/>
    <s v="Complete Access"/>
    <x v="215"/>
    <x v="1"/>
    <x v="1"/>
    <d v="1900-01-26T00:00:00"/>
    <n v="40"/>
    <x v="5"/>
    <x v="3"/>
  </r>
  <r>
    <x v="683"/>
    <n v="150"/>
    <x v="1490"/>
    <n v="4856.07"/>
    <s v="Complete Access"/>
    <x v="36"/>
    <x v="0"/>
    <x v="0"/>
    <d v="1900-01-26T00:00:00"/>
    <n v="40"/>
    <x v="5"/>
    <x v="3"/>
  </r>
  <r>
    <x v="683"/>
    <n v="-214"/>
    <x v="1491"/>
    <n v="4856.07"/>
    <s v="Complete Access"/>
    <x v="265"/>
    <x v="8"/>
    <x v="22"/>
    <d v="1900-01-26T00:00:00"/>
    <n v="40"/>
    <x v="5"/>
    <x v="3"/>
  </r>
  <r>
    <x v="683"/>
    <n v="-150"/>
    <x v="1492"/>
    <n v="4706.07"/>
    <s v="Complete Access"/>
    <x v="265"/>
    <x v="8"/>
    <x v="22"/>
    <d v="1900-01-26T00:00:00"/>
    <n v="40"/>
    <x v="5"/>
    <x v="3"/>
  </r>
  <r>
    <x v="684"/>
    <n v="-250"/>
    <x v="1493"/>
    <n v="5068.38"/>
    <s v="Complete Access"/>
    <x v="0"/>
    <x v="0"/>
    <x v="0"/>
    <d v="1900-01-23T00:00:00"/>
    <n v="39"/>
    <x v="5"/>
    <x v="3"/>
  </r>
  <r>
    <x v="684"/>
    <n v="-28.5"/>
    <x v="1494"/>
    <n v="5398.37"/>
    <s v="Complete Access"/>
    <x v="405"/>
    <x v="8"/>
    <x v="29"/>
    <d v="1900-01-23T00:00:00"/>
    <n v="39"/>
    <x v="5"/>
    <x v="3"/>
  </r>
  <r>
    <x v="684"/>
    <n v="-244"/>
    <x v="1495"/>
    <n v="5426.87"/>
    <s v="Complete Access"/>
    <x v="406"/>
    <x v="8"/>
    <x v="22"/>
    <d v="1900-01-23T00:00:00"/>
    <n v="39"/>
    <x v="5"/>
    <x v="3"/>
  </r>
  <r>
    <x v="684"/>
    <n v="-13.75"/>
    <x v="1496"/>
    <n v="5670.87"/>
    <s v="Complete Access"/>
    <x v="47"/>
    <x v="1"/>
    <x v="5"/>
    <d v="1900-01-23T00:00:00"/>
    <n v="39"/>
    <x v="5"/>
    <x v="3"/>
  </r>
  <r>
    <x v="684"/>
    <n v="-79.989999999999995"/>
    <x v="1497"/>
    <n v="5318.38"/>
    <s v="Complete Access"/>
    <x v="407"/>
    <x v="1"/>
    <x v="23"/>
    <d v="1900-01-23T00:00:00"/>
    <n v="39"/>
    <x v="5"/>
    <x v="3"/>
  </r>
  <r>
    <x v="684"/>
    <n v="-214"/>
    <x v="1498"/>
    <n v="5684.62"/>
    <s v="Complete Access"/>
    <x v="13"/>
    <x v="0"/>
    <x v="0"/>
    <d v="1900-01-23T00:00:00"/>
    <n v="39"/>
    <x v="5"/>
    <x v="3"/>
  </r>
  <r>
    <x v="685"/>
    <n v="-50"/>
    <x v="1423"/>
    <n v="5898.62"/>
    <s v="Complete Access"/>
    <x v="0"/>
    <x v="0"/>
    <x v="0"/>
    <d v="1900-01-22T00:00:00"/>
    <n v="39"/>
    <x v="5"/>
    <x v="3"/>
  </r>
  <r>
    <x v="686"/>
    <n v="-70.3"/>
    <x v="1499"/>
    <n v="5948.62"/>
    <s v="Complete Access"/>
    <x v="1"/>
    <x v="1"/>
    <x v="1"/>
    <d v="1900-01-20T00:00:00"/>
    <n v="39"/>
    <x v="5"/>
    <x v="3"/>
  </r>
  <r>
    <x v="687"/>
    <n v="-35.44"/>
    <x v="1500"/>
    <n v="6018.92"/>
    <s v="Complete Access"/>
    <x v="8"/>
    <x v="1"/>
    <x v="5"/>
    <d v="1900-01-19T00:00:00"/>
    <n v="39"/>
    <x v="5"/>
    <x v="3"/>
  </r>
  <r>
    <x v="688"/>
    <n v="-15"/>
    <x v="1385"/>
    <n v="6054.36"/>
    <s v="Complete Access"/>
    <x v="0"/>
    <x v="0"/>
    <x v="0"/>
    <d v="1900-01-17T00:00:00"/>
    <n v="39"/>
    <x v="5"/>
    <x v="3"/>
  </r>
  <r>
    <x v="689"/>
    <n v="-5.99"/>
    <x v="1501"/>
    <n v="6069.36"/>
    <s v="Complete Access"/>
    <x v="352"/>
    <x v="4"/>
    <x v="67"/>
    <d v="1900-01-16T00:00:00"/>
    <n v="38"/>
    <x v="5"/>
    <x v="3"/>
  </r>
  <r>
    <x v="690"/>
    <n v="-9.65"/>
    <x v="1502"/>
    <n v="6174.85"/>
    <s v="Complete Access"/>
    <x v="285"/>
    <x v="5"/>
    <x v="8"/>
    <d v="1900-01-15T00:00:00"/>
    <n v="38"/>
    <x v="5"/>
    <x v="3"/>
  </r>
  <r>
    <x v="690"/>
    <n v="-69"/>
    <x v="1503"/>
    <n v="6105.85"/>
    <s v="Complete Access"/>
    <x v="207"/>
    <x v="7"/>
    <x v="11"/>
    <d v="1900-01-15T00:00:00"/>
    <n v="38"/>
    <x v="5"/>
    <x v="3"/>
  </r>
  <r>
    <x v="690"/>
    <n v="-13.5"/>
    <x v="1504"/>
    <n v="6092.35"/>
    <s v="Complete Access"/>
    <x v="277"/>
    <x v="8"/>
    <x v="29"/>
    <d v="1900-01-15T00:00:00"/>
    <n v="38"/>
    <x v="5"/>
    <x v="3"/>
  </r>
  <r>
    <x v="690"/>
    <n v="-17"/>
    <x v="1385"/>
    <n v="6075.35"/>
    <s v="Complete Access"/>
    <x v="0"/>
    <x v="0"/>
    <x v="0"/>
    <d v="1900-01-15T00:00:00"/>
    <n v="38"/>
    <x v="5"/>
    <x v="3"/>
  </r>
  <r>
    <x v="691"/>
    <n v="-500"/>
    <x v="656"/>
    <n v="6208.15"/>
    <s v="Complete Access"/>
    <x v="13"/>
    <x v="0"/>
    <x v="0"/>
    <d v="1900-01-14T00:00:00"/>
    <n v="38"/>
    <x v="5"/>
    <x v="3"/>
  </r>
  <r>
    <x v="691"/>
    <n v="-9.65"/>
    <x v="1505"/>
    <n v="6198.5"/>
    <s v="Complete Access"/>
    <x v="285"/>
    <x v="5"/>
    <x v="8"/>
    <d v="1900-01-14T00:00:00"/>
    <n v="38"/>
    <x v="5"/>
    <x v="3"/>
  </r>
  <r>
    <x v="691"/>
    <n v="-14"/>
    <x v="1506"/>
    <n v="6184.5"/>
    <s v="Complete Access"/>
    <x v="242"/>
    <x v="1"/>
    <x v="5"/>
    <d v="1900-01-14T00:00:00"/>
    <n v="38"/>
    <x v="5"/>
    <x v="3"/>
  </r>
  <r>
    <x v="691"/>
    <n v="2379.48"/>
    <x v="352"/>
    <n v="6708.15"/>
    <s v="Complete Access"/>
    <x v="14"/>
    <x v="6"/>
    <x v="9"/>
    <d v="1900-01-14T00:00:00"/>
    <n v="38"/>
    <x v="5"/>
    <x v="3"/>
  </r>
  <r>
    <x v="692"/>
    <n v="-58.17"/>
    <x v="1507"/>
    <n v="4328.67"/>
    <s v="Complete Access"/>
    <x v="1"/>
    <x v="1"/>
    <x v="1"/>
    <d v="1900-01-13T00:00:00"/>
    <n v="38"/>
    <x v="5"/>
    <x v="3"/>
  </r>
  <r>
    <x v="693"/>
    <n v="-26.09"/>
    <x v="1508"/>
    <n v="4432.34"/>
    <s v="Complete Access"/>
    <x v="8"/>
    <x v="1"/>
    <x v="5"/>
    <d v="1900-01-12T00:00:00"/>
    <n v="38"/>
    <x v="5"/>
    <x v="3"/>
  </r>
  <r>
    <x v="693"/>
    <n v="-29.05"/>
    <x v="1509"/>
    <n v="4403.29"/>
    <s v="Complete Access"/>
    <x v="1"/>
    <x v="1"/>
    <x v="1"/>
    <d v="1900-01-12T00:00:00"/>
    <n v="38"/>
    <x v="5"/>
    <x v="3"/>
  </r>
  <r>
    <x v="693"/>
    <n v="-16.45"/>
    <x v="1510"/>
    <n v="4386.84"/>
    <s v="Complete Access"/>
    <x v="367"/>
    <x v="4"/>
    <x v="7"/>
    <d v="1900-01-12T00:00:00"/>
    <n v="38"/>
    <x v="5"/>
    <x v="3"/>
  </r>
  <r>
    <x v="694"/>
    <n v="-18.170000000000002"/>
    <x v="1130"/>
    <n v="4796.43"/>
    <s v="Complete Access"/>
    <x v="351"/>
    <x v="1"/>
    <x v="5"/>
    <d v="1900-01-09T00:00:00"/>
    <n v="37"/>
    <x v="5"/>
    <x v="3"/>
  </r>
  <r>
    <x v="694"/>
    <n v="-303"/>
    <x v="112"/>
    <n v="4493.43"/>
    <s v="Complete Access"/>
    <x v="50"/>
    <x v="4"/>
    <x v="25"/>
    <d v="1900-01-09T00:00:00"/>
    <n v="37"/>
    <x v="5"/>
    <x v="3"/>
  </r>
  <r>
    <x v="694"/>
    <n v="-35"/>
    <x v="1511"/>
    <n v="4458.43"/>
    <s v="Complete Access"/>
    <x v="21"/>
    <x v="10"/>
    <x v="13"/>
    <d v="1900-01-09T00:00:00"/>
    <n v="37"/>
    <x v="5"/>
    <x v="3"/>
  </r>
  <r>
    <x v="695"/>
    <n v="-9.65"/>
    <x v="1512"/>
    <n v="4814.6000000000004"/>
    <s v="Complete Access"/>
    <x v="285"/>
    <x v="5"/>
    <x v="8"/>
    <d v="1900-01-07T00:00:00"/>
    <n v="37"/>
    <x v="5"/>
    <x v="3"/>
  </r>
  <r>
    <x v="696"/>
    <n v="-9.65"/>
    <x v="1513"/>
    <n v="5683.52"/>
    <s v="Complete Access"/>
    <x v="285"/>
    <x v="5"/>
    <x v="8"/>
    <d v="1900-01-06T00:00:00"/>
    <n v="37"/>
    <x v="5"/>
    <x v="3"/>
  </r>
  <r>
    <x v="696"/>
    <n v="-13.2"/>
    <x v="1514"/>
    <n v="4858.58"/>
    <s v="Complete Access"/>
    <x v="16"/>
    <x v="1"/>
    <x v="5"/>
    <d v="1900-01-06T00:00:00"/>
    <n v="37"/>
    <x v="5"/>
    <x v="3"/>
  </r>
  <r>
    <x v="696"/>
    <n v="-31.82"/>
    <x v="1515"/>
    <n v="4880.78"/>
    <s v="Complete Access"/>
    <x v="237"/>
    <x v="15"/>
    <x v="34"/>
    <d v="1900-01-06T00:00:00"/>
    <n v="37"/>
    <x v="5"/>
    <x v="3"/>
  </r>
  <r>
    <x v="696"/>
    <n v="-34.33"/>
    <x v="1516"/>
    <n v="4824.25"/>
    <s v="Complete Access"/>
    <x v="1"/>
    <x v="1"/>
    <x v="1"/>
    <d v="1900-01-06T00:00:00"/>
    <n v="37"/>
    <x v="5"/>
    <x v="3"/>
  </r>
  <r>
    <x v="696"/>
    <n v="-770.92"/>
    <x v="1517"/>
    <n v="4912.6000000000004"/>
    <s v="Complete Access"/>
    <x v="408"/>
    <x v="14"/>
    <x v="66"/>
    <d v="1900-01-06T00:00:00"/>
    <n v="37"/>
    <x v="5"/>
    <x v="3"/>
  </r>
  <r>
    <x v="696"/>
    <n v="-9"/>
    <x v="1518"/>
    <n v="4871.78"/>
    <s v="Complete Access"/>
    <x v="409"/>
    <x v="8"/>
    <x v="29"/>
    <d v="1900-01-06T00:00:00"/>
    <n v="37"/>
    <x v="5"/>
    <x v="3"/>
  </r>
  <r>
    <x v="697"/>
    <n v="-3649"/>
    <x v="1519"/>
    <n v="5715.79"/>
    <s v="Complete Access"/>
    <x v="50"/>
    <x v="4"/>
    <x v="25"/>
    <d v="1900-01-05T00:00:00"/>
    <n v="37"/>
    <x v="5"/>
    <x v="3"/>
  </r>
  <r>
    <x v="697"/>
    <n v="-22.62"/>
    <x v="436"/>
    <n v="5693.17"/>
    <s v="Complete Access"/>
    <x v="186"/>
    <x v="1"/>
    <x v="5"/>
    <d v="1900-01-05T00:00:00"/>
    <n v="37"/>
    <x v="5"/>
    <x v="3"/>
  </r>
  <r>
    <x v="698"/>
    <n v="-41.7"/>
    <x v="1520"/>
    <n v="9364.7900000000009"/>
    <s v="Complete Access"/>
    <x v="410"/>
    <x v="8"/>
    <x v="29"/>
    <d v="1900-01-04T00:00:00"/>
    <n v="37"/>
    <x v="5"/>
    <x v="3"/>
  </r>
  <r>
    <x v="699"/>
    <n v="-9.65"/>
    <x v="1521"/>
    <n v="9484.91"/>
    <s v="Complete Access"/>
    <x v="285"/>
    <x v="5"/>
    <x v="8"/>
    <d v="1900-01-01T00:00:00"/>
    <n v="36"/>
    <x v="5"/>
    <x v="3"/>
  </r>
  <r>
    <x v="699"/>
    <n v="-14.72"/>
    <x v="1522"/>
    <n v="9470.19"/>
    <s v="Complete Access"/>
    <x v="16"/>
    <x v="1"/>
    <x v="5"/>
    <d v="1900-01-01T00:00:00"/>
    <n v="36"/>
    <x v="5"/>
    <x v="3"/>
  </r>
  <r>
    <x v="699"/>
    <n v="-63.7"/>
    <x v="1523"/>
    <n v="9406.49"/>
    <s v="Complete Access"/>
    <x v="1"/>
    <x v="1"/>
    <x v="1"/>
    <d v="1900-01-01T00:00:00"/>
    <n v="36"/>
    <x v="5"/>
    <x v="3"/>
  </r>
  <r>
    <x v="700"/>
    <n v="-500"/>
    <x v="656"/>
    <n v="9749.64"/>
    <s v="Complete Access"/>
    <x v="13"/>
    <x v="0"/>
    <x v="0"/>
    <d v="1899-12-31T00:00:00"/>
    <n v="36"/>
    <x v="5"/>
    <x v="3"/>
  </r>
  <r>
    <x v="700"/>
    <n v="-9.65"/>
    <x v="1524"/>
    <n v="9739.99"/>
    <s v="Complete Access"/>
    <x v="285"/>
    <x v="5"/>
    <x v="8"/>
    <d v="1899-12-31T00:00:00"/>
    <n v="36"/>
    <x v="5"/>
    <x v="3"/>
  </r>
  <r>
    <x v="700"/>
    <n v="-14"/>
    <x v="1525"/>
    <n v="9675.11"/>
    <s v="Complete Access"/>
    <x v="242"/>
    <x v="1"/>
    <x v="5"/>
    <d v="1899-12-31T00:00:00"/>
    <n v="36"/>
    <x v="5"/>
    <x v="3"/>
  </r>
  <r>
    <x v="700"/>
    <n v="2325.65"/>
    <x v="1526"/>
    <n v="10249.64"/>
    <s v="Complete Access"/>
    <x v="14"/>
    <x v="6"/>
    <x v="9"/>
    <d v="1899-12-31T00:00:00"/>
    <n v="36"/>
    <x v="5"/>
    <x v="3"/>
  </r>
  <r>
    <x v="700"/>
    <n v="-180.55"/>
    <x v="1527"/>
    <n v="9494.56"/>
    <s v="Complete Access"/>
    <x v="76"/>
    <x v="2"/>
    <x v="2"/>
    <d v="1899-12-31T00:00:00"/>
    <n v="36"/>
    <x v="5"/>
    <x v="3"/>
  </r>
  <r>
    <x v="700"/>
    <n v="-50.88"/>
    <x v="1528"/>
    <n v="9689.11"/>
    <s v="Complete Access"/>
    <x v="1"/>
    <x v="1"/>
    <x v="1"/>
    <d v="1899-12-31T00:00:00"/>
    <n v="36"/>
    <x v="5"/>
    <x v="3"/>
  </r>
  <r>
    <x v="701"/>
    <n v="-9.65"/>
    <x v="1529"/>
    <n v="8131.99"/>
    <s v="Complete Access"/>
    <x v="285"/>
    <x v="5"/>
    <x v="8"/>
    <d v="1900-01-30T00:00:00"/>
    <n v="36"/>
    <x v="6"/>
    <x v="3"/>
  </r>
  <r>
    <x v="701"/>
    <n v="-208"/>
    <x v="1530"/>
    <n v="7923.99"/>
    <s v="Complete Access"/>
    <x v="411"/>
    <x v="3"/>
    <x v="60"/>
    <d v="1900-01-30T00:00:00"/>
    <n v="36"/>
    <x v="6"/>
    <x v="3"/>
  </r>
  <r>
    <x v="702"/>
    <n v="-40.799999999999997"/>
    <x v="1531"/>
    <n v="8171.33"/>
    <s v="Complete Access"/>
    <x v="412"/>
    <x v="16"/>
    <x v="35"/>
    <d v="1900-01-29T00:00:00"/>
    <n v="36"/>
    <x v="6"/>
    <x v="3"/>
  </r>
  <r>
    <x v="702"/>
    <n v="-29.69"/>
    <x v="1532"/>
    <n v="8141.64"/>
    <s v="Complete Access"/>
    <x v="104"/>
    <x v="1"/>
    <x v="5"/>
    <d v="1900-01-29T00:00:00"/>
    <n v="36"/>
    <x v="6"/>
    <x v="3"/>
  </r>
  <r>
    <x v="703"/>
    <n v="-22.62"/>
    <x v="436"/>
    <n v="8212.1299999999992"/>
    <s v="Complete Access"/>
    <x v="186"/>
    <x v="1"/>
    <x v="5"/>
    <d v="1900-01-28T00:00:00"/>
    <n v="36"/>
    <x v="6"/>
    <x v="3"/>
  </r>
  <r>
    <x v="704"/>
    <n v="-150"/>
    <x v="1533"/>
    <n v="8252.08"/>
    <s v="Complete Access"/>
    <x v="130"/>
    <x v="0"/>
    <x v="0"/>
    <d v="1900-01-27T00:00:00"/>
    <n v="36"/>
    <x v="6"/>
    <x v="3"/>
  </r>
  <r>
    <x v="704"/>
    <n v="-17.329999999999998"/>
    <x v="1534"/>
    <n v="8234.75"/>
    <s v="Complete Access"/>
    <x v="413"/>
    <x v="1"/>
    <x v="5"/>
    <d v="1900-01-27T00:00:00"/>
    <n v="36"/>
    <x v="6"/>
    <x v="3"/>
  </r>
  <r>
    <x v="704"/>
    <n v="-5.5"/>
    <x v="1535"/>
    <n v="8402.08"/>
    <s v="Complete Access"/>
    <x v="414"/>
    <x v="1"/>
    <x v="1"/>
    <d v="1900-01-27T00:00:00"/>
    <n v="36"/>
    <x v="6"/>
    <x v="3"/>
  </r>
  <r>
    <x v="704"/>
    <n v="-2.5"/>
    <x v="1535"/>
    <n v="8407.58"/>
    <s v="Complete Access"/>
    <x v="414"/>
    <x v="1"/>
    <x v="1"/>
    <d v="1900-01-27T00:00:00"/>
    <n v="36"/>
    <x v="6"/>
    <x v="3"/>
  </r>
  <r>
    <x v="705"/>
    <n v="-55.53"/>
    <x v="1536"/>
    <n v="8427.08"/>
    <s v="Complete Access"/>
    <x v="415"/>
    <x v="12"/>
    <x v="21"/>
    <d v="1900-01-25T00:00:00"/>
    <n v="35"/>
    <x v="6"/>
    <x v="3"/>
  </r>
  <r>
    <x v="705"/>
    <n v="-17"/>
    <x v="1157"/>
    <n v="8410.08"/>
    <s v="Complete Access"/>
    <x v="0"/>
    <x v="0"/>
    <x v="0"/>
    <d v="1900-01-25T00:00:00"/>
    <n v="35"/>
    <x v="6"/>
    <x v="3"/>
  </r>
  <r>
    <x v="706"/>
    <n v="-6.22"/>
    <x v="1537"/>
    <n v="8532.51"/>
    <s v="Complete Access"/>
    <x v="188"/>
    <x v="1"/>
    <x v="1"/>
    <d v="1900-01-24T00:00:00"/>
    <n v="35"/>
    <x v="6"/>
    <x v="3"/>
  </r>
  <r>
    <x v="706"/>
    <n v="-7.5"/>
    <x v="1537"/>
    <n v="8538.73"/>
    <s v="Complete Access"/>
    <x v="188"/>
    <x v="1"/>
    <x v="1"/>
    <d v="1900-01-24T00:00:00"/>
    <n v="35"/>
    <x v="6"/>
    <x v="3"/>
  </r>
  <r>
    <x v="706"/>
    <n v="-10.9"/>
    <x v="1538"/>
    <n v="8521.61"/>
    <s v="Complete Access"/>
    <x v="61"/>
    <x v="1"/>
    <x v="1"/>
    <d v="1900-01-24T00:00:00"/>
    <n v="35"/>
    <x v="6"/>
    <x v="3"/>
  </r>
  <r>
    <x v="706"/>
    <n v="-9.65"/>
    <x v="1539"/>
    <n v="8588.8799999999992"/>
    <s v="Complete Access"/>
    <x v="285"/>
    <x v="5"/>
    <x v="8"/>
    <d v="1900-01-24T00:00:00"/>
    <n v="35"/>
    <x v="6"/>
    <x v="3"/>
  </r>
  <r>
    <x v="706"/>
    <n v="-42.65"/>
    <x v="1540"/>
    <n v="8546.23"/>
    <s v="Complete Access"/>
    <x v="20"/>
    <x v="9"/>
    <x v="12"/>
    <d v="1900-01-24T00:00:00"/>
    <n v="35"/>
    <x v="6"/>
    <x v="3"/>
  </r>
  <r>
    <x v="706"/>
    <n v="-39"/>
    <x v="96"/>
    <n v="8482.61"/>
    <s v="Complete Access"/>
    <x v="47"/>
    <x v="1"/>
    <x v="5"/>
    <d v="1900-01-24T00:00:00"/>
    <n v="35"/>
    <x v="6"/>
    <x v="3"/>
  </r>
  <r>
    <x v="707"/>
    <n v="-10"/>
    <x v="1541"/>
    <n v="8650.32"/>
    <s v="Complete Access"/>
    <x v="416"/>
    <x v="3"/>
    <x v="60"/>
    <d v="1900-01-23T00:00:00"/>
    <n v="35"/>
    <x v="6"/>
    <x v="3"/>
  </r>
  <r>
    <x v="707"/>
    <n v="-11.44"/>
    <x v="1542"/>
    <n v="8671.77"/>
    <s v="Complete Access"/>
    <x v="285"/>
    <x v="5"/>
    <x v="8"/>
    <d v="1900-01-23T00:00:00"/>
    <n v="35"/>
    <x v="6"/>
    <x v="3"/>
  </r>
  <r>
    <x v="707"/>
    <n v="-13"/>
    <x v="1543"/>
    <n v="8610.93"/>
    <s v="Complete Access"/>
    <x v="242"/>
    <x v="1"/>
    <x v="5"/>
    <d v="1900-01-23T00:00:00"/>
    <n v="35"/>
    <x v="6"/>
    <x v="3"/>
  </r>
  <r>
    <x v="707"/>
    <n v="-12.4"/>
    <x v="96"/>
    <n v="8598.5300000000007"/>
    <s v="Complete Access"/>
    <x v="47"/>
    <x v="1"/>
    <x v="5"/>
    <d v="1900-01-23T00:00:00"/>
    <n v="35"/>
    <x v="6"/>
    <x v="3"/>
  </r>
  <r>
    <x v="707"/>
    <n v="-11.45"/>
    <x v="1544"/>
    <n v="8660.32"/>
    <s v="Complete Access"/>
    <x v="47"/>
    <x v="1"/>
    <x v="5"/>
    <d v="1900-01-23T00:00:00"/>
    <n v="35"/>
    <x v="6"/>
    <x v="3"/>
  </r>
  <r>
    <x v="707"/>
    <n v="-26.39"/>
    <x v="1545"/>
    <n v="8623.93"/>
    <s v="Complete Access"/>
    <x v="1"/>
    <x v="1"/>
    <x v="1"/>
    <d v="1900-01-23T00:00:00"/>
    <n v="35"/>
    <x v="6"/>
    <x v="3"/>
  </r>
  <r>
    <x v="708"/>
    <n v="-199"/>
    <x v="1546"/>
    <n v="8694.7099999999991"/>
    <s v="Complete Access"/>
    <x v="416"/>
    <x v="3"/>
    <x v="60"/>
    <d v="1900-01-22T00:00:00"/>
    <n v="35"/>
    <x v="6"/>
    <x v="3"/>
  </r>
  <r>
    <x v="708"/>
    <n v="-11.5"/>
    <x v="1547"/>
    <n v="8683.2099999999991"/>
    <s v="Complete Access"/>
    <x v="417"/>
    <x v="1"/>
    <x v="1"/>
    <d v="1900-01-22T00:00:00"/>
    <n v="35"/>
    <x v="6"/>
    <x v="3"/>
  </r>
  <r>
    <x v="709"/>
    <n v="-21.5"/>
    <x v="96"/>
    <n v="8889.01"/>
    <s v="Complete Access"/>
    <x v="47"/>
    <x v="1"/>
    <x v="5"/>
    <d v="1900-01-20T00:00:00"/>
    <n v="35"/>
    <x v="6"/>
    <x v="3"/>
  </r>
  <r>
    <x v="709"/>
    <n v="4.7"/>
    <x v="1548"/>
    <n v="8893.7099999999991"/>
    <s v="Complete Access"/>
    <x v="36"/>
    <x v="0"/>
    <x v="0"/>
    <d v="1900-01-20T00:00:00"/>
    <n v="35"/>
    <x v="6"/>
    <x v="3"/>
  </r>
  <r>
    <x v="710"/>
    <n v="-250"/>
    <x v="1549"/>
    <n v="8876.7099999999991"/>
    <s v="Complete Access"/>
    <x v="418"/>
    <x v="18"/>
    <x v="69"/>
    <d v="1900-01-19T00:00:00"/>
    <n v="34"/>
    <x v="6"/>
    <x v="3"/>
  </r>
  <r>
    <x v="710"/>
    <n v="-16.2"/>
    <x v="96"/>
    <n v="8910.51"/>
    <s v="Complete Access"/>
    <x v="47"/>
    <x v="1"/>
    <x v="5"/>
    <d v="1900-01-19T00:00:00"/>
    <n v="34"/>
    <x v="6"/>
    <x v="3"/>
  </r>
  <r>
    <x v="710"/>
    <n v="50"/>
    <x v="1550"/>
    <n v="8926.7099999999991"/>
    <s v="Complete Access"/>
    <x v="36"/>
    <x v="0"/>
    <x v="0"/>
    <d v="1900-01-19T00:00:00"/>
    <n v="34"/>
    <x v="6"/>
    <x v="3"/>
  </r>
  <r>
    <x v="711"/>
    <n v="-9.65"/>
    <x v="1551"/>
    <n v="9623.7199999999993"/>
    <s v="Complete Access"/>
    <x v="285"/>
    <x v="5"/>
    <x v="8"/>
    <d v="1900-01-18T00:00:00"/>
    <n v="34"/>
    <x v="6"/>
    <x v="3"/>
  </r>
  <r>
    <x v="711"/>
    <n v="-98.15"/>
    <x v="1552"/>
    <n v="9131.7099999999991"/>
    <s v="Complete Access"/>
    <x v="419"/>
    <x v="1"/>
    <x v="5"/>
    <d v="1900-01-18T00:00:00"/>
    <n v="34"/>
    <x v="6"/>
    <x v="3"/>
  </r>
  <r>
    <x v="711"/>
    <n v="-380.66"/>
    <x v="1553"/>
    <n v="9243.06"/>
    <s v="Complete Access"/>
    <x v="95"/>
    <x v="14"/>
    <x v="38"/>
    <d v="1900-01-18T00:00:00"/>
    <n v="34"/>
    <x v="6"/>
    <x v="3"/>
  </r>
  <r>
    <x v="711"/>
    <n v="-13.2"/>
    <x v="1554"/>
    <n v="9229.86"/>
    <s v="Complete Access"/>
    <x v="16"/>
    <x v="1"/>
    <x v="5"/>
    <d v="1900-01-18T00:00:00"/>
    <n v="34"/>
    <x v="6"/>
    <x v="3"/>
  </r>
  <r>
    <x v="711"/>
    <n v="-5"/>
    <x v="1555"/>
    <n v="9126.7099999999991"/>
    <s v="Complete Access"/>
    <x v="4"/>
    <x v="1"/>
    <x v="1"/>
    <d v="1900-01-18T00:00:00"/>
    <n v="34"/>
    <x v="6"/>
    <x v="3"/>
  </r>
  <r>
    <x v="712"/>
    <n v="-500"/>
    <x v="656"/>
    <n v="10458.14"/>
    <s v="Complete Access"/>
    <x v="13"/>
    <x v="0"/>
    <x v="0"/>
    <d v="1900-01-17T00:00:00"/>
    <n v="34"/>
    <x v="6"/>
    <x v="3"/>
  </r>
  <r>
    <x v="712"/>
    <n v="-9.65"/>
    <x v="1556"/>
    <n v="10448.49"/>
    <s v="Complete Access"/>
    <x v="285"/>
    <x v="5"/>
    <x v="8"/>
    <d v="1900-01-17T00:00:00"/>
    <n v="34"/>
    <x v="6"/>
    <x v="3"/>
  </r>
  <r>
    <x v="712"/>
    <n v="-69"/>
    <x v="1557"/>
    <n v="10379.49"/>
    <s v="Complete Access"/>
    <x v="207"/>
    <x v="7"/>
    <x v="11"/>
    <d v="1900-01-17T00:00:00"/>
    <n v="34"/>
    <x v="6"/>
    <x v="3"/>
  </r>
  <r>
    <x v="712"/>
    <n v="-3.3"/>
    <x v="1558"/>
    <n v="9633.3700000000008"/>
    <s v="Complete Access"/>
    <x v="220"/>
    <x v="1"/>
    <x v="5"/>
    <d v="1900-01-17T00:00:00"/>
    <n v="34"/>
    <x v="6"/>
    <x v="3"/>
  </r>
  <r>
    <x v="712"/>
    <n v="-5.99"/>
    <x v="1559"/>
    <n v="10373.5"/>
    <s v="Complete Access"/>
    <x v="352"/>
    <x v="4"/>
    <x v="67"/>
    <d v="1900-01-17T00:00:00"/>
    <n v="34"/>
    <x v="6"/>
    <x v="3"/>
  </r>
  <r>
    <x v="712"/>
    <n v="2325.64"/>
    <x v="1560"/>
    <n v="10958.14"/>
    <s v="Complete Access"/>
    <x v="14"/>
    <x v="6"/>
    <x v="9"/>
    <d v="1900-01-17T00:00:00"/>
    <n v="34"/>
    <x v="6"/>
    <x v="3"/>
  </r>
  <r>
    <x v="712"/>
    <n v="-13.2"/>
    <x v="1561"/>
    <n v="10360.299999999999"/>
    <s v="Complete Access"/>
    <x v="16"/>
    <x v="1"/>
    <x v="5"/>
    <d v="1900-01-17T00:00:00"/>
    <n v="34"/>
    <x v="6"/>
    <x v="3"/>
  </r>
  <r>
    <x v="712"/>
    <n v="-723.63"/>
    <x v="1562"/>
    <n v="9636.67"/>
    <s v="Complete Access"/>
    <x v="420"/>
    <x v="9"/>
    <x v="57"/>
    <d v="1900-01-17T00:00:00"/>
    <n v="34"/>
    <x v="6"/>
    <x v="3"/>
  </r>
  <r>
    <x v="713"/>
    <n v="-705.76"/>
    <x v="1563"/>
    <n v="8592.5"/>
    <s v="Complete Access"/>
    <x v="295"/>
    <x v="14"/>
    <x v="66"/>
    <d v="1900-01-16T00:00:00"/>
    <n v="34"/>
    <x v="6"/>
    <x v="3"/>
  </r>
  <r>
    <x v="713"/>
    <n v="-124.31"/>
    <x v="1563"/>
    <n v="9413.7000000000007"/>
    <s v="Complete Access"/>
    <x v="295"/>
    <x v="14"/>
    <x v="66"/>
    <d v="1900-01-16T00:00:00"/>
    <n v="34"/>
    <x v="6"/>
    <x v="3"/>
  </r>
  <r>
    <x v="713"/>
    <n v="40"/>
    <x v="1564"/>
    <n v="8632.5"/>
    <s v="Complete Access"/>
    <x v="36"/>
    <x v="0"/>
    <x v="0"/>
    <d v="1900-01-16T00:00:00"/>
    <n v="34"/>
    <x v="6"/>
    <x v="3"/>
  </r>
  <r>
    <x v="713"/>
    <n v="-115.44"/>
    <x v="1565"/>
    <n v="9298.26"/>
    <s v="Complete Access"/>
    <x v="1"/>
    <x v="1"/>
    <x v="1"/>
    <d v="1900-01-16T00:00:00"/>
    <n v="34"/>
    <x v="6"/>
    <x v="3"/>
  </r>
  <r>
    <x v="714"/>
    <n v="-5"/>
    <x v="1345"/>
    <n v="9458.01"/>
    <s v="Complete Access"/>
    <x v="383"/>
    <x v="1"/>
    <x v="5"/>
    <d v="1900-01-15T00:00:00"/>
    <n v="34"/>
    <x v="6"/>
    <x v="3"/>
  </r>
  <r>
    <x v="714"/>
    <n v="-26.09"/>
    <x v="1566"/>
    <n v="9464.5"/>
    <s v="Complete Access"/>
    <x v="8"/>
    <x v="1"/>
    <x v="5"/>
    <d v="1900-01-15T00:00:00"/>
    <n v="34"/>
    <x v="6"/>
    <x v="3"/>
  </r>
  <r>
    <x v="714"/>
    <n v="50"/>
    <x v="1567"/>
    <n v="9508.01"/>
    <s v="Complete Access"/>
    <x v="36"/>
    <x v="0"/>
    <x v="0"/>
    <d v="1900-01-15T00:00:00"/>
    <n v="34"/>
    <x v="6"/>
    <x v="3"/>
  </r>
  <r>
    <x v="714"/>
    <n v="20"/>
    <x v="1568"/>
    <n v="9463.01"/>
    <s v="Complete Access"/>
    <x v="36"/>
    <x v="0"/>
    <x v="0"/>
    <d v="1900-01-15T00:00:00"/>
    <n v="34"/>
    <x v="6"/>
    <x v="3"/>
  </r>
  <r>
    <x v="714"/>
    <n v="-21.49"/>
    <x v="1569"/>
    <n v="9443.01"/>
    <s v="Complete Access"/>
    <x v="104"/>
    <x v="1"/>
    <x v="5"/>
    <d v="1900-01-15T00:00:00"/>
    <n v="34"/>
    <x v="6"/>
    <x v="3"/>
  </r>
  <r>
    <x v="714"/>
    <n v="30"/>
    <x v="1570"/>
    <n v="9538.01"/>
    <s v="Complete Access"/>
    <x v="67"/>
    <x v="0"/>
    <x v="0"/>
    <d v="1900-01-15T00:00:00"/>
    <n v="34"/>
    <x v="6"/>
    <x v="3"/>
  </r>
  <r>
    <x v="715"/>
    <n v="40"/>
    <x v="1571"/>
    <n v="9490.59"/>
    <s v="Complete Access"/>
    <x v="36"/>
    <x v="0"/>
    <x v="0"/>
    <d v="1900-01-14T00:00:00"/>
    <n v="34"/>
    <x v="6"/>
    <x v="3"/>
  </r>
  <r>
    <x v="715"/>
    <n v="20"/>
    <x v="1572"/>
    <n v="9450.59"/>
    <s v="Complete Access"/>
    <x v="36"/>
    <x v="0"/>
    <x v="0"/>
    <d v="1900-01-14T00:00:00"/>
    <n v="34"/>
    <x v="6"/>
    <x v="3"/>
  </r>
  <r>
    <x v="716"/>
    <n v="-15.05"/>
    <x v="96"/>
    <n v="9430.59"/>
    <s v="Complete Access"/>
    <x v="47"/>
    <x v="1"/>
    <x v="5"/>
    <d v="1900-01-13T00:00:00"/>
    <n v="34"/>
    <x v="6"/>
    <x v="3"/>
  </r>
  <r>
    <x v="717"/>
    <n v="1300"/>
    <x v="1573"/>
    <n v="9463.64"/>
    <s v="Complete Access"/>
    <x v="36"/>
    <x v="0"/>
    <x v="0"/>
    <d v="1900-01-12T00:00:00"/>
    <n v="33"/>
    <x v="6"/>
    <x v="3"/>
  </r>
  <r>
    <x v="717"/>
    <n v="-18"/>
    <x v="1574"/>
    <n v="9445.64"/>
    <s v="Complete Access"/>
    <x v="0"/>
    <x v="0"/>
    <x v="0"/>
    <d v="1900-01-12T00:00:00"/>
    <n v="33"/>
    <x v="6"/>
    <x v="3"/>
  </r>
  <r>
    <x v="718"/>
    <n v="-41.92"/>
    <x v="96"/>
    <n v="8150.64"/>
    <s v="Complete Access"/>
    <x v="47"/>
    <x v="1"/>
    <x v="5"/>
    <d v="1900-01-11T00:00:00"/>
    <n v="33"/>
    <x v="6"/>
    <x v="3"/>
  </r>
  <r>
    <x v="718"/>
    <n v="13"/>
    <x v="1119"/>
    <n v="8163.64"/>
    <s v="Complete Access"/>
    <x v="36"/>
    <x v="0"/>
    <x v="0"/>
    <d v="1900-01-11T00:00:00"/>
    <n v="33"/>
    <x v="6"/>
    <x v="3"/>
  </r>
  <r>
    <x v="718"/>
    <n v="-42.48"/>
    <x v="1575"/>
    <n v="8209.01"/>
    <s v="Complete Access"/>
    <x v="1"/>
    <x v="1"/>
    <x v="1"/>
    <d v="1900-01-11T00:00:00"/>
    <n v="33"/>
    <x v="6"/>
    <x v="3"/>
  </r>
  <r>
    <x v="718"/>
    <n v="-16.45"/>
    <x v="1576"/>
    <n v="8192.56"/>
    <s v="Complete Access"/>
    <x v="367"/>
    <x v="4"/>
    <x v="7"/>
    <d v="1900-01-11T00:00:00"/>
    <n v="33"/>
    <x v="6"/>
    <x v="3"/>
  </r>
  <r>
    <x v="719"/>
    <n v="-9.5"/>
    <x v="1577"/>
    <n v="8291.5499999999993"/>
    <s v="Complete Access"/>
    <x v="188"/>
    <x v="1"/>
    <x v="1"/>
    <d v="1900-01-10T00:00:00"/>
    <n v="33"/>
    <x v="6"/>
    <x v="3"/>
  </r>
  <r>
    <x v="719"/>
    <n v="-9.65"/>
    <x v="1578"/>
    <n v="8318.91"/>
    <s v="Complete Access"/>
    <x v="285"/>
    <x v="5"/>
    <x v="8"/>
    <d v="1900-01-10T00:00:00"/>
    <n v="33"/>
    <x v="6"/>
    <x v="3"/>
  </r>
  <r>
    <x v="719"/>
    <n v="-13.8"/>
    <x v="1579"/>
    <n v="8305.11"/>
    <s v="Complete Access"/>
    <x v="421"/>
    <x v="20"/>
    <x v="63"/>
    <d v="1900-01-10T00:00:00"/>
    <n v="33"/>
    <x v="6"/>
    <x v="3"/>
  </r>
  <r>
    <x v="719"/>
    <n v="-4.0599999999999996"/>
    <x v="1580"/>
    <n v="8301.0499999999993"/>
    <s v="Complete Access"/>
    <x v="16"/>
    <x v="1"/>
    <x v="5"/>
    <d v="1900-01-10T00:00:00"/>
    <n v="33"/>
    <x v="6"/>
    <x v="3"/>
  </r>
  <r>
    <x v="719"/>
    <n v="-40.06"/>
    <x v="1581"/>
    <n v="8251.49"/>
    <s v="Complete Access"/>
    <x v="34"/>
    <x v="9"/>
    <x v="12"/>
    <d v="1900-01-10T00:00:00"/>
    <n v="33"/>
    <x v="6"/>
    <x v="3"/>
  </r>
  <r>
    <x v="720"/>
    <n v="-9.65"/>
    <x v="1582"/>
    <n v="8345.68"/>
    <s v="Complete Access"/>
    <x v="285"/>
    <x v="5"/>
    <x v="8"/>
    <d v="1900-01-09T00:00:00"/>
    <n v="33"/>
    <x v="6"/>
    <x v="3"/>
  </r>
  <r>
    <x v="720"/>
    <n v="-17.12"/>
    <x v="1583"/>
    <n v="8328.56"/>
    <s v="Complete Access"/>
    <x v="1"/>
    <x v="1"/>
    <x v="1"/>
    <d v="1900-01-09T00:00:00"/>
    <n v="33"/>
    <x v="6"/>
    <x v="3"/>
  </r>
  <r>
    <x v="721"/>
    <n v="-56.39"/>
    <x v="1584"/>
    <n v="9239.4500000000007"/>
    <s v="Complete Access"/>
    <x v="8"/>
    <x v="1"/>
    <x v="5"/>
    <d v="1900-01-08T00:00:00"/>
    <n v="33"/>
    <x v="6"/>
    <x v="3"/>
  </r>
  <r>
    <x v="721"/>
    <n v="-29.18"/>
    <x v="1585"/>
    <n v="9210.27"/>
    <s v="Complete Access"/>
    <x v="8"/>
    <x v="1"/>
    <x v="5"/>
    <d v="1900-01-08T00:00:00"/>
    <n v="33"/>
    <x v="6"/>
    <x v="3"/>
  </r>
  <r>
    <x v="721"/>
    <n v="-3.2"/>
    <x v="1586"/>
    <n v="9295.84"/>
    <s v="Complete Access"/>
    <x v="285"/>
    <x v="5"/>
    <x v="8"/>
    <d v="1900-01-08T00:00:00"/>
    <n v="33"/>
    <x v="6"/>
    <x v="3"/>
  </r>
  <r>
    <x v="721"/>
    <n v="-854.94"/>
    <x v="1587"/>
    <n v="8355.33"/>
    <s v="Complete Access"/>
    <x v="422"/>
    <x v="9"/>
    <x v="36"/>
    <d v="1900-01-08T00:00:00"/>
    <n v="33"/>
    <x v="6"/>
    <x v="3"/>
  </r>
  <r>
    <x v="722"/>
    <n v="-13.09"/>
    <x v="1588"/>
    <n v="9299.0400000000009"/>
    <s v="Complete Access"/>
    <x v="423"/>
    <x v="1"/>
    <x v="5"/>
    <d v="1900-01-07T00:00:00"/>
    <n v="33"/>
    <x v="6"/>
    <x v="3"/>
  </r>
  <r>
    <x v="723"/>
    <n v="-350"/>
    <x v="1589"/>
    <n v="9459.1299999999992"/>
    <s v="Complete Access"/>
    <x v="0"/>
    <x v="0"/>
    <x v="0"/>
    <d v="1900-01-06T00:00:00"/>
    <n v="33"/>
    <x v="6"/>
    <x v="3"/>
  </r>
  <r>
    <x v="723"/>
    <n v="-147"/>
    <x v="1590"/>
    <n v="9312.1299999999992"/>
    <s v="Complete Access"/>
    <x v="0"/>
    <x v="0"/>
    <x v="0"/>
    <d v="1900-01-06T00:00:00"/>
    <n v="33"/>
    <x v="6"/>
    <x v="3"/>
  </r>
  <r>
    <x v="724"/>
    <n v="-3.2"/>
    <x v="1591"/>
    <n v="9835.52"/>
    <s v="Complete Access"/>
    <x v="285"/>
    <x v="5"/>
    <x v="8"/>
    <d v="1900-01-05T00:00:00"/>
    <n v="32"/>
    <x v="6"/>
    <x v="3"/>
  </r>
  <r>
    <x v="724"/>
    <n v="-26.39"/>
    <x v="1592"/>
    <n v="9809.1299999999992"/>
    <s v="Complete Access"/>
    <x v="185"/>
    <x v="8"/>
    <x v="22"/>
    <d v="1900-01-05T00:00:00"/>
    <n v="32"/>
    <x v="6"/>
    <x v="3"/>
  </r>
  <r>
    <x v="725"/>
    <n v="-362.91"/>
    <x v="1593"/>
    <n v="9898.82"/>
    <s v="Complete Access"/>
    <x v="295"/>
    <x v="14"/>
    <x v="66"/>
    <d v="1900-01-04T00:00:00"/>
    <n v="32"/>
    <x v="6"/>
    <x v="3"/>
  </r>
  <r>
    <x v="725"/>
    <n v="-17.190000000000001"/>
    <x v="1594"/>
    <n v="9838.7199999999993"/>
    <s v="Complete Access"/>
    <x v="104"/>
    <x v="1"/>
    <x v="5"/>
    <d v="1900-01-04T00:00:00"/>
    <n v="32"/>
    <x v="6"/>
    <x v="3"/>
  </r>
  <r>
    <x v="725"/>
    <n v="-42.91"/>
    <x v="1595"/>
    <n v="9855.91"/>
    <s v="Complete Access"/>
    <x v="1"/>
    <x v="1"/>
    <x v="1"/>
    <d v="1900-01-04T00:00:00"/>
    <n v="32"/>
    <x v="6"/>
    <x v="3"/>
  </r>
  <r>
    <x v="726"/>
    <n v="-500"/>
    <x v="656"/>
    <n v="10261.73"/>
    <s v="Complete Access"/>
    <x v="13"/>
    <x v="0"/>
    <x v="0"/>
    <d v="1900-01-03T00:00:00"/>
    <n v="32"/>
    <x v="6"/>
    <x v="3"/>
  </r>
  <r>
    <x v="726"/>
    <n v="2325.65"/>
    <x v="1596"/>
    <n v="10761.73"/>
    <s v="Complete Access"/>
    <x v="14"/>
    <x v="6"/>
    <x v="9"/>
    <d v="1900-01-03T00:00:00"/>
    <n v="32"/>
    <x v="6"/>
    <x v="3"/>
  </r>
  <r>
    <x v="727"/>
    <n v="-7.86"/>
    <x v="1597"/>
    <n v="8528.86"/>
    <s v="Complete Access"/>
    <x v="285"/>
    <x v="5"/>
    <x v="8"/>
    <d v="1900-01-02T00:00:00"/>
    <n v="32"/>
    <x v="6"/>
    <x v="3"/>
  </r>
  <r>
    <x v="727"/>
    <n v="-12.18"/>
    <x v="1598"/>
    <n v="8516.68"/>
    <s v="Complete Access"/>
    <x v="237"/>
    <x v="15"/>
    <x v="34"/>
    <d v="1900-01-02T00:00:00"/>
    <n v="32"/>
    <x v="6"/>
    <x v="3"/>
  </r>
  <r>
    <x v="727"/>
    <n v="-80.599999999999994"/>
    <x v="1599"/>
    <n v="8436.08"/>
    <s v="Complete Access"/>
    <x v="1"/>
    <x v="1"/>
    <x v="1"/>
    <d v="1900-01-02T00:00:00"/>
    <n v="32"/>
    <x v="6"/>
    <x v="3"/>
  </r>
  <r>
    <x v="728"/>
    <n v="-14.42"/>
    <x v="1600"/>
    <n v="8724.2199999999993"/>
    <s v="Complete Access"/>
    <x v="8"/>
    <x v="1"/>
    <x v="5"/>
    <d v="1900-01-01T00:00:00"/>
    <n v="32"/>
    <x v="6"/>
    <x v="3"/>
  </r>
  <r>
    <x v="728"/>
    <n v="-55"/>
    <x v="1601"/>
    <n v="8536.7199999999993"/>
    <s v="Complete Access"/>
    <x v="424"/>
    <x v="8"/>
    <x v="22"/>
    <d v="1900-01-01T00:00:00"/>
    <n v="32"/>
    <x v="6"/>
    <x v="3"/>
  </r>
  <r>
    <x v="728"/>
    <n v="-22.4"/>
    <x v="1602"/>
    <n v="8591.7199999999993"/>
    <s v="Complete Access"/>
    <x v="89"/>
    <x v="8"/>
    <x v="29"/>
    <d v="1900-01-01T00:00:00"/>
    <n v="32"/>
    <x v="6"/>
    <x v="3"/>
  </r>
  <r>
    <x v="728"/>
    <n v="-21.4"/>
    <x v="1602"/>
    <n v="8614.1200000000008"/>
    <s v="Complete Access"/>
    <x v="89"/>
    <x v="8"/>
    <x v="29"/>
    <d v="1900-01-01T00:00:00"/>
    <n v="32"/>
    <x v="6"/>
    <x v="3"/>
  </r>
  <r>
    <x v="728"/>
    <n v="-10.7"/>
    <x v="1602"/>
    <n v="8635.52"/>
    <s v="Complete Access"/>
    <x v="89"/>
    <x v="8"/>
    <x v="29"/>
    <d v="1900-01-01T00:00:00"/>
    <n v="32"/>
    <x v="6"/>
    <x v="3"/>
  </r>
  <r>
    <x v="728"/>
    <n v="-11"/>
    <x v="1603"/>
    <n v="8646.2199999999993"/>
    <s v="Complete Access"/>
    <x v="425"/>
    <x v="8"/>
    <x v="29"/>
    <d v="1900-01-01T00:00:00"/>
    <n v="32"/>
    <x v="6"/>
    <x v="3"/>
  </r>
  <r>
    <x v="728"/>
    <n v="-23"/>
    <x v="1603"/>
    <n v="8657.2199999999993"/>
    <s v="Complete Access"/>
    <x v="425"/>
    <x v="8"/>
    <x v="29"/>
    <d v="1900-01-01T00:00:00"/>
    <n v="32"/>
    <x v="6"/>
    <x v="3"/>
  </r>
  <r>
    <x v="728"/>
    <n v="-22"/>
    <x v="1603"/>
    <n v="8680.2199999999993"/>
    <s v="Complete Access"/>
    <x v="425"/>
    <x v="8"/>
    <x v="29"/>
    <d v="1900-01-01T00:00:00"/>
    <n v="32"/>
    <x v="6"/>
    <x v="3"/>
  </r>
  <r>
    <x v="728"/>
    <n v="-22"/>
    <x v="1603"/>
    <n v="8702.2199999999993"/>
    <s v="Complete Access"/>
    <x v="425"/>
    <x v="8"/>
    <x v="29"/>
    <d v="1900-01-01T00:00:00"/>
    <n v="32"/>
    <x v="6"/>
    <x v="3"/>
  </r>
  <r>
    <x v="729"/>
    <n v="-3.3"/>
    <x v="659"/>
    <n v="8919.19"/>
    <s v="Complete Access"/>
    <x v="220"/>
    <x v="1"/>
    <x v="5"/>
    <d v="1899-12-31T00:00:00"/>
    <n v="32"/>
    <x v="6"/>
    <x v="3"/>
  </r>
  <r>
    <x v="729"/>
    <n v="-180.55"/>
    <x v="1604"/>
    <n v="8738.64"/>
    <s v="Complete Access"/>
    <x v="76"/>
    <x v="2"/>
    <x v="2"/>
    <d v="1899-12-31T00:00:00"/>
    <n v="32"/>
    <x v="6"/>
    <x v="3"/>
  </r>
  <r>
    <x v="730"/>
    <n v="-50"/>
    <x v="1605"/>
    <n v="8885.2900000000009"/>
    <s v="Complete Access"/>
    <x v="130"/>
    <x v="0"/>
    <x v="0"/>
    <d v="1900-01-30T00:00:00"/>
    <n v="32"/>
    <x v="7"/>
    <x v="3"/>
  </r>
  <r>
    <x v="730"/>
    <n v="-100"/>
    <x v="1605"/>
    <n v="8938.09"/>
    <s v="Complete Access"/>
    <x v="130"/>
    <x v="0"/>
    <x v="0"/>
    <d v="1900-01-30T00:00:00"/>
    <n v="32"/>
    <x v="7"/>
    <x v="3"/>
  </r>
  <r>
    <x v="730"/>
    <n v="-2.8"/>
    <x v="72"/>
    <n v="8882.49"/>
    <s v="Complete Access"/>
    <x v="37"/>
    <x v="0"/>
    <x v="0"/>
    <d v="1900-01-30T00:00:00"/>
    <n v="32"/>
    <x v="7"/>
    <x v="3"/>
  </r>
  <r>
    <x v="730"/>
    <n v="-2.8"/>
    <x v="72"/>
    <n v="8935.2900000000009"/>
    <s v="Complete Access"/>
    <x v="37"/>
    <x v="0"/>
    <x v="0"/>
    <d v="1900-01-30T00:00:00"/>
    <n v="32"/>
    <x v="7"/>
    <x v="3"/>
  </r>
  <r>
    <x v="730"/>
    <n v="40"/>
    <x v="1606"/>
    <n v="8922.49"/>
    <s v="Complete Access"/>
    <x v="36"/>
    <x v="0"/>
    <x v="0"/>
    <d v="1900-01-30T00:00:00"/>
    <n v="32"/>
    <x v="7"/>
    <x v="3"/>
  </r>
  <r>
    <x v="731"/>
    <n v="-4.45"/>
    <x v="96"/>
    <n v="9038.09"/>
    <s v="Complete Access"/>
    <x v="47"/>
    <x v="1"/>
    <x v="5"/>
    <d v="1900-01-29T00:00:00"/>
    <n v="31"/>
    <x v="7"/>
    <x v="3"/>
  </r>
  <r>
    <x v="732"/>
    <n v="-14.01"/>
    <x v="1607"/>
    <n v="9075.34"/>
    <s v="Complete Access"/>
    <x v="27"/>
    <x v="1"/>
    <x v="5"/>
    <d v="1900-01-28T00:00:00"/>
    <n v="31"/>
    <x v="7"/>
    <x v="3"/>
  </r>
  <r>
    <x v="732"/>
    <n v="-9.65"/>
    <x v="1608"/>
    <n v="9089.35"/>
    <s v="Complete Access"/>
    <x v="285"/>
    <x v="5"/>
    <x v="8"/>
    <d v="1900-01-28T00:00:00"/>
    <n v="31"/>
    <x v="7"/>
    <x v="3"/>
  </r>
  <r>
    <x v="732"/>
    <n v="-8.8000000000000007"/>
    <x v="1609"/>
    <n v="9066.5400000000009"/>
    <s v="Complete Access"/>
    <x v="277"/>
    <x v="8"/>
    <x v="29"/>
    <d v="1900-01-28T00:00:00"/>
    <n v="31"/>
    <x v="7"/>
    <x v="3"/>
  </r>
  <r>
    <x v="732"/>
    <n v="-24"/>
    <x v="1574"/>
    <n v="9042.5400000000009"/>
    <s v="Complete Access"/>
    <x v="0"/>
    <x v="0"/>
    <x v="0"/>
    <d v="1900-01-28T00:00:00"/>
    <n v="31"/>
    <x v="7"/>
    <x v="3"/>
  </r>
  <r>
    <x v="733"/>
    <n v="-5.85"/>
    <x v="1610"/>
    <n v="9099"/>
    <s v="Complete Access"/>
    <x v="61"/>
    <x v="1"/>
    <x v="1"/>
    <d v="1900-01-27T00:00:00"/>
    <n v="31"/>
    <x v="7"/>
    <x v="3"/>
  </r>
  <r>
    <x v="733"/>
    <n v="-9.65"/>
    <x v="1611"/>
    <n v="9104.85"/>
    <s v="Complete Access"/>
    <x v="285"/>
    <x v="5"/>
    <x v="8"/>
    <d v="1900-01-27T00:00:00"/>
    <n v="31"/>
    <x v="7"/>
    <x v="3"/>
  </r>
  <r>
    <x v="734"/>
    <n v="-9.65"/>
    <x v="1612"/>
    <n v="9170.68"/>
    <s v="Complete Access"/>
    <x v="285"/>
    <x v="5"/>
    <x v="8"/>
    <d v="1900-01-26T00:00:00"/>
    <n v="31"/>
    <x v="7"/>
    <x v="3"/>
  </r>
  <r>
    <x v="734"/>
    <n v="-24.4"/>
    <x v="1613"/>
    <n v="9146.2800000000007"/>
    <s v="Complete Access"/>
    <x v="426"/>
    <x v="1"/>
    <x v="5"/>
    <d v="1900-01-26T00:00:00"/>
    <n v="31"/>
    <x v="7"/>
    <x v="3"/>
  </r>
  <r>
    <x v="734"/>
    <n v="-12.99"/>
    <x v="1614"/>
    <n v="9114.5"/>
    <s v="Complete Access"/>
    <x v="427"/>
    <x v="20"/>
    <x v="63"/>
    <d v="1900-01-26T00:00:00"/>
    <n v="31"/>
    <x v="7"/>
    <x v="3"/>
  </r>
  <r>
    <x v="734"/>
    <n v="-9.99"/>
    <x v="1615"/>
    <n v="9127.49"/>
    <s v="Complete Access"/>
    <x v="428"/>
    <x v="11"/>
    <x v="14"/>
    <d v="1900-01-26T00:00:00"/>
    <n v="31"/>
    <x v="7"/>
    <x v="3"/>
  </r>
  <r>
    <x v="734"/>
    <n v="-8.8000000000000007"/>
    <x v="1616"/>
    <n v="9137.48"/>
    <s v="Complete Access"/>
    <x v="277"/>
    <x v="8"/>
    <x v="29"/>
    <d v="1900-01-26T00:00:00"/>
    <n v="31"/>
    <x v="7"/>
    <x v="3"/>
  </r>
  <r>
    <x v="735"/>
    <n v="-5.3"/>
    <x v="1617"/>
    <n v="9202.33"/>
    <s v="Complete Access"/>
    <x v="421"/>
    <x v="20"/>
    <x v="63"/>
    <d v="1900-01-25T00:00:00"/>
    <n v="31"/>
    <x v="7"/>
    <x v="3"/>
  </r>
  <r>
    <x v="735"/>
    <n v="-45.22"/>
    <x v="1618"/>
    <n v="9262.4699999999993"/>
    <s v="Complete Access"/>
    <x v="429"/>
    <x v="1"/>
    <x v="5"/>
    <d v="1900-01-25T00:00:00"/>
    <n v="31"/>
    <x v="7"/>
    <x v="3"/>
  </r>
  <r>
    <x v="735"/>
    <n v="-4"/>
    <x v="1619"/>
    <n v="9258.4699999999993"/>
    <s v="Complete Access"/>
    <x v="430"/>
    <x v="14"/>
    <x v="32"/>
    <d v="1900-01-25T00:00:00"/>
    <n v="31"/>
    <x v="7"/>
    <x v="3"/>
  </r>
  <r>
    <x v="735"/>
    <n v="-22"/>
    <x v="1620"/>
    <n v="9180.33"/>
    <s v="Complete Access"/>
    <x v="431"/>
    <x v="1"/>
    <x v="5"/>
    <d v="1900-01-25T00:00:00"/>
    <n v="31"/>
    <x v="7"/>
    <x v="3"/>
  </r>
  <r>
    <x v="735"/>
    <n v="-22.56"/>
    <x v="1621"/>
    <n v="9307.69"/>
    <s v="Complete Access"/>
    <x v="104"/>
    <x v="1"/>
    <x v="5"/>
    <d v="1900-01-25T00:00:00"/>
    <n v="31"/>
    <x v="7"/>
    <x v="3"/>
  </r>
  <r>
    <x v="735"/>
    <n v="-21.49"/>
    <x v="1622"/>
    <n v="9207.6299999999992"/>
    <s v="Complete Access"/>
    <x v="104"/>
    <x v="1"/>
    <x v="5"/>
    <d v="1900-01-25T00:00:00"/>
    <n v="31"/>
    <x v="7"/>
    <x v="3"/>
  </r>
  <r>
    <x v="735"/>
    <n v="-21.46"/>
    <x v="1623"/>
    <n v="9229.1200000000008"/>
    <s v="Complete Access"/>
    <x v="1"/>
    <x v="1"/>
    <x v="1"/>
    <d v="1900-01-25T00:00:00"/>
    <n v="31"/>
    <x v="7"/>
    <x v="3"/>
  </r>
  <r>
    <x v="735"/>
    <n v="-7.89"/>
    <x v="1624"/>
    <n v="9250.58"/>
    <s v="Complete Access"/>
    <x v="44"/>
    <x v="4"/>
    <x v="27"/>
    <d v="1900-01-25T00:00:00"/>
    <n v="31"/>
    <x v="7"/>
    <x v="3"/>
  </r>
  <r>
    <x v="736"/>
    <n v="-5"/>
    <x v="1345"/>
    <n v="9330.25"/>
    <s v="Complete Access"/>
    <x v="383"/>
    <x v="1"/>
    <x v="5"/>
    <d v="1900-01-24T00:00:00"/>
    <n v="31"/>
    <x v="7"/>
    <x v="3"/>
  </r>
  <r>
    <x v="736"/>
    <n v="-15.12"/>
    <x v="1588"/>
    <n v="9335.25"/>
    <s v="Complete Access"/>
    <x v="423"/>
    <x v="1"/>
    <x v="5"/>
    <d v="1900-01-24T00:00:00"/>
    <n v="31"/>
    <x v="7"/>
    <x v="3"/>
  </r>
  <r>
    <x v="737"/>
    <n v="-500"/>
    <x v="656"/>
    <n v="9389.25"/>
    <s v="Complete Access"/>
    <x v="13"/>
    <x v="0"/>
    <x v="0"/>
    <d v="1900-01-20T00:00:00"/>
    <n v="30"/>
    <x v="7"/>
    <x v="3"/>
  </r>
  <r>
    <x v="737"/>
    <n v="-38.880000000000003"/>
    <x v="1625"/>
    <n v="9350.3700000000008"/>
    <s v="Complete Access"/>
    <x v="8"/>
    <x v="1"/>
    <x v="5"/>
    <d v="1900-01-20T00:00:00"/>
    <n v="30"/>
    <x v="7"/>
    <x v="3"/>
  </r>
  <r>
    <x v="737"/>
    <n v="2307.44"/>
    <x v="1626"/>
    <n v="9889.25"/>
    <s v="Complete Access"/>
    <x v="14"/>
    <x v="6"/>
    <x v="9"/>
    <d v="1900-01-20T00:00:00"/>
    <n v="30"/>
    <x v="7"/>
    <x v="3"/>
  </r>
  <r>
    <x v="738"/>
    <n v="-59.9"/>
    <x v="1627"/>
    <n v="7581.81"/>
    <s v="Complete Access"/>
    <x v="432"/>
    <x v="1"/>
    <x v="5"/>
    <d v="1900-01-19T00:00:00"/>
    <n v="30"/>
    <x v="7"/>
    <x v="3"/>
  </r>
  <r>
    <x v="739"/>
    <n v="-69"/>
    <x v="1628"/>
    <n v="7641.71"/>
    <s v="Complete Access"/>
    <x v="207"/>
    <x v="7"/>
    <x v="11"/>
    <d v="1900-01-18T00:00:00"/>
    <n v="30"/>
    <x v="7"/>
    <x v="3"/>
  </r>
  <r>
    <x v="739"/>
    <n v="-5.99"/>
    <x v="1629"/>
    <n v="7710.71"/>
    <s v="Complete Access"/>
    <x v="352"/>
    <x v="4"/>
    <x v="67"/>
    <d v="1900-01-18T00:00:00"/>
    <n v="30"/>
    <x v="7"/>
    <x v="3"/>
  </r>
  <r>
    <x v="740"/>
    <n v="-226.67"/>
    <x v="1630"/>
    <n v="7716.7"/>
    <s v="Complete Access"/>
    <x v="433"/>
    <x v="7"/>
    <x v="53"/>
    <d v="1900-01-17T00:00:00"/>
    <n v="30"/>
    <x v="7"/>
    <x v="3"/>
  </r>
  <r>
    <x v="741"/>
    <n v="27"/>
    <x v="1631"/>
    <n v="7943.37"/>
    <s v="Complete Access"/>
    <x v="36"/>
    <x v="0"/>
    <x v="0"/>
    <d v="1900-01-16T00:00:00"/>
    <n v="30"/>
    <x v="7"/>
    <x v="3"/>
  </r>
  <r>
    <x v="741"/>
    <n v="-14"/>
    <x v="1632"/>
    <n v="7916.37"/>
    <s v="Complete Access"/>
    <x v="0"/>
    <x v="0"/>
    <x v="0"/>
    <d v="1900-01-16T00:00:00"/>
    <n v="30"/>
    <x v="7"/>
    <x v="3"/>
  </r>
  <r>
    <x v="742"/>
    <n v="-5.5"/>
    <x v="1633"/>
    <n v="7930.37"/>
    <s v="Complete Access"/>
    <x v="434"/>
    <x v="8"/>
    <x v="29"/>
    <d v="1900-01-15T00:00:00"/>
    <n v="29"/>
    <x v="7"/>
    <x v="3"/>
  </r>
  <r>
    <x v="743"/>
    <n v="-27.18"/>
    <x v="1634"/>
    <n v="7935.87"/>
    <s v="Complete Access"/>
    <x v="8"/>
    <x v="1"/>
    <x v="5"/>
    <d v="1900-01-12T00:00:00"/>
    <n v="29"/>
    <x v="7"/>
    <x v="3"/>
  </r>
  <r>
    <x v="744"/>
    <n v="-80.94"/>
    <x v="1635"/>
    <n v="7963.05"/>
    <s v="Complete Access"/>
    <x v="222"/>
    <x v="11"/>
    <x v="14"/>
    <d v="1900-01-11T00:00:00"/>
    <n v="29"/>
    <x v="7"/>
    <x v="3"/>
  </r>
  <r>
    <x v="744"/>
    <n v="-16.45"/>
    <x v="1636"/>
    <n v="8043.99"/>
    <s v="Complete Access"/>
    <x v="367"/>
    <x v="4"/>
    <x v="7"/>
    <d v="1900-01-11T00:00:00"/>
    <n v="29"/>
    <x v="7"/>
    <x v="3"/>
  </r>
  <r>
    <x v="745"/>
    <n v="-8.5"/>
    <x v="1637"/>
    <n v="8060.44"/>
    <s v="Complete Access"/>
    <x v="34"/>
    <x v="9"/>
    <x v="12"/>
    <d v="1900-01-08T00:00:00"/>
    <n v="28"/>
    <x v="7"/>
    <x v="3"/>
  </r>
  <r>
    <x v="746"/>
    <n v="-52.21"/>
    <x v="405"/>
    <n v="8068.94"/>
    <s v="Complete Access"/>
    <x v="177"/>
    <x v="1"/>
    <x v="1"/>
    <d v="1900-01-07T00:00:00"/>
    <n v="28"/>
    <x v="7"/>
    <x v="3"/>
  </r>
  <r>
    <x v="747"/>
    <n v="-500"/>
    <x v="656"/>
    <n v="8239.7800000000007"/>
    <s v="Complete Access"/>
    <x v="13"/>
    <x v="0"/>
    <x v="0"/>
    <d v="1900-01-06T00:00:00"/>
    <n v="28"/>
    <x v="7"/>
    <x v="3"/>
  </r>
  <r>
    <x v="747"/>
    <n v="2259.67"/>
    <x v="1638"/>
    <n v="8739.7800000000007"/>
    <s v="Complete Access"/>
    <x v="14"/>
    <x v="6"/>
    <x v="9"/>
    <d v="1900-01-06T00:00:00"/>
    <n v="28"/>
    <x v="7"/>
    <x v="3"/>
  </r>
  <r>
    <x v="747"/>
    <n v="-39.82"/>
    <x v="969"/>
    <n v="8121.15"/>
    <s v="Complete Access"/>
    <x v="177"/>
    <x v="1"/>
    <x v="1"/>
    <d v="1900-01-06T00:00:00"/>
    <n v="28"/>
    <x v="7"/>
    <x v="3"/>
  </r>
  <r>
    <x v="747"/>
    <n v="-78.81"/>
    <x v="1639"/>
    <n v="8160.97"/>
    <s v="Complete Access"/>
    <x v="1"/>
    <x v="1"/>
    <x v="1"/>
    <d v="1900-01-06T00:00:00"/>
    <n v="28"/>
    <x v="7"/>
    <x v="3"/>
  </r>
  <r>
    <x v="748"/>
    <n v="-21"/>
    <x v="1640"/>
    <n v="6488.4"/>
    <s v="Complete Access"/>
    <x v="435"/>
    <x v="1"/>
    <x v="23"/>
    <d v="1900-01-04T00:00:00"/>
    <n v="28"/>
    <x v="7"/>
    <x v="3"/>
  </r>
  <r>
    <x v="748"/>
    <n v="-0.99"/>
    <x v="1641"/>
    <n v="6480.11"/>
    <s v="Complete Access"/>
    <x v="4"/>
    <x v="1"/>
    <x v="1"/>
    <d v="1900-01-04T00:00:00"/>
    <n v="28"/>
    <x v="7"/>
    <x v="3"/>
  </r>
  <r>
    <x v="748"/>
    <n v="-7.3"/>
    <x v="1641"/>
    <n v="6481.1"/>
    <s v="Complete Access"/>
    <x v="4"/>
    <x v="1"/>
    <x v="1"/>
    <d v="1900-01-04T00:00:00"/>
    <n v="28"/>
    <x v="7"/>
    <x v="3"/>
  </r>
  <r>
    <x v="749"/>
    <n v="-16.8"/>
    <x v="1642"/>
    <n v="6523.4"/>
    <s v="Complete Access"/>
    <x v="47"/>
    <x v="1"/>
    <x v="5"/>
    <d v="1900-01-02T00:00:00"/>
    <n v="28"/>
    <x v="7"/>
    <x v="3"/>
  </r>
  <r>
    <x v="749"/>
    <n v="-14"/>
    <x v="1157"/>
    <n v="6509.4"/>
    <s v="Complete Access"/>
    <x v="0"/>
    <x v="0"/>
    <x v="0"/>
    <d v="1900-01-02T00:00:00"/>
    <n v="28"/>
    <x v="7"/>
    <x v="3"/>
  </r>
  <r>
    <x v="750"/>
    <n v="-22"/>
    <x v="1643"/>
    <n v="6540.2"/>
    <s v="Complete Access"/>
    <x v="436"/>
    <x v="20"/>
    <x v="63"/>
    <d v="1900-01-01T00:00:00"/>
    <n v="27"/>
    <x v="7"/>
    <x v="3"/>
  </r>
  <r>
    <x v="751"/>
    <n v="-180.55"/>
    <x v="1644"/>
    <n v="6562.2"/>
    <s v="Complete Access"/>
    <x v="76"/>
    <x v="2"/>
    <x v="2"/>
    <d v="1899-12-31T00:00:00"/>
    <n v="27"/>
    <x v="7"/>
    <x v="3"/>
  </r>
  <r>
    <x v="752"/>
    <n v="-8.15"/>
    <x v="1645"/>
    <n v="6876.64"/>
    <s v="Complete Access"/>
    <x v="285"/>
    <x v="5"/>
    <x v="8"/>
    <d v="1900-01-27T00:00:00"/>
    <n v="27"/>
    <x v="8"/>
    <x v="3"/>
  </r>
  <r>
    <x v="752"/>
    <n v="-31.99"/>
    <x v="1646"/>
    <n v="6742.75"/>
    <s v="Complete Access"/>
    <x v="343"/>
    <x v="1"/>
    <x v="5"/>
    <d v="1900-01-27T00:00:00"/>
    <n v="27"/>
    <x v="8"/>
    <x v="3"/>
  </r>
  <r>
    <x v="752"/>
    <n v="-7.5"/>
    <x v="1647"/>
    <n v="6796.99"/>
    <s v="Complete Access"/>
    <x v="35"/>
    <x v="1"/>
    <x v="23"/>
    <d v="1900-01-27T00:00:00"/>
    <n v="27"/>
    <x v="8"/>
    <x v="3"/>
  </r>
  <r>
    <x v="752"/>
    <n v="-22.25"/>
    <x v="1648"/>
    <n v="6774.74"/>
    <s v="Complete Access"/>
    <x v="437"/>
    <x v="1"/>
    <x v="5"/>
    <d v="1900-01-27T00:00:00"/>
    <n v="27"/>
    <x v="8"/>
    <x v="3"/>
  </r>
  <r>
    <x v="752"/>
    <n v="-72.150000000000006"/>
    <x v="1649"/>
    <n v="6804.49"/>
    <s v="Complete Access"/>
    <x v="1"/>
    <x v="1"/>
    <x v="1"/>
    <d v="1900-01-27T00:00:00"/>
    <n v="27"/>
    <x v="8"/>
    <x v="3"/>
  </r>
  <r>
    <x v="753"/>
    <n v="-62.5"/>
    <x v="1390"/>
    <n v="6884.79"/>
    <s v="Complete Access"/>
    <x v="390"/>
    <x v="1"/>
    <x v="5"/>
    <d v="1900-01-26T00:00:00"/>
    <n v="27"/>
    <x v="8"/>
    <x v="3"/>
  </r>
  <r>
    <x v="754"/>
    <n v="-6"/>
    <x v="1650"/>
    <n v="6947.29"/>
    <s v="Complete Access"/>
    <x v="220"/>
    <x v="1"/>
    <x v="5"/>
    <d v="1900-01-24T00:00:00"/>
    <n v="26"/>
    <x v="8"/>
    <x v="3"/>
  </r>
  <r>
    <x v="755"/>
    <n v="50"/>
    <x v="1651"/>
    <n v="6953.29"/>
    <s v="Complete Access"/>
    <x v="36"/>
    <x v="0"/>
    <x v="0"/>
    <d v="1900-01-23T00:00:00"/>
    <n v="26"/>
    <x v="8"/>
    <x v="3"/>
  </r>
  <r>
    <x v="756"/>
    <n v="-500"/>
    <x v="656"/>
    <n v="7261.95"/>
    <s v="Complete Access"/>
    <x v="13"/>
    <x v="0"/>
    <x v="0"/>
    <d v="1900-01-22T00:00:00"/>
    <n v="26"/>
    <x v="8"/>
    <x v="3"/>
  </r>
  <r>
    <x v="756"/>
    <n v="70"/>
    <x v="1652"/>
    <n v="7331.95"/>
    <s v="Complete Access"/>
    <x v="36"/>
    <x v="0"/>
    <x v="0"/>
    <d v="1900-01-22T00:00:00"/>
    <n v="26"/>
    <x v="8"/>
    <x v="3"/>
  </r>
  <r>
    <x v="756"/>
    <n v="2325.65"/>
    <x v="1653"/>
    <n v="7761.95"/>
    <s v="Complete Access"/>
    <x v="14"/>
    <x v="6"/>
    <x v="9"/>
    <d v="1900-01-22T00:00:00"/>
    <n v="26"/>
    <x v="8"/>
    <x v="3"/>
  </r>
  <r>
    <x v="756"/>
    <n v="-428.66"/>
    <x v="989"/>
    <n v="6903.29"/>
    <s v="Complete Access"/>
    <x v="332"/>
    <x v="1"/>
    <x v="5"/>
    <d v="1900-01-22T00:00:00"/>
    <n v="26"/>
    <x v="8"/>
    <x v="3"/>
  </r>
  <r>
    <x v="757"/>
    <n v="-53.88"/>
    <x v="1654"/>
    <n v="5474.17"/>
    <s v="Complete Access"/>
    <x v="20"/>
    <x v="9"/>
    <x v="12"/>
    <d v="1900-01-21T00:00:00"/>
    <n v="26"/>
    <x v="8"/>
    <x v="3"/>
  </r>
  <r>
    <x v="757"/>
    <n v="-37.869999999999997"/>
    <x v="1655"/>
    <n v="5436.3"/>
    <s v="Complete Access"/>
    <x v="1"/>
    <x v="1"/>
    <x v="1"/>
    <d v="1900-01-21T00:00:00"/>
    <n v="26"/>
    <x v="8"/>
    <x v="3"/>
  </r>
  <r>
    <x v="758"/>
    <n v="-5.99"/>
    <x v="1656"/>
    <n v="5181.25"/>
    <s v="Complete Access"/>
    <x v="352"/>
    <x v="4"/>
    <x v="67"/>
    <d v="1900-01-20T00:00:00"/>
    <n v="26"/>
    <x v="8"/>
    <x v="3"/>
  </r>
  <r>
    <x v="758"/>
    <n v="365.8"/>
    <x v="1657"/>
    <n v="5528.05"/>
    <s v="Complete Access"/>
    <x v="67"/>
    <x v="0"/>
    <x v="0"/>
    <d v="1900-01-20T00:00:00"/>
    <n v="26"/>
    <x v="8"/>
    <x v="3"/>
  </r>
  <r>
    <x v="758"/>
    <n v="-19"/>
    <x v="1658"/>
    <n v="5162.25"/>
    <s v="Complete Access"/>
    <x v="1"/>
    <x v="1"/>
    <x v="1"/>
    <d v="1900-01-20T00:00:00"/>
    <n v="26"/>
    <x v="8"/>
    <x v="3"/>
  </r>
  <r>
    <x v="759"/>
    <n v="-176"/>
    <x v="1659"/>
    <n v="5187.24"/>
    <s v="Complete Access"/>
    <x v="438"/>
    <x v="12"/>
    <x v="21"/>
    <d v="1900-01-19T00:00:00"/>
    <n v="26"/>
    <x v="8"/>
    <x v="3"/>
  </r>
  <r>
    <x v="759"/>
    <n v="1520"/>
    <x v="1660"/>
    <n v="5363.24"/>
    <s v="Complete Access"/>
    <x v="67"/>
    <x v="0"/>
    <x v="0"/>
    <d v="1900-01-19T00:00:00"/>
    <n v="26"/>
    <x v="8"/>
    <x v="3"/>
  </r>
  <r>
    <x v="760"/>
    <n v="-6.44"/>
    <x v="1661"/>
    <n v="3992.72"/>
    <s v="Complete Access"/>
    <x v="285"/>
    <x v="5"/>
    <x v="8"/>
    <d v="1900-01-17T00:00:00"/>
    <n v="25"/>
    <x v="8"/>
    <x v="3"/>
  </r>
  <r>
    <x v="760"/>
    <n v="-11.65"/>
    <x v="1662"/>
    <n v="3843.24"/>
    <s v="Complete Access"/>
    <x v="439"/>
    <x v="15"/>
    <x v="34"/>
    <d v="1900-01-17T00:00:00"/>
    <n v="25"/>
    <x v="8"/>
    <x v="3"/>
  </r>
  <r>
    <x v="760"/>
    <n v="-110.74"/>
    <x v="1663"/>
    <n v="3881.98"/>
    <s v="Complete Access"/>
    <x v="1"/>
    <x v="1"/>
    <x v="1"/>
    <d v="1900-01-17T00:00:00"/>
    <n v="25"/>
    <x v="8"/>
    <x v="3"/>
  </r>
  <r>
    <x v="760"/>
    <n v="-27.09"/>
    <x v="1664"/>
    <n v="3854.89"/>
    <s v="Complete Access"/>
    <x v="34"/>
    <x v="9"/>
    <x v="12"/>
    <d v="1900-01-17T00:00:00"/>
    <n v="25"/>
    <x v="8"/>
    <x v="3"/>
  </r>
  <r>
    <x v="761"/>
    <n v="-87.4"/>
    <x v="1665"/>
    <n v="3999.16"/>
    <s v="Complete Access"/>
    <x v="440"/>
    <x v="8"/>
    <x v="22"/>
    <d v="1900-01-16T00:00:00"/>
    <n v="25"/>
    <x v="8"/>
    <x v="3"/>
  </r>
  <r>
    <x v="761"/>
    <n v="-69"/>
    <x v="1666"/>
    <n v="4086.56"/>
    <s v="Complete Access"/>
    <x v="207"/>
    <x v="7"/>
    <x v="11"/>
    <d v="1900-01-16T00:00:00"/>
    <n v="25"/>
    <x v="8"/>
    <x v="3"/>
  </r>
  <r>
    <x v="762"/>
    <n v="-22.79"/>
    <x v="1667"/>
    <n v="4272.5600000000004"/>
    <s v="Complete Access"/>
    <x v="8"/>
    <x v="1"/>
    <x v="5"/>
    <d v="1900-01-15T00:00:00"/>
    <n v="25"/>
    <x v="8"/>
    <x v="3"/>
  </r>
  <r>
    <x v="762"/>
    <n v="-15"/>
    <x v="1668"/>
    <n v="4228.5600000000004"/>
    <s v="Complete Access"/>
    <x v="441"/>
    <x v="1"/>
    <x v="5"/>
    <d v="1900-01-15T00:00:00"/>
    <n v="25"/>
    <x v="8"/>
    <x v="3"/>
  </r>
  <r>
    <x v="762"/>
    <n v="-12"/>
    <x v="1669"/>
    <n v="4260.5600000000004"/>
    <s v="Complete Access"/>
    <x v="442"/>
    <x v="8"/>
    <x v="29"/>
    <d v="1900-01-15T00:00:00"/>
    <n v="25"/>
    <x v="8"/>
    <x v="3"/>
  </r>
  <r>
    <x v="762"/>
    <n v="-17"/>
    <x v="1670"/>
    <n v="4243.5600000000004"/>
    <s v="Complete Access"/>
    <x v="443"/>
    <x v="1"/>
    <x v="5"/>
    <d v="1900-01-15T00:00:00"/>
    <n v="25"/>
    <x v="8"/>
    <x v="3"/>
  </r>
  <r>
    <x v="762"/>
    <n v="-18"/>
    <x v="1671"/>
    <n v="4210.5600000000004"/>
    <s v="Complete Access"/>
    <x v="444"/>
    <x v="1"/>
    <x v="5"/>
    <d v="1900-01-15T00:00:00"/>
    <n v="25"/>
    <x v="8"/>
    <x v="3"/>
  </r>
  <r>
    <x v="762"/>
    <n v="-55"/>
    <x v="1672"/>
    <n v="4155.5600000000004"/>
    <s v="Complete Access"/>
    <x v="433"/>
    <x v="7"/>
    <x v="53"/>
    <d v="1900-01-15T00:00:00"/>
    <n v="25"/>
    <x v="8"/>
    <x v="3"/>
  </r>
  <r>
    <x v="763"/>
    <n v="10"/>
    <x v="1673"/>
    <n v="4295.3500000000004"/>
    <s v="Complete Access"/>
    <x v="36"/>
    <x v="0"/>
    <x v="0"/>
    <d v="1900-01-14T00:00:00"/>
    <n v="25"/>
    <x v="8"/>
    <x v="3"/>
  </r>
  <r>
    <x v="763"/>
    <n v="-24"/>
    <x v="1674"/>
    <n v="4285.3500000000004"/>
    <s v="Complete Access"/>
    <x v="445"/>
    <x v="20"/>
    <x v="63"/>
    <d v="1900-01-14T00:00:00"/>
    <n v="25"/>
    <x v="8"/>
    <x v="3"/>
  </r>
  <r>
    <x v="764"/>
    <n v="-5.3"/>
    <x v="1675"/>
    <n v="4418.93"/>
    <s v="Complete Access"/>
    <x v="285"/>
    <x v="5"/>
    <x v="8"/>
    <d v="1900-01-13T00:00:00"/>
    <n v="25"/>
    <x v="8"/>
    <x v="3"/>
  </r>
  <r>
    <x v="764"/>
    <n v="-68"/>
    <x v="1676"/>
    <n v="4350.93"/>
    <s v="Complete Access"/>
    <x v="35"/>
    <x v="1"/>
    <x v="23"/>
    <d v="1900-01-13T00:00:00"/>
    <n v="25"/>
    <x v="8"/>
    <x v="3"/>
  </r>
  <r>
    <x v="764"/>
    <n v="-2.63"/>
    <x v="1677"/>
    <n v="4325.8"/>
    <s v="Complete Access"/>
    <x v="44"/>
    <x v="4"/>
    <x v="27"/>
    <d v="1900-01-13T00:00:00"/>
    <n v="25"/>
    <x v="8"/>
    <x v="3"/>
  </r>
  <r>
    <x v="764"/>
    <n v="-16.45"/>
    <x v="1678"/>
    <n v="4309.3500000000004"/>
    <s v="Complete Access"/>
    <x v="367"/>
    <x v="4"/>
    <x v="7"/>
    <d v="1900-01-13T00:00:00"/>
    <n v="25"/>
    <x v="8"/>
    <x v="3"/>
  </r>
  <r>
    <x v="764"/>
    <n v="-22.5"/>
    <x v="1679"/>
    <n v="4328.43"/>
    <s v="Complete Access"/>
    <x v="446"/>
    <x v="1"/>
    <x v="5"/>
    <d v="1900-01-13T00:00:00"/>
    <n v="25"/>
    <x v="8"/>
    <x v="3"/>
  </r>
  <r>
    <x v="765"/>
    <n v="-10"/>
    <x v="1157"/>
    <n v="4424.2299999999996"/>
    <s v="Complete Access"/>
    <x v="0"/>
    <x v="0"/>
    <x v="0"/>
    <d v="1900-01-12T00:00:00"/>
    <n v="25"/>
    <x v="8"/>
    <x v="3"/>
  </r>
  <r>
    <x v="766"/>
    <n v="40"/>
    <x v="1680"/>
    <n v="4434.2299999999996"/>
    <s v="Complete Access"/>
    <x v="36"/>
    <x v="0"/>
    <x v="0"/>
    <d v="1900-01-11T00:00:00"/>
    <n v="25"/>
    <x v="8"/>
    <x v="3"/>
  </r>
  <r>
    <x v="767"/>
    <n v="-3.99"/>
    <x v="966"/>
    <n v="4434.2299999999996"/>
    <s v="Complete Access"/>
    <x v="215"/>
    <x v="1"/>
    <x v="1"/>
    <d v="1900-01-10T00:00:00"/>
    <n v="24"/>
    <x v="8"/>
    <x v="3"/>
  </r>
  <r>
    <x v="767"/>
    <n v="-38.54"/>
    <x v="969"/>
    <n v="4438.22"/>
    <s v="Complete Access"/>
    <x v="177"/>
    <x v="1"/>
    <x v="1"/>
    <d v="1900-01-10T00:00:00"/>
    <n v="24"/>
    <x v="8"/>
    <x v="3"/>
  </r>
  <r>
    <x v="767"/>
    <n v="-40"/>
    <x v="1681"/>
    <n v="4394.2299999999996"/>
    <s v="Complete Access"/>
    <x v="0"/>
    <x v="0"/>
    <x v="0"/>
    <d v="1900-01-10T00:00:00"/>
    <n v="24"/>
    <x v="8"/>
    <x v="3"/>
  </r>
  <r>
    <x v="768"/>
    <n v="-9.24"/>
    <x v="1682"/>
    <n v="4758.8500000000004"/>
    <s v="Complete Access"/>
    <x v="285"/>
    <x v="5"/>
    <x v="8"/>
    <d v="1900-01-09T00:00:00"/>
    <n v="24"/>
    <x v="8"/>
    <x v="3"/>
  </r>
  <r>
    <x v="768"/>
    <n v="-2.4"/>
    <x v="1683"/>
    <n v="4480.76"/>
    <s v="Complete Access"/>
    <x v="447"/>
    <x v="3"/>
    <x v="26"/>
    <d v="1900-01-09T00:00:00"/>
    <n v="24"/>
    <x v="8"/>
    <x v="3"/>
  </r>
  <r>
    <x v="768"/>
    <n v="-275.69"/>
    <x v="1684"/>
    <n v="4483.16"/>
    <s v="Complete Access"/>
    <x v="295"/>
    <x v="14"/>
    <x v="66"/>
    <d v="1900-01-09T00:00:00"/>
    <n v="24"/>
    <x v="8"/>
    <x v="3"/>
  </r>
  <r>
    <x v="768"/>
    <n v="-4"/>
    <x v="1685"/>
    <n v="4476.76"/>
    <s v="Complete Access"/>
    <x v="277"/>
    <x v="8"/>
    <x v="29"/>
    <d v="1900-01-09T00:00:00"/>
    <n v="24"/>
    <x v="8"/>
    <x v="3"/>
  </r>
  <r>
    <x v="769"/>
    <n v="-500"/>
    <x v="656"/>
    <n v="4597.8599999999997"/>
    <s v="Complete Access"/>
    <x v="13"/>
    <x v="0"/>
    <x v="0"/>
    <d v="1900-01-08T00:00:00"/>
    <n v="24"/>
    <x v="8"/>
    <x v="3"/>
  </r>
  <r>
    <x v="769"/>
    <n v="-7.58"/>
    <x v="1686"/>
    <n v="4590.28"/>
    <s v="Complete Access"/>
    <x v="285"/>
    <x v="5"/>
    <x v="8"/>
    <d v="1900-01-08T00:00:00"/>
    <n v="24"/>
    <x v="8"/>
    <x v="3"/>
  </r>
  <r>
    <x v="769"/>
    <n v="2325.65"/>
    <x v="1424"/>
    <n v="5097.8599999999997"/>
    <s v="Complete Access"/>
    <x v="14"/>
    <x v="6"/>
    <x v="9"/>
    <d v="1900-01-08T00:00:00"/>
    <n v="24"/>
    <x v="8"/>
    <x v="3"/>
  </r>
  <r>
    <x v="769"/>
    <n v="189.81"/>
    <x v="1687"/>
    <n v="4768.09"/>
    <s v="Complete Access"/>
    <x v="67"/>
    <x v="0"/>
    <x v="0"/>
    <d v="1900-01-08T00:00:00"/>
    <n v="24"/>
    <x v="8"/>
    <x v="3"/>
  </r>
  <r>
    <x v="769"/>
    <n v="-12"/>
    <x v="1688"/>
    <n v="4578.28"/>
    <s v="Complete Access"/>
    <x v="1"/>
    <x v="1"/>
    <x v="1"/>
    <d v="1900-01-08T00:00:00"/>
    <n v="24"/>
    <x v="8"/>
    <x v="3"/>
  </r>
  <r>
    <x v="770"/>
    <n v="-9.24"/>
    <x v="1689"/>
    <n v="2905.21"/>
    <s v="Complete Access"/>
    <x v="285"/>
    <x v="5"/>
    <x v="8"/>
    <d v="1900-01-07T00:00:00"/>
    <n v="24"/>
    <x v="8"/>
    <x v="3"/>
  </r>
  <r>
    <x v="770"/>
    <n v="-11.9"/>
    <x v="1690"/>
    <n v="2880.11"/>
    <s v="Complete Access"/>
    <x v="448"/>
    <x v="1"/>
    <x v="5"/>
    <d v="1900-01-07T00:00:00"/>
    <n v="24"/>
    <x v="8"/>
    <x v="3"/>
  </r>
  <r>
    <x v="770"/>
    <n v="-107.9"/>
    <x v="1688"/>
    <n v="2772.21"/>
    <s v="Complete Access"/>
    <x v="1"/>
    <x v="1"/>
    <x v="1"/>
    <d v="1900-01-07T00:00:00"/>
    <n v="24"/>
    <x v="8"/>
    <x v="3"/>
  </r>
  <r>
    <x v="770"/>
    <n v="-13.2"/>
    <x v="1691"/>
    <n v="2892.01"/>
    <s v="Complete Access"/>
    <x v="417"/>
    <x v="1"/>
    <x v="1"/>
    <d v="1900-01-07T00:00:00"/>
    <n v="24"/>
    <x v="8"/>
    <x v="3"/>
  </r>
  <r>
    <x v="771"/>
    <n v="-26.09"/>
    <x v="1692"/>
    <n v="3409.24"/>
    <s v="Complete Access"/>
    <x v="8"/>
    <x v="1"/>
    <x v="5"/>
    <d v="1900-01-06T00:00:00"/>
    <n v="24"/>
    <x v="8"/>
    <x v="3"/>
  </r>
  <r>
    <x v="771"/>
    <n v="-470.17"/>
    <x v="1693"/>
    <n v="2914.45"/>
    <s v="Complete Access"/>
    <x v="295"/>
    <x v="14"/>
    <x v="66"/>
    <d v="1900-01-06T00:00:00"/>
    <n v="24"/>
    <x v="8"/>
    <x v="3"/>
  </r>
  <r>
    <x v="771"/>
    <n v="-18.62"/>
    <x v="1694"/>
    <n v="3390.62"/>
    <s v="Complete Access"/>
    <x v="426"/>
    <x v="1"/>
    <x v="5"/>
    <d v="1900-01-06T00:00:00"/>
    <n v="24"/>
    <x v="8"/>
    <x v="3"/>
  </r>
  <r>
    <x v="771"/>
    <n v="-6"/>
    <x v="1695"/>
    <n v="3384.62"/>
    <s v="Complete Access"/>
    <x v="449"/>
    <x v="8"/>
    <x v="70"/>
    <d v="1900-01-06T00:00:00"/>
    <n v="24"/>
    <x v="8"/>
    <x v="3"/>
  </r>
  <r>
    <x v="772"/>
    <n v="-5"/>
    <x v="1345"/>
    <n v="3435.33"/>
    <s v="Complete Access"/>
    <x v="383"/>
    <x v="1"/>
    <x v="5"/>
    <d v="1900-01-05T00:00:00"/>
    <n v="24"/>
    <x v="8"/>
    <x v="3"/>
  </r>
  <r>
    <x v="773"/>
    <n v="-24.1"/>
    <x v="96"/>
    <n v="3440.33"/>
    <s v="Complete Access"/>
    <x v="47"/>
    <x v="1"/>
    <x v="5"/>
    <d v="1900-01-04T00:00:00"/>
    <n v="24"/>
    <x v="8"/>
    <x v="3"/>
  </r>
  <r>
    <x v="774"/>
    <n v="-24.5"/>
    <x v="1696"/>
    <n v="3464.43"/>
    <s v="Complete Access"/>
    <x v="61"/>
    <x v="1"/>
    <x v="1"/>
    <d v="1900-01-03T00:00:00"/>
    <n v="23"/>
    <x v="8"/>
    <x v="3"/>
  </r>
  <r>
    <x v="774"/>
    <n v="-13.65"/>
    <x v="1697"/>
    <n v="3488.93"/>
    <s v="Complete Access"/>
    <x v="333"/>
    <x v="1"/>
    <x v="5"/>
    <d v="1900-01-03T00:00:00"/>
    <n v="23"/>
    <x v="8"/>
    <x v="3"/>
  </r>
  <r>
    <x v="775"/>
    <n v="-9.24"/>
    <x v="1698"/>
    <n v="3556.68"/>
    <s v="Complete Access"/>
    <x v="285"/>
    <x v="5"/>
    <x v="8"/>
    <d v="1900-01-02T00:00:00"/>
    <n v="23"/>
    <x v="8"/>
    <x v="3"/>
  </r>
  <r>
    <x v="775"/>
    <n v="-54.1"/>
    <x v="1699"/>
    <n v="3502.58"/>
    <s v="Complete Access"/>
    <x v="417"/>
    <x v="1"/>
    <x v="1"/>
    <d v="1900-01-02T00:00:00"/>
    <n v="23"/>
    <x v="8"/>
    <x v="3"/>
  </r>
  <r>
    <x v="776"/>
    <n v="-25.52"/>
    <x v="1700"/>
    <n v="2839.51"/>
    <s v="Complete Access"/>
    <x v="61"/>
    <x v="1"/>
    <x v="1"/>
    <d v="1900-01-01T00:00:00"/>
    <n v="23"/>
    <x v="8"/>
    <x v="3"/>
  </r>
  <r>
    <x v="776"/>
    <n v="-60.99"/>
    <x v="1701"/>
    <n v="2900.03"/>
    <s v="Complete Access"/>
    <x v="210"/>
    <x v="3"/>
    <x v="15"/>
    <d v="1900-01-01T00:00:00"/>
    <n v="23"/>
    <x v="8"/>
    <x v="3"/>
  </r>
  <r>
    <x v="776"/>
    <n v="-33.590000000000003"/>
    <x v="1306"/>
    <n v="3565.92"/>
    <s v="Complete Access"/>
    <x v="381"/>
    <x v="1"/>
    <x v="1"/>
    <d v="1900-01-01T00:00:00"/>
    <n v="23"/>
    <x v="8"/>
    <x v="3"/>
  </r>
  <r>
    <x v="776"/>
    <n v="-35"/>
    <x v="1702"/>
    <n v="2865.03"/>
    <s v="Complete Access"/>
    <x v="29"/>
    <x v="4"/>
    <x v="19"/>
    <d v="1900-01-01T00:00:00"/>
    <n v="23"/>
    <x v="8"/>
    <x v="3"/>
  </r>
  <r>
    <x v="776"/>
    <n v="-14.07"/>
    <x v="1703"/>
    <n v="2961.02"/>
    <s v="Complete Access"/>
    <x v="450"/>
    <x v="9"/>
    <x v="32"/>
    <d v="1900-01-01T00:00:00"/>
    <n v="23"/>
    <x v="8"/>
    <x v="3"/>
  </r>
  <r>
    <x v="776"/>
    <n v="-7.04"/>
    <x v="1703"/>
    <n v="2975.09"/>
    <s v="Complete Access"/>
    <x v="450"/>
    <x v="9"/>
    <x v="32"/>
    <d v="1900-01-01T00:00:00"/>
    <n v="23"/>
    <x v="8"/>
    <x v="3"/>
  </r>
  <r>
    <x v="776"/>
    <n v="760"/>
    <x v="1704"/>
    <n v="3599.51"/>
    <s v="Complete Access"/>
    <x v="67"/>
    <x v="0"/>
    <x v="0"/>
    <d v="1900-01-01T00:00:00"/>
    <n v="23"/>
    <x v="8"/>
    <x v="3"/>
  </r>
  <r>
    <x v="777"/>
    <n v="-11.42"/>
    <x v="1705"/>
    <n v="3148.34"/>
    <s v="Complete Access"/>
    <x v="61"/>
    <x v="1"/>
    <x v="1"/>
    <d v="1899-12-31T00:00:00"/>
    <n v="23"/>
    <x v="8"/>
    <x v="3"/>
  </r>
  <r>
    <x v="777"/>
    <n v="-32.19"/>
    <x v="1706"/>
    <n v="3163.76"/>
    <s v="Complete Access"/>
    <x v="8"/>
    <x v="1"/>
    <x v="5"/>
    <d v="1899-12-31T00:00:00"/>
    <n v="23"/>
    <x v="8"/>
    <x v="3"/>
  </r>
  <r>
    <x v="777"/>
    <n v="75"/>
    <x v="1707"/>
    <n v="3162.68"/>
    <s v="Complete Access"/>
    <x v="36"/>
    <x v="0"/>
    <x v="0"/>
    <d v="1899-12-31T00:00:00"/>
    <n v="23"/>
    <x v="8"/>
    <x v="3"/>
  </r>
  <r>
    <x v="777"/>
    <n v="-60.66"/>
    <x v="989"/>
    <n v="3087.68"/>
    <s v="Complete Access"/>
    <x v="332"/>
    <x v="1"/>
    <x v="5"/>
    <d v="1899-12-31T00:00:00"/>
    <n v="23"/>
    <x v="8"/>
    <x v="3"/>
  </r>
  <r>
    <x v="777"/>
    <n v="-4"/>
    <x v="1708"/>
    <n v="3159.76"/>
    <s v="Complete Access"/>
    <x v="269"/>
    <x v="1"/>
    <x v="1"/>
    <d v="1899-12-31T00:00:00"/>
    <n v="23"/>
    <x v="8"/>
    <x v="3"/>
  </r>
  <r>
    <x v="777"/>
    <n v="-180.55"/>
    <x v="1709"/>
    <n v="2982.13"/>
    <s v="Complete Access"/>
    <x v="76"/>
    <x v="2"/>
    <x v="2"/>
    <d v="1899-12-31T00:00:00"/>
    <n v="23"/>
    <x v="8"/>
    <x v="3"/>
  </r>
  <r>
    <x v="778"/>
    <n v="-61.79"/>
    <x v="1710"/>
    <n v="3246.32"/>
    <s v="Complete Access"/>
    <x v="8"/>
    <x v="1"/>
    <x v="5"/>
    <d v="1900-01-30T00:00:00"/>
    <n v="23"/>
    <x v="9"/>
    <x v="3"/>
  </r>
  <r>
    <x v="778"/>
    <n v="-7.99"/>
    <x v="1711"/>
    <n v="3238.33"/>
    <s v="Complete Access"/>
    <x v="15"/>
    <x v="4"/>
    <x v="10"/>
    <d v="1900-01-30T00:00:00"/>
    <n v="23"/>
    <x v="9"/>
    <x v="3"/>
  </r>
  <r>
    <x v="778"/>
    <n v="-10"/>
    <x v="1712"/>
    <n v="3218.35"/>
    <s v="Complete Access"/>
    <x v="1"/>
    <x v="1"/>
    <x v="1"/>
    <d v="1900-01-30T00:00:00"/>
    <n v="23"/>
    <x v="9"/>
    <x v="3"/>
  </r>
  <r>
    <x v="778"/>
    <n v="-22.4"/>
    <x v="436"/>
    <n v="3195.95"/>
    <s v="Complete Access"/>
    <x v="186"/>
    <x v="1"/>
    <x v="5"/>
    <d v="1900-01-30T00:00:00"/>
    <n v="23"/>
    <x v="9"/>
    <x v="3"/>
  </r>
  <r>
    <x v="778"/>
    <n v="-9.98"/>
    <x v="1713"/>
    <n v="3228.35"/>
    <s v="Complete Access"/>
    <x v="221"/>
    <x v="1"/>
    <x v="5"/>
    <d v="1900-01-30T00:00:00"/>
    <n v="23"/>
    <x v="9"/>
    <x v="3"/>
  </r>
  <r>
    <x v="779"/>
    <n v="-500"/>
    <x v="1714"/>
    <n v="3308.11"/>
    <s v="Complete Access"/>
    <x v="451"/>
    <x v="19"/>
    <x v="61"/>
    <d v="1900-01-29T00:00:00"/>
    <n v="23"/>
    <x v="9"/>
    <x v="3"/>
  </r>
  <r>
    <x v="779"/>
    <n v="-12.04"/>
    <x v="1715"/>
    <n v="3808.11"/>
    <s v="Complete Access"/>
    <x v="4"/>
    <x v="1"/>
    <x v="1"/>
    <d v="1900-01-29T00:00:00"/>
    <n v="23"/>
    <x v="9"/>
    <x v="3"/>
  </r>
  <r>
    <x v="780"/>
    <n v="-7.05"/>
    <x v="1716"/>
    <n v="3885.15"/>
    <s v="Complete Access"/>
    <x v="61"/>
    <x v="1"/>
    <x v="1"/>
    <d v="1900-01-27T00:00:00"/>
    <n v="22"/>
    <x v="9"/>
    <x v="3"/>
  </r>
  <r>
    <x v="780"/>
    <n v="-47.32"/>
    <x v="1717"/>
    <n v="3918.63"/>
    <s v="Complete Access"/>
    <x v="20"/>
    <x v="9"/>
    <x v="12"/>
    <d v="1900-01-27T00:00:00"/>
    <n v="22"/>
    <x v="9"/>
    <x v="3"/>
  </r>
  <r>
    <x v="780"/>
    <n v="-22.23"/>
    <x v="1718"/>
    <n v="3896.4"/>
    <s v="Complete Access"/>
    <x v="304"/>
    <x v="1"/>
    <x v="5"/>
    <d v="1900-01-27T00:00:00"/>
    <n v="22"/>
    <x v="9"/>
    <x v="3"/>
  </r>
  <r>
    <x v="780"/>
    <n v="-4.2"/>
    <x v="1719"/>
    <n v="3892.2"/>
    <s v="Complete Access"/>
    <x v="34"/>
    <x v="9"/>
    <x v="12"/>
    <d v="1900-01-27T00:00:00"/>
    <n v="22"/>
    <x v="9"/>
    <x v="3"/>
  </r>
  <r>
    <x v="780"/>
    <n v="-65"/>
    <x v="1720"/>
    <n v="3820.15"/>
    <s v="Complete Access"/>
    <x v="0"/>
    <x v="0"/>
    <x v="0"/>
    <d v="1900-01-27T00:00:00"/>
    <n v="22"/>
    <x v="9"/>
    <x v="3"/>
  </r>
  <r>
    <x v="781"/>
    <n v="-15"/>
    <x v="1721"/>
    <n v="4003.55"/>
    <s v="Complete Access"/>
    <x v="61"/>
    <x v="1"/>
    <x v="1"/>
    <d v="1900-01-26T00:00:00"/>
    <n v="22"/>
    <x v="9"/>
    <x v="3"/>
  </r>
  <r>
    <x v="781"/>
    <n v="-9.24"/>
    <x v="1722"/>
    <n v="4018.55"/>
    <s v="Complete Access"/>
    <x v="285"/>
    <x v="5"/>
    <x v="8"/>
    <d v="1900-01-26T00:00:00"/>
    <n v="22"/>
    <x v="9"/>
    <x v="3"/>
  </r>
  <r>
    <x v="781"/>
    <n v="-9.3000000000000007"/>
    <x v="1723"/>
    <n v="3994.25"/>
    <s v="Complete Access"/>
    <x v="452"/>
    <x v="1"/>
    <x v="5"/>
    <d v="1900-01-26T00:00:00"/>
    <n v="22"/>
    <x v="9"/>
    <x v="3"/>
  </r>
  <r>
    <x v="781"/>
    <n v="-28.3"/>
    <x v="1724"/>
    <n v="3965.95"/>
    <s v="Complete Access"/>
    <x v="453"/>
    <x v="8"/>
    <x v="22"/>
    <d v="1900-01-26T00:00:00"/>
    <n v="22"/>
    <x v="9"/>
    <x v="3"/>
  </r>
  <r>
    <x v="782"/>
    <n v="-760"/>
    <x v="656"/>
    <n v="4044.18"/>
    <s v="Complete Access"/>
    <x v="13"/>
    <x v="0"/>
    <x v="0"/>
    <d v="1900-01-25T00:00:00"/>
    <n v="22"/>
    <x v="9"/>
    <x v="3"/>
  </r>
  <r>
    <x v="782"/>
    <n v="-7.15"/>
    <x v="1725"/>
    <n v="4027.79"/>
    <s v="Complete Access"/>
    <x v="61"/>
    <x v="1"/>
    <x v="1"/>
    <d v="1900-01-25T00:00:00"/>
    <n v="22"/>
    <x v="9"/>
    <x v="3"/>
  </r>
  <r>
    <x v="782"/>
    <n v="-9.24"/>
    <x v="1726"/>
    <n v="4034.94"/>
    <s v="Complete Access"/>
    <x v="285"/>
    <x v="5"/>
    <x v="8"/>
    <d v="1900-01-25T00:00:00"/>
    <n v="22"/>
    <x v="9"/>
    <x v="3"/>
  </r>
  <r>
    <x v="782"/>
    <n v="2325.66"/>
    <x v="1727"/>
    <n v="4804.18"/>
    <s v="Complete Access"/>
    <x v="14"/>
    <x v="6"/>
    <x v="9"/>
    <d v="1900-01-25T00:00:00"/>
    <n v="22"/>
    <x v="9"/>
    <x v="3"/>
  </r>
  <r>
    <x v="783"/>
    <n v="-16.3"/>
    <x v="1728"/>
    <n v="2528.62"/>
    <s v="Complete Access"/>
    <x v="61"/>
    <x v="1"/>
    <x v="1"/>
    <d v="1900-01-24T00:00:00"/>
    <n v="22"/>
    <x v="9"/>
    <x v="3"/>
  </r>
  <r>
    <x v="783"/>
    <n v="-8.1"/>
    <x v="1729"/>
    <n v="2713.43"/>
    <s v="Complete Access"/>
    <x v="285"/>
    <x v="5"/>
    <x v="8"/>
    <d v="1900-01-24T00:00:00"/>
    <n v="22"/>
    <x v="9"/>
    <x v="3"/>
  </r>
  <r>
    <x v="783"/>
    <n v="-119.6"/>
    <x v="1730"/>
    <n v="2544.92"/>
    <s v="Complete Access"/>
    <x v="454"/>
    <x v="3"/>
    <x v="60"/>
    <d v="1900-01-24T00:00:00"/>
    <n v="22"/>
    <x v="9"/>
    <x v="3"/>
  </r>
  <r>
    <x v="783"/>
    <n v="-25.7"/>
    <x v="96"/>
    <n v="2478.52"/>
    <s v="Complete Access"/>
    <x v="47"/>
    <x v="1"/>
    <x v="5"/>
    <d v="1900-01-24T00:00:00"/>
    <n v="22"/>
    <x v="9"/>
    <x v="3"/>
  </r>
  <r>
    <x v="783"/>
    <n v="-6.8"/>
    <x v="1731"/>
    <n v="2706.63"/>
    <s v="Complete Access"/>
    <x v="98"/>
    <x v="9"/>
    <x v="32"/>
    <d v="1900-01-24T00:00:00"/>
    <n v="22"/>
    <x v="9"/>
    <x v="3"/>
  </r>
  <r>
    <x v="783"/>
    <n v="-24.4"/>
    <x v="436"/>
    <n v="2504.2199999999998"/>
    <s v="Complete Access"/>
    <x v="186"/>
    <x v="1"/>
    <x v="5"/>
    <d v="1900-01-24T00:00:00"/>
    <n v="22"/>
    <x v="9"/>
    <x v="3"/>
  </r>
  <r>
    <x v="783"/>
    <n v="-42.11"/>
    <x v="1732"/>
    <n v="2664.52"/>
    <s v="Complete Access"/>
    <x v="91"/>
    <x v="9"/>
    <x v="12"/>
    <d v="1900-01-24T00:00:00"/>
    <n v="22"/>
    <x v="9"/>
    <x v="3"/>
  </r>
  <r>
    <x v="784"/>
    <n v="-5"/>
    <x v="1345"/>
    <n v="2721.53"/>
    <s v="Complete Access"/>
    <x v="383"/>
    <x v="1"/>
    <x v="5"/>
    <d v="1900-01-23T00:00:00"/>
    <n v="22"/>
    <x v="9"/>
    <x v="3"/>
  </r>
  <r>
    <x v="784"/>
    <n v="-4.8"/>
    <x v="1345"/>
    <n v="2726.53"/>
    <s v="Complete Access"/>
    <x v="383"/>
    <x v="1"/>
    <x v="5"/>
    <d v="1900-01-23T00:00:00"/>
    <n v="22"/>
    <x v="9"/>
    <x v="3"/>
  </r>
  <r>
    <x v="784"/>
    <n v="-40.19"/>
    <x v="1733"/>
    <n v="2937.28"/>
    <s v="Complete Access"/>
    <x v="8"/>
    <x v="1"/>
    <x v="5"/>
    <d v="1900-01-23T00:00:00"/>
    <n v="22"/>
    <x v="9"/>
    <x v="3"/>
  </r>
  <r>
    <x v="784"/>
    <n v="-60.79"/>
    <x v="1734"/>
    <n v="2731.33"/>
    <s v="Complete Access"/>
    <x v="8"/>
    <x v="1"/>
    <x v="5"/>
    <d v="1900-01-23T00:00:00"/>
    <n v="22"/>
    <x v="9"/>
    <x v="3"/>
  </r>
  <r>
    <x v="784"/>
    <n v="-8.65"/>
    <x v="1735"/>
    <n v="2792.12"/>
    <s v="Complete Access"/>
    <x v="455"/>
    <x v="8"/>
    <x v="29"/>
    <d v="1900-01-23T00:00:00"/>
    <n v="22"/>
    <x v="9"/>
    <x v="3"/>
  </r>
  <r>
    <x v="784"/>
    <n v="-113.5"/>
    <x v="1736"/>
    <n v="2800.77"/>
    <s v="Complete Access"/>
    <x v="456"/>
    <x v="1"/>
    <x v="5"/>
    <d v="1900-01-23T00:00:00"/>
    <n v="22"/>
    <x v="9"/>
    <x v="3"/>
  </r>
  <r>
    <x v="784"/>
    <n v="-3.5"/>
    <x v="1737"/>
    <n v="2933.78"/>
    <s v="Complete Access"/>
    <x v="269"/>
    <x v="1"/>
    <x v="1"/>
    <d v="1900-01-23T00:00:00"/>
    <n v="22"/>
    <x v="9"/>
    <x v="3"/>
  </r>
  <r>
    <x v="784"/>
    <n v="-19.510000000000002"/>
    <x v="1738"/>
    <n v="2914.27"/>
    <s v="Complete Access"/>
    <x v="1"/>
    <x v="1"/>
    <x v="1"/>
    <d v="1900-01-23T00:00:00"/>
    <n v="22"/>
    <x v="9"/>
    <x v="3"/>
  </r>
  <r>
    <x v="785"/>
    <n v="-5"/>
    <x v="1617"/>
    <n v="3001.37"/>
    <s v="Complete Access"/>
    <x v="421"/>
    <x v="20"/>
    <x v="63"/>
    <d v="1900-01-22T00:00:00"/>
    <n v="22"/>
    <x v="9"/>
    <x v="3"/>
  </r>
  <r>
    <x v="785"/>
    <n v="-23.9"/>
    <x v="1739"/>
    <n v="2977.47"/>
    <s v="Complete Access"/>
    <x v="457"/>
    <x v="1"/>
    <x v="5"/>
    <d v="1900-01-22T00:00:00"/>
    <n v="22"/>
    <x v="9"/>
    <x v="3"/>
  </r>
  <r>
    <x v="786"/>
    <n v="30"/>
    <x v="1740"/>
    <n v="3006.37"/>
    <s v="Complete Access"/>
    <x v="36"/>
    <x v="0"/>
    <x v="0"/>
    <d v="1900-01-20T00:00:00"/>
    <n v="21"/>
    <x v="9"/>
    <x v="3"/>
  </r>
  <r>
    <x v="786"/>
    <n v="-17.71"/>
    <x v="1741"/>
    <n v="2976.37"/>
    <s v="Complete Access"/>
    <x v="1"/>
    <x v="1"/>
    <x v="1"/>
    <d v="1900-01-20T00:00:00"/>
    <n v="21"/>
    <x v="9"/>
    <x v="3"/>
  </r>
  <r>
    <x v="786"/>
    <n v="-21.63"/>
    <x v="1742"/>
    <n v="2994.08"/>
    <s v="Complete Access"/>
    <x v="34"/>
    <x v="9"/>
    <x v="12"/>
    <d v="1900-01-20T00:00:00"/>
    <n v="21"/>
    <x v="9"/>
    <x v="3"/>
  </r>
  <r>
    <x v="787"/>
    <n v="-5.99"/>
    <x v="1743"/>
    <n v="3027.86"/>
    <s v="Complete Access"/>
    <x v="352"/>
    <x v="4"/>
    <x v="67"/>
    <d v="1900-01-19T00:00:00"/>
    <n v="21"/>
    <x v="9"/>
    <x v="3"/>
  </r>
  <r>
    <x v="787"/>
    <n v="-12.15"/>
    <x v="96"/>
    <n v="3015.71"/>
    <s v="Complete Access"/>
    <x v="47"/>
    <x v="1"/>
    <x v="5"/>
    <d v="1900-01-19T00:00:00"/>
    <n v="21"/>
    <x v="9"/>
    <x v="3"/>
  </r>
  <r>
    <x v="788"/>
    <n v="100"/>
    <x v="1744"/>
    <n v="3033.85"/>
    <s v="Complete Access"/>
    <x v="36"/>
    <x v="0"/>
    <x v="0"/>
    <d v="1900-01-18T00:00:00"/>
    <n v="21"/>
    <x v="9"/>
    <x v="3"/>
  </r>
  <r>
    <x v="788"/>
    <n v="-69"/>
    <x v="1745"/>
    <n v="2947.98"/>
    <s v="Complete Access"/>
    <x v="207"/>
    <x v="7"/>
    <x v="11"/>
    <d v="1900-01-18T00:00:00"/>
    <n v="21"/>
    <x v="9"/>
    <x v="3"/>
  </r>
  <r>
    <x v="788"/>
    <n v="-14.13"/>
    <x v="1130"/>
    <n v="2933.85"/>
    <s v="Complete Access"/>
    <x v="351"/>
    <x v="1"/>
    <x v="5"/>
    <d v="1900-01-18T00:00:00"/>
    <n v="21"/>
    <x v="9"/>
    <x v="3"/>
  </r>
  <r>
    <x v="789"/>
    <n v="-218"/>
    <x v="1746"/>
    <n v="3016.98"/>
    <s v="Complete Access"/>
    <x v="0"/>
    <x v="0"/>
    <x v="0"/>
    <d v="1900-01-17T00:00:00"/>
    <n v="21"/>
    <x v="9"/>
    <x v="3"/>
  </r>
  <r>
    <x v="789"/>
    <n v="-23.89"/>
    <x v="1747"/>
    <n v="3248.98"/>
    <s v="Complete Access"/>
    <x v="8"/>
    <x v="1"/>
    <x v="5"/>
    <d v="1900-01-17T00:00:00"/>
    <n v="21"/>
    <x v="9"/>
    <x v="3"/>
  </r>
  <r>
    <x v="789"/>
    <n v="-9.24"/>
    <x v="1748"/>
    <n v="3300.28"/>
    <s v="Complete Access"/>
    <x v="285"/>
    <x v="5"/>
    <x v="8"/>
    <d v="1900-01-17T00:00:00"/>
    <n v="21"/>
    <x v="9"/>
    <x v="3"/>
  </r>
  <r>
    <x v="789"/>
    <n v="-14"/>
    <x v="1130"/>
    <n v="3234.98"/>
    <s v="Complete Access"/>
    <x v="351"/>
    <x v="1"/>
    <x v="5"/>
    <d v="1900-01-17T00:00:00"/>
    <n v="21"/>
    <x v="9"/>
    <x v="3"/>
  </r>
  <r>
    <x v="789"/>
    <n v="-27.41"/>
    <x v="1749"/>
    <n v="3272.87"/>
    <s v="Complete Access"/>
    <x v="458"/>
    <x v="20"/>
    <x v="63"/>
    <d v="1900-01-17T00:00:00"/>
    <n v="21"/>
    <x v="9"/>
    <x v="3"/>
  </r>
  <r>
    <x v="790"/>
    <n v="-26.87"/>
    <x v="1750"/>
    <n v="3532.51"/>
    <s v="Complete Access"/>
    <x v="8"/>
    <x v="1"/>
    <x v="5"/>
    <d v="1900-01-16T00:00:00"/>
    <n v="21"/>
    <x v="9"/>
    <x v="3"/>
  </r>
  <r>
    <x v="790"/>
    <n v="-30.82"/>
    <x v="1751"/>
    <n v="3559.38"/>
    <s v="Complete Access"/>
    <x v="8"/>
    <x v="1"/>
    <x v="5"/>
    <d v="1900-01-16T00:00:00"/>
    <n v="21"/>
    <x v="9"/>
    <x v="3"/>
  </r>
  <r>
    <x v="790"/>
    <n v="-21.45"/>
    <x v="1751"/>
    <n v="3590.2"/>
    <s v="Complete Access"/>
    <x v="8"/>
    <x v="1"/>
    <x v="5"/>
    <d v="1900-01-16T00:00:00"/>
    <n v="21"/>
    <x v="9"/>
    <x v="3"/>
  </r>
  <r>
    <x v="790"/>
    <n v="-54.99"/>
    <x v="1752"/>
    <n v="3477.52"/>
    <s v="Complete Access"/>
    <x v="459"/>
    <x v="1"/>
    <x v="23"/>
    <d v="1900-01-16T00:00:00"/>
    <n v="21"/>
    <x v="9"/>
    <x v="3"/>
  </r>
  <r>
    <x v="790"/>
    <n v="-18.899999999999999"/>
    <x v="96"/>
    <n v="3364.52"/>
    <s v="Complete Access"/>
    <x v="47"/>
    <x v="1"/>
    <x v="5"/>
    <d v="1900-01-16T00:00:00"/>
    <n v="21"/>
    <x v="9"/>
    <x v="3"/>
  </r>
  <r>
    <x v="790"/>
    <n v="-43.45"/>
    <x v="1753"/>
    <n v="3383.42"/>
    <s v="Complete Access"/>
    <x v="460"/>
    <x v="8"/>
    <x v="29"/>
    <d v="1900-01-16T00:00:00"/>
    <n v="21"/>
    <x v="9"/>
    <x v="3"/>
  </r>
  <r>
    <x v="790"/>
    <n v="-50.65"/>
    <x v="1753"/>
    <n v="3426.87"/>
    <s v="Complete Access"/>
    <x v="460"/>
    <x v="8"/>
    <x v="29"/>
    <d v="1900-01-16T00:00:00"/>
    <n v="21"/>
    <x v="9"/>
    <x v="3"/>
  </r>
  <r>
    <x v="790"/>
    <n v="-55"/>
    <x v="1754"/>
    <n v="3309.52"/>
    <s v="Complete Access"/>
    <x v="433"/>
    <x v="7"/>
    <x v="53"/>
    <d v="1900-01-16T00:00:00"/>
    <n v="21"/>
    <x v="9"/>
    <x v="3"/>
  </r>
  <r>
    <x v="791"/>
    <n v="-5.3"/>
    <x v="1617"/>
    <n v="3611.65"/>
    <s v="Complete Access"/>
    <x v="421"/>
    <x v="20"/>
    <x v="63"/>
    <d v="1900-01-15T00:00:00"/>
    <n v="21"/>
    <x v="9"/>
    <x v="3"/>
  </r>
  <r>
    <x v="792"/>
    <n v="-50"/>
    <x v="1755"/>
    <n v="3621.95"/>
    <s v="Complete Access"/>
    <x v="130"/>
    <x v="0"/>
    <x v="0"/>
    <d v="1900-01-14T00:00:00"/>
    <n v="21"/>
    <x v="9"/>
    <x v="3"/>
  </r>
  <r>
    <x v="792"/>
    <n v="-5"/>
    <x v="72"/>
    <n v="3616.95"/>
    <s v="Complete Access"/>
    <x v="37"/>
    <x v="0"/>
    <x v="0"/>
    <d v="1900-01-14T00:00:00"/>
    <n v="21"/>
    <x v="9"/>
    <x v="3"/>
  </r>
  <r>
    <x v="793"/>
    <n v="-150"/>
    <x v="1756"/>
    <n v="3676.95"/>
    <s v="Complete Access"/>
    <x v="130"/>
    <x v="0"/>
    <x v="0"/>
    <d v="1900-01-13T00:00:00"/>
    <n v="20"/>
    <x v="9"/>
    <x v="3"/>
  </r>
  <r>
    <x v="793"/>
    <n v="-5"/>
    <x v="1757"/>
    <n v="3671.95"/>
    <s v="Complete Access"/>
    <x v="37"/>
    <x v="0"/>
    <x v="0"/>
    <d v="1900-01-13T00:00:00"/>
    <n v="20"/>
    <x v="9"/>
    <x v="3"/>
  </r>
  <r>
    <x v="793"/>
    <n v="-13.9"/>
    <x v="1758"/>
    <n v="3853.2"/>
    <s v="Complete Access"/>
    <x v="47"/>
    <x v="1"/>
    <x v="5"/>
    <d v="1900-01-13T00:00:00"/>
    <n v="20"/>
    <x v="9"/>
    <x v="3"/>
  </r>
  <r>
    <x v="793"/>
    <n v="-26.25"/>
    <x v="1759"/>
    <n v="3826.95"/>
    <s v="Complete Access"/>
    <x v="461"/>
    <x v="15"/>
    <x v="34"/>
    <d v="1900-01-13T00:00:00"/>
    <n v="20"/>
    <x v="9"/>
    <x v="3"/>
  </r>
  <r>
    <x v="794"/>
    <n v="40"/>
    <x v="1760"/>
    <n v="3867.1"/>
    <s v="Complete Access"/>
    <x v="36"/>
    <x v="0"/>
    <x v="0"/>
    <d v="1900-01-12T00:00:00"/>
    <n v="20"/>
    <x v="9"/>
    <x v="3"/>
  </r>
  <r>
    <x v="795"/>
    <n v="-760"/>
    <x v="656"/>
    <n v="3837.17"/>
    <s v="Complete Access"/>
    <x v="13"/>
    <x v="0"/>
    <x v="0"/>
    <d v="1900-01-11T00:00:00"/>
    <n v="20"/>
    <x v="9"/>
    <x v="3"/>
  </r>
  <r>
    <x v="795"/>
    <n v="2468.7199999999998"/>
    <x v="1761"/>
    <n v="4597.17"/>
    <s v="Complete Access"/>
    <x v="14"/>
    <x v="6"/>
    <x v="9"/>
    <d v="1900-01-11T00:00:00"/>
    <n v="20"/>
    <x v="9"/>
    <x v="3"/>
  </r>
  <r>
    <x v="795"/>
    <n v="-2.0699999999999998"/>
    <x v="1762"/>
    <n v="3827.1"/>
    <s v="Complete Access"/>
    <x v="1"/>
    <x v="1"/>
    <x v="1"/>
    <d v="1900-01-11T00:00:00"/>
    <n v="20"/>
    <x v="9"/>
    <x v="3"/>
  </r>
  <r>
    <x v="795"/>
    <n v="-8"/>
    <x v="1763"/>
    <n v="3829.17"/>
    <s v="Complete Access"/>
    <x v="367"/>
    <x v="4"/>
    <x v="7"/>
    <d v="1900-01-11T00:00:00"/>
    <n v="20"/>
    <x v="9"/>
    <x v="3"/>
  </r>
  <r>
    <x v="796"/>
    <n v="-7.45"/>
    <x v="1764"/>
    <n v="2128.4499999999998"/>
    <s v="Complete Access"/>
    <x v="285"/>
    <x v="5"/>
    <x v="8"/>
    <d v="1900-01-10T00:00:00"/>
    <n v="20"/>
    <x v="9"/>
    <x v="3"/>
  </r>
  <r>
    <x v="797"/>
    <n v="-110"/>
    <x v="1765"/>
    <n v="2135.9"/>
    <s v="Complete Access"/>
    <x v="0"/>
    <x v="0"/>
    <x v="0"/>
    <d v="1900-01-09T00:00:00"/>
    <n v="20"/>
    <x v="9"/>
    <x v="3"/>
  </r>
  <r>
    <x v="797"/>
    <n v="-17.27"/>
    <x v="1766"/>
    <n v="2267.0100000000002"/>
    <s v="Complete Access"/>
    <x v="462"/>
    <x v="1"/>
    <x v="5"/>
    <d v="1900-01-09T00:00:00"/>
    <n v="20"/>
    <x v="9"/>
    <x v="3"/>
  </r>
  <r>
    <x v="797"/>
    <n v="-21.11"/>
    <x v="1641"/>
    <n v="2245.9"/>
    <s v="Complete Access"/>
    <x v="4"/>
    <x v="1"/>
    <x v="1"/>
    <d v="1900-01-09T00:00:00"/>
    <n v="20"/>
    <x v="9"/>
    <x v="3"/>
  </r>
  <r>
    <x v="798"/>
    <n v="9.5"/>
    <x v="1767"/>
    <n v="2284.2800000000002"/>
    <s v="Complete Access"/>
    <x v="36"/>
    <x v="0"/>
    <x v="0"/>
    <d v="1900-01-08T00:00:00"/>
    <n v="20"/>
    <x v="9"/>
    <x v="3"/>
  </r>
  <r>
    <x v="798"/>
    <n v="-10"/>
    <x v="1617"/>
    <n v="2274.7800000000002"/>
    <s v="Complete Access"/>
    <x v="421"/>
    <x v="20"/>
    <x v="63"/>
    <d v="1900-01-08T00:00:00"/>
    <n v="20"/>
    <x v="9"/>
    <x v="3"/>
  </r>
  <r>
    <x v="799"/>
    <n v="-50"/>
    <x v="1768"/>
    <n v="2284.7800000000002"/>
    <s v="Complete Access"/>
    <x v="463"/>
    <x v="10"/>
    <x v="13"/>
    <d v="1900-01-07T00:00:00"/>
    <n v="20"/>
    <x v="9"/>
    <x v="3"/>
  </r>
  <r>
    <x v="800"/>
    <n v="-4.46"/>
    <x v="1769"/>
    <n v="2334.7800000000002"/>
    <s v="Complete Access"/>
    <x v="177"/>
    <x v="1"/>
    <x v="1"/>
    <d v="1900-01-06T00:00:00"/>
    <n v="19"/>
    <x v="9"/>
    <x v="3"/>
  </r>
  <r>
    <x v="801"/>
    <n v="-103.79"/>
    <x v="1770"/>
    <n v="2351.7399999999998"/>
    <s v="Complete Access"/>
    <x v="1"/>
    <x v="1"/>
    <x v="1"/>
    <d v="1900-01-05T00:00:00"/>
    <n v="19"/>
    <x v="9"/>
    <x v="3"/>
  </r>
  <r>
    <x v="801"/>
    <n v="-12.5"/>
    <x v="1771"/>
    <n v="2339.2399999999998"/>
    <s v="Complete Access"/>
    <x v="0"/>
    <x v="0"/>
    <x v="0"/>
    <d v="1900-01-05T00:00:00"/>
    <n v="19"/>
    <x v="9"/>
    <x v="3"/>
  </r>
  <r>
    <x v="802"/>
    <n v="-18.79"/>
    <x v="1772"/>
    <n v="2455.5300000000002"/>
    <s v="Complete Access"/>
    <x v="34"/>
    <x v="9"/>
    <x v="12"/>
    <d v="1900-01-04T00:00:00"/>
    <n v="19"/>
    <x v="9"/>
    <x v="3"/>
  </r>
  <r>
    <x v="803"/>
    <n v="-90"/>
    <x v="1773"/>
    <n v="2474.3200000000002"/>
    <s v="Complete Access"/>
    <x v="438"/>
    <x v="12"/>
    <x v="21"/>
    <d v="1900-01-03T00:00:00"/>
    <n v="19"/>
    <x v="9"/>
    <x v="3"/>
  </r>
  <r>
    <x v="804"/>
    <n v="15"/>
    <x v="1774"/>
    <n v="2564.3200000000002"/>
    <s v="Complete Access"/>
    <x v="160"/>
    <x v="17"/>
    <x v="43"/>
    <d v="1900-01-02T00:00:00"/>
    <n v="19"/>
    <x v="9"/>
    <x v="3"/>
  </r>
  <r>
    <x v="805"/>
    <n v="-22.15"/>
    <x v="96"/>
    <n v="2729.87"/>
    <s v="Complete Access"/>
    <x v="47"/>
    <x v="1"/>
    <x v="5"/>
    <d v="1900-01-01T00:00:00"/>
    <n v="19"/>
    <x v="9"/>
    <x v="3"/>
  </r>
  <r>
    <x v="805"/>
    <n v="-180.55"/>
    <x v="1775"/>
    <n v="2549.3200000000002"/>
    <s v="Complete Access"/>
    <x v="76"/>
    <x v="2"/>
    <x v="2"/>
    <d v="1900-01-01T00:00:00"/>
    <n v="19"/>
    <x v="9"/>
    <x v="3"/>
  </r>
  <r>
    <x v="806"/>
    <n v="-70.209999999999994"/>
    <x v="1776"/>
    <n v="2752.02"/>
    <s v="Complete Access"/>
    <x v="61"/>
    <x v="1"/>
    <x v="1"/>
    <d v="1900-01-28T00:00:00"/>
    <n v="18"/>
    <x v="10"/>
    <x v="3"/>
  </r>
  <r>
    <x v="806"/>
    <n v="-7.5"/>
    <x v="1777"/>
    <n v="2822.23"/>
    <s v="Complete Access"/>
    <x v="464"/>
    <x v="11"/>
    <x v="14"/>
    <d v="1900-01-28T00:00:00"/>
    <n v="18"/>
    <x v="10"/>
    <x v="3"/>
  </r>
  <r>
    <x v="807"/>
    <n v="-760"/>
    <x v="656"/>
    <n v="2849.73"/>
    <s v="Complete Access"/>
    <x v="13"/>
    <x v="0"/>
    <x v="0"/>
    <d v="1900-01-27T00:00:00"/>
    <n v="18"/>
    <x v="10"/>
    <x v="3"/>
  </r>
  <r>
    <x v="807"/>
    <n v="2248.56"/>
    <x v="503"/>
    <n v="3609.73"/>
    <s v="Complete Access"/>
    <x v="14"/>
    <x v="6"/>
    <x v="9"/>
    <d v="1900-01-27T00:00:00"/>
    <n v="18"/>
    <x v="10"/>
    <x v="3"/>
  </r>
  <r>
    <x v="807"/>
    <n v="-20"/>
    <x v="1778"/>
    <n v="2829.73"/>
    <s v="Complete Access"/>
    <x v="465"/>
    <x v="3"/>
    <x v="58"/>
    <d v="1900-01-27T00:00:00"/>
    <n v="18"/>
    <x v="10"/>
    <x v="3"/>
  </r>
  <r>
    <x v="808"/>
    <n v="-11.71"/>
    <x v="1779"/>
    <n v="1612.61"/>
    <s v="Complete Access"/>
    <x v="8"/>
    <x v="1"/>
    <x v="5"/>
    <d v="1900-01-26T00:00:00"/>
    <n v="18"/>
    <x v="10"/>
    <x v="3"/>
  </r>
  <r>
    <x v="808"/>
    <n v="-10"/>
    <x v="1779"/>
    <n v="1624.32"/>
    <s v="Complete Access"/>
    <x v="8"/>
    <x v="1"/>
    <x v="5"/>
    <d v="1900-01-26T00:00:00"/>
    <n v="18"/>
    <x v="10"/>
    <x v="3"/>
  </r>
  <r>
    <x v="808"/>
    <n v="-25.85"/>
    <x v="1780"/>
    <n v="1379.77"/>
    <s v="Complete Access"/>
    <x v="8"/>
    <x v="1"/>
    <x v="5"/>
    <d v="1900-01-26T00:00:00"/>
    <n v="18"/>
    <x v="10"/>
    <x v="3"/>
  </r>
  <r>
    <x v="808"/>
    <n v="-39.090000000000003"/>
    <x v="1780"/>
    <n v="1573.52"/>
    <s v="Complete Access"/>
    <x v="8"/>
    <x v="1"/>
    <x v="5"/>
    <d v="1900-01-26T00:00:00"/>
    <n v="18"/>
    <x v="10"/>
    <x v="3"/>
  </r>
  <r>
    <x v="808"/>
    <n v="-11.05"/>
    <x v="1781"/>
    <n v="1361.17"/>
    <s v="Complete Access"/>
    <x v="466"/>
    <x v="1"/>
    <x v="1"/>
    <d v="1900-01-26T00:00:00"/>
    <n v="18"/>
    <x v="10"/>
    <x v="3"/>
  </r>
  <r>
    <x v="808"/>
    <n v="-33.65"/>
    <x v="1782"/>
    <n v="1713.69"/>
    <s v="Complete Access"/>
    <x v="467"/>
    <x v="1"/>
    <x v="5"/>
    <d v="1900-01-26T00:00:00"/>
    <n v="18"/>
    <x v="10"/>
    <x v="3"/>
  </r>
  <r>
    <x v="808"/>
    <n v="-35"/>
    <x v="1783"/>
    <n v="1678.69"/>
    <s v="Complete Access"/>
    <x v="192"/>
    <x v="4"/>
    <x v="20"/>
    <d v="1900-01-26T00:00:00"/>
    <n v="18"/>
    <x v="10"/>
    <x v="3"/>
  </r>
  <r>
    <x v="808"/>
    <n v="-7.55"/>
    <x v="1784"/>
    <n v="1372.22"/>
    <s v="Complete Access"/>
    <x v="468"/>
    <x v="20"/>
    <x v="63"/>
    <d v="1900-01-26T00:00:00"/>
    <n v="18"/>
    <x v="10"/>
    <x v="3"/>
  </r>
  <r>
    <x v="808"/>
    <n v="-44.37"/>
    <x v="1785"/>
    <n v="1634.32"/>
    <s v="Complete Access"/>
    <x v="104"/>
    <x v="1"/>
    <x v="5"/>
    <d v="1900-01-26T00:00:00"/>
    <n v="18"/>
    <x v="10"/>
    <x v="3"/>
  </r>
  <r>
    <x v="808"/>
    <n v="-26.9"/>
    <x v="1786"/>
    <n v="1405.62"/>
    <s v="Complete Access"/>
    <x v="304"/>
    <x v="1"/>
    <x v="5"/>
    <d v="1900-01-26T00:00:00"/>
    <n v="18"/>
    <x v="10"/>
    <x v="3"/>
  </r>
  <r>
    <x v="808"/>
    <n v="-33"/>
    <x v="1787"/>
    <n v="1432.52"/>
    <s v="Complete Access"/>
    <x v="425"/>
    <x v="8"/>
    <x v="29"/>
    <d v="1900-01-26T00:00:00"/>
    <n v="18"/>
    <x v="10"/>
    <x v="3"/>
  </r>
  <r>
    <x v="808"/>
    <n v="-24"/>
    <x v="1787"/>
    <n v="1465.52"/>
    <s v="Complete Access"/>
    <x v="425"/>
    <x v="8"/>
    <x v="29"/>
    <d v="1900-01-26T00:00:00"/>
    <n v="18"/>
    <x v="10"/>
    <x v="3"/>
  </r>
  <r>
    <x v="808"/>
    <n v="-34"/>
    <x v="1787"/>
    <n v="1489.52"/>
    <s v="Complete Access"/>
    <x v="425"/>
    <x v="8"/>
    <x v="29"/>
    <d v="1900-01-26T00:00:00"/>
    <n v="18"/>
    <x v="10"/>
    <x v="3"/>
  </r>
  <r>
    <x v="808"/>
    <n v="-28"/>
    <x v="1787"/>
    <n v="1523.52"/>
    <s v="Complete Access"/>
    <x v="425"/>
    <x v="8"/>
    <x v="29"/>
    <d v="1900-01-26T00:00:00"/>
    <n v="18"/>
    <x v="10"/>
    <x v="3"/>
  </r>
  <r>
    <x v="808"/>
    <n v="-22"/>
    <x v="1787"/>
    <n v="1551.52"/>
    <s v="Complete Access"/>
    <x v="425"/>
    <x v="8"/>
    <x v="29"/>
    <d v="1900-01-26T00:00:00"/>
    <n v="18"/>
    <x v="10"/>
    <x v="3"/>
  </r>
  <r>
    <x v="809"/>
    <n v="-72.17"/>
    <x v="1788"/>
    <n v="1747.34"/>
    <s v="Complete Access"/>
    <x v="469"/>
    <x v="1"/>
    <x v="5"/>
    <d v="1900-01-24T00:00:00"/>
    <n v="18"/>
    <x v="10"/>
    <x v="3"/>
  </r>
  <r>
    <x v="810"/>
    <n v="-13.65"/>
    <x v="1789"/>
    <n v="1825.41"/>
    <s v="Complete Access"/>
    <x v="333"/>
    <x v="1"/>
    <x v="5"/>
    <d v="1900-01-22T00:00:00"/>
    <n v="17"/>
    <x v="10"/>
    <x v="3"/>
  </r>
  <r>
    <x v="810"/>
    <n v="-5.9"/>
    <x v="1790"/>
    <n v="1819.51"/>
    <s v="Complete Access"/>
    <x v="243"/>
    <x v="1"/>
    <x v="23"/>
    <d v="1900-01-22T00:00:00"/>
    <n v="17"/>
    <x v="10"/>
    <x v="3"/>
  </r>
  <r>
    <x v="811"/>
    <n v="-72.45"/>
    <x v="1791"/>
    <n v="1839.06"/>
    <s v="Complete Access"/>
    <x v="470"/>
    <x v="8"/>
    <x v="40"/>
    <d v="1900-01-21T00:00:00"/>
    <n v="17"/>
    <x v="10"/>
    <x v="3"/>
  </r>
  <r>
    <x v="811"/>
    <n v="-69"/>
    <x v="1792"/>
    <n v="1911.51"/>
    <s v="Complete Access"/>
    <x v="207"/>
    <x v="7"/>
    <x v="11"/>
    <d v="1900-01-21T00:00:00"/>
    <n v="17"/>
    <x v="10"/>
    <x v="3"/>
  </r>
  <r>
    <x v="811"/>
    <n v="-12.7"/>
    <x v="1793"/>
    <n v="2090.87"/>
    <s v="Complete Access"/>
    <x v="471"/>
    <x v="15"/>
    <x v="34"/>
    <d v="1900-01-21T00:00:00"/>
    <n v="17"/>
    <x v="10"/>
    <x v="3"/>
  </r>
  <r>
    <x v="811"/>
    <n v="-57.12"/>
    <x v="1794"/>
    <n v="1980.51"/>
    <s v="Complete Access"/>
    <x v="471"/>
    <x v="15"/>
    <x v="34"/>
    <d v="1900-01-21T00:00:00"/>
    <n v="17"/>
    <x v="10"/>
    <x v="3"/>
  </r>
  <r>
    <x v="811"/>
    <n v="-53.24"/>
    <x v="1794"/>
    <n v="2037.63"/>
    <s v="Complete Access"/>
    <x v="471"/>
    <x v="15"/>
    <x v="34"/>
    <d v="1900-01-21T00:00:00"/>
    <n v="17"/>
    <x v="10"/>
    <x v="3"/>
  </r>
  <r>
    <x v="812"/>
    <n v="-86.59"/>
    <x v="1795"/>
    <n v="2129.15"/>
    <s v="Complete Access"/>
    <x v="256"/>
    <x v="4"/>
    <x v="47"/>
    <d v="1900-01-20T00:00:00"/>
    <n v="17"/>
    <x v="10"/>
    <x v="3"/>
  </r>
  <r>
    <x v="812"/>
    <n v="-3.3"/>
    <x v="1796"/>
    <n v="2215.7399999999998"/>
    <s v="Complete Access"/>
    <x v="220"/>
    <x v="1"/>
    <x v="5"/>
    <d v="1900-01-20T00:00:00"/>
    <n v="17"/>
    <x v="10"/>
    <x v="3"/>
  </r>
  <r>
    <x v="812"/>
    <n v="-13"/>
    <x v="96"/>
    <n v="2103.5700000000002"/>
    <s v="Complete Access"/>
    <x v="47"/>
    <x v="1"/>
    <x v="5"/>
    <d v="1900-01-20T00:00:00"/>
    <n v="17"/>
    <x v="10"/>
    <x v="3"/>
  </r>
  <r>
    <x v="812"/>
    <n v="-2.6"/>
    <x v="1797"/>
    <n v="2126.5500000000002"/>
    <s v="Complete Access"/>
    <x v="10"/>
    <x v="0"/>
    <x v="0"/>
    <d v="1900-01-20T00:00:00"/>
    <n v="17"/>
    <x v="10"/>
    <x v="3"/>
  </r>
  <r>
    <x v="812"/>
    <n v="-9.98"/>
    <x v="966"/>
    <n v="2116.5700000000002"/>
    <s v="Complete Access"/>
    <x v="215"/>
    <x v="1"/>
    <x v="1"/>
    <d v="1900-01-20T00:00:00"/>
    <n v="17"/>
    <x v="10"/>
    <x v="3"/>
  </r>
  <r>
    <x v="813"/>
    <n v="-10"/>
    <x v="1798"/>
    <n v="2615.9"/>
    <s v="Complete Access"/>
    <x v="472"/>
    <x v="8"/>
    <x v="40"/>
    <d v="1900-01-19T00:00:00"/>
    <n v="17"/>
    <x v="10"/>
    <x v="3"/>
  </r>
  <r>
    <x v="813"/>
    <n v="-38.159999999999997"/>
    <x v="1799"/>
    <n v="2625.9"/>
    <s v="Complete Access"/>
    <x v="8"/>
    <x v="1"/>
    <x v="5"/>
    <d v="1900-01-19T00:00:00"/>
    <n v="17"/>
    <x v="10"/>
    <x v="3"/>
  </r>
  <r>
    <x v="813"/>
    <n v="-56.6"/>
    <x v="1800"/>
    <n v="2774.95"/>
    <s v="Complete Access"/>
    <x v="473"/>
    <x v="1"/>
    <x v="5"/>
    <d v="1900-01-19T00:00:00"/>
    <n v="17"/>
    <x v="10"/>
    <x v="3"/>
  </r>
  <r>
    <x v="813"/>
    <n v="-13.09"/>
    <x v="1588"/>
    <n v="2219.04"/>
    <s v="Complete Access"/>
    <x v="423"/>
    <x v="1"/>
    <x v="5"/>
    <d v="1900-01-19T00:00:00"/>
    <n v="17"/>
    <x v="10"/>
    <x v="3"/>
  </r>
  <r>
    <x v="813"/>
    <n v="-17.899999999999999"/>
    <x v="1801"/>
    <n v="2831.55"/>
    <s v="Complete Access"/>
    <x v="474"/>
    <x v="1"/>
    <x v="5"/>
    <d v="1900-01-19T00:00:00"/>
    <n v="17"/>
    <x v="10"/>
    <x v="3"/>
  </r>
  <r>
    <x v="813"/>
    <n v="-227.7"/>
    <x v="1802"/>
    <n v="2388.1999999999998"/>
    <s v="Complete Access"/>
    <x v="475"/>
    <x v="8"/>
    <x v="40"/>
    <d v="1900-01-19T00:00:00"/>
    <n v="17"/>
    <x v="10"/>
    <x v="3"/>
  </r>
  <r>
    <x v="813"/>
    <n v="-5.99"/>
    <x v="1803"/>
    <n v="2852.95"/>
    <s v="Complete Access"/>
    <x v="476"/>
    <x v="4"/>
    <x v="7"/>
    <d v="1900-01-19T00:00:00"/>
    <n v="17"/>
    <x v="10"/>
    <x v="3"/>
  </r>
  <r>
    <x v="813"/>
    <n v="-110.89"/>
    <x v="1804"/>
    <n v="2664.06"/>
    <s v="Complete Access"/>
    <x v="477"/>
    <x v="8"/>
    <x v="29"/>
    <d v="1900-01-19T00:00:00"/>
    <n v="17"/>
    <x v="10"/>
    <x v="3"/>
  </r>
  <r>
    <x v="813"/>
    <n v="-37.07"/>
    <x v="1805"/>
    <n v="2232.13"/>
    <s v="Complete Access"/>
    <x v="1"/>
    <x v="1"/>
    <x v="1"/>
    <d v="1900-01-19T00:00:00"/>
    <n v="17"/>
    <x v="10"/>
    <x v="3"/>
  </r>
  <r>
    <x v="813"/>
    <n v="-3.5"/>
    <x v="1806"/>
    <n v="2849.45"/>
    <s v="Complete Access"/>
    <x v="91"/>
    <x v="9"/>
    <x v="12"/>
    <d v="1900-01-19T00:00:00"/>
    <n v="17"/>
    <x v="10"/>
    <x v="3"/>
  </r>
  <r>
    <x v="813"/>
    <n v="-119"/>
    <x v="1807"/>
    <n v="2269.1999999999998"/>
    <s v="Complete Access"/>
    <x v="77"/>
    <x v="4"/>
    <x v="27"/>
    <d v="1900-01-19T00:00:00"/>
    <n v="17"/>
    <x v="10"/>
    <x v="3"/>
  </r>
  <r>
    <x v="814"/>
    <n v="-8.1"/>
    <x v="1617"/>
    <n v="2913.94"/>
    <s v="Complete Access"/>
    <x v="421"/>
    <x v="20"/>
    <x v="63"/>
    <d v="1900-01-18T00:00:00"/>
    <n v="17"/>
    <x v="10"/>
    <x v="3"/>
  </r>
  <r>
    <x v="814"/>
    <n v="-55"/>
    <x v="1808"/>
    <n v="2858.94"/>
    <s v="Complete Access"/>
    <x v="433"/>
    <x v="7"/>
    <x v="53"/>
    <d v="1900-01-18T00:00:00"/>
    <n v="17"/>
    <x v="10"/>
    <x v="3"/>
  </r>
  <r>
    <x v="815"/>
    <n v="80"/>
    <x v="1809"/>
    <n v="2922.04"/>
    <s v="Complete Access"/>
    <x v="36"/>
    <x v="0"/>
    <x v="0"/>
    <d v="1900-01-17T00:00:00"/>
    <n v="17"/>
    <x v="10"/>
    <x v="3"/>
  </r>
  <r>
    <x v="815"/>
    <n v="-35.6"/>
    <x v="1810"/>
    <n v="2932.04"/>
    <s v="Complete Access"/>
    <x v="478"/>
    <x v="20"/>
    <x v="63"/>
    <d v="1900-01-17T00:00:00"/>
    <n v="17"/>
    <x v="10"/>
    <x v="3"/>
  </r>
  <r>
    <x v="815"/>
    <n v="-90"/>
    <x v="1811"/>
    <n v="2842.04"/>
    <s v="Complete Access"/>
    <x v="479"/>
    <x v="1"/>
    <x v="5"/>
    <d v="1900-01-17T00:00:00"/>
    <n v="17"/>
    <x v="10"/>
    <x v="3"/>
  </r>
  <r>
    <x v="815"/>
    <n v="-80"/>
    <x v="1812"/>
    <n v="2.0299999999999998"/>
    <s v="Netbank Saver"/>
    <x v="13"/>
    <x v="0"/>
    <x v="0"/>
    <d v="1900-01-17T00:00:00"/>
    <n v="17"/>
    <x v="10"/>
    <x v="3"/>
  </r>
  <r>
    <x v="816"/>
    <n v="616.4"/>
    <x v="1813"/>
    <n v="3056.54"/>
    <s v="Complete Access"/>
    <x v="36"/>
    <x v="0"/>
    <x v="0"/>
    <d v="1900-01-16T00:00:00"/>
    <n v="17"/>
    <x v="10"/>
    <x v="3"/>
  </r>
  <r>
    <x v="816"/>
    <n v="-10.35"/>
    <x v="1814"/>
    <n v="2440.14"/>
    <s v="Complete Access"/>
    <x v="480"/>
    <x v="8"/>
    <x v="29"/>
    <d v="1900-01-16T00:00:00"/>
    <n v="17"/>
    <x v="10"/>
    <x v="3"/>
  </r>
  <r>
    <x v="816"/>
    <n v="-88.9"/>
    <x v="1815"/>
    <n v="2967.64"/>
    <s v="Complete Access"/>
    <x v="481"/>
    <x v="1"/>
    <x v="5"/>
    <d v="1900-01-16T00:00:00"/>
    <n v="17"/>
    <x v="10"/>
    <x v="3"/>
  </r>
  <r>
    <x v="817"/>
    <n v="32"/>
    <x v="1816"/>
    <n v="2493.12"/>
    <s v="Complete Access"/>
    <x v="36"/>
    <x v="0"/>
    <x v="0"/>
    <d v="1900-01-15T00:00:00"/>
    <n v="16"/>
    <x v="10"/>
    <x v="3"/>
  </r>
  <r>
    <x v="817"/>
    <n v="40.5"/>
    <x v="1817"/>
    <n v="2461.12"/>
    <s v="Complete Access"/>
    <x v="36"/>
    <x v="0"/>
    <x v="0"/>
    <d v="1900-01-15T00:00:00"/>
    <n v="16"/>
    <x v="10"/>
    <x v="3"/>
  </r>
  <r>
    <x v="817"/>
    <n v="25"/>
    <x v="1818"/>
    <n v="2450.4899999999998"/>
    <s v="Complete Access"/>
    <x v="36"/>
    <x v="0"/>
    <x v="0"/>
    <d v="1900-01-15T00:00:00"/>
    <n v="16"/>
    <x v="10"/>
    <x v="3"/>
  </r>
  <r>
    <x v="817"/>
    <n v="-17.079999999999998"/>
    <x v="1819"/>
    <n v="2476.04"/>
    <s v="Complete Access"/>
    <x v="482"/>
    <x v="1"/>
    <x v="5"/>
    <d v="1900-01-15T00:00:00"/>
    <n v="16"/>
    <x v="10"/>
    <x v="3"/>
  </r>
  <r>
    <x v="817"/>
    <n v="-50.55"/>
    <x v="1820"/>
    <n v="2425.4899999999998"/>
    <s v="Complete Access"/>
    <x v="483"/>
    <x v="1"/>
    <x v="1"/>
    <d v="1900-01-15T00:00:00"/>
    <n v="16"/>
    <x v="10"/>
    <x v="3"/>
  </r>
  <r>
    <x v="818"/>
    <n v="-34.44"/>
    <x v="1810"/>
    <n v="2537.6"/>
    <s v="Complete Access"/>
    <x v="478"/>
    <x v="20"/>
    <x v="63"/>
    <d v="1900-01-14T00:00:00"/>
    <n v="16"/>
    <x v="10"/>
    <x v="3"/>
  </r>
  <r>
    <x v="818"/>
    <n v="-91"/>
    <x v="1821"/>
    <n v="2420.62"/>
    <s v="Complete Access"/>
    <x v="484"/>
    <x v="1"/>
    <x v="5"/>
    <d v="1900-01-14T00:00:00"/>
    <n v="16"/>
    <x v="10"/>
    <x v="3"/>
  </r>
  <r>
    <x v="818"/>
    <n v="-10.98"/>
    <x v="1822"/>
    <n v="2511.62"/>
    <s v="Complete Access"/>
    <x v="485"/>
    <x v="11"/>
    <x v="14"/>
    <d v="1900-01-14T00:00:00"/>
    <n v="16"/>
    <x v="10"/>
    <x v="3"/>
  </r>
  <r>
    <x v="818"/>
    <n v="-15"/>
    <x v="1823"/>
    <n v="2522.6"/>
    <s v="Complete Access"/>
    <x v="486"/>
    <x v="3"/>
    <x v="15"/>
    <d v="1900-01-14T00:00:00"/>
    <n v="16"/>
    <x v="10"/>
    <x v="3"/>
  </r>
  <r>
    <x v="818"/>
    <n v="-5.69"/>
    <x v="1824"/>
    <n v="3577.14"/>
    <s v="Complete Access"/>
    <x v="487"/>
    <x v="15"/>
    <x v="71"/>
    <d v="1900-01-14T00:00:00"/>
    <n v="16"/>
    <x v="10"/>
    <x v="3"/>
  </r>
  <r>
    <x v="818"/>
    <n v="-1005.1"/>
    <x v="1825"/>
    <n v="2572.04"/>
    <s v="Complete Access"/>
    <x v="160"/>
    <x v="17"/>
    <x v="43"/>
    <d v="1900-01-14T00:00:00"/>
    <n v="16"/>
    <x v="10"/>
    <x v="3"/>
  </r>
  <r>
    <x v="819"/>
    <n v="-760"/>
    <x v="656"/>
    <n v="3625.51"/>
    <s v="Complete Access"/>
    <x v="13"/>
    <x v="0"/>
    <x v="0"/>
    <d v="1900-01-13T00:00:00"/>
    <n v="16"/>
    <x v="10"/>
    <x v="3"/>
  </r>
  <r>
    <x v="819"/>
    <n v="2259.67"/>
    <x v="16"/>
    <n v="4385.51"/>
    <s v="Complete Access"/>
    <x v="14"/>
    <x v="6"/>
    <x v="9"/>
    <d v="1900-01-13T00:00:00"/>
    <n v="16"/>
    <x v="10"/>
    <x v="3"/>
  </r>
  <r>
    <x v="819"/>
    <n v="-42.68"/>
    <x v="1826"/>
    <n v="3582.83"/>
    <s v="Complete Access"/>
    <x v="1"/>
    <x v="1"/>
    <x v="1"/>
    <d v="1900-01-13T00:00:00"/>
    <n v="16"/>
    <x v="10"/>
    <x v="3"/>
  </r>
  <r>
    <x v="820"/>
    <n v="-8.15"/>
    <x v="1827"/>
    <n v="2163.6"/>
    <s v="Complete Access"/>
    <x v="285"/>
    <x v="5"/>
    <x v="8"/>
    <d v="1900-01-12T00:00:00"/>
    <n v="16"/>
    <x v="10"/>
    <x v="3"/>
  </r>
  <r>
    <x v="820"/>
    <n v="-37.76"/>
    <x v="1828"/>
    <n v="2125.84"/>
    <s v="Complete Access"/>
    <x v="304"/>
    <x v="1"/>
    <x v="5"/>
    <d v="1900-01-12T00:00:00"/>
    <n v="16"/>
    <x v="10"/>
    <x v="3"/>
  </r>
  <r>
    <x v="821"/>
    <n v="-34.619999999999997"/>
    <x v="1829"/>
    <n v="2171.75"/>
    <s v="Complete Access"/>
    <x v="8"/>
    <x v="1"/>
    <x v="5"/>
    <d v="1900-01-11T00:00:00"/>
    <n v="16"/>
    <x v="10"/>
    <x v="3"/>
  </r>
  <r>
    <x v="821"/>
    <n v="-8"/>
    <x v="1830"/>
    <n v="2206.37"/>
    <s v="Complete Access"/>
    <x v="367"/>
    <x v="4"/>
    <x v="7"/>
    <d v="1900-01-11T00:00:00"/>
    <n v="16"/>
    <x v="10"/>
    <x v="3"/>
  </r>
  <r>
    <x v="822"/>
    <n v="19"/>
    <x v="1831"/>
    <n v="2214.37"/>
    <s v="Complete Access"/>
    <x v="36"/>
    <x v="0"/>
    <x v="0"/>
    <d v="1900-01-10T00:00:00"/>
    <n v="16"/>
    <x v="10"/>
    <x v="3"/>
  </r>
  <r>
    <x v="823"/>
    <n v="-11"/>
    <x v="1345"/>
    <n v="2144.37"/>
    <s v="Complete Access"/>
    <x v="383"/>
    <x v="1"/>
    <x v="5"/>
    <d v="1900-01-08T00:00:00"/>
    <n v="15"/>
    <x v="10"/>
    <x v="3"/>
  </r>
  <r>
    <x v="823"/>
    <n v="-8.6999999999999993"/>
    <x v="1345"/>
    <n v="2155.37"/>
    <s v="Complete Access"/>
    <x v="383"/>
    <x v="1"/>
    <x v="5"/>
    <d v="1900-01-08T00:00:00"/>
    <n v="15"/>
    <x v="10"/>
    <x v="3"/>
  </r>
  <r>
    <x v="823"/>
    <n v="51"/>
    <x v="1832"/>
    <n v="2195.37"/>
    <s v="Complete Access"/>
    <x v="36"/>
    <x v="0"/>
    <x v="0"/>
    <d v="1900-01-08T00:00:00"/>
    <n v="15"/>
    <x v="10"/>
    <x v="3"/>
  </r>
  <r>
    <x v="823"/>
    <n v="-103.28"/>
    <x v="1833"/>
    <n v="2164.0700000000002"/>
    <s v="Complete Access"/>
    <x v="488"/>
    <x v="20"/>
    <x v="63"/>
    <d v="1900-01-08T00:00:00"/>
    <n v="15"/>
    <x v="10"/>
    <x v="3"/>
  </r>
  <r>
    <x v="824"/>
    <n v="-129"/>
    <x v="1834"/>
    <n v="2267.35"/>
    <s v="Complete Access"/>
    <x v="214"/>
    <x v="4"/>
    <x v="52"/>
    <d v="1900-01-07T00:00:00"/>
    <n v="15"/>
    <x v="10"/>
    <x v="3"/>
  </r>
  <r>
    <x v="825"/>
    <n v="-7.58"/>
    <x v="1835"/>
    <n v="2434.23"/>
    <s v="Complete Access"/>
    <x v="285"/>
    <x v="5"/>
    <x v="8"/>
    <d v="1900-01-05T00:00:00"/>
    <n v="15"/>
    <x v="10"/>
    <x v="3"/>
  </r>
  <r>
    <x v="825"/>
    <n v="-3.15"/>
    <x v="1836"/>
    <n v="2396.35"/>
    <s v="Complete Access"/>
    <x v="220"/>
    <x v="1"/>
    <x v="5"/>
    <d v="1900-01-05T00:00:00"/>
    <n v="15"/>
    <x v="10"/>
    <x v="3"/>
  </r>
  <r>
    <x v="825"/>
    <n v="-30.93"/>
    <x v="1837"/>
    <n v="2399.5"/>
    <s v="Complete Access"/>
    <x v="489"/>
    <x v="1"/>
    <x v="5"/>
    <d v="1900-01-05T00:00:00"/>
    <n v="15"/>
    <x v="10"/>
    <x v="3"/>
  </r>
  <r>
    <x v="825"/>
    <n v="-3.8"/>
    <x v="1838"/>
    <n v="2430.4299999999998"/>
    <s v="Complete Access"/>
    <x v="398"/>
    <x v="1"/>
    <x v="5"/>
    <d v="1900-01-05T00:00:00"/>
    <n v="15"/>
    <x v="10"/>
    <x v="3"/>
  </r>
  <r>
    <x v="826"/>
    <n v="-4.0999999999999996"/>
    <x v="1839"/>
    <n v="2441.81"/>
    <s v="Complete Access"/>
    <x v="490"/>
    <x v="1"/>
    <x v="5"/>
    <d v="1900-01-04T00:00:00"/>
    <n v="15"/>
    <x v="10"/>
    <x v="3"/>
  </r>
  <r>
    <x v="827"/>
    <n v="-10.5"/>
    <x v="1345"/>
    <n v="2445.91"/>
    <s v="Complete Access"/>
    <x v="383"/>
    <x v="1"/>
    <x v="5"/>
    <d v="1900-01-03T00:00:00"/>
    <n v="15"/>
    <x v="10"/>
    <x v="3"/>
  </r>
  <r>
    <x v="827"/>
    <n v="-16.649999999999999"/>
    <x v="1588"/>
    <n v="2456.41"/>
    <s v="Complete Access"/>
    <x v="423"/>
    <x v="1"/>
    <x v="5"/>
    <d v="1900-01-03T00:00:00"/>
    <n v="15"/>
    <x v="10"/>
    <x v="3"/>
  </r>
  <r>
    <x v="828"/>
    <n v="54"/>
    <x v="1840"/>
    <n v="2564.0500000000002"/>
    <s v="Complete Access"/>
    <x v="36"/>
    <x v="0"/>
    <x v="0"/>
    <d v="1900-01-02T00:00:00"/>
    <n v="15"/>
    <x v="10"/>
    <x v="3"/>
  </r>
  <r>
    <x v="828"/>
    <n v="-90.99"/>
    <x v="989"/>
    <n v="2473.06"/>
    <s v="Complete Access"/>
    <x v="332"/>
    <x v="1"/>
    <x v="5"/>
    <d v="1900-01-02T00:00:00"/>
    <n v="15"/>
    <x v="10"/>
    <x v="3"/>
  </r>
  <r>
    <x v="829"/>
    <n v="-17.899999999999999"/>
    <x v="1841"/>
    <n v="2510.0500000000002"/>
    <s v="Complete Access"/>
    <x v="491"/>
    <x v="20"/>
    <x v="63"/>
    <d v="1900-01-01T00:00:00"/>
    <n v="14"/>
    <x v="10"/>
    <x v="3"/>
  </r>
  <r>
    <x v="830"/>
    <n v="-7.58"/>
    <x v="1842"/>
    <n v="2748.85"/>
    <s v="Complete Access"/>
    <x v="285"/>
    <x v="5"/>
    <x v="8"/>
    <d v="1899-12-31T00:00:00"/>
    <n v="14"/>
    <x v="10"/>
    <x v="3"/>
  </r>
  <r>
    <x v="830"/>
    <n v="-19.2"/>
    <x v="1843"/>
    <n v="2726.5"/>
    <s v="Complete Access"/>
    <x v="492"/>
    <x v="8"/>
    <x v="29"/>
    <d v="1899-12-31T00:00:00"/>
    <n v="14"/>
    <x v="10"/>
    <x v="3"/>
  </r>
  <r>
    <x v="830"/>
    <n v="-18"/>
    <x v="1843"/>
    <n v="2708.5"/>
    <s v="Complete Access"/>
    <x v="492"/>
    <x v="8"/>
    <x v="29"/>
    <d v="1899-12-31T00:00:00"/>
    <n v="14"/>
    <x v="10"/>
    <x v="3"/>
  </r>
  <r>
    <x v="830"/>
    <n v="-3.15"/>
    <x v="1844"/>
    <n v="2745.7"/>
    <s v="Complete Access"/>
    <x v="220"/>
    <x v="1"/>
    <x v="5"/>
    <d v="1899-12-31T00:00:00"/>
    <n v="14"/>
    <x v="10"/>
    <x v="3"/>
  </r>
  <r>
    <x v="830"/>
    <n v="-180.55"/>
    <x v="1845"/>
    <n v="2527.9499999999998"/>
    <s v="Complete Access"/>
    <x v="76"/>
    <x v="2"/>
    <x v="2"/>
    <d v="1899-12-31T00:00:00"/>
    <n v="14"/>
    <x v="10"/>
    <x v="3"/>
  </r>
  <r>
    <x v="831"/>
    <n v="-760"/>
    <x v="656"/>
    <n v="2881.88"/>
    <s v="Complete Access"/>
    <x v="13"/>
    <x v="0"/>
    <x v="0"/>
    <d v="1900-01-30T00:00:00"/>
    <n v="14"/>
    <x v="11"/>
    <x v="3"/>
  </r>
  <r>
    <x v="831"/>
    <n v="-9.24"/>
    <x v="1846"/>
    <n v="2872.64"/>
    <s v="Complete Access"/>
    <x v="285"/>
    <x v="5"/>
    <x v="8"/>
    <d v="1900-01-30T00:00:00"/>
    <n v="14"/>
    <x v="11"/>
    <x v="3"/>
  </r>
  <r>
    <x v="831"/>
    <n v="2912.63"/>
    <x v="1847"/>
    <n v="3641.88"/>
    <s v="Complete Access"/>
    <x v="14"/>
    <x v="6"/>
    <x v="9"/>
    <d v="1900-01-30T00:00:00"/>
    <n v="14"/>
    <x v="11"/>
    <x v="3"/>
  </r>
  <r>
    <x v="831"/>
    <n v="-116.21"/>
    <x v="1848"/>
    <n v="2756.43"/>
    <s v="Complete Access"/>
    <x v="1"/>
    <x v="1"/>
    <x v="1"/>
    <d v="1900-01-30T00:00:00"/>
    <n v="14"/>
    <x v="11"/>
    <x v="3"/>
  </r>
  <r>
    <x v="832"/>
    <n v="-9.24"/>
    <x v="1849"/>
    <n v="792.2"/>
    <s v="Complete Access"/>
    <x v="285"/>
    <x v="5"/>
    <x v="8"/>
    <d v="1900-01-29T00:00:00"/>
    <n v="14"/>
    <x v="11"/>
    <x v="3"/>
  </r>
  <r>
    <x v="832"/>
    <n v="-62.95"/>
    <x v="1850"/>
    <n v="729.25"/>
    <s v="Complete Access"/>
    <x v="493"/>
    <x v="20"/>
    <x v="63"/>
    <d v="1900-01-29T00:00:00"/>
    <n v="14"/>
    <x v="11"/>
    <x v="3"/>
  </r>
  <r>
    <x v="833"/>
    <n v="-734.11"/>
    <x v="1851"/>
    <n v="876.75"/>
    <s v="Complete Access"/>
    <x v="256"/>
    <x v="4"/>
    <x v="47"/>
    <d v="1900-01-28T00:00:00"/>
    <n v="14"/>
    <x v="11"/>
    <x v="3"/>
  </r>
  <r>
    <x v="833"/>
    <n v="-41.29"/>
    <x v="1852"/>
    <n v="813.44"/>
    <s v="Complete Access"/>
    <x v="8"/>
    <x v="1"/>
    <x v="5"/>
    <d v="1900-01-28T00:00:00"/>
    <n v="14"/>
    <x v="11"/>
    <x v="3"/>
  </r>
  <r>
    <x v="833"/>
    <n v="9"/>
    <x v="1767"/>
    <n v="822.44"/>
    <s v="Complete Access"/>
    <x v="36"/>
    <x v="0"/>
    <x v="0"/>
    <d v="1900-01-28T00:00:00"/>
    <n v="14"/>
    <x v="11"/>
    <x v="3"/>
  </r>
  <r>
    <x v="833"/>
    <n v="-21"/>
    <x v="1617"/>
    <n v="801.44"/>
    <s v="Complete Access"/>
    <x v="421"/>
    <x v="20"/>
    <x v="63"/>
    <d v="1900-01-28T00:00:00"/>
    <n v="14"/>
    <x v="11"/>
    <x v="3"/>
  </r>
  <r>
    <x v="833"/>
    <n v="-16"/>
    <x v="1853"/>
    <n v="1651.22"/>
    <s v="Complete Access"/>
    <x v="269"/>
    <x v="1"/>
    <x v="1"/>
    <d v="1900-01-28T00:00:00"/>
    <n v="14"/>
    <x v="11"/>
    <x v="3"/>
  </r>
  <r>
    <x v="833"/>
    <n v="-27.8"/>
    <x v="1853"/>
    <n v="1667.22"/>
    <s v="Complete Access"/>
    <x v="269"/>
    <x v="1"/>
    <x v="1"/>
    <d v="1900-01-28T00:00:00"/>
    <n v="14"/>
    <x v="11"/>
    <x v="3"/>
  </r>
  <r>
    <x v="833"/>
    <n v="-1074.97"/>
    <x v="1854"/>
    <n v="1695.02"/>
    <s v="Complete Access"/>
    <x v="494"/>
    <x v="15"/>
    <x v="56"/>
    <d v="1900-01-28T00:00:00"/>
    <n v="14"/>
    <x v="11"/>
    <x v="3"/>
  </r>
  <r>
    <x v="833"/>
    <n v="-22.02"/>
    <x v="1855"/>
    <n v="854.73"/>
    <s v="Complete Access"/>
    <x v="10"/>
    <x v="0"/>
    <x v="0"/>
    <d v="1900-01-28T00:00:00"/>
    <n v="14"/>
    <x v="11"/>
    <x v="3"/>
  </r>
  <r>
    <x v="833"/>
    <n v="-40.36"/>
    <x v="1856"/>
    <n v="1610.86"/>
    <s v="Complete Access"/>
    <x v="34"/>
    <x v="9"/>
    <x v="12"/>
    <d v="1900-01-28T00:00:00"/>
    <n v="14"/>
    <x v="11"/>
    <x v="3"/>
  </r>
  <r>
    <x v="834"/>
    <n v="9"/>
    <x v="1857"/>
    <n v="2788.59"/>
    <s v="Complete Access"/>
    <x v="36"/>
    <x v="0"/>
    <x v="0"/>
    <d v="1900-01-27T00:00:00"/>
    <n v="14"/>
    <x v="11"/>
    <x v="3"/>
  </r>
  <r>
    <x v="834"/>
    <n v="-17.600000000000001"/>
    <x v="1617"/>
    <n v="2770.99"/>
    <s v="Complete Access"/>
    <x v="421"/>
    <x v="20"/>
    <x v="63"/>
    <d v="1900-01-27T00:00:00"/>
    <n v="14"/>
    <x v="11"/>
    <x v="3"/>
  </r>
  <r>
    <x v="834"/>
    <n v="-1"/>
    <x v="1617"/>
    <n v="2769.99"/>
    <s v="Complete Access"/>
    <x v="421"/>
    <x v="20"/>
    <x v="63"/>
    <d v="1900-01-27T00:00:00"/>
    <n v="14"/>
    <x v="11"/>
    <x v="3"/>
  </r>
  <r>
    <x v="835"/>
    <n v="-652.39"/>
    <x v="1858"/>
    <n v="2779.59"/>
    <s v="Complete Access"/>
    <x v="0"/>
    <x v="0"/>
    <x v="0"/>
    <d v="1900-01-26T00:00:00"/>
    <n v="14"/>
    <x v="11"/>
    <x v="3"/>
  </r>
  <r>
    <x v="836"/>
    <n v="22"/>
    <x v="1859"/>
    <n v="2311.89"/>
    <s v="Complete Access"/>
    <x v="36"/>
    <x v="0"/>
    <x v="0"/>
    <d v="1900-01-25T00:00:00"/>
    <n v="13"/>
    <x v="11"/>
    <x v="3"/>
  </r>
  <r>
    <x v="836"/>
    <n v="1189.8499999999999"/>
    <x v="1860"/>
    <n v="3431.98"/>
    <s v="Complete Access"/>
    <x v="36"/>
    <x v="0"/>
    <x v="0"/>
    <d v="1900-01-25T00:00:00"/>
    <n v="13"/>
    <x v="11"/>
    <x v="3"/>
  </r>
  <r>
    <x v="836"/>
    <n v="-69.760000000000005"/>
    <x v="989"/>
    <n v="2242.13"/>
    <s v="Complete Access"/>
    <x v="332"/>
    <x v="1"/>
    <x v="5"/>
    <d v="1900-01-25T00:00:00"/>
    <n v="13"/>
    <x v="11"/>
    <x v="3"/>
  </r>
  <r>
    <x v="836"/>
    <n v="-45"/>
    <x v="1861"/>
    <n v="2289.89"/>
    <s v="Complete Access"/>
    <x v="495"/>
    <x v="1"/>
    <x v="5"/>
    <d v="1900-01-25T00:00:00"/>
    <n v="13"/>
    <x v="11"/>
    <x v="3"/>
  </r>
  <r>
    <x v="836"/>
    <n v="-310"/>
    <x v="1862"/>
    <n v="2372.87"/>
    <s v="Complete Access"/>
    <x v="496"/>
    <x v="3"/>
    <x v="15"/>
    <d v="1900-01-25T00:00:00"/>
    <n v="13"/>
    <x v="11"/>
    <x v="3"/>
  </r>
  <r>
    <x v="836"/>
    <n v="-37.979999999999997"/>
    <x v="1863"/>
    <n v="2334.89"/>
    <s v="Complete Access"/>
    <x v="497"/>
    <x v="3"/>
    <x v="15"/>
    <d v="1900-01-25T00:00:00"/>
    <n v="13"/>
    <x v="11"/>
    <x v="3"/>
  </r>
  <r>
    <x v="837"/>
    <n v="-9.24"/>
    <x v="1864"/>
    <n v="2752.88"/>
    <s v="Complete Access"/>
    <x v="285"/>
    <x v="5"/>
    <x v="8"/>
    <d v="1900-01-24T00:00:00"/>
    <n v="13"/>
    <x v="11"/>
    <x v="3"/>
  </r>
  <r>
    <x v="837"/>
    <n v="-70.010000000000005"/>
    <x v="1865"/>
    <n v="2682.87"/>
    <s v="Complete Access"/>
    <x v="438"/>
    <x v="12"/>
    <x v="21"/>
    <d v="1900-01-24T00:00:00"/>
    <n v="13"/>
    <x v="11"/>
    <x v="3"/>
  </r>
  <r>
    <x v="838"/>
    <n v="-9.24"/>
    <x v="1866"/>
    <n v="2762.12"/>
    <s v="Complete Access"/>
    <x v="285"/>
    <x v="5"/>
    <x v="8"/>
    <d v="1900-01-23T00:00:00"/>
    <n v="13"/>
    <x v="11"/>
    <x v="3"/>
  </r>
  <r>
    <x v="839"/>
    <n v="-9.24"/>
    <x v="1867"/>
    <n v="2874.9"/>
    <s v="Complete Access"/>
    <x v="285"/>
    <x v="5"/>
    <x v="8"/>
    <d v="1900-01-22T00:00:00"/>
    <n v="13"/>
    <x v="11"/>
    <x v="3"/>
  </r>
  <r>
    <x v="839"/>
    <n v="-17.600000000000001"/>
    <x v="1617"/>
    <n v="2857.3"/>
    <s v="Complete Access"/>
    <x v="421"/>
    <x v="20"/>
    <x v="63"/>
    <d v="1900-01-22T00:00:00"/>
    <n v="13"/>
    <x v="11"/>
    <x v="3"/>
  </r>
  <r>
    <x v="839"/>
    <n v="-85.94"/>
    <x v="989"/>
    <n v="2771.36"/>
    <s v="Complete Access"/>
    <x v="332"/>
    <x v="1"/>
    <x v="5"/>
    <d v="1900-01-22T00:00:00"/>
    <n v="13"/>
    <x v="11"/>
    <x v="3"/>
  </r>
  <r>
    <x v="840"/>
    <n v="30"/>
    <x v="1868"/>
    <n v="3328.91"/>
    <s v="Complete Access"/>
    <x v="36"/>
    <x v="0"/>
    <x v="0"/>
    <d v="1900-01-21T00:00:00"/>
    <n v="13"/>
    <x v="11"/>
    <x v="3"/>
  </r>
  <r>
    <x v="840"/>
    <n v="-69"/>
    <x v="1869"/>
    <n v="3253.92"/>
    <s v="Complete Access"/>
    <x v="207"/>
    <x v="7"/>
    <x v="11"/>
    <d v="1900-01-21T00:00:00"/>
    <n v="13"/>
    <x v="11"/>
    <x v="3"/>
  </r>
  <r>
    <x v="840"/>
    <n v="-5.99"/>
    <x v="1870"/>
    <n v="3322.92"/>
    <s v="Complete Access"/>
    <x v="476"/>
    <x v="4"/>
    <x v="7"/>
    <d v="1900-01-21T00:00:00"/>
    <n v="13"/>
    <x v="11"/>
    <x v="3"/>
  </r>
  <r>
    <x v="840"/>
    <n v="-16.18"/>
    <x v="1871"/>
    <n v="3059.24"/>
    <s v="Complete Access"/>
    <x v="498"/>
    <x v="1"/>
    <x v="5"/>
    <d v="1900-01-21T00:00:00"/>
    <n v="13"/>
    <x v="11"/>
    <x v="3"/>
  </r>
  <r>
    <x v="840"/>
    <n v="-175.1"/>
    <x v="1872"/>
    <n v="2884.14"/>
    <s v="Complete Access"/>
    <x v="438"/>
    <x v="12"/>
    <x v="21"/>
    <d v="1900-01-21T00:00:00"/>
    <n v="13"/>
    <x v="11"/>
    <x v="3"/>
  </r>
  <r>
    <x v="840"/>
    <n v="-178.5"/>
    <x v="1873"/>
    <n v="3075.42"/>
    <s v="Complete Access"/>
    <x v="5"/>
    <x v="3"/>
    <x v="3"/>
    <d v="1900-01-21T00:00:00"/>
    <n v="13"/>
    <x v="11"/>
    <x v="3"/>
  </r>
  <r>
    <x v="841"/>
    <n v="-9.9"/>
    <x v="436"/>
    <n v="3298.91"/>
    <s v="Complete Access"/>
    <x v="186"/>
    <x v="1"/>
    <x v="5"/>
    <d v="1900-01-20T00:00:00"/>
    <n v="13"/>
    <x v="11"/>
    <x v="3"/>
  </r>
  <r>
    <x v="842"/>
    <n v="-5.45"/>
    <x v="1874"/>
    <n v="3308.81"/>
    <s v="Complete Access"/>
    <x v="285"/>
    <x v="5"/>
    <x v="8"/>
    <d v="1900-01-18T00:00:00"/>
    <n v="12"/>
    <x v="11"/>
    <x v="3"/>
  </r>
  <r>
    <x v="843"/>
    <n v="-3.79"/>
    <x v="1874"/>
    <n v="3420.27"/>
    <s v="Complete Access"/>
    <x v="285"/>
    <x v="5"/>
    <x v="8"/>
    <d v="1900-01-17T00:00:00"/>
    <n v="12"/>
    <x v="11"/>
    <x v="3"/>
  </r>
  <r>
    <x v="843"/>
    <n v="-8.5299999999999994"/>
    <x v="1875"/>
    <n v="3411.74"/>
    <s v="Complete Access"/>
    <x v="285"/>
    <x v="5"/>
    <x v="8"/>
    <d v="1900-01-17T00:00:00"/>
    <n v="12"/>
    <x v="11"/>
    <x v="3"/>
  </r>
  <r>
    <x v="843"/>
    <n v="52"/>
    <x v="1876"/>
    <n v="3314.26"/>
    <s v="Complete Access"/>
    <x v="36"/>
    <x v="0"/>
    <x v="0"/>
    <d v="1900-01-17T00:00:00"/>
    <n v="12"/>
    <x v="11"/>
    <x v="3"/>
  </r>
  <r>
    <x v="843"/>
    <n v="-127.48"/>
    <x v="1552"/>
    <n v="3262.26"/>
    <s v="Complete Access"/>
    <x v="419"/>
    <x v="1"/>
    <x v="5"/>
    <d v="1900-01-17T00:00:00"/>
    <n v="12"/>
    <x v="11"/>
    <x v="3"/>
  </r>
  <r>
    <x v="843"/>
    <n v="-22"/>
    <x v="1877"/>
    <n v="3389.74"/>
    <s v="Complete Access"/>
    <x v="267"/>
    <x v="1"/>
    <x v="1"/>
    <d v="1900-01-17T00:00:00"/>
    <n v="12"/>
    <x v="11"/>
    <x v="3"/>
  </r>
  <r>
    <x v="843"/>
    <n v="-7"/>
    <x v="1878"/>
    <n v="3424.06"/>
    <s v="Complete Access"/>
    <x v="373"/>
    <x v="8"/>
    <x v="7"/>
    <d v="1900-01-17T00:00:00"/>
    <n v="12"/>
    <x v="11"/>
    <x v="3"/>
  </r>
  <r>
    <x v="844"/>
    <n v="-760"/>
    <x v="656"/>
    <n v="3494.37"/>
    <s v="Complete Access"/>
    <x v="13"/>
    <x v="0"/>
    <x v="0"/>
    <d v="1900-01-16T00:00:00"/>
    <n v="12"/>
    <x v="11"/>
    <x v="3"/>
  </r>
  <r>
    <x v="844"/>
    <n v="-2.46"/>
    <x v="1879"/>
    <n v="3491.91"/>
    <s v="Complete Access"/>
    <x v="188"/>
    <x v="1"/>
    <x v="1"/>
    <d v="1900-01-16T00:00:00"/>
    <n v="12"/>
    <x v="11"/>
    <x v="3"/>
  </r>
  <r>
    <x v="844"/>
    <n v="2338.9899999999998"/>
    <x v="1880"/>
    <n v="4254.37"/>
    <s v="Complete Access"/>
    <x v="14"/>
    <x v="6"/>
    <x v="9"/>
    <d v="1900-01-16T00:00:00"/>
    <n v="12"/>
    <x v="11"/>
    <x v="3"/>
  </r>
  <r>
    <x v="844"/>
    <n v="-18"/>
    <x v="1881"/>
    <n v="3473.91"/>
    <s v="Complete Access"/>
    <x v="286"/>
    <x v="1"/>
    <x v="5"/>
    <d v="1900-01-16T00:00:00"/>
    <n v="12"/>
    <x v="11"/>
    <x v="3"/>
  </r>
  <r>
    <x v="844"/>
    <n v="-42.85"/>
    <x v="1882"/>
    <n v="3431.06"/>
    <s v="Complete Access"/>
    <x v="1"/>
    <x v="1"/>
    <x v="1"/>
    <d v="1900-01-16T00:00:00"/>
    <n v="12"/>
    <x v="11"/>
    <x v="3"/>
  </r>
  <r>
    <x v="845"/>
    <n v="-12.59"/>
    <x v="1588"/>
    <n v="1970.38"/>
    <s v="Complete Access"/>
    <x v="423"/>
    <x v="1"/>
    <x v="5"/>
    <d v="1900-01-15T00:00:00"/>
    <n v="12"/>
    <x v="11"/>
    <x v="3"/>
  </r>
  <r>
    <x v="845"/>
    <n v="-55"/>
    <x v="1883"/>
    <n v="1915.38"/>
    <s v="Complete Access"/>
    <x v="433"/>
    <x v="7"/>
    <x v="53"/>
    <d v="1900-01-15T00:00:00"/>
    <n v="12"/>
    <x v="11"/>
    <x v="3"/>
  </r>
  <r>
    <x v="846"/>
    <n v="-50.87"/>
    <x v="1884"/>
    <n v="2045.82"/>
    <s v="Complete Access"/>
    <x v="215"/>
    <x v="1"/>
    <x v="1"/>
    <d v="1900-01-14T00:00:00"/>
    <n v="12"/>
    <x v="11"/>
    <x v="3"/>
  </r>
  <r>
    <x v="846"/>
    <n v="-4"/>
    <x v="1885"/>
    <n v="2041.82"/>
    <s v="Complete Access"/>
    <x v="499"/>
    <x v="20"/>
    <x v="63"/>
    <d v="1900-01-14T00:00:00"/>
    <n v="12"/>
    <x v="11"/>
    <x v="3"/>
  </r>
  <r>
    <x v="846"/>
    <n v="-58.57"/>
    <x v="1886"/>
    <n v="2096.69"/>
    <s v="Complete Access"/>
    <x v="500"/>
    <x v="1"/>
    <x v="5"/>
    <d v="1900-01-14T00:00:00"/>
    <n v="12"/>
    <x v="11"/>
    <x v="3"/>
  </r>
  <r>
    <x v="846"/>
    <n v="-58.85"/>
    <x v="1641"/>
    <n v="1982.97"/>
    <s v="Complete Access"/>
    <x v="4"/>
    <x v="1"/>
    <x v="1"/>
    <d v="1900-01-14T00:00:00"/>
    <n v="12"/>
    <x v="11"/>
    <x v="3"/>
  </r>
  <r>
    <x v="847"/>
    <n v="-16.8"/>
    <x v="436"/>
    <n v="2155.2600000000002"/>
    <s v="Complete Access"/>
    <x v="186"/>
    <x v="1"/>
    <x v="5"/>
    <d v="1900-01-13T00:00:00"/>
    <n v="12"/>
    <x v="11"/>
    <x v="3"/>
  </r>
  <r>
    <x v="848"/>
    <n v="36"/>
    <x v="1887"/>
    <n v="2172.06"/>
    <s v="Complete Access"/>
    <x v="36"/>
    <x v="0"/>
    <x v="0"/>
    <d v="1900-01-12T00:00:00"/>
    <n v="12"/>
    <x v="11"/>
    <x v="3"/>
  </r>
  <r>
    <x v="849"/>
    <n v="-44.48"/>
    <x v="1888"/>
    <n v="2160.5100000000002"/>
    <s v="Complete Access"/>
    <x v="8"/>
    <x v="1"/>
    <x v="5"/>
    <d v="1900-01-11T00:00:00"/>
    <n v="11"/>
    <x v="11"/>
    <x v="3"/>
  </r>
  <r>
    <x v="849"/>
    <n v="-8"/>
    <x v="1889"/>
    <n v="2136.06"/>
    <s v="Complete Access"/>
    <x v="367"/>
    <x v="4"/>
    <x v="7"/>
    <d v="1900-01-11T00:00:00"/>
    <n v="11"/>
    <x v="11"/>
    <x v="3"/>
  </r>
  <r>
    <x v="849"/>
    <n v="-16.45"/>
    <x v="1889"/>
    <n v="2144.06"/>
    <s v="Complete Access"/>
    <x v="367"/>
    <x v="4"/>
    <x v="7"/>
    <d v="1900-01-11T00:00:00"/>
    <n v="11"/>
    <x v="11"/>
    <x v="3"/>
  </r>
  <r>
    <x v="850"/>
    <n v="-35.880000000000003"/>
    <x v="1890"/>
    <n v="2204.9899999999998"/>
    <s v="Complete Access"/>
    <x v="104"/>
    <x v="1"/>
    <x v="5"/>
    <d v="1900-01-10T00:00:00"/>
    <n v="11"/>
    <x v="11"/>
    <x v="3"/>
  </r>
  <r>
    <x v="851"/>
    <n v="-75"/>
    <x v="1891"/>
    <n v="2240.87"/>
    <s v="Complete Access"/>
    <x v="298"/>
    <x v="4"/>
    <x v="30"/>
    <d v="1900-01-08T00:00:00"/>
    <n v="11"/>
    <x v="11"/>
    <x v="3"/>
  </r>
  <r>
    <x v="852"/>
    <n v="-149"/>
    <x v="1892"/>
    <n v="2315.87"/>
    <s v="Complete Access"/>
    <x v="298"/>
    <x v="4"/>
    <x v="30"/>
    <d v="1900-01-07T00:00:00"/>
    <n v="11"/>
    <x v="11"/>
    <x v="3"/>
  </r>
  <r>
    <x v="853"/>
    <n v="120"/>
    <x v="1893"/>
    <n v="2464.87"/>
    <s v="Complete Access"/>
    <x v="36"/>
    <x v="0"/>
    <x v="0"/>
    <d v="1900-01-03T00:00:00"/>
    <n v="10"/>
    <x v="11"/>
    <x v="3"/>
  </r>
  <r>
    <x v="853"/>
    <n v="-101.66"/>
    <x v="1894"/>
    <n v="2365.5500000000002"/>
    <s v="Complete Access"/>
    <x v="104"/>
    <x v="1"/>
    <x v="5"/>
    <d v="1900-01-03T00:00:00"/>
    <n v="10"/>
    <x v="11"/>
    <x v="3"/>
  </r>
  <r>
    <x v="853"/>
    <n v="-20.68"/>
    <x v="1895"/>
    <n v="2344.87"/>
    <s v="Complete Access"/>
    <x v="1"/>
    <x v="1"/>
    <x v="1"/>
    <d v="1900-01-03T00:00:00"/>
    <n v="10"/>
    <x v="11"/>
    <x v="3"/>
  </r>
  <r>
    <x v="854"/>
    <n v="-760"/>
    <x v="656"/>
    <n v="2467.21"/>
    <s v="Complete Access"/>
    <x v="13"/>
    <x v="0"/>
    <x v="0"/>
    <d v="1900-01-02T00:00:00"/>
    <n v="10"/>
    <x v="11"/>
    <x v="3"/>
  </r>
  <r>
    <x v="854"/>
    <n v="2361.19"/>
    <x v="1896"/>
    <n v="3227.21"/>
    <s v="Complete Access"/>
    <x v="14"/>
    <x v="6"/>
    <x v="9"/>
    <d v="1900-01-02T00:00:00"/>
    <n v="10"/>
    <x v="11"/>
    <x v="3"/>
  </r>
  <r>
    <x v="855"/>
    <n v="29.9"/>
    <x v="1897"/>
    <n v="866.02"/>
    <s v="Complete Access"/>
    <x v="36"/>
    <x v="0"/>
    <x v="0"/>
    <d v="1900-01-01T00:00:00"/>
    <n v="10"/>
    <x v="11"/>
    <x v="3"/>
  </r>
  <r>
    <x v="855"/>
    <n v="-73.959999999999994"/>
    <x v="1898"/>
    <n v="836.12"/>
    <s v="Complete Access"/>
    <x v="1"/>
    <x v="1"/>
    <x v="1"/>
    <d v="1900-01-01T00:00:00"/>
    <n v="10"/>
    <x v="11"/>
    <x v="3"/>
  </r>
  <r>
    <x v="856"/>
    <n v="-6.15"/>
    <x v="1899"/>
    <n v="1368.32"/>
    <s v="Complete Access"/>
    <x v="501"/>
    <x v="1"/>
    <x v="1"/>
    <d v="1899-12-31T00:00:00"/>
    <n v="10"/>
    <x v="11"/>
    <x v="3"/>
  </r>
  <r>
    <x v="856"/>
    <n v="-207"/>
    <x v="1900"/>
    <n v="1090.6300000000001"/>
    <s v="Complete Access"/>
    <x v="207"/>
    <x v="7"/>
    <x v="11"/>
    <d v="1899-12-31T00:00:00"/>
    <n v="10"/>
    <x v="11"/>
    <x v="3"/>
  </r>
  <r>
    <x v="856"/>
    <n v="-35.880000000000003"/>
    <x v="1901"/>
    <n v="1374.47"/>
    <s v="Complete Access"/>
    <x v="104"/>
    <x v="1"/>
    <x v="5"/>
    <d v="1899-12-31T00:00:00"/>
    <n v="10"/>
    <x v="11"/>
    <x v="3"/>
  </r>
  <r>
    <x v="856"/>
    <n v="-180.55"/>
    <x v="1902"/>
    <n v="910.08"/>
    <s v="Complete Access"/>
    <x v="76"/>
    <x v="2"/>
    <x v="2"/>
    <d v="1899-12-31T00:00:00"/>
    <n v="10"/>
    <x v="11"/>
    <x v="3"/>
  </r>
  <r>
    <x v="856"/>
    <n v="-70.69"/>
    <x v="1903"/>
    <n v="1297.6300000000001"/>
    <s v="Complete Access"/>
    <x v="34"/>
    <x v="9"/>
    <x v="12"/>
    <d v="1899-12-31T00:00:00"/>
    <n v="10"/>
    <x v="11"/>
    <x v="3"/>
  </r>
  <r>
    <x v="857"/>
    <n v="-60.1"/>
    <x v="1904"/>
    <n v="1410.35"/>
    <s v="Complete Access"/>
    <x v="502"/>
    <x v="3"/>
    <x v="60"/>
    <d v="1900-01-25T00:00:00"/>
    <n v="9"/>
    <x v="0"/>
    <x v="3"/>
  </r>
  <r>
    <x v="857"/>
    <n v="-15.5"/>
    <x v="1905"/>
    <n v="1470.45"/>
    <s v="Complete Access"/>
    <x v="220"/>
    <x v="1"/>
    <x v="5"/>
    <d v="1900-01-25T00:00:00"/>
    <n v="9"/>
    <x v="0"/>
    <x v="3"/>
  </r>
  <r>
    <x v="857"/>
    <n v="-14.13"/>
    <x v="1130"/>
    <n v="1485.95"/>
    <s v="Complete Access"/>
    <x v="351"/>
    <x v="1"/>
    <x v="5"/>
    <d v="1900-01-25T00:00:00"/>
    <n v="9"/>
    <x v="0"/>
    <x v="3"/>
  </r>
  <r>
    <x v="858"/>
    <n v="-77.540000000000006"/>
    <x v="1906"/>
    <n v="1500.08"/>
    <s v="Complete Access"/>
    <x v="438"/>
    <x v="12"/>
    <x v="21"/>
    <d v="1900-01-24T00:00:00"/>
    <n v="9"/>
    <x v="0"/>
    <x v="3"/>
  </r>
  <r>
    <x v="859"/>
    <n v="-122.49"/>
    <x v="1907"/>
    <n v="1577.62"/>
    <s v="Complete Access"/>
    <x v="503"/>
    <x v="1"/>
    <x v="5"/>
    <d v="1900-01-23T00:00:00"/>
    <n v="9"/>
    <x v="0"/>
    <x v="3"/>
  </r>
  <r>
    <x v="860"/>
    <n v="-19.98"/>
    <x v="1908"/>
    <n v="1700.11"/>
    <s v="Complete Access"/>
    <x v="222"/>
    <x v="11"/>
    <x v="14"/>
    <d v="1900-01-22T00:00:00"/>
    <n v="9"/>
    <x v="0"/>
    <x v="3"/>
  </r>
  <r>
    <x v="861"/>
    <n v="-1500"/>
    <x v="1909"/>
    <n v="1720.09"/>
    <s v="Complete Access"/>
    <x v="504"/>
    <x v="0"/>
    <x v="72"/>
    <d v="1900-01-21T00:00:00"/>
    <n v="9"/>
    <x v="0"/>
    <x v="3"/>
  </r>
  <r>
    <x v="861"/>
    <n v="-34.44"/>
    <x v="1910"/>
    <n v="3255.97"/>
    <s v="Complete Access"/>
    <x v="8"/>
    <x v="1"/>
    <x v="5"/>
    <d v="1900-01-21T00:00:00"/>
    <n v="9"/>
    <x v="0"/>
    <x v="3"/>
  </r>
  <r>
    <x v="861"/>
    <n v="-35.880000000000003"/>
    <x v="1911"/>
    <n v="3220.09"/>
    <s v="Complete Access"/>
    <x v="104"/>
    <x v="1"/>
    <x v="5"/>
    <d v="1900-01-21T00:00:00"/>
    <n v="9"/>
    <x v="0"/>
    <x v="3"/>
  </r>
  <r>
    <x v="862"/>
    <n v="-145"/>
    <x v="1912"/>
    <n v="3309.97"/>
    <s v="Complete Access"/>
    <x v="352"/>
    <x v="4"/>
    <x v="67"/>
    <d v="1900-01-18T00:00:00"/>
    <n v="8"/>
    <x v="0"/>
    <x v="3"/>
  </r>
  <r>
    <x v="862"/>
    <n v="-19.559999999999999"/>
    <x v="969"/>
    <n v="3290.41"/>
    <s v="Complete Access"/>
    <x v="177"/>
    <x v="1"/>
    <x v="1"/>
    <d v="1900-01-18T00:00:00"/>
    <n v="8"/>
    <x v="0"/>
    <x v="3"/>
  </r>
  <r>
    <x v="863"/>
    <n v="-6"/>
    <x v="1913"/>
    <n v="3454.97"/>
    <s v="Complete Access"/>
    <x v="1"/>
    <x v="1"/>
    <x v="1"/>
    <d v="1900-01-17T00:00:00"/>
    <n v="8"/>
    <x v="0"/>
    <x v="3"/>
  </r>
  <r>
    <x v="864"/>
    <n v="-760"/>
    <x v="656"/>
    <n v="3594.36"/>
    <s v="Complete Access"/>
    <x v="13"/>
    <x v="0"/>
    <x v="0"/>
    <d v="1900-01-16T00:00:00"/>
    <n v="8"/>
    <x v="0"/>
    <x v="3"/>
  </r>
  <r>
    <x v="864"/>
    <n v="-28.83"/>
    <x v="1914"/>
    <n v="3515.97"/>
    <s v="Complete Access"/>
    <x v="8"/>
    <x v="1"/>
    <x v="5"/>
    <d v="1900-01-16T00:00:00"/>
    <n v="8"/>
    <x v="0"/>
    <x v="3"/>
  </r>
  <r>
    <x v="864"/>
    <n v="2826.8"/>
    <x v="1915"/>
    <n v="4354.3599999999997"/>
    <s v="Complete Access"/>
    <x v="14"/>
    <x v="6"/>
    <x v="9"/>
    <d v="1900-01-16T00:00:00"/>
    <n v="8"/>
    <x v="0"/>
    <x v="3"/>
  </r>
  <r>
    <x v="864"/>
    <n v="-49.56"/>
    <x v="1916"/>
    <n v="3544.8"/>
    <s v="Complete Access"/>
    <x v="237"/>
    <x v="15"/>
    <x v="34"/>
    <d v="1900-01-16T00:00:00"/>
    <n v="8"/>
    <x v="0"/>
    <x v="3"/>
  </r>
  <r>
    <x v="864"/>
    <n v="-55"/>
    <x v="1917"/>
    <n v="3460.97"/>
    <s v="Complete Access"/>
    <x v="433"/>
    <x v="7"/>
    <x v="53"/>
    <d v="1900-01-16T00:00:00"/>
    <n v="8"/>
    <x v="0"/>
    <x v="3"/>
  </r>
  <r>
    <x v="865"/>
    <n v="-26.29"/>
    <x v="1918"/>
    <n v="1578.05"/>
    <s v="Complete Access"/>
    <x v="8"/>
    <x v="1"/>
    <x v="5"/>
    <d v="1900-01-15T00:00:00"/>
    <n v="8"/>
    <x v="0"/>
    <x v="3"/>
  </r>
  <r>
    <x v="865"/>
    <n v="-9.99"/>
    <x v="1919"/>
    <n v="1568.06"/>
    <s v="Complete Access"/>
    <x v="222"/>
    <x v="11"/>
    <x v="14"/>
    <d v="1900-01-15T00:00:00"/>
    <n v="8"/>
    <x v="0"/>
    <x v="3"/>
  </r>
  <r>
    <x v="865"/>
    <n v="-40.5"/>
    <x v="1641"/>
    <n v="1527.56"/>
    <s v="Complete Access"/>
    <x v="4"/>
    <x v="1"/>
    <x v="1"/>
    <d v="1900-01-15T00:00:00"/>
    <n v="8"/>
    <x v="0"/>
    <x v="3"/>
  </r>
  <r>
    <x v="866"/>
    <n v="-24"/>
    <x v="1920"/>
    <n v="1654.52"/>
    <s v="Complete Access"/>
    <x v="505"/>
    <x v="20"/>
    <x v="63"/>
    <d v="1900-01-14T00:00:00"/>
    <n v="8"/>
    <x v="0"/>
    <x v="3"/>
  </r>
  <r>
    <x v="866"/>
    <n v="-50.18"/>
    <x v="1921"/>
    <n v="1604.34"/>
    <s v="Complete Access"/>
    <x v="304"/>
    <x v="1"/>
    <x v="5"/>
    <d v="1900-01-14T00:00:00"/>
    <n v="8"/>
    <x v="0"/>
    <x v="3"/>
  </r>
  <r>
    <x v="867"/>
    <n v="-408"/>
    <x v="1922"/>
    <n v="1678.52"/>
    <s v="Complete Access"/>
    <x v="506"/>
    <x v="1"/>
    <x v="5"/>
    <d v="1900-01-13T00:00:00"/>
    <n v="8"/>
    <x v="0"/>
    <x v="3"/>
  </r>
  <r>
    <x v="867"/>
    <n v="-51.56"/>
    <x v="966"/>
    <n v="2086.52"/>
    <s v="Complete Access"/>
    <x v="215"/>
    <x v="1"/>
    <x v="1"/>
    <d v="1900-01-13T00:00:00"/>
    <n v="8"/>
    <x v="0"/>
    <x v="3"/>
  </r>
  <r>
    <x v="868"/>
    <n v="-9.7899999999999991"/>
    <x v="966"/>
    <n v="2154.5300000000002"/>
    <s v="Complete Access"/>
    <x v="215"/>
    <x v="1"/>
    <x v="1"/>
    <d v="1900-01-11T00:00:00"/>
    <n v="7"/>
    <x v="0"/>
    <x v="3"/>
  </r>
  <r>
    <x v="868"/>
    <n v="-16.45"/>
    <x v="1923"/>
    <n v="2138.08"/>
    <s v="Complete Access"/>
    <x v="367"/>
    <x v="4"/>
    <x v="7"/>
    <d v="1900-01-11T00:00:00"/>
    <n v="7"/>
    <x v="0"/>
    <x v="3"/>
  </r>
  <r>
    <x v="869"/>
    <n v="24"/>
    <x v="1831"/>
    <n v="2164.3200000000002"/>
    <s v="Complete Access"/>
    <x v="36"/>
    <x v="0"/>
    <x v="0"/>
    <d v="1900-01-10T00:00:00"/>
    <n v="7"/>
    <x v="0"/>
    <x v="3"/>
  </r>
  <r>
    <x v="869"/>
    <n v="-11.57"/>
    <x v="966"/>
    <n v="2140.3200000000002"/>
    <s v="Complete Access"/>
    <x v="215"/>
    <x v="1"/>
    <x v="1"/>
    <d v="1900-01-10T00:00:00"/>
    <n v="7"/>
    <x v="0"/>
    <x v="3"/>
  </r>
  <r>
    <x v="870"/>
    <n v="-17.649999999999999"/>
    <x v="1924"/>
    <n v="2151.89"/>
    <s v="Complete Access"/>
    <x v="507"/>
    <x v="1"/>
    <x v="1"/>
    <d v="1900-01-07T00:00:00"/>
    <n v="7"/>
    <x v="0"/>
    <x v="3"/>
  </r>
  <r>
    <x v="870"/>
    <n v="-43.69"/>
    <x v="1925"/>
    <n v="2169.54"/>
    <s v="Complete Access"/>
    <x v="1"/>
    <x v="1"/>
    <x v="1"/>
    <d v="1900-01-07T00:00:00"/>
    <n v="7"/>
    <x v="0"/>
    <x v="3"/>
  </r>
  <r>
    <x v="871"/>
    <n v="51"/>
    <x v="1840"/>
    <n v="2230.23"/>
    <s v="Complete Access"/>
    <x v="36"/>
    <x v="0"/>
    <x v="0"/>
    <d v="1900-01-05T00:00:00"/>
    <n v="7"/>
    <x v="0"/>
    <x v="3"/>
  </r>
  <r>
    <x v="871"/>
    <n v="-17"/>
    <x v="1877"/>
    <n v="2213.23"/>
    <s v="Complete Access"/>
    <x v="267"/>
    <x v="1"/>
    <x v="1"/>
    <d v="1900-01-05T00:00:00"/>
    <n v="7"/>
    <x v="0"/>
    <x v="3"/>
  </r>
  <r>
    <x v="871"/>
    <n v="-109.42"/>
    <x v="1926"/>
    <n v="2179.23"/>
    <s v="Complete Access"/>
    <x v="419"/>
    <x v="1"/>
    <x v="5"/>
    <d v="1900-01-05T00:00:00"/>
    <n v="7"/>
    <x v="0"/>
    <x v="3"/>
  </r>
  <r>
    <x v="872"/>
    <n v="-25.99"/>
    <x v="1927"/>
    <n v="2414.0500000000002"/>
    <s v="Complete Access"/>
    <x v="8"/>
    <x v="1"/>
    <x v="5"/>
    <d v="1900-01-04T00:00:00"/>
    <n v="6"/>
    <x v="0"/>
    <x v="3"/>
  </r>
  <r>
    <x v="872"/>
    <n v="-21"/>
    <x v="1781"/>
    <n v="2288.65"/>
    <s v="Complete Access"/>
    <x v="466"/>
    <x v="1"/>
    <x v="1"/>
    <d v="1900-01-04T00:00:00"/>
    <n v="6"/>
    <x v="0"/>
    <x v="3"/>
  </r>
  <r>
    <x v="872"/>
    <n v="-101.36"/>
    <x v="1928"/>
    <n v="2312.69"/>
    <s v="Complete Access"/>
    <x v="508"/>
    <x v="4"/>
    <x v="10"/>
    <d v="1900-01-04T00:00:00"/>
    <n v="6"/>
    <x v="0"/>
    <x v="3"/>
  </r>
  <r>
    <x v="872"/>
    <n v="-3.04"/>
    <x v="1929"/>
    <n v="2309.65"/>
    <s v="Complete Access"/>
    <x v="10"/>
    <x v="0"/>
    <x v="0"/>
    <d v="1900-01-04T00:00:00"/>
    <n v="6"/>
    <x v="0"/>
    <x v="3"/>
  </r>
  <r>
    <x v="872"/>
    <n v="-23.95"/>
    <x v="1930"/>
    <n v="2440.04"/>
    <s v="Complete Access"/>
    <x v="509"/>
    <x v="4"/>
    <x v="73"/>
    <d v="1900-01-04T00:00:00"/>
    <n v="6"/>
    <x v="0"/>
    <x v="3"/>
  </r>
  <r>
    <x v="873"/>
    <n v="-5.89"/>
    <x v="1931"/>
    <n v="2513.4899999999998"/>
    <s v="Complete Access"/>
    <x v="510"/>
    <x v="11"/>
    <x v="14"/>
    <d v="1900-01-03T00:00:00"/>
    <n v="6"/>
    <x v="0"/>
    <x v="3"/>
  </r>
  <r>
    <x v="873"/>
    <n v="-9.5"/>
    <x v="1932"/>
    <n v="2463.9899999999998"/>
    <s v="Complete Access"/>
    <x v="365"/>
    <x v="1"/>
    <x v="5"/>
    <d v="1900-01-03T00:00:00"/>
    <n v="6"/>
    <x v="0"/>
    <x v="3"/>
  </r>
  <r>
    <x v="873"/>
    <n v="-35.880000000000003"/>
    <x v="1933"/>
    <n v="2519.38"/>
    <s v="Complete Access"/>
    <x v="104"/>
    <x v="1"/>
    <x v="5"/>
    <d v="1900-01-03T00:00:00"/>
    <n v="6"/>
    <x v="0"/>
    <x v="3"/>
  </r>
  <r>
    <x v="873"/>
    <n v="-40"/>
    <x v="1641"/>
    <n v="2473.4899999999998"/>
    <s v="Complete Access"/>
    <x v="4"/>
    <x v="1"/>
    <x v="1"/>
    <d v="1900-01-03T00:00:00"/>
    <n v="6"/>
    <x v="0"/>
    <x v="3"/>
  </r>
  <r>
    <x v="874"/>
    <n v="-760"/>
    <x v="656"/>
    <n v="2697.43"/>
    <s v="Complete Access"/>
    <x v="13"/>
    <x v="0"/>
    <x v="0"/>
    <d v="1900-01-02T00:00:00"/>
    <n v="6"/>
    <x v="0"/>
    <x v="3"/>
  </r>
  <r>
    <x v="874"/>
    <n v="2867.12"/>
    <x v="1934"/>
    <n v="3457.43"/>
    <s v="Complete Access"/>
    <x v="14"/>
    <x v="6"/>
    <x v="9"/>
    <d v="1900-01-02T00:00:00"/>
    <n v="6"/>
    <x v="0"/>
    <x v="3"/>
  </r>
  <r>
    <x v="874"/>
    <n v="-142.16999999999999"/>
    <x v="1935"/>
    <n v="2555.2600000000002"/>
    <s v="Complete Access"/>
    <x v="509"/>
    <x v="4"/>
    <x v="73"/>
    <d v="1900-01-02T00:00:00"/>
    <n v="6"/>
    <x v="0"/>
    <x v="3"/>
  </r>
  <r>
    <x v="875"/>
    <n v="-2000"/>
    <x v="1936"/>
    <n v="770.86"/>
    <s v="Complete Access"/>
    <x v="504"/>
    <x v="0"/>
    <x v="72"/>
    <d v="1899-12-31T00:00:00"/>
    <n v="6"/>
    <x v="0"/>
    <x v="3"/>
  </r>
  <r>
    <x v="875"/>
    <n v="-21.34"/>
    <x v="1937"/>
    <n v="2170.86"/>
    <s v="Complete Access"/>
    <x v="8"/>
    <x v="1"/>
    <x v="5"/>
    <d v="1899-12-31T00:00:00"/>
    <n v="6"/>
    <x v="0"/>
    <x v="3"/>
  </r>
  <r>
    <x v="875"/>
    <n v="600"/>
    <x v="370"/>
    <n v="2770.86"/>
    <s v="Complete Access"/>
    <x v="36"/>
    <x v="0"/>
    <x v="0"/>
    <d v="1899-12-31T00:00:00"/>
    <n v="6"/>
    <x v="0"/>
    <x v="3"/>
  </r>
  <r>
    <x v="875"/>
    <n v="-27.72"/>
    <x v="1938"/>
    <n v="2586.48"/>
    <s v="Complete Access"/>
    <x v="215"/>
    <x v="1"/>
    <x v="1"/>
    <d v="1899-12-31T00:00:00"/>
    <n v="6"/>
    <x v="0"/>
    <x v="3"/>
  </r>
  <r>
    <x v="875"/>
    <n v="-180.55"/>
    <x v="1939"/>
    <n v="590.30999999999995"/>
    <s v="Complete Access"/>
    <x v="76"/>
    <x v="2"/>
    <x v="2"/>
    <d v="1899-12-31T00:00:00"/>
    <n v="6"/>
    <x v="0"/>
    <x v="3"/>
  </r>
  <r>
    <x v="875"/>
    <n v="-20.170000000000002"/>
    <x v="1940"/>
    <n v="2614.1999999999998"/>
    <s v="Complete Access"/>
    <x v="34"/>
    <x v="9"/>
    <x v="12"/>
    <d v="1899-12-31T00:00:00"/>
    <n v="6"/>
    <x v="0"/>
    <x v="3"/>
  </r>
  <r>
    <x v="875"/>
    <n v="-394.28"/>
    <x v="1941"/>
    <n v="2192.1999999999998"/>
    <s v="Complete Access"/>
    <x v="511"/>
    <x v="4"/>
    <x v="47"/>
    <d v="1899-12-31T00:00:00"/>
    <n v="6"/>
    <x v="0"/>
    <x v="3"/>
  </r>
  <r>
    <x v="876"/>
    <n v="-44.59"/>
    <x v="1942"/>
    <n v="2634.37"/>
    <s v="Complete Access"/>
    <x v="1"/>
    <x v="1"/>
    <x v="1"/>
    <d v="1900-01-27T00:00:00"/>
    <n v="5"/>
    <x v="1"/>
    <x v="3"/>
  </r>
  <r>
    <x v="877"/>
    <n v="-19.64"/>
    <x v="1943"/>
    <n v="2906.63"/>
    <s v="Complete Access"/>
    <x v="507"/>
    <x v="1"/>
    <x v="1"/>
    <d v="1900-01-24T00:00:00"/>
    <n v="5"/>
    <x v="1"/>
    <x v="3"/>
  </r>
  <r>
    <x v="877"/>
    <n v="-34.700000000000003"/>
    <x v="1944"/>
    <n v="2817.67"/>
    <s v="Complete Access"/>
    <x v="512"/>
    <x v="1"/>
    <x v="5"/>
    <d v="1900-01-24T00:00:00"/>
    <n v="5"/>
    <x v="1"/>
    <x v="3"/>
  </r>
  <r>
    <x v="877"/>
    <n v="-4.5"/>
    <x v="1945"/>
    <n v="2852.37"/>
    <s v="Complete Access"/>
    <x v="513"/>
    <x v="1"/>
    <x v="5"/>
    <d v="1900-01-24T00:00:00"/>
    <n v="5"/>
    <x v="1"/>
    <x v="3"/>
  </r>
  <r>
    <x v="877"/>
    <n v="-13.4"/>
    <x v="1945"/>
    <n v="2856.87"/>
    <s v="Complete Access"/>
    <x v="513"/>
    <x v="1"/>
    <x v="5"/>
    <d v="1900-01-24T00:00:00"/>
    <n v="5"/>
    <x v="1"/>
    <x v="3"/>
  </r>
  <r>
    <x v="877"/>
    <n v="-15.87"/>
    <x v="966"/>
    <n v="2761.13"/>
    <s v="Complete Access"/>
    <x v="215"/>
    <x v="1"/>
    <x v="1"/>
    <d v="1900-01-24T00:00:00"/>
    <n v="5"/>
    <x v="1"/>
    <x v="3"/>
  </r>
  <r>
    <x v="877"/>
    <n v="-82.17"/>
    <x v="1946"/>
    <n v="2678.96"/>
    <s v="Complete Access"/>
    <x v="438"/>
    <x v="12"/>
    <x v="21"/>
    <d v="1900-01-24T00:00:00"/>
    <n v="5"/>
    <x v="1"/>
    <x v="3"/>
  </r>
  <r>
    <x v="877"/>
    <n v="-36.36"/>
    <x v="1947"/>
    <n v="2870.27"/>
    <s v="Complete Access"/>
    <x v="190"/>
    <x v="8"/>
    <x v="29"/>
    <d v="1900-01-24T00:00:00"/>
    <n v="5"/>
    <x v="1"/>
    <x v="3"/>
  </r>
  <r>
    <x v="877"/>
    <n v="-40.67"/>
    <x v="1948"/>
    <n v="2777"/>
    <s v="Complete Access"/>
    <x v="1"/>
    <x v="1"/>
    <x v="1"/>
    <d v="1900-01-24T00:00:00"/>
    <n v="5"/>
    <x v="1"/>
    <x v="3"/>
  </r>
  <r>
    <x v="877"/>
    <n v="-37.86"/>
    <x v="1949"/>
    <n v="2926.27"/>
    <s v="Complete Access"/>
    <x v="1"/>
    <x v="1"/>
    <x v="1"/>
    <d v="1900-01-24T00:00:00"/>
    <n v="5"/>
    <x v="1"/>
    <x v="3"/>
  </r>
  <r>
    <x v="878"/>
    <n v="-15"/>
    <x v="1423"/>
    <n v="2964.13"/>
    <s v="Complete Access"/>
    <x v="0"/>
    <x v="0"/>
    <x v="0"/>
    <d v="1900-01-22T00:00:00"/>
    <n v="5"/>
    <x v="1"/>
    <x v="3"/>
  </r>
  <r>
    <x v="879"/>
    <n v="-50"/>
    <x v="1390"/>
    <n v="2999.13"/>
    <s v="Complete Access"/>
    <x v="390"/>
    <x v="1"/>
    <x v="5"/>
    <d v="1900-01-21T00:00:00"/>
    <n v="4"/>
    <x v="1"/>
    <x v="3"/>
  </r>
  <r>
    <x v="879"/>
    <n v="-20"/>
    <x v="1950"/>
    <n v="2979.13"/>
    <s v="Complete Access"/>
    <x v="0"/>
    <x v="0"/>
    <x v="0"/>
    <d v="1900-01-21T00:00:00"/>
    <n v="4"/>
    <x v="1"/>
    <x v="3"/>
  </r>
  <r>
    <x v="880"/>
    <n v="-55"/>
    <x v="1951"/>
    <n v="3049.13"/>
    <s v="Complete Access"/>
    <x v="433"/>
    <x v="7"/>
    <x v="53"/>
    <d v="1900-01-20T00:00:00"/>
    <n v="4"/>
    <x v="1"/>
    <x v="3"/>
  </r>
  <r>
    <x v="881"/>
    <n v="-760"/>
    <x v="656"/>
    <n v="3551.58"/>
    <s v="Complete Access"/>
    <x v="13"/>
    <x v="0"/>
    <x v="0"/>
    <d v="1900-01-19T00:00:00"/>
    <n v="4"/>
    <x v="1"/>
    <x v="3"/>
  </r>
  <r>
    <x v="881"/>
    <n v="2248.56"/>
    <x v="1952"/>
    <n v="4311.58"/>
    <s v="Complete Access"/>
    <x v="14"/>
    <x v="6"/>
    <x v="9"/>
    <d v="1900-01-19T00:00:00"/>
    <n v="4"/>
    <x v="1"/>
    <x v="3"/>
  </r>
  <r>
    <x v="881"/>
    <n v="-30.45"/>
    <x v="1953"/>
    <n v="3521.13"/>
    <s v="Complete Access"/>
    <x v="29"/>
    <x v="4"/>
    <x v="19"/>
    <d v="1900-01-19T00:00:00"/>
    <n v="4"/>
    <x v="1"/>
    <x v="3"/>
  </r>
  <r>
    <x v="881"/>
    <n v="-29"/>
    <x v="1954"/>
    <n v="3104.13"/>
    <s v="Complete Access"/>
    <x v="29"/>
    <x v="4"/>
    <x v="19"/>
    <d v="1900-01-19T00:00:00"/>
    <n v="4"/>
    <x v="1"/>
    <x v="3"/>
  </r>
  <r>
    <x v="881"/>
    <n v="-388"/>
    <x v="1955"/>
    <n v="3133.13"/>
    <s v="Complete Access"/>
    <x v="321"/>
    <x v="4"/>
    <x v="47"/>
    <d v="1900-01-19T00:00:00"/>
    <n v="4"/>
    <x v="1"/>
    <x v="3"/>
  </r>
  <r>
    <x v="882"/>
    <n v="-478.73"/>
    <x v="1956"/>
    <n v="2114.36"/>
    <s v="Complete Access"/>
    <x v="192"/>
    <x v="4"/>
    <x v="20"/>
    <d v="1900-01-18T00:00:00"/>
    <n v="4"/>
    <x v="1"/>
    <x v="3"/>
  </r>
  <r>
    <x v="882"/>
    <n v="-1.5"/>
    <x v="1957"/>
    <n v="2063.02"/>
    <s v="Complete Access"/>
    <x v="10"/>
    <x v="0"/>
    <x v="0"/>
    <d v="1900-01-18T00:00:00"/>
    <n v="4"/>
    <x v="1"/>
    <x v="3"/>
  </r>
  <r>
    <x v="882"/>
    <n v="-49.84"/>
    <x v="1958"/>
    <n v="2064.52"/>
    <s v="Complete Access"/>
    <x v="363"/>
    <x v="4"/>
    <x v="25"/>
    <d v="1900-01-18T00:00:00"/>
    <n v="4"/>
    <x v="1"/>
    <x v="3"/>
  </r>
  <r>
    <x v="883"/>
    <n v="-37.9"/>
    <x v="1959"/>
    <n v="2593.09"/>
    <s v="Complete Access"/>
    <x v="267"/>
    <x v="1"/>
    <x v="1"/>
    <d v="1900-01-17T00:00:00"/>
    <n v="4"/>
    <x v="1"/>
    <x v="3"/>
  </r>
  <r>
    <x v="884"/>
    <n v="47"/>
    <x v="1960"/>
    <n v="2630.99"/>
    <s v="Complete Access"/>
    <x v="36"/>
    <x v="0"/>
    <x v="0"/>
    <d v="1900-01-14T00:00:00"/>
    <n v="3"/>
    <x v="1"/>
    <x v="3"/>
  </r>
  <r>
    <x v="885"/>
    <n v="-97.06"/>
    <x v="989"/>
    <n v="2583.9899999999998"/>
    <s v="Complete Access"/>
    <x v="332"/>
    <x v="1"/>
    <x v="5"/>
    <d v="1900-01-13T00:00:00"/>
    <n v="3"/>
    <x v="1"/>
    <x v="3"/>
  </r>
  <r>
    <x v="885"/>
    <n v="-185.64"/>
    <x v="1961"/>
    <n v="2681.05"/>
    <s v="Complete Access"/>
    <x v="1"/>
    <x v="1"/>
    <x v="1"/>
    <d v="1900-01-13T00:00:00"/>
    <n v="3"/>
    <x v="1"/>
    <x v="3"/>
  </r>
  <r>
    <x v="886"/>
    <n v="-8"/>
    <x v="1962"/>
    <n v="2876.68"/>
    <s v="Complete Access"/>
    <x v="514"/>
    <x v="1"/>
    <x v="5"/>
    <d v="1900-01-11T00:00:00"/>
    <n v="3"/>
    <x v="1"/>
    <x v="3"/>
  </r>
  <r>
    <x v="886"/>
    <n v="-9.99"/>
    <x v="1963"/>
    <n v="2866.69"/>
    <s v="Complete Access"/>
    <x v="222"/>
    <x v="11"/>
    <x v="14"/>
    <d v="1900-01-11T00:00:00"/>
    <n v="3"/>
    <x v="1"/>
    <x v="3"/>
  </r>
  <r>
    <x v="887"/>
    <n v="-10.59"/>
    <x v="966"/>
    <n v="2884.68"/>
    <s v="Complete Access"/>
    <x v="215"/>
    <x v="1"/>
    <x v="1"/>
    <d v="1900-01-09T00:00:00"/>
    <n v="3"/>
    <x v="1"/>
    <x v="3"/>
  </r>
  <r>
    <x v="888"/>
    <n v="15.39"/>
    <x v="1964"/>
    <n v="2900.02"/>
    <s v="Complete Access"/>
    <x v="36"/>
    <x v="0"/>
    <x v="0"/>
    <d v="1900-01-08T00:00:00"/>
    <n v="3"/>
    <x v="1"/>
    <x v="3"/>
  </r>
  <r>
    <x v="888"/>
    <n v="-4.75"/>
    <x v="96"/>
    <n v="2895.27"/>
    <s v="Complete Access"/>
    <x v="47"/>
    <x v="1"/>
    <x v="5"/>
    <d v="1900-01-08T00:00:00"/>
    <n v="3"/>
    <x v="1"/>
    <x v="3"/>
  </r>
  <r>
    <x v="888"/>
    <n v="-53.39"/>
    <x v="1965"/>
    <n v="2884.63"/>
    <s v="Complete Access"/>
    <x v="304"/>
    <x v="1"/>
    <x v="5"/>
    <d v="1900-01-08T00:00:00"/>
    <n v="3"/>
    <x v="1"/>
    <x v="3"/>
  </r>
  <r>
    <x v="889"/>
    <n v="25"/>
    <x v="1831"/>
    <n v="2938.02"/>
    <s v="Complete Access"/>
    <x v="36"/>
    <x v="0"/>
    <x v="0"/>
    <d v="1900-01-06T00:00:00"/>
    <n v="2"/>
    <x v="1"/>
    <x v="3"/>
  </r>
  <r>
    <x v="889"/>
    <n v="-69.5"/>
    <x v="1390"/>
    <n v="2913.02"/>
    <s v="Complete Access"/>
    <x v="390"/>
    <x v="1"/>
    <x v="5"/>
    <d v="1900-01-06T00:00:00"/>
    <n v="2"/>
    <x v="1"/>
    <x v="3"/>
  </r>
  <r>
    <x v="890"/>
    <n v="-760"/>
    <x v="656"/>
    <n v="3022.97"/>
    <s v="Complete Access"/>
    <x v="13"/>
    <x v="0"/>
    <x v="0"/>
    <d v="1900-01-05T00:00:00"/>
    <n v="2"/>
    <x v="1"/>
    <x v="3"/>
  </r>
  <r>
    <x v="890"/>
    <n v="2248.5500000000002"/>
    <x v="1966"/>
    <n v="3782.97"/>
    <s v="Complete Access"/>
    <x v="14"/>
    <x v="6"/>
    <x v="9"/>
    <d v="1900-01-05T00:00:00"/>
    <n v="2"/>
    <x v="1"/>
    <x v="3"/>
  </r>
  <r>
    <x v="890"/>
    <n v="-40.450000000000003"/>
    <x v="1967"/>
    <n v="2982.52"/>
    <s v="Complete Access"/>
    <x v="1"/>
    <x v="1"/>
    <x v="1"/>
    <d v="1900-01-05T00:00:00"/>
    <n v="2"/>
    <x v="1"/>
    <x v="3"/>
  </r>
  <r>
    <x v="891"/>
    <n v="11.46"/>
    <x v="1968"/>
    <n v="1562.47"/>
    <s v="Complete Access"/>
    <x v="36"/>
    <x v="0"/>
    <x v="0"/>
    <d v="1900-01-04T00:00:00"/>
    <n v="2"/>
    <x v="1"/>
    <x v="3"/>
  </r>
  <r>
    <x v="891"/>
    <n v="-28.05"/>
    <x v="1969"/>
    <n v="1534.42"/>
    <s v="Complete Access"/>
    <x v="47"/>
    <x v="1"/>
    <x v="5"/>
    <d v="1900-01-04T00:00:00"/>
    <n v="2"/>
    <x v="1"/>
    <x v="3"/>
  </r>
  <r>
    <x v="891"/>
    <n v="-55"/>
    <x v="1970"/>
    <n v="1551.01"/>
    <s v="Complete Access"/>
    <x v="35"/>
    <x v="1"/>
    <x v="23"/>
    <d v="1900-01-04T00:00:00"/>
    <n v="2"/>
    <x v="1"/>
    <x v="3"/>
  </r>
  <r>
    <x v="891"/>
    <n v="-0.15"/>
    <x v="1971"/>
    <n v="1606.01"/>
    <s v="Complete Access"/>
    <x v="1"/>
    <x v="1"/>
    <x v="1"/>
    <d v="1900-01-04T00:00:00"/>
    <n v="2"/>
    <x v="1"/>
    <x v="3"/>
  </r>
  <r>
    <x v="891"/>
    <n v="-60.43"/>
    <x v="1971"/>
    <n v="1606.16"/>
    <s v="Complete Access"/>
    <x v="1"/>
    <x v="1"/>
    <x v="1"/>
    <d v="1900-01-04T00:00:00"/>
    <n v="2"/>
    <x v="1"/>
    <x v="3"/>
  </r>
  <r>
    <x v="892"/>
    <n v="-2500"/>
    <x v="1972"/>
    <n v="1871.14"/>
    <s v="Complete Access"/>
    <x v="504"/>
    <x v="0"/>
    <x v="72"/>
    <d v="1900-01-03T00:00:00"/>
    <n v="2"/>
    <x v="1"/>
    <x v="3"/>
  </r>
  <r>
    <x v="892"/>
    <n v="2500"/>
    <x v="1973"/>
    <n v="4371.1400000000003"/>
    <s v="Complete Access"/>
    <x v="36"/>
    <x v="0"/>
    <x v="0"/>
    <d v="1900-01-03T00:00:00"/>
    <n v="2"/>
    <x v="1"/>
    <x v="3"/>
  </r>
  <r>
    <x v="892"/>
    <n v="-180.55"/>
    <x v="1974"/>
    <n v="1666.59"/>
    <s v="Complete Access"/>
    <x v="76"/>
    <x v="2"/>
    <x v="2"/>
    <d v="1900-01-03T00:00:00"/>
    <n v="2"/>
    <x v="1"/>
    <x v="3"/>
  </r>
  <r>
    <x v="892"/>
    <n v="-24"/>
    <x v="1975"/>
    <n v="1847.14"/>
    <s v="Complete Access"/>
    <x v="504"/>
    <x v="0"/>
    <x v="72"/>
    <d v="1900-01-03T00:00:00"/>
    <n v="2"/>
    <x v="1"/>
    <x v="3"/>
  </r>
  <r>
    <x v="893"/>
    <n v="53.1"/>
    <x v="1976"/>
    <n v="1871.14"/>
    <s v="Complete Access"/>
    <x v="515"/>
    <x v="1"/>
    <x v="5"/>
    <d v="1899-12-31T00:00:00"/>
    <n v="1"/>
    <x v="1"/>
    <x v="3"/>
  </r>
  <r>
    <x v="894"/>
    <n v="-23.67"/>
    <x v="1931"/>
    <n v="1883.39"/>
    <s v="Complete Access"/>
    <x v="510"/>
    <x v="11"/>
    <x v="14"/>
    <d v="1900-01-30T00:00:00"/>
    <n v="53"/>
    <x v="2"/>
    <x v="4"/>
  </r>
  <r>
    <x v="894"/>
    <n v="-35.950000000000003"/>
    <x v="1977"/>
    <n v="1907.06"/>
    <s v="Complete Access"/>
    <x v="516"/>
    <x v="10"/>
    <x v="13"/>
    <d v="1900-01-30T00:00:00"/>
    <n v="53"/>
    <x v="2"/>
    <x v="4"/>
  </r>
  <r>
    <x v="894"/>
    <n v="-65.349999999999994"/>
    <x v="1641"/>
    <n v="1818.04"/>
    <s v="Complete Access"/>
    <x v="4"/>
    <x v="1"/>
    <x v="1"/>
    <d v="1900-01-30T00:00:00"/>
    <n v="53"/>
    <x v="2"/>
    <x v="4"/>
  </r>
  <r>
    <x v="895"/>
    <n v="219"/>
    <x v="1978"/>
    <n v="2145.98"/>
    <s v="Complete Access"/>
    <x v="321"/>
    <x v="4"/>
    <x v="47"/>
    <d v="1900-01-29T00:00:00"/>
    <n v="53"/>
    <x v="2"/>
    <x v="4"/>
  </r>
  <r>
    <x v="895"/>
    <n v="-53.1"/>
    <x v="1979"/>
    <n v="1943.01"/>
    <s v="Complete Access"/>
    <x v="515"/>
    <x v="1"/>
    <x v="5"/>
    <d v="1900-01-29T00:00:00"/>
    <n v="53"/>
    <x v="2"/>
    <x v="4"/>
  </r>
  <r>
    <x v="895"/>
    <n v="-53.1"/>
    <x v="1979"/>
    <n v="1996.11"/>
    <s v="Complete Access"/>
    <x v="515"/>
    <x v="1"/>
    <x v="5"/>
    <d v="1900-01-29T00:00:00"/>
    <n v="53"/>
    <x v="2"/>
    <x v="4"/>
  </r>
  <r>
    <x v="895"/>
    <n v="-44.59"/>
    <x v="1980"/>
    <n v="2049.21"/>
    <s v="Complete Access"/>
    <x v="104"/>
    <x v="1"/>
    <x v="5"/>
    <d v="1900-01-29T00:00:00"/>
    <n v="53"/>
    <x v="2"/>
    <x v="4"/>
  </r>
  <r>
    <x v="895"/>
    <n v="-16.489999999999998"/>
    <x v="1981"/>
    <n v="2129.4899999999998"/>
    <s v="Complete Access"/>
    <x v="222"/>
    <x v="11"/>
    <x v="14"/>
    <d v="1900-01-29T00:00:00"/>
    <n v="53"/>
    <x v="2"/>
    <x v="4"/>
  </r>
  <r>
    <x v="895"/>
    <n v="-26.49"/>
    <x v="1982"/>
    <n v="2093.8000000000002"/>
    <s v="Complete Access"/>
    <x v="34"/>
    <x v="9"/>
    <x v="12"/>
    <d v="1900-01-29T00:00:00"/>
    <n v="53"/>
    <x v="2"/>
    <x v="4"/>
  </r>
  <r>
    <x v="895"/>
    <n v="-9.1999999999999993"/>
    <x v="1982"/>
    <n v="2120.29"/>
    <s v="Complete Access"/>
    <x v="34"/>
    <x v="9"/>
    <x v="12"/>
    <d v="1900-01-29T00:00:00"/>
    <n v="53"/>
    <x v="2"/>
    <x v="4"/>
  </r>
  <r>
    <x v="896"/>
    <n v="-48.65"/>
    <x v="1983"/>
    <n v="1926.98"/>
    <s v="Complete Access"/>
    <x v="517"/>
    <x v="1"/>
    <x v="5"/>
    <d v="1900-01-26T00:00:00"/>
    <n v="53"/>
    <x v="2"/>
    <x v="4"/>
  </r>
  <r>
    <x v="897"/>
    <n v="-14"/>
    <x v="1984"/>
    <n v="1975.63"/>
    <s v="Complete Access"/>
    <x v="0"/>
    <x v="0"/>
    <x v="0"/>
    <d v="1900-01-25T00:00:00"/>
    <n v="53"/>
    <x v="2"/>
    <x v="4"/>
  </r>
  <r>
    <x v="898"/>
    <n v="-299"/>
    <x v="1985"/>
    <n v="1989.63"/>
    <s v="Complete Access"/>
    <x v="321"/>
    <x v="4"/>
    <x v="47"/>
    <d v="1900-01-24T00:00:00"/>
    <n v="52"/>
    <x v="2"/>
    <x v="4"/>
  </r>
  <r>
    <x v="898"/>
    <n v="-299"/>
    <x v="1985"/>
    <n v="2288.63"/>
    <s v="Complete Access"/>
    <x v="321"/>
    <x v="4"/>
    <x v="47"/>
    <d v="1900-01-24T00:00:00"/>
    <n v="52"/>
    <x v="2"/>
    <x v="4"/>
  </r>
  <r>
    <x v="898"/>
    <n v="-60"/>
    <x v="1986"/>
    <n v="2587.63"/>
    <s v="Complete Access"/>
    <x v="248"/>
    <x v="3"/>
    <x v="58"/>
    <d v="1900-01-24T00:00:00"/>
    <n v="52"/>
    <x v="2"/>
    <x v="4"/>
  </r>
  <r>
    <x v="899"/>
    <n v="150"/>
    <x v="1987"/>
    <n v="2664.33"/>
    <s v="Complete Access"/>
    <x v="36"/>
    <x v="0"/>
    <x v="0"/>
    <d v="1900-01-23T00:00:00"/>
    <n v="52"/>
    <x v="2"/>
    <x v="4"/>
  </r>
  <r>
    <x v="899"/>
    <n v="-16.7"/>
    <x v="1988"/>
    <n v="2647.63"/>
    <s v="Complete Access"/>
    <x v="518"/>
    <x v="12"/>
    <x v="21"/>
    <d v="1900-01-23T00:00:00"/>
    <n v="52"/>
    <x v="2"/>
    <x v="4"/>
  </r>
  <r>
    <x v="900"/>
    <n v="-760"/>
    <x v="656"/>
    <n v="2734.84"/>
    <s v="Complete Access"/>
    <x v="13"/>
    <x v="0"/>
    <x v="0"/>
    <d v="1900-01-22T00:00:00"/>
    <n v="52"/>
    <x v="2"/>
    <x v="4"/>
  </r>
  <r>
    <x v="900"/>
    <n v="2248.56"/>
    <x v="1989"/>
    <n v="3494.84"/>
    <s v="Complete Access"/>
    <x v="14"/>
    <x v="6"/>
    <x v="9"/>
    <d v="1900-01-22T00:00:00"/>
    <n v="52"/>
    <x v="2"/>
    <x v="4"/>
  </r>
  <r>
    <x v="900"/>
    <n v="-59"/>
    <x v="1990"/>
    <n v="2648.73"/>
    <s v="Complete Access"/>
    <x v="519"/>
    <x v="1"/>
    <x v="5"/>
    <d v="1900-01-22T00:00:00"/>
    <n v="52"/>
    <x v="2"/>
    <x v="4"/>
  </r>
  <r>
    <x v="900"/>
    <n v="-10.85"/>
    <x v="96"/>
    <n v="2707.73"/>
    <s v="Complete Access"/>
    <x v="47"/>
    <x v="1"/>
    <x v="5"/>
    <d v="1900-01-22T00:00:00"/>
    <n v="52"/>
    <x v="2"/>
    <x v="4"/>
  </r>
  <r>
    <x v="900"/>
    <n v="-3.05"/>
    <x v="1991"/>
    <n v="2718.58"/>
    <s v="Complete Access"/>
    <x v="462"/>
    <x v="1"/>
    <x v="5"/>
    <d v="1900-01-22T00:00:00"/>
    <n v="52"/>
    <x v="2"/>
    <x v="4"/>
  </r>
  <r>
    <x v="900"/>
    <n v="-13.21"/>
    <x v="1991"/>
    <n v="2721.63"/>
    <s v="Complete Access"/>
    <x v="462"/>
    <x v="1"/>
    <x v="5"/>
    <d v="1900-01-22T00:00:00"/>
    <n v="52"/>
    <x v="2"/>
    <x v="4"/>
  </r>
  <r>
    <x v="900"/>
    <n v="-134.4"/>
    <x v="1992"/>
    <n v="2514.33"/>
    <s v="Complete Access"/>
    <x v="438"/>
    <x v="12"/>
    <x v="21"/>
    <d v="1900-01-22T00:00:00"/>
    <n v="52"/>
    <x v="2"/>
    <x v="4"/>
  </r>
  <r>
    <x v="901"/>
    <n v="-5.4"/>
    <x v="1993"/>
    <n v="1246.28"/>
    <s v="Complete Access"/>
    <x v="520"/>
    <x v="9"/>
    <x v="32"/>
    <d v="1900-01-21T00:00:00"/>
    <n v="52"/>
    <x v="2"/>
    <x v="4"/>
  </r>
  <r>
    <x v="901"/>
    <n v="-14.98"/>
    <x v="1994"/>
    <n v="1251.68"/>
    <s v="Complete Access"/>
    <x v="222"/>
    <x v="11"/>
    <x v="14"/>
    <d v="1900-01-21T00:00:00"/>
    <n v="52"/>
    <x v="2"/>
    <x v="4"/>
  </r>
  <r>
    <x v="901"/>
    <n v="-32.5"/>
    <x v="1994"/>
    <n v="1266.6600000000001"/>
    <s v="Complete Access"/>
    <x v="222"/>
    <x v="11"/>
    <x v="14"/>
    <d v="1900-01-21T00:00:00"/>
    <n v="52"/>
    <x v="2"/>
    <x v="4"/>
  </r>
  <r>
    <x v="901"/>
    <n v="-14.99"/>
    <x v="1995"/>
    <n v="1299.1600000000001"/>
    <s v="Complete Access"/>
    <x v="428"/>
    <x v="11"/>
    <x v="14"/>
    <d v="1900-01-21T00:00:00"/>
    <n v="52"/>
    <x v="2"/>
    <x v="4"/>
  </r>
  <r>
    <x v="902"/>
    <n v="-10.119999999999999"/>
    <x v="1996"/>
    <n v="2639.16"/>
    <s v="Complete Access"/>
    <x v="521"/>
    <x v="8"/>
    <x v="29"/>
    <d v="1900-01-20T00:00:00"/>
    <n v="52"/>
    <x v="2"/>
    <x v="4"/>
  </r>
  <r>
    <x v="902"/>
    <n v="-23.28"/>
    <x v="1996"/>
    <n v="2649.28"/>
    <s v="Complete Access"/>
    <x v="521"/>
    <x v="8"/>
    <x v="29"/>
    <d v="1900-01-20T00:00:00"/>
    <n v="52"/>
    <x v="2"/>
    <x v="4"/>
  </r>
  <r>
    <x v="902"/>
    <n v="-9.41"/>
    <x v="1996"/>
    <n v="2672.56"/>
    <s v="Complete Access"/>
    <x v="521"/>
    <x v="8"/>
    <x v="29"/>
    <d v="1900-01-20T00:00:00"/>
    <n v="52"/>
    <x v="2"/>
    <x v="4"/>
  </r>
  <r>
    <x v="902"/>
    <n v="-893.25"/>
    <x v="1997"/>
    <n v="1314.15"/>
    <s v="Complete Access"/>
    <x v="321"/>
    <x v="4"/>
    <x v="47"/>
    <d v="1900-01-20T00:00:00"/>
    <n v="52"/>
    <x v="2"/>
    <x v="4"/>
  </r>
  <r>
    <x v="902"/>
    <n v="-149"/>
    <x v="1998"/>
    <n v="2488.7600000000002"/>
    <s v="Complete Access"/>
    <x v="321"/>
    <x v="4"/>
    <x v="47"/>
    <d v="1900-01-20T00:00:00"/>
    <n v="52"/>
    <x v="2"/>
    <x v="4"/>
  </r>
  <r>
    <x v="902"/>
    <n v="-33.39"/>
    <x v="1999"/>
    <n v="2207.4"/>
    <s v="Complete Access"/>
    <x v="104"/>
    <x v="1"/>
    <x v="5"/>
    <d v="1900-01-20T00:00:00"/>
    <n v="52"/>
    <x v="2"/>
    <x v="4"/>
  </r>
  <r>
    <x v="902"/>
    <n v="-1.4"/>
    <x v="2000"/>
    <n v="2637.76"/>
    <s v="Complete Access"/>
    <x v="1"/>
    <x v="1"/>
    <x v="1"/>
    <d v="1900-01-20T00:00:00"/>
    <n v="52"/>
    <x v="2"/>
    <x v="4"/>
  </r>
  <r>
    <x v="902"/>
    <n v="-165.98"/>
    <x v="2001"/>
    <n v="2240.79"/>
    <s v="Complete Access"/>
    <x v="5"/>
    <x v="3"/>
    <x v="3"/>
    <d v="1900-01-20T00:00:00"/>
    <n v="52"/>
    <x v="2"/>
    <x v="4"/>
  </r>
  <r>
    <x v="902"/>
    <n v="-40.99"/>
    <x v="2001"/>
    <n v="2406.77"/>
    <s v="Complete Access"/>
    <x v="5"/>
    <x v="3"/>
    <x v="3"/>
    <d v="1900-01-20T00:00:00"/>
    <n v="52"/>
    <x v="2"/>
    <x v="4"/>
  </r>
  <r>
    <x v="902"/>
    <n v="-41"/>
    <x v="2001"/>
    <n v="2447.7600000000002"/>
    <s v="Complete Access"/>
    <x v="5"/>
    <x v="3"/>
    <x v="3"/>
    <d v="1900-01-20T00:00:00"/>
    <n v="52"/>
    <x v="2"/>
    <x v="4"/>
  </r>
  <r>
    <x v="903"/>
    <n v="-65"/>
    <x v="2002"/>
    <n v="2681.97"/>
    <s v="Complete Access"/>
    <x v="433"/>
    <x v="7"/>
    <x v="53"/>
    <d v="1900-01-19T00:00:00"/>
    <n v="52"/>
    <x v="2"/>
    <x v="4"/>
  </r>
  <r>
    <x v="904"/>
    <n v="-7.34"/>
    <x v="966"/>
    <n v="2746.97"/>
    <s v="Complete Access"/>
    <x v="215"/>
    <x v="1"/>
    <x v="1"/>
    <d v="1900-01-18T00:00:00"/>
    <n v="52"/>
    <x v="2"/>
    <x v="4"/>
  </r>
  <r>
    <x v="905"/>
    <n v="-100"/>
    <x v="2003"/>
    <n v="2754.31"/>
    <s v="Complete Access"/>
    <x v="0"/>
    <x v="0"/>
    <x v="0"/>
    <d v="1900-01-17T00:00:00"/>
    <n v="51"/>
    <x v="2"/>
    <x v="4"/>
  </r>
  <r>
    <x v="905"/>
    <n v="12.01"/>
    <x v="2004"/>
    <n v="2854.31"/>
    <s v="Complete Access"/>
    <x v="192"/>
    <x v="4"/>
    <x v="20"/>
    <d v="1900-01-17T00:00:00"/>
    <n v="51"/>
    <x v="2"/>
    <x v="4"/>
  </r>
  <r>
    <x v="906"/>
    <n v="-12.61"/>
    <x v="2005"/>
    <n v="3105.2"/>
    <s v="Complete Access"/>
    <x v="192"/>
    <x v="4"/>
    <x v="20"/>
    <d v="1900-01-16T00:00:00"/>
    <n v="51"/>
    <x v="2"/>
    <x v="4"/>
  </r>
  <r>
    <x v="906"/>
    <n v="-33.39"/>
    <x v="2006"/>
    <n v="3071.81"/>
    <s v="Complete Access"/>
    <x v="104"/>
    <x v="1"/>
    <x v="5"/>
    <d v="1900-01-16T00:00:00"/>
    <n v="51"/>
    <x v="2"/>
    <x v="4"/>
  </r>
  <r>
    <x v="906"/>
    <n v="-204.51"/>
    <x v="2007"/>
    <n v="2842.3"/>
    <s v="Complete Access"/>
    <x v="438"/>
    <x v="12"/>
    <x v="21"/>
    <d v="1900-01-16T00:00:00"/>
    <n v="51"/>
    <x v="2"/>
    <x v="4"/>
  </r>
  <r>
    <x v="906"/>
    <n v="-25"/>
    <x v="2008"/>
    <n v="3046.81"/>
    <s v="Complete Access"/>
    <x v="0"/>
    <x v="0"/>
    <x v="0"/>
    <d v="1900-01-16T00:00:00"/>
    <n v="51"/>
    <x v="2"/>
    <x v="4"/>
  </r>
  <r>
    <x v="906"/>
    <n v="-25"/>
    <x v="2009"/>
    <n v="3046.81"/>
    <s v="Complete Access"/>
    <x v="0"/>
    <x v="0"/>
    <x v="0"/>
    <d v="1900-01-16T00:00:00"/>
    <n v="51"/>
    <x v="2"/>
    <x v="4"/>
  </r>
  <r>
    <x v="906"/>
    <n v="25"/>
    <x v="2010"/>
    <n v="3071.81"/>
    <s v="Complete Access"/>
    <x v="13"/>
    <x v="0"/>
    <x v="0"/>
    <d v="1900-01-16T00:00:00"/>
    <n v="51"/>
    <x v="2"/>
    <x v="4"/>
  </r>
  <r>
    <x v="907"/>
    <n v="24"/>
    <x v="2011"/>
    <n v="3219.96"/>
    <s v="Complete Access"/>
    <x v="36"/>
    <x v="0"/>
    <x v="0"/>
    <d v="1900-01-15T00:00:00"/>
    <n v="51"/>
    <x v="2"/>
    <x v="4"/>
  </r>
  <r>
    <x v="907"/>
    <n v="50"/>
    <x v="1680"/>
    <n v="3129.92"/>
    <s v="Complete Access"/>
    <x v="36"/>
    <x v="0"/>
    <x v="0"/>
    <d v="1900-01-15T00:00:00"/>
    <n v="51"/>
    <x v="2"/>
    <x v="4"/>
  </r>
  <r>
    <x v="907"/>
    <n v="-12.11"/>
    <x v="2012"/>
    <n v="3117.81"/>
    <s v="Complete Access"/>
    <x v="192"/>
    <x v="4"/>
    <x v="20"/>
    <d v="1900-01-15T00:00:00"/>
    <n v="51"/>
    <x v="2"/>
    <x v="4"/>
  </r>
  <r>
    <x v="907"/>
    <n v="-45.3"/>
    <x v="1965"/>
    <n v="3079.92"/>
    <s v="Complete Access"/>
    <x v="304"/>
    <x v="1"/>
    <x v="5"/>
    <d v="1900-01-15T00:00:00"/>
    <n v="51"/>
    <x v="2"/>
    <x v="4"/>
  </r>
  <r>
    <x v="907"/>
    <n v="-94.74"/>
    <x v="1641"/>
    <n v="3125.22"/>
    <s v="Complete Access"/>
    <x v="4"/>
    <x v="1"/>
    <x v="1"/>
    <d v="1900-01-15T00:00:00"/>
    <n v="51"/>
    <x v="2"/>
    <x v="4"/>
  </r>
  <r>
    <x v="908"/>
    <n v="-15.64"/>
    <x v="2013"/>
    <n v="3195.96"/>
    <s v="Complete Access"/>
    <x v="8"/>
    <x v="1"/>
    <x v="5"/>
    <d v="1900-01-14T00:00:00"/>
    <n v="51"/>
    <x v="2"/>
    <x v="4"/>
  </r>
  <r>
    <x v="909"/>
    <n v="-19.23"/>
    <x v="2014"/>
    <n v="3243.1"/>
    <s v="Complete Access"/>
    <x v="8"/>
    <x v="1"/>
    <x v="5"/>
    <d v="1900-01-13T00:00:00"/>
    <n v="51"/>
    <x v="2"/>
    <x v="4"/>
  </r>
  <r>
    <x v="909"/>
    <n v="-7.5"/>
    <x v="2015"/>
    <n v="3211.6"/>
    <s v="Complete Access"/>
    <x v="218"/>
    <x v="8"/>
    <x v="29"/>
    <d v="1900-01-13T00:00:00"/>
    <n v="51"/>
    <x v="2"/>
    <x v="4"/>
  </r>
  <r>
    <x v="909"/>
    <n v="-24"/>
    <x v="2015"/>
    <n v="3219.1"/>
    <s v="Complete Access"/>
    <x v="218"/>
    <x v="8"/>
    <x v="29"/>
    <d v="1900-01-13T00:00:00"/>
    <n v="51"/>
    <x v="2"/>
    <x v="4"/>
  </r>
  <r>
    <x v="910"/>
    <n v="-26"/>
    <x v="96"/>
    <n v="3262.33"/>
    <s v="Complete Access"/>
    <x v="47"/>
    <x v="1"/>
    <x v="5"/>
    <d v="1900-01-09T00:00:00"/>
    <n v="50"/>
    <x v="2"/>
    <x v="4"/>
  </r>
  <r>
    <x v="911"/>
    <n v="-760"/>
    <x v="656"/>
    <n v="3288.33"/>
    <s v="Complete Access"/>
    <x v="13"/>
    <x v="0"/>
    <x v="0"/>
    <d v="1900-01-08T00:00:00"/>
    <n v="50"/>
    <x v="2"/>
    <x v="4"/>
  </r>
  <r>
    <x v="911"/>
    <n v="2248.5700000000002"/>
    <x v="2016"/>
    <n v="4048.33"/>
    <s v="Complete Access"/>
    <x v="14"/>
    <x v="6"/>
    <x v="9"/>
    <d v="1900-01-08T00:00:00"/>
    <n v="50"/>
    <x v="2"/>
    <x v="4"/>
  </r>
  <r>
    <x v="912"/>
    <n v="300"/>
    <x v="2017"/>
    <n v="1799.76"/>
    <s v="Complete Access"/>
    <x v="36"/>
    <x v="0"/>
    <x v="0"/>
    <d v="1900-01-07T00:00:00"/>
    <n v="50"/>
    <x v="2"/>
    <x v="4"/>
  </r>
  <r>
    <x v="913"/>
    <n v="-28.39"/>
    <x v="2018"/>
    <n v="1538.86"/>
    <s v="Complete Access"/>
    <x v="8"/>
    <x v="1"/>
    <x v="5"/>
    <d v="1900-01-06T00:00:00"/>
    <n v="50"/>
    <x v="2"/>
    <x v="4"/>
  </r>
  <r>
    <x v="913"/>
    <n v="-7.7"/>
    <x v="2019"/>
    <n v="1499.76"/>
    <s v="Complete Access"/>
    <x v="522"/>
    <x v="1"/>
    <x v="5"/>
    <d v="1900-01-06T00:00:00"/>
    <n v="50"/>
    <x v="2"/>
    <x v="4"/>
  </r>
  <r>
    <x v="913"/>
    <n v="-31.4"/>
    <x v="2020"/>
    <n v="1507.46"/>
    <s v="Complete Access"/>
    <x v="104"/>
    <x v="1"/>
    <x v="5"/>
    <d v="1900-01-06T00:00:00"/>
    <n v="50"/>
    <x v="2"/>
    <x v="4"/>
  </r>
  <r>
    <x v="914"/>
    <n v="-2500"/>
    <x v="2021"/>
    <n v="1567.25"/>
    <s v="Complete Access"/>
    <x v="504"/>
    <x v="0"/>
    <x v="72"/>
    <d v="1900-01-03T00:00:00"/>
    <n v="49"/>
    <x v="2"/>
    <x v="4"/>
  </r>
  <r>
    <x v="915"/>
    <n v="-6.85"/>
    <x v="96"/>
    <n v="4067.25"/>
    <s v="Complete Access"/>
    <x v="47"/>
    <x v="1"/>
    <x v="5"/>
    <d v="1900-01-02T00:00:00"/>
    <n v="49"/>
    <x v="2"/>
    <x v="4"/>
  </r>
  <r>
    <x v="916"/>
    <n v="-29.69"/>
    <x v="2022"/>
    <n v="4074.1"/>
    <s v="Complete Access"/>
    <x v="8"/>
    <x v="1"/>
    <x v="5"/>
    <d v="1900-01-01T00:00:00"/>
    <n v="49"/>
    <x v="2"/>
    <x v="4"/>
  </r>
  <r>
    <x v="917"/>
    <n v="-244"/>
    <x v="69"/>
    <n v="4103.79"/>
    <s v="Complete Access"/>
    <x v="0"/>
    <x v="0"/>
    <x v="0"/>
    <d v="1899-12-31T00:00:00"/>
    <n v="49"/>
    <x v="2"/>
    <x v="4"/>
  </r>
  <r>
    <x v="917"/>
    <n v="-29.04"/>
    <x v="2023"/>
    <n v="4528.34"/>
    <s v="Complete Access"/>
    <x v="8"/>
    <x v="1"/>
    <x v="5"/>
    <d v="1899-12-31T00:00:00"/>
    <n v="49"/>
    <x v="2"/>
    <x v="4"/>
  </r>
  <r>
    <x v="917"/>
    <n v="-180.55"/>
    <x v="2024"/>
    <n v="4347.79"/>
    <s v="Complete Access"/>
    <x v="76"/>
    <x v="2"/>
    <x v="2"/>
    <d v="1899-12-31T00:00:00"/>
    <n v="49"/>
    <x v="2"/>
    <x v="4"/>
  </r>
  <r>
    <x v="918"/>
    <n v="-65.39"/>
    <x v="2025"/>
    <n v="4557.38"/>
    <s v="Complete Access"/>
    <x v="433"/>
    <x v="7"/>
    <x v="53"/>
    <d v="1900-01-29T00:00:00"/>
    <n v="49"/>
    <x v="3"/>
    <x v="4"/>
  </r>
  <r>
    <x v="918"/>
    <n v="-44.1"/>
    <x v="2026"/>
    <n v="4622.7700000000004"/>
    <s v="Complete Access"/>
    <x v="1"/>
    <x v="1"/>
    <x v="1"/>
    <d v="1900-01-29T00:00:00"/>
    <n v="49"/>
    <x v="3"/>
    <x v="4"/>
  </r>
  <r>
    <x v="918"/>
    <n v="-21.9"/>
    <x v="2027"/>
    <n v="4666.87"/>
    <s v="Complete Access"/>
    <x v="5"/>
    <x v="3"/>
    <x v="3"/>
    <d v="1900-01-29T00:00:00"/>
    <n v="49"/>
    <x v="3"/>
    <x v="4"/>
  </r>
  <r>
    <x v="919"/>
    <n v="-22.85"/>
    <x v="96"/>
    <n v="4688.7700000000004"/>
    <s v="Complete Access"/>
    <x v="47"/>
    <x v="1"/>
    <x v="5"/>
    <d v="1900-01-26T00:00:00"/>
    <n v="48"/>
    <x v="3"/>
    <x v="4"/>
  </r>
  <r>
    <x v="919"/>
    <n v="-3.5"/>
    <x v="2028"/>
    <n v="4711.62"/>
    <s v="Complete Access"/>
    <x v="34"/>
    <x v="9"/>
    <x v="12"/>
    <d v="1900-01-26T00:00:00"/>
    <n v="48"/>
    <x v="3"/>
    <x v="4"/>
  </r>
  <r>
    <x v="920"/>
    <n v="-760"/>
    <x v="656"/>
    <n v="4825.12"/>
    <s v="Complete Access"/>
    <x v="13"/>
    <x v="0"/>
    <x v="0"/>
    <d v="1900-01-24T00:00:00"/>
    <n v="48"/>
    <x v="3"/>
    <x v="4"/>
  </r>
  <r>
    <x v="920"/>
    <n v="-110"/>
    <x v="2029"/>
    <n v="4715.12"/>
    <s v="Complete Access"/>
    <x v="0"/>
    <x v="0"/>
    <x v="0"/>
    <d v="1900-01-24T00:00:00"/>
    <n v="48"/>
    <x v="3"/>
    <x v="4"/>
  </r>
  <r>
    <x v="920"/>
    <n v="2248.5500000000002"/>
    <x v="2030"/>
    <n v="5585.12"/>
    <s v="Complete Access"/>
    <x v="14"/>
    <x v="6"/>
    <x v="9"/>
    <d v="1900-01-24T00:00:00"/>
    <n v="48"/>
    <x v="3"/>
    <x v="4"/>
  </r>
  <r>
    <x v="921"/>
    <n v="-33.89"/>
    <x v="2031"/>
    <n v="3350.07"/>
    <s v="Complete Access"/>
    <x v="8"/>
    <x v="1"/>
    <x v="5"/>
    <d v="1900-01-23T00:00:00"/>
    <n v="48"/>
    <x v="3"/>
    <x v="4"/>
  </r>
  <r>
    <x v="921"/>
    <n v="-13.5"/>
    <x v="2032"/>
    <n v="3336.57"/>
    <s v="Complete Access"/>
    <x v="523"/>
    <x v="8"/>
    <x v="29"/>
    <d v="1900-01-23T00:00:00"/>
    <n v="48"/>
    <x v="3"/>
    <x v="4"/>
  </r>
  <r>
    <x v="922"/>
    <n v="-20.27"/>
    <x v="969"/>
    <n v="3383.96"/>
    <s v="Complete Access"/>
    <x v="177"/>
    <x v="1"/>
    <x v="1"/>
    <d v="1900-01-22T00:00:00"/>
    <n v="48"/>
    <x v="3"/>
    <x v="4"/>
  </r>
  <r>
    <x v="922"/>
    <n v="-41"/>
    <x v="2033"/>
    <n v="3404.23"/>
    <s v="Complete Access"/>
    <x v="34"/>
    <x v="9"/>
    <x v="12"/>
    <d v="1900-01-22T00:00:00"/>
    <n v="48"/>
    <x v="3"/>
    <x v="4"/>
  </r>
  <r>
    <x v="923"/>
    <n v="1800"/>
    <x v="2034"/>
    <n v="3445.23"/>
    <s v="Complete Access"/>
    <x v="36"/>
    <x v="0"/>
    <x v="0"/>
    <d v="1900-01-21T00:00:00"/>
    <n v="48"/>
    <x v="3"/>
    <x v="4"/>
  </r>
  <r>
    <x v="924"/>
    <n v="-19.149999999999999"/>
    <x v="2035"/>
    <n v="1645.23"/>
    <s v="Complete Access"/>
    <x v="47"/>
    <x v="1"/>
    <x v="5"/>
    <d v="1900-01-20T00:00:00"/>
    <n v="48"/>
    <x v="3"/>
    <x v="4"/>
  </r>
  <r>
    <x v="925"/>
    <n v="-89.9"/>
    <x v="2036"/>
    <n v="1672.08"/>
    <s v="Complete Access"/>
    <x v="524"/>
    <x v="3"/>
    <x v="15"/>
    <d v="1900-01-19T00:00:00"/>
    <n v="47"/>
    <x v="3"/>
    <x v="4"/>
  </r>
  <r>
    <x v="925"/>
    <n v="-7.7"/>
    <x v="2037"/>
    <n v="1664.38"/>
    <s v="Complete Access"/>
    <x v="1"/>
    <x v="1"/>
    <x v="1"/>
    <d v="1900-01-19T00:00:00"/>
    <n v="47"/>
    <x v="3"/>
    <x v="4"/>
  </r>
  <r>
    <x v="926"/>
    <n v="-57.14"/>
    <x v="2038"/>
    <n v="1761.98"/>
    <s v="Complete Access"/>
    <x v="1"/>
    <x v="1"/>
    <x v="1"/>
    <d v="1900-01-17T00:00:00"/>
    <n v="47"/>
    <x v="3"/>
    <x v="4"/>
  </r>
  <r>
    <x v="927"/>
    <n v="-21.25"/>
    <x v="96"/>
    <n v="1819.12"/>
    <s v="Complete Access"/>
    <x v="47"/>
    <x v="1"/>
    <x v="5"/>
    <d v="1900-01-16T00:00:00"/>
    <n v="47"/>
    <x v="3"/>
    <x v="4"/>
  </r>
  <r>
    <x v="928"/>
    <n v="-118"/>
    <x v="2039"/>
    <n v="1968.53"/>
    <s v="Complete Access"/>
    <x v="91"/>
    <x v="9"/>
    <x v="12"/>
    <d v="1900-01-15T00:00:00"/>
    <n v="47"/>
    <x v="3"/>
    <x v="4"/>
  </r>
  <r>
    <x v="928"/>
    <n v="-21.82"/>
    <x v="2040"/>
    <n v="2093.7800000000002"/>
    <s v="Complete Access"/>
    <x v="467"/>
    <x v="1"/>
    <x v="5"/>
    <d v="1900-01-15T00:00:00"/>
    <n v="47"/>
    <x v="3"/>
    <x v="4"/>
  </r>
  <r>
    <x v="928"/>
    <n v="-128.16"/>
    <x v="2041"/>
    <n v="1840.37"/>
    <s v="Complete Access"/>
    <x v="438"/>
    <x v="12"/>
    <x v="21"/>
    <d v="1900-01-15T00:00:00"/>
    <n v="47"/>
    <x v="3"/>
    <x v="4"/>
  </r>
  <r>
    <x v="928"/>
    <n v="-7.25"/>
    <x v="2042"/>
    <n v="2086.5300000000002"/>
    <s v="Complete Access"/>
    <x v="1"/>
    <x v="1"/>
    <x v="1"/>
    <d v="1900-01-15T00:00:00"/>
    <n v="47"/>
    <x v="3"/>
    <x v="4"/>
  </r>
  <r>
    <x v="928"/>
    <n v="-48.9"/>
    <x v="2043"/>
    <n v="2115.6"/>
    <s v="Complete Access"/>
    <x v="4"/>
    <x v="1"/>
    <x v="1"/>
    <d v="1900-01-15T00:00:00"/>
    <n v="47"/>
    <x v="3"/>
    <x v="4"/>
  </r>
  <r>
    <x v="929"/>
    <n v="-760"/>
    <x v="656"/>
    <n v="2164.5"/>
    <s v="Complete Access"/>
    <x v="13"/>
    <x v="0"/>
    <x v="0"/>
    <d v="1900-01-10T00:00:00"/>
    <n v="46"/>
    <x v="3"/>
    <x v="4"/>
  </r>
  <r>
    <x v="929"/>
    <n v="2465.41"/>
    <x v="2044"/>
    <n v="2924.5"/>
    <s v="Complete Access"/>
    <x v="14"/>
    <x v="6"/>
    <x v="9"/>
    <d v="1900-01-10T00:00:00"/>
    <n v="46"/>
    <x v="3"/>
    <x v="4"/>
  </r>
  <r>
    <x v="930"/>
    <n v="-20.399999999999999"/>
    <x v="2045"/>
    <n v="1054.03"/>
    <s v="Complete Access"/>
    <x v="525"/>
    <x v="8"/>
    <x v="29"/>
    <d v="1900-01-09T00:00:00"/>
    <n v="46"/>
    <x v="3"/>
    <x v="4"/>
  </r>
  <r>
    <x v="930"/>
    <n v="-12.9"/>
    <x v="2046"/>
    <n v="1041.1300000000001"/>
    <s v="Complete Access"/>
    <x v="47"/>
    <x v="1"/>
    <x v="5"/>
    <d v="1900-01-09T00:00:00"/>
    <n v="46"/>
    <x v="3"/>
    <x v="4"/>
  </r>
  <r>
    <x v="930"/>
    <n v="-33.81"/>
    <x v="2047"/>
    <n v="1007.32"/>
    <s v="Complete Access"/>
    <x v="237"/>
    <x v="15"/>
    <x v="34"/>
    <d v="1900-01-09T00:00:00"/>
    <n v="46"/>
    <x v="3"/>
    <x v="4"/>
  </r>
  <r>
    <x v="930"/>
    <n v="-548.23"/>
    <x v="2048"/>
    <n v="459.09"/>
    <s v="Complete Access"/>
    <x v="526"/>
    <x v="1"/>
    <x v="5"/>
    <d v="1900-01-09T00:00:00"/>
    <n v="46"/>
    <x v="3"/>
    <x v="4"/>
  </r>
  <r>
    <x v="930"/>
    <n v="-89.5"/>
    <x v="2049"/>
    <n v="1074.43"/>
    <s v="Complete Access"/>
    <x v="527"/>
    <x v="1"/>
    <x v="5"/>
    <d v="1900-01-09T00:00:00"/>
    <n v="46"/>
    <x v="3"/>
    <x v="4"/>
  </r>
  <r>
    <x v="931"/>
    <n v="-41.88"/>
    <x v="2050"/>
    <n v="1276.57"/>
    <s v="Complete Access"/>
    <x v="8"/>
    <x v="1"/>
    <x v="5"/>
    <d v="1900-01-08T00:00:00"/>
    <n v="46"/>
    <x v="3"/>
    <x v="4"/>
  </r>
  <r>
    <x v="931"/>
    <n v="-33.26"/>
    <x v="2050"/>
    <n v="1323.45"/>
    <s v="Complete Access"/>
    <x v="8"/>
    <x v="1"/>
    <x v="5"/>
    <d v="1900-01-08T00:00:00"/>
    <n v="46"/>
    <x v="3"/>
    <x v="4"/>
  </r>
  <r>
    <x v="931"/>
    <n v="-45.44"/>
    <x v="2051"/>
    <n v="1231.1300000000001"/>
    <s v="Complete Access"/>
    <x v="8"/>
    <x v="1"/>
    <x v="5"/>
    <d v="1900-01-08T00:00:00"/>
    <n v="46"/>
    <x v="3"/>
    <x v="4"/>
  </r>
  <r>
    <x v="931"/>
    <n v="-10.119999999999999"/>
    <x v="2052"/>
    <n v="1203.4000000000001"/>
    <s v="Complete Access"/>
    <x v="521"/>
    <x v="8"/>
    <x v="29"/>
    <d v="1900-01-08T00:00:00"/>
    <n v="46"/>
    <x v="3"/>
    <x v="4"/>
  </r>
  <r>
    <x v="931"/>
    <n v="-17.61"/>
    <x v="2052"/>
    <n v="1213.52"/>
    <s v="Complete Access"/>
    <x v="521"/>
    <x v="8"/>
    <x v="29"/>
    <d v="1900-01-08T00:00:00"/>
    <n v="46"/>
    <x v="3"/>
    <x v="4"/>
  </r>
  <r>
    <x v="931"/>
    <n v="-20.239999999999998"/>
    <x v="2053"/>
    <n v="1163.93"/>
    <s v="Complete Access"/>
    <x v="521"/>
    <x v="8"/>
    <x v="29"/>
    <d v="1900-01-08T00:00:00"/>
    <n v="46"/>
    <x v="3"/>
    <x v="4"/>
  </r>
  <r>
    <x v="931"/>
    <n v="-19.23"/>
    <x v="2053"/>
    <n v="1184.17"/>
    <s v="Complete Access"/>
    <x v="521"/>
    <x v="8"/>
    <x v="29"/>
    <d v="1900-01-08T00:00:00"/>
    <n v="46"/>
    <x v="3"/>
    <x v="4"/>
  </r>
  <r>
    <x v="931"/>
    <n v="-5"/>
    <x v="2054"/>
    <n v="1318.45"/>
    <s v="Complete Access"/>
    <x v="1"/>
    <x v="1"/>
    <x v="1"/>
    <d v="1900-01-08T00:00:00"/>
    <n v="46"/>
    <x v="3"/>
    <x v="4"/>
  </r>
  <r>
    <x v="932"/>
    <n v="63"/>
    <x v="2055"/>
    <n v="1293.71"/>
    <s v="Complete Access"/>
    <x v="36"/>
    <x v="0"/>
    <x v="0"/>
    <d v="1900-01-05T00:00:00"/>
    <n v="45"/>
    <x v="3"/>
    <x v="4"/>
  </r>
  <r>
    <x v="932"/>
    <n v="95"/>
    <x v="2056"/>
    <n v="1160.71"/>
    <s v="Complete Access"/>
    <x v="36"/>
    <x v="0"/>
    <x v="0"/>
    <d v="1900-01-05T00:00:00"/>
    <n v="45"/>
    <x v="3"/>
    <x v="4"/>
  </r>
  <r>
    <x v="932"/>
    <n v="63"/>
    <x v="2057"/>
    <n v="1356.71"/>
    <s v="Complete Access"/>
    <x v="36"/>
    <x v="0"/>
    <x v="0"/>
    <d v="1900-01-05T00:00:00"/>
    <n v="45"/>
    <x v="3"/>
    <x v="4"/>
  </r>
  <r>
    <x v="932"/>
    <n v="70"/>
    <x v="2058"/>
    <n v="1230.71"/>
    <s v="Complete Access"/>
    <x v="36"/>
    <x v="0"/>
    <x v="0"/>
    <d v="1900-01-05T00:00:00"/>
    <n v="45"/>
    <x v="3"/>
    <x v="4"/>
  </r>
  <r>
    <x v="933"/>
    <n v="-38.380000000000003"/>
    <x v="2059"/>
    <n v="1065.71"/>
    <s v="Complete Access"/>
    <x v="528"/>
    <x v="8"/>
    <x v="29"/>
    <d v="1900-01-02T00:00:00"/>
    <n v="45"/>
    <x v="3"/>
    <x v="4"/>
  </r>
  <r>
    <x v="933"/>
    <n v="-26.99"/>
    <x v="2060"/>
    <n v="1104.0899999999999"/>
    <s v="Complete Access"/>
    <x v="237"/>
    <x v="15"/>
    <x v="34"/>
    <d v="1900-01-02T00:00:00"/>
    <n v="45"/>
    <x v="3"/>
    <x v="4"/>
  </r>
  <r>
    <x v="934"/>
    <n v="-20"/>
    <x v="2061"/>
    <n v="1133.58"/>
    <s v="Complete Access"/>
    <x v="130"/>
    <x v="0"/>
    <x v="0"/>
    <d v="1900-01-01T00:00:00"/>
    <n v="45"/>
    <x v="3"/>
    <x v="4"/>
  </r>
  <r>
    <x v="934"/>
    <n v="-27.08"/>
    <x v="2062"/>
    <n v="1311.83"/>
    <s v="Complete Access"/>
    <x v="8"/>
    <x v="1"/>
    <x v="5"/>
    <d v="1900-01-01T00:00:00"/>
    <n v="45"/>
    <x v="3"/>
    <x v="4"/>
  </r>
  <r>
    <x v="934"/>
    <n v="-2.5"/>
    <x v="72"/>
    <n v="1131.08"/>
    <s v="Complete Access"/>
    <x v="37"/>
    <x v="0"/>
    <x v="0"/>
    <d v="1900-01-01T00:00:00"/>
    <n v="45"/>
    <x v="3"/>
    <x v="4"/>
  </r>
  <r>
    <x v="934"/>
    <n v="-74"/>
    <x v="2063"/>
    <n v="1153.58"/>
    <s v="Complete Access"/>
    <x v="35"/>
    <x v="1"/>
    <x v="23"/>
    <d v="1900-01-01T00:00:00"/>
    <n v="45"/>
    <x v="3"/>
    <x v="4"/>
  </r>
  <r>
    <x v="934"/>
    <n v="-18.989999999999998"/>
    <x v="2064"/>
    <n v="1292.8399999999999"/>
    <s v="Complete Access"/>
    <x v="190"/>
    <x v="8"/>
    <x v="29"/>
    <d v="1900-01-01T00:00:00"/>
    <n v="45"/>
    <x v="3"/>
    <x v="4"/>
  </r>
  <r>
    <x v="934"/>
    <n v="-65.260000000000005"/>
    <x v="2065"/>
    <n v="1227.58"/>
    <s v="Complete Access"/>
    <x v="1"/>
    <x v="1"/>
    <x v="1"/>
    <d v="1900-01-01T00:00:00"/>
    <n v="45"/>
    <x v="3"/>
    <x v="4"/>
  </r>
  <r>
    <x v="935"/>
    <n v="-2500"/>
    <x v="2066"/>
    <n v="1519.46"/>
    <s v="Complete Access"/>
    <x v="504"/>
    <x v="0"/>
    <x v="72"/>
    <d v="1899-12-31T00:00:00"/>
    <n v="45"/>
    <x v="3"/>
    <x v="4"/>
  </r>
  <r>
    <x v="935"/>
    <n v="-180.55"/>
    <x v="2067"/>
    <n v="1338.91"/>
    <s v="Complete Access"/>
    <x v="76"/>
    <x v="2"/>
    <x v="2"/>
    <d v="1899-12-31T00:00:00"/>
    <n v="45"/>
    <x v="3"/>
    <x v="4"/>
  </r>
  <r>
    <x v="936"/>
    <n v="-22"/>
    <x v="2068"/>
    <n v="4019.46"/>
    <s v="Complete Access"/>
    <x v="529"/>
    <x v="1"/>
    <x v="5"/>
    <d v="1900-01-30T00:00:00"/>
    <n v="45"/>
    <x v="4"/>
    <x v="4"/>
  </r>
  <r>
    <x v="936"/>
    <n v="-19"/>
    <x v="2069"/>
    <n v="4041.46"/>
    <s v="Complete Access"/>
    <x v="529"/>
    <x v="1"/>
    <x v="5"/>
    <d v="1900-01-30T00:00:00"/>
    <n v="45"/>
    <x v="4"/>
    <x v="4"/>
  </r>
  <r>
    <x v="937"/>
    <n v="-36"/>
    <x v="2070"/>
    <n v="4060.46"/>
    <s v="Complete Access"/>
    <x v="530"/>
    <x v="20"/>
    <x v="63"/>
    <d v="1900-01-29T00:00:00"/>
    <n v="44"/>
    <x v="4"/>
    <x v="4"/>
  </r>
  <r>
    <x v="938"/>
    <n v="-760"/>
    <x v="656"/>
    <n v="4096.46"/>
    <s v="Complete Access"/>
    <x v="13"/>
    <x v="0"/>
    <x v="0"/>
    <d v="1900-01-27T00:00:00"/>
    <n v="44"/>
    <x v="4"/>
    <x v="4"/>
  </r>
  <r>
    <x v="938"/>
    <n v="2213.48"/>
    <x v="2071"/>
    <n v="4856.46"/>
    <s v="Complete Access"/>
    <x v="14"/>
    <x v="6"/>
    <x v="9"/>
    <d v="1900-01-27T00:00:00"/>
    <n v="44"/>
    <x v="4"/>
    <x v="4"/>
  </r>
  <r>
    <x v="939"/>
    <n v="-19"/>
    <x v="2072"/>
    <n v="2642.98"/>
    <s v="Complete Access"/>
    <x v="531"/>
    <x v="1"/>
    <x v="5"/>
    <d v="1900-01-26T00:00:00"/>
    <n v="44"/>
    <x v="4"/>
    <x v="4"/>
  </r>
  <r>
    <x v="940"/>
    <n v="-350"/>
    <x v="2073"/>
    <n v="2661.98"/>
    <s v="Complete Access"/>
    <x v="532"/>
    <x v="17"/>
    <x v="43"/>
    <d v="1900-01-25T00:00:00"/>
    <n v="44"/>
    <x v="4"/>
    <x v="4"/>
  </r>
  <r>
    <x v="940"/>
    <n v="-22.77"/>
    <x v="2074"/>
    <n v="3043.18"/>
    <s v="Complete Access"/>
    <x v="533"/>
    <x v="1"/>
    <x v="5"/>
    <d v="1900-01-25T00:00:00"/>
    <n v="44"/>
    <x v="4"/>
    <x v="4"/>
  </r>
  <r>
    <x v="940"/>
    <n v="-31.2"/>
    <x v="2075"/>
    <n v="3011.98"/>
    <s v="Complete Access"/>
    <x v="215"/>
    <x v="1"/>
    <x v="1"/>
    <d v="1900-01-25T00:00:00"/>
    <n v="44"/>
    <x v="4"/>
    <x v="4"/>
  </r>
  <r>
    <x v="941"/>
    <n v="-89.61"/>
    <x v="1641"/>
    <n v="3065.95"/>
    <s v="Complete Access"/>
    <x v="4"/>
    <x v="1"/>
    <x v="1"/>
    <d v="1900-01-24T00:00:00"/>
    <n v="44"/>
    <x v="4"/>
    <x v="4"/>
  </r>
  <r>
    <x v="942"/>
    <n v="-29.11"/>
    <x v="2076"/>
    <n v="3201.76"/>
    <s v="Complete Access"/>
    <x v="534"/>
    <x v="8"/>
    <x v="29"/>
    <d v="1900-01-22T00:00:00"/>
    <n v="43"/>
    <x v="4"/>
    <x v="4"/>
  </r>
  <r>
    <x v="942"/>
    <n v="-39.6"/>
    <x v="2077"/>
    <n v="3162.16"/>
    <s v="Complete Access"/>
    <x v="535"/>
    <x v="1"/>
    <x v="23"/>
    <d v="1900-01-22T00:00:00"/>
    <n v="43"/>
    <x v="4"/>
    <x v="4"/>
  </r>
  <r>
    <x v="942"/>
    <n v="-6.6"/>
    <x v="2077"/>
    <n v="3155.56"/>
    <s v="Complete Access"/>
    <x v="535"/>
    <x v="1"/>
    <x v="23"/>
    <d v="1900-01-22T00:00:00"/>
    <n v="43"/>
    <x v="4"/>
    <x v="4"/>
  </r>
  <r>
    <x v="942"/>
    <n v="-35.68"/>
    <x v="2078"/>
    <n v="3230.87"/>
    <s v="Complete Access"/>
    <x v="34"/>
    <x v="9"/>
    <x v="12"/>
    <d v="1900-01-22T00:00:00"/>
    <n v="43"/>
    <x v="4"/>
    <x v="4"/>
  </r>
  <r>
    <x v="943"/>
    <n v="-55.39"/>
    <x v="2079"/>
    <n v="3286.54"/>
    <s v="Complete Access"/>
    <x v="433"/>
    <x v="7"/>
    <x v="53"/>
    <d v="1900-01-21T00:00:00"/>
    <n v="43"/>
    <x v="4"/>
    <x v="4"/>
  </r>
  <r>
    <x v="943"/>
    <n v="-19.989999999999998"/>
    <x v="2080"/>
    <n v="3266.55"/>
    <s v="Complete Access"/>
    <x v="536"/>
    <x v="1"/>
    <x v="23"/>
    <d v="1900-01-21T00:00:00"/>
    <n v="43"/>
    <x v="4"/>
    <x v="4"/>
  </r>
  <r>
    <x v="944"/>
    <n v="-243.67"/>
    <x v="2081"/>
    <n v="3341.93"/>
    <s v="Complete Access"/>
    <x v="438"/>
    <x v="12"/>
    <x v="21"/>
    <d v="1900-01-20T00:00:00"/>
    <n v="43"/>
    <x v="4"/>
    <x v="4"/>
  </r>
  <r>
    <x v="945"/>
    <n v="-51.44"/>
    <x v="405"/>
    <n v="3585.6"/>
    <s v="Complete Access"/>
    <x v="177"/>
    <x v="1"/>
    <x v="1"/>
    <d v="1900-01-19T00:00:00"/>
    <n v="43"/>
    <x v="4"/>
    <x v="4"/>
  </r>
  <r>
    <x v="946"/>
    <n v="-23.73"/>
    <x v="2082"/>
    <n v="3737.04"/>
    <s v="Complete Access"/>
    <x v="8"/>
    <x v="1"/>
    <x v="5"/>
    <d v="1900-01-18T00:00:00"/>
    <n v="43"/>
    <x v="4"/>
    <x v="4"/>
  </r>
  <r>
    <x v="946"/>
    <n v="-25.49"/>
    <x v="2082"/>
    <n v="3760.77"/>
    <s v="Complete Access"/>
    <x v="8"/>
    <x v="1"/>
    <x v="5"/>
    <d v="1900-01-18T00:00:00"/>
    <n v="43"/>
    <x v="4"/>
    <x v="4"/>
  </r>
  <r>
    <x v="946"/>
    <n v="-7.76"/>
    <x v="2083"/>
    <n v="3786.26"/>
    <s v="Complete Access"/>
    <x v="285"/>
    <x v="5"/>
    <x v="8"/>
    <d v="1900-01-18T00:00:00"/>
    <n v="43"/>
    <x v="4"/>
    <x v="4"/>
  </r>
  <r>
    <x v="946"/>
    <n v="-100"/>
    <x v="2084"/>
    <n v="3637.04"/>
    <s v="Complete Access"/>
    <x v="35"/>
    <x v="1"/>
    <x v="23"/>
    <d v="1900-01-18T00:00:00"/>
    <n v="43"/>
    <x v="4"/>
    <x v="4"/>
  </r>
  <r>
    <x v="947"/>
    <n v="250"/>
    <x v="2085"/>
    <n v="3769.02"/>
    <s v="Complete Access"/>
    <x v="36"/>
    <x v="0"/>
    <x v="0"/>
    <d v="1900-01-16T00:00:00"/>
    <n v="43"/>
    <x v="4"/>
    <x v="4"/>
  </r>
  <r>
    <x v="947"/>
    <n v="25"/>
    <x v="2086"/>
    <n v="3794.02"/>
    <s v="Complete Access"/>
    <x v="0"/>
    <x v="0"/>
    <x v="0"/>
    <d v="1900-01-16T00:00:00"/>
    <n v="43"/>
    <x v="4"/>
    <x v="4"/>
  </r>
  <r>
    <x v="948"/>
    <n v="-40"/>
    <x v="2087"/>
    <n v="3563.83"/>
    <s v="Complete Access"/>
    <x v="130"/>
    <x v="0"/>
    <x v="0"/>
    <d v="1900-01-15T00:00:00"/>
    <n v="42"/>
    <x v="4"/>
    <x v="4"/>
  </r>
  <r>
    <x v="948"/>
    <n v="-44.81"/>
    <x v="1641"/>
    <n v="3519.02"/>
    <s v="Complete Access"/>
    <x v="4"/>
    <x v="1"/>
    <x v="1"/>
    <d v="1900-01-15T00:00:00"/>
    <n v="42"/>
    <x v="4"/>
    <x v="4"/>
  </r>
  <r>
    <x v="949"/>
    <n v="-66.7"/>
    <x v="2088"/>
    <n v="3605.69"/>
    <s v="Complete Access"/>
    <x v="1"/>
    <x v="1"/>
    <x v="1"/>
    <d v="1900-01-14T00:00:00"/>
    <n v="42"/>
    <x v="4"/>
    <x v="4"/>
  </r>
  <r>
    <x v="949"/>
    <n v="-1.86"/>
    <x v="2089"/>
    <n v="3603.83"/>
    <s v="Complete Access"/>
    <x v="44"/>
    <x v="4"/>
    <x v="27"/>
    <d v="1900-01-14T00:00:00"/>
    <n v="42"/>
    <x v="4"/>
    <x v="4"/>
  </r>
  <r>
    <x v="950"/>
    <n v="-760"/>
    <x v="656"/>
    <n v="3672.39"/>
    <s v="Complete Access"/>
    <x v="13"/>
    <x v="0"/>
    <x v="0"/>
    <d v="1900-01-13T00:00:00"/>
    <n v="42"/>
    <x v="4"/>
    <x v="4"/>
  </r>
  <r>
    <x v="950"/>
    <n v="2213.48"/>
    <x v="2090"/>
    <n v="4432.3900000000003"/>
    <s v="Complete Access"/>
    <x v="14"/>
    <x v="6"/>
    <x v="9"/>
    <d v="1900-01-13T00:00:00"/>
    <n v="42"/>
    <x v="4"/>
    <x v="4"/>
  </r>
  <r>
    <x v="951"/>
    <n v="-34.799999999999997"/>
    <x v="1965"/>
    <n v="2218.91"/>
    <s v="Complete Access"/>
    <x v="304"/>
    <x v="1"/>
    <x v="5"/>
    <d v="1900-01-12T00:00:00"/>
    <n v="42"/>
    <x v="4"/>
    <x v="4"/>
  </r>
  <r>
    <x v="952"/>
    <n v="-18.34"/>
    <x v="2091"/>
    <n v="2293.73"/>
    <s v="Complete Access"/>
    <x v="8"/>
    <x v="1"/>
    <x v="5"/>
    <d v="1900-01-11T00:00:00"/>
    <n v="42"/>
    <x v="4"/>
    <x v="4"/>
  </r>
  <r>
    <x v="952"/>
    <n v="-22"/>
    <x v="2091"/>
    <n v="2312.0700000000002"/>
    <s v="Complete Access"/>
    <x v="8"/>
    <x v="1"/>
    <x v="5"/>
    <d v="1900-01-11T00:00:00"/>
    <n v="42"/>
    <x v="4"/>
    <x v="4"/>
  </r>
  <r>
    <x v="952"/>
    <n v="-40.020000000000003"/>
    <x v="2092"/>
    <n v="2253.71"/>
    <s v="Complete Access"/>
    <x v="34"/>
    <x v="9"/>
    <x v="12"/>
    <d v="1900-01-11T00:00:00"/>
    <n v="42"/>
    <x v="4"/>
    <x v="4"/>
  </r>
  <r>
    <x v="953"/>
    <n v="-18.399999999999999"/>
    <x v="96"/>
    <n v="2334.0700000000002"/>
    <s v="Complete Access"/>
    <x v="47"/>
    <x v="1"/>
    <x v="5"/>
    <d v="1900-01-10T00:00:00"/>
    <n v="42"/>
    <x v="4"/>
    <x v="4"/>
  </r>
  <r>
    <x v="954"/>
    <n v="-24.84"/>
    <x v="969"/>
    <n v="2352.4699999999998"/>
    <s v="Complete Access"/>
    <x v="177"/>
    <x v="1"/>
    <x v="1"/>
    <d v="1900-01-07T00:00:00"/>
    <n v="41"/>
    <x v="4"/>
    <x v="4"/>
  </r>
  <r>
    <x v="955"/>
    <n v="-40"/>
    <x v="2093"/>
    <n v="2377.31"/>
    <s v="Complete Access"/>
    <x v="0"/>
    <x v="0"/>
    <x v="0"/>
    <d v="1900-01-05T00:00:00"/>
    <n v="41"/>
    <x v="4"/>
    <x v="4"/>
  </r>
  <r>
    <x v="956"/>
    <n v="-42.95"/>
    <x v="2094"/>
    <n v="2421.31"/>
    <s v="Complete Access"/>
    <x v="165"/>
    <x v="8"/>
    <x v="22"/>
    <d v="1900-01-04T00:00:00"/>
    <n v="41"/>
    <x v="4"/>
    <x v="4"/>
  </r>
  <r>
    <x v="956"/>
    <n v="-4"/>
    <x v="2095"/>
    <n v="2417.31"/>
    <s v="Complete Access"/>
    <x v="0"/>
    <x v="0"/>
    <x v="0"/>
    <d v="1900-01-04T00:00:00"/>
    <n v="41"/>
    <x v="4"/>
    <x v="4"/>
  </r>
  <r>
    <x v="957"/>
    <n v="50"/>
    <x v="2096"/>
    <n v="2464.2600000000002"/>
    <s v="Complete Access"/>
    <x v="537"/>
    <x v="0"/>
    <x v="42"/>
    <d v="1900-01-03T00:00:00"/>
    <n v="41"/>
    <x v="4"/>
    <x v="4"/>
  </r>
  <r>
    <x v="957"/>
    <n v="-50"/>
    <x v="2097"/>
    <n v="2414.2600000000002"/>
    <s v="Complete Access"/>
    <x v="538"/>
    <x v="0"/>
    <x v="42"/>
    <d v="1900-01-03T00:00:00"/>
    <n v="41"/>
    <x v="4"/>
    <x v="4"/>
  </r>
  <r>
    <x v="958"/>
    <n v="-150"/>
    <x v="2098"/>
    <n v="2464.2600000000002"/>
    <s v="Complete Access"/>
    <x v="539"/>
    <x v="0"/>
    <x v="0"/>
    <d v="1900-01-02T00:00:00"/>
    <n v="41"/>
    <x v="4"/>
    <x v="4"/>
  </r>
  <r>
    <x v="959"/>
    <n v="-180.55"/>
    <x v="2099"/>
    <n v="2614.2600000000002"/>
    <s v="Complete Access"/>
    <x v="76"/>
    <x v="2"/>
    <x v="2"/>
    <d v="1899-12-31T00:00:00"/>
    <n v="40"/>
    <x v="4"/>
    <x v="4"/>
  </r>
  <r>
    <x v="960"/>
    <n v="-760"/>
    <x v="656"/>
    <n v="2265.21"/>
    <s v="Complete Access"/>
    <x v="13"/>
    <x v="0"/>
    <x v="0"/>
    <d v="1900-01-29T00:00:00"/>
    <n v="40"/>
    <x v="5"/>
    <x v="4"/>
  </r>
  <r>
    <x v="960"/>
    <n v="2213.48"/>
    <x v="745"/>
    <n v="3025.21"/>
    <s v="Complete Access"/>
    <x v="14"/>
    <x v="6"/>
    <x v="9"/>
    <d v="1900-01-29T00:00:00"/>
    <n v="40"/>
    <x v="5"/>
    <x v="4"/>
  </r>
  <r>
    <x v="960"/>
    <n v="529.6"/>
    <x v="2100"/>
    <n v="2794.81"/>
    <s v="Complete Access"/>
    <x v="67"/>
    <x v="0"/>
    <x v="0"/>
    <d v="1900-01-29T00:00:00"/>
    <n v="40"/>
    <x v="5"/>
    <x v="4"/>
  </r>
  <r>
    <x v="961"/>
    <n v="-41.17"/>
    <x v="2101"/>
    <n v="811.73"/>
    <s v="Complete Access"/>
    <x v="8"/>
    <x v="1"/>
    <x v="5"/>
    <d v="1900-01-28T00:00:00"/>
    <n v="40"/>
    <x v="5"/>
    <x v="4"/>
  </r>
  <r>
    <x v="962"/>
    <n v="-47.99"/>
    <x v="2102"/>
    <n v="852.9"/>
    <s v="Complete Access"/>
    <x v="8"/>
    <x v="1"/>
    <x v="5"/>
    <d v="1900-01-27T00:00:00"/>
    <n v="40"/>
    <x v="5"/>
    <x v="4"/>
  </r>
  <r>
    <x v="963"/>
    <n v="-250"/>
    <x v="2103"/>
    <n v="900.89"/>
    <s v="Complete Access"/>
    <x v="504"/>
    <x v="0"/>
    <x v="72"/>
    <d v="1900-01-21T00:00:00"/>
    <n v="39"/>
    <x v="5"/>
    <x v="4"/>
  </r>
  <r>
    <x v="964"/>
    <n v="-4"/>
    <x v="2104"/>
    <n v="1150.8900000000001"/>
    <s v="Complete Access"/>
    <x v="1"/>
    <x v="1"/>
    <x v="1"/>
    <d v="1900-01-20T00:00:00"/>
    <n v="39"/>
    <x v="5"/>
    <x v="4"/>
  </r>
  <r>
    <x v="965"/>
    <n v="-54.13"/>
    <x v="2105"/>
    <n v="1154.8900000000001"/>
    <s v="Complete Access"/>
    <x v="4"/>
    <x v="1"/>
    <x v="1"/>
    <d v="1900-01-18T00:00:00"/>
    <n v="39"/>
    <x v="5"/>
    <x v="4"/>
  </r>
  <r>
    <x v="966"/>
    <n v="-1000"/>
    <x v="2003"/>
    <n v="1209.02"/>
    <s v="Complete Access"/>
    <x v="0"/>
    <x v="0"/>
    <x v="0"/>
    <d v="1900-01-17T00:00:00"/>
    <n v="38"/>
    <x v="5"/>
    <x v="4"/>
  </r>
  <r>
    <x v="966"/>
    <n v="-55.39"/>
    <x v="2106"/>
    <n v="2209.02"/>
    <s v="Complete Access"/>
    <x v="433"/>
    <x v="7"/>
    <x v="53"/>
    <d v="1900-01-17T00:00:00"/>
    <n v="38"/>
    <x v="5"/>
    <x v="4"/>
  </r>
  <r>
    <x v="966"/>
    <n v="-41.16"/>
    <x v="2107"/>
    <n v="2264.41"/>
    <s v="Complete Access"/>
    <x v="1"/>
    <x v="1"/>
    <x v="1"/>
    <d v="1900-01-17T00:00:00"/>
    <n v="38"/>
    <x v="5"/>
    <x v="4"/>
  </r>
  <r>
    <x v="967"/>
    <n v="-760"/>
    <x v="656"/>
    <n v="2835.17"/>
    <s v="Complete Access"/>
    <x v="13"/>
    <x v="0"/>
    <x v="0"/>
    <d v="1900-01-15T00:00:00"/>
    <n v="38"/>
    <x v="5"/>
    <x v="4"/>
  </r>
  <r>
    <x v="967"/>
    <n v="-59"/>
    <x v="2108"/>
    <n v="3595.17"/>
    <s v="Complete Access"/>
    <x v="207"/>
    <x v="7"/>
    <x v="11"/>
    <d v="1900-01-15T00:00:00"/>
    <n v="38"/>
    <x v="5"/>
    <x v="4"/>
  </r>
  <r>
    <x v="967"/>
    <n v="2213.48"/>
    <x v="2109"/>
    <n v="3654.17"/>
    <s v="Complete Access"/>
    <x v="14"/>
    <x v="6"/>
    <x v="9"/>
    <d v="1900-01-15T00:00:00"/>
    <n v="38"/>
    <x v="5"/>
    <x v="4"/>
  </r>
  <r>
    <x v="967"/>
    <n v="-529.6"/>
    <x v="2110"/>
    <n v="2305.5700000000002"/>
    <s v="Complete Access"/>
    <x v="540"/>
    <x v="12"/>
    <x v="21"/>
    <d v="1900-01-15T00:00:00"/>
    <n v="38"/>
    <x v="5"/>
    <x v="4"/>
  </r>
  <r>
    <x v="968"/>
    <n v="-4"/>
    <x v="2111"/>
    <n v="1440.69"/>
    <s v="Complete Access"/>
    <x v="541"/>
    <x v="8"/>
    <x v="29"/>
    <d v="1900-01-14T00:00:00"/>
    <n v="38"/>
    <x v="5"/>
    <x v="4"/>
  </r>
  <r>
    <x v="969"/>
    <n v="-22.24"/>
    <x v="2112"/>
    <n v="1580.72"/>
    <s v="Complete Access"/>
    <x v="8"/>
    <x v="1"/>
    <x v="5"/>
    <d v="1900-01-13T00:00:00"/>
    <n v="38"/>
    <x v="5"/>
    <x v="4"/>
  </r>
  <r>
    <x v="969"/>
    <n v="-94"/>
    <x v="2113"/>
    <n v="1444.69"/>
    <s v="Complete Access"/>
    <x v="35"/>
    <x v="1"/>
    <x v="23"/>
    <d v="1900-01-13T00:00:00"/>
    <n v="38"/>
    <x v="5"/>
    <x v="4"/>
  </r>
  <r>
    <x v="969"/>
    <n v="-42.03"/>
    <x v="2114"/>
    <n v="1538.69"/>
    <s v="Complete Access"/>
    <x v="1"/>
    <x v="1"/>
    <x v="1"/>
    <d v="1900-01-13T00:00:00"/>
    <n v="38"/>
    <x v="5"/>
    <x v="4"/>
  </r>
  <r>
    <x v="970"/>
    <n v="-44.9"/>
    <x v="2105"/>
    <n v="1602.96"/>
    <s v="Complete Access"/>
    <x v="4"/>
    <x v="1"/>
    <x v="1"/>
    <d v="1900-01-12T00:00:00"/>
    <n v="38"/>
    <x v="5"/>
    <x v="4"/>
  </r>
  <r>
    <x v="971"/>
    <n v="-1000"/>
    <x v="2115"/>
    <n v="1647.86"/>
    <s v="Complete Access"/>
    <x v="504"/>
    <x v="0"/>
    <x v="72"/>
    <d v="1900-01-08T00:00:00"/>
    <n v="37"/>
    <x v="5"/>
    <x v="4"/>
  </r>
  <r>
    <x v="971"/>
    <n v="-45.7"/>
    <x v="2116"/>
    <n v="2647.86"/>
    <s v="Complete Access"/>
    <x v="5"/>
    <x v="3"/>
    <x v="3"/>
    <d v="1900-01-08T00:00:00"/>
    <n v="37"/>
    <x v="5"/>
    <x v="4"/>
  </r>
  <r>
    <x v="972"/>
    <n v="-20.3"/>
    <x v="2117"/>
    <n v="2715.05"/>
    <s v="Complete Access"/>
    <x v="8"/>
    <x v="1"/>
    <x v="5"/>
    <d v="1900-01-06T00:00:00"/>
    <n v="37"/>
    <x v="5"/>
    <x v="4"/>
  </r>
  <r>
    <x v="972"/>
    <n v="-32.729999999999997"/>
    <x v="2118"/>
    <n v="2735.35"/>
    <s v="Complete Access"/>
    <x v="8"/>
    <x v="1"/>
    <x v="5"/>
    <d v="1900-01-06T00:00:00"/>
    <n v="37"/>
    <x v="5"/>
    <x v="4"/>
  </r>
  <r>
    <x v="972"/>
    <n v="-21.49"/>
    <x v="2119"/>
    <n v="2693.56"/>
    <s v="Complete Access"/>
    <x v="8"/>
    <x v="1"/>
    <x v="5"/>
    <d v="1900-01-06T00:00:00"/>
    <n v="37"/>
    <x v="5"/>
    <x v="4"/>
  </r>
  <r>
    <x v="972"/>
    <n v="-100.58"/>
    <x v="2120"/>
    <n v="2768.08"/>
    <s v="Complete Access"/>
    <x v="1"/>
    <x v="1"/>
    <x v="1"/>
    <d v="1900-01-06T00:00:00"/>
    <n v="37"/>
    <x v="5"/>
    <x v="4"/>
  </r>
  <r>
    <x v="973"/>
    <n v="-43.17"/>
    <x v="2105"/>
    <n v="2868.66"/>
    <s v="Complete Access"/>
    <x v="4"/>
    <x v="1"/>
    <x v="1"/>
    <d v="1900-01-04T00:00:00"/>
    <n v="37"/>
    <x v="5"/>
    <x v="4"/>
  </r>
  <r>
    <x v="974"/>
    <n v="-112.25"/>
    <x v="2121"/>
    <n v="2911.83"/>
    <s v="Complete Access"/>
    <x v="438"/>
    <x v="12"/>
    <x v="21"/>
    <d v="1900-01-03T00:00:00"/>
    <n v="36"/>
    <x v="5"/>
    <x v="4"/>
  </r>
  <r>
    <x v="975"/>
    <n v="-760"/>
    <x v="656"/>
    <n v="3024.08"/>
    <s v="Complete Access"/>
    <x v="13"/>
    <x v="0"/>
    <x v="0"/>
    <d v="1900-01-01T00:00:00"/>
    <n v="36"/>
    <x v="5"/>
    <x v="4"/>
  </r>
  <r>
    <x v="975"/>
    <n v="2248.81"/>
    <x v="2122"/>
    <n v="3784.08"/>
    <s v="Complete Access"/>
    <x v="14"/>
    <x v="6"/>
    <x v="9"/>
    <d v="1900-01-01T00:00:00"/>
    <n v="36"/>
    <x v="5"/>
    <x v="4"/>
  </r>
  <r>
    <x v="976"/>
    <n v="-180.55"/>
    <x v="2123"/>
    <n v="1535.27"/>
    <s v="Complete Access"/>
    <x v="76"/>
    <x v="2"/>
    <x v="2"/>
    <d v="1899-12-31T00:00:00"/>
    <n v="36"/>
    <x v="5"/>
    <x v="4"/>
  </r>
  <r>
    <x v="977"/>
    <n v="-3.6"/>
    <x v="2124"/>
    <n v="1715.82"/>
    <s v="Complete Access"/>
    <x v="34"/>
    <x v="9"/>
    <x v="12"/>
    <d v="1900-01-30T00:00:00"/>
    <n v="36"/>
    <x v="6"/>
    <x v="4"/>
  </r>
  <r>
    <x v="978"/>
    <n v="-7.0000000000000007E-2"/>
    <x v="2125"/>
    <n v="1719.42"/>
    <s v="Complete Access"/>
    <x v="10"/>
    <x v="0"/>
    <x v="0"/>
    <d v="1900-01-25T00:00:00"/>
    <n v="35"/>
    <x v="6"/>
    <x v="4"/>
  </r>
  <r>
    <x v="978"/>
    <n v="-2.35"/>
    <x v="2126"/>
    <n v="1719.49"/>
    <s v="Complete Access"/>
    <x v="327"/>
    <x v="4"/>
    <x v="27"/>
    <d v="1900-01-25T00:00:00"/>
    <n v="35"/>
    <x v="6"/>
    <x v="4"/>
  </r>
  <r>
    <x v="979"/>
    <n v="-34.39"/>
    <x v="2105"/>
    <n v="1721.84"/>
    <s v="Complete Access"/>
    <x v="4"/>
    <x v="1"/>
    <x v="1"/>
    <d v="1900-01-24T00:00:00"/>
    <n v="35"/>
    <x v="6"/>
    <x v="4"/>
  </r>
  <r>
    <x v="980"/>
    <n v="-250"/>
    <x v="2127"/>
    <n v="1756.23"/>
    <s v="Complete Access"/>
    <x v="504"/>
    <x v="0"/>
    <x v="72"/>
    <d v="1900-01-23T00:00:00"/>
    <n v="35"/>
    <x v="6"/>
    <x v="4"/>
  </r>
  <r>
    <x v="980"/>
    <n v="-195.64"/>
    <x v="2128"/>
    <n v="2012.1"/>
    <s v="Complete Access"/>
    <x v="542"/>
    <x v="4"/>
    <x v="47"/>
    <d v="1900-01-23T00:00:00"/>
    <n v="35"/>
    <x v="6"/>
    <x v="4"/>
  </r>
  <r>
    <x v="980"/>
    <n v="-5.87"/>
    <x v="2125"/>
    <n v="2006.23"/>
    <s v="Complete Access"/>
    <x v="10"/>
    <x v="0"/>
    <x v="0"/>
    <d v="1900-01-23T00:00:00"/>
    <n v="35"/>
    <x v="6"/>
    <x v="4"/>
  </r>
  <r>
    <x v="981"/>
    <n v="250"/>
    <x v="2129"/>
    <n v="2207.7399999999998"/>
    <s v="Complete Access"/>
    <x v="36"/>
    <x v="0"/>
    <x v="0"/>
    <d v="1900-01-22T00:00:00"/>
    <n v="35"/>
    <x v="6"/>
    <x v="4"/>
  </r>
  <r>
    <x v="982"/>
    <n v="-500"/>
    <x v="2130"/>
    <n v="1957.74"/>
    <s v="Complete Access"/>
    <x v="504"/>
    <x v="0"/>
    <x v="72"/>
    <d v="1900-01-20T00:00:00"/>
    <n v="34"/>
    <x v="6"/>
    <x v="4"/>
  </r>
  <r>
    <x v="982"/>
    <n v="-5.99"/>
    <x v="2131"/>
    <n v="2457.7399999999998"/>
    <s v="Complete Access"/>
    <x v="177"/>
    <x v="1"/>
    <x v="1"/>
    <d v="1900-01-20T00:00:00"/>
    <n v="34"/>
    <x v="6"/>
    <x v="4"/>
  </r>
  <r>
    <x v="982"/>
    <n v="-51.03"/>
    <x v="2105"/>
    <n v="2463.73"/>
    <s v="Complete Access"/>
    <x v="4"/>
    <x v="1"/>
    <x v="1"/>
    <d v="1900-01-20T00:00:00"/>
    <n v="34"/>
    <x v="6"/>
    <x v="4"/>
  </r>
  <r>
    <x v="983"/>
    <n v="-760"/>
    <x v="656"/>
    <n v="2514.7600000000002"/>
    <s v="Complete Access"/>
    <x v="13"/>
    <x v="0"/>
    <x v="0"/>
    <d v="1900-01-18T00:00:00"/>
    <n v="34"/>
    <x v="6"/>
    <x v="4"/>
  </r>
  <r>
    <x v="983"/>
    <n v="2692.81"/>
    <x v="2132"/>
    <n v="3274.76"/>
    <s v="Complete Access"/>
    <x v="14"/>
    <x v="6"/>
    <x v="9"/>
    <d v="1900-01-18T00:00:00"/>
    <n v="34"/>
    <x v="6"/>
    <x v="4"/>
  </r>
  <r>
    <x v="984"/>
    <n v="-59"/>
    <x v="2133"/>
    <n v="637.46"/>
    <s v="Complete Access"/>
    <x v="207"/>
    <x v="7"/>
    <x v="11"/>
    <d v="1900-01-17T00:00:00"/>
    <n v="34"/>
    <x v="6"/>
    <x v="4"/>
  </r>
  <r>
    <x v="984"/>
    <n v="-55.51"/>
    <x v="2134"/>
    <n v="581.95000000000005"/>
    <s v="Complete Access"/>
    <x v="433"/>
    <x v="7"/>
    <x v="53"/>
    <d v="1900-01-17T00:00:00"/>
    <n v="34"/>
    <x v="6"/>
    <x v="4"/>
  </r>
  <r>
    <x v="985"/>
    <n v="-34.58"/>
    <x v="2131"/>
    <n v="696.46"/>
    <s v="Complete Access"/>
    <x v="177"/>
    <x v="1"/>
    <x v="1"/>
    <d v="1900-01-15T00:00:00"/>
    <n v="34"/>
    <x v="6"/>
    <x v="4"/>
  </r>
  <r>
    <x v="986"/>
    <n v="-44.83"/>
    <x v="2105"/>
    <n v="731.04"/>
    <s v="Complete Access"/>
    <x v="4"/>
    <x v="1"/>
    <x v="1"/>
    <d v="1900-01-13T00:00:00"/>
    <n v="33"/>
    <x v="6"/>
    <x v="4"/>
  </r>
  <r>
    <x v="987"/>
    <n v="-4.49"/>
    <x v="2135"/>
    <n v="775.87"/>
    <s v="Complete Access"/>
    <x v="215"/>
    <x v="1"/>
    <x v="1"/>
    <d v="1900-01-11T00:00:00"/>
    <n v="33"/>
    <x v="6"/>
    <x v="4"/>
  </r>
  <r>
    <x v="987"/>
    <n v="-3.99"/>
    <x v="2136"/>
    <n v="780.36"/>
    <s v="Complete Access"/>
    <x v="543"/>
    <x v="3"/>
    <x v="15"/>
    <d v="1900-01-11T00:00:00"/>
    <n v="33"/>
    <x v="6"/>
    <x v="4"/>
  </r>
  <r>
    <x v="987"/>
    <n v="-1"/>
    <x v="2137"/>
    <n v="784.35"/>
    <s v="Complete Access"/>
    <x v="98"/>
    <x v="9"/>
    <x v="32"/>
    <d v="1900-01-11T00:00:00"/>
    <n v="33"/>
    <x v="6"/>
    <x v="4"/>
  </r>
  <r>
    <x v="988"/>
    <n v="-21"/>
    <x v="2138"/>
    <n v="785.35"/>
    <s v="Complete Access"/>
    <x v="35"/>
    <x v="1"/>
    <x v="23"/>
    <d v="1900-01-10T00:00:00"/>
    <n v="33"/>
    <x v="6"/>
    <x v="4"/>
  </r>
  <r>
    <x v="988"/>
    <n v="-72"/>
    <x v="2138"/>
    <n v="806.35"/>
    <s v="Complete Access"/>
    <x v="35"/>
    <x v="1"/>
    <x v="23"/>
    <d v="1900-01-10T00:00:00"/>
    <n v="33"/>
    <x v="6"/>
    <x v="4"/>
  </r>
  <r>
    <x v="988"/>
    <n v="-57.87"/>
    <x v="2139"/>
    <n v="878.35"/>
    <s v="Complete Access"/>
    <x v="1"/>
    <x v="1"/>
    <x v="1"/>
    <d v="1900-01-10T00:00:00"/>
    <n v="33"/>
    <x v="6"/>
    <x v="4"/>
  </r>
  <r>
    <x v="989"/>
    <n v="-1200"/>
    <x v="2140"/>
    <n v="1452.81"/>
    <s v="Complete Access"/>
    <x v="504"/>
    <x v="0"/>
    <x v="72"/>
    <d v="1900-01-09T00:00:00"/>
    <n v="33"/>
    <x v="6"/>
    <x v="4"/>
  </r>
  <r>
    <x v="989"/>
    <n v="-400"/>
    <x v="2141"/>
    <n v="1052.81"/>
    <s v="Complete Access"/>
    <x v="504"/>
    <x v="0"/>
    <x v="72"/>
    <d v="1900-01-09T00:00:00"/>
    <n v="33"/>
    <x v="6"/>
    <x v="4"/>
  </r>
  <r>
    <x v="989"/>
    <n v="-99.79"/>
    <x v="2142"/>
    <n v="953.02"/>
    <s v="Complete Access"/>
    <x v="544"/>
    <x v="3"/>
    <x v="60"/>
    <d v="1900-01-09T00:00:00"/>
    <n v="33"/>
    <x v="6"/>
    <x v="4"/>
  </r>
  <r>
    <x v="989"/>
    <n v="-16.8"/>
    <x v="96"/>
    <n v="936.22"/>
    <s v="Complete Access"/>
    <x v="47"/>
    <x v="1"/>
    <x v="5"/>
    <d v="1900-01-09T00:00:00"/>
    <n v="33"/>
    <x v="6"/>
    <x v="4"/>
  </r>
  <r>
    <x v="990"/>
    <n v="-64.78"/>
    <x v="2105"/>
    <n v="2652.81"/>
    <s v="Complete Access"/>
    <x v="4"/>
    <x v="1"/>
    <x v="1"/>
    <d v="1900-01-08T00:00:00"/>
    <n v="33"/>
    <x v="6"/>
    <x v="4"/>
  </r>
  <r>
    <x v="991"/>
    <n v="-760"/>
    <x v="656"/>
    <n v="2741.99"/>
    <s v="Complete Access"/>
    <x v="13"/>
    <x v="0"/>
    <x v="0"/>
    <d v="1900-01-04T00:00:00"/>
    <n v="32"/>
    <x v="6"/>
    <x v="4"/>
  </r>
  <r>
    <x v="991"/>
    <n v="-86.6"/>
    <x v="2143"/>
    <n v="3501.99"/>
    <s v="Complete Access"/>
    <x v="438"/>
    <x v="12"/>
    <x v="21"/>
    <d v="1900-01-04T00:00:00"/>
    <n v="32"/>
    <x v="6"/>
    <x v="4"/>
  </r>
  <r>
    <x v="991"/>
    <n v="2260.63"/>
    <x v="2144"/>
    <n v="3588.59"/>
    <s v="Complete Access"/>
    <x v="14"/>
    <x v="6"/>
    <x v="9"/>
    <d v="1900-01-04T00:00:00"/>
    <n v="32"/>
    <x v="6"/>
    <x v="4"/>
  </r>
  <r>
    <x v="991"/>
    <n v="-24.4"/>
    <x v="1965"/>
    <n v="2717.59"/>
    <s v="Complete Access"/>
    <x v="304"/>
    <x v="1"/>
    <x v="5"/>
    <d v="1900-01-04T00:00:00"/>
    <n v="32"/>
    <x v="6"/>
    <x v="4"/>
  </r>
  <r>
    <x v="992"/>
    <n v="-239"/>
    <x v="2145"/>
    <n v="1327.96"/>
    <s v="Complete Access"/>
    <x v="545"/>
    <x v="4"/>
    <x v="30"/>
    <d v="1900-01-03T00:00:00"/>
    <n v="32"/>
    <x v="6"/>
    <x v="4"/>
  </r>
  <r>
    <x v="992"/>
    <n v="-12.99"/>
    <x v="2146"/>
    <n v="1566.96"/>
    <s v="Complete Access"/>
    <x v="222"/>
    <x v="11"/>
    <x v="14"/>
    <d v="1900-01-03T00:00:00"/>
    <n v="32"/>
    <x v="6"/>
    <x v="4"/>
  </r>
  <r>
    <x v="993"/>
    <n v="-10.15"/>
    <x v="2147"/>
    <n v="1656.81"/>
    <s v="Complete Access"/>
    <x v="546"/>
    <x v="3"/>
    <x v="60"/>
    <d v="1900-01-02T00:00:00"/>
    <n v="32"/>
    <x v="6"/>
    <x v="4"/>
  </r>
  <r>
    <x v="993"/>
    <n v="-34.590000000000003"/>
    <x v="2135"/>
    <n v="1579.95"/>
    <s v="Complete Access"/>
    <x v="215"/>
    <x v="1"/>
    <x v="1"/>
    <d v="1900-01-02T00:00:00"/>
    <n v="32"/>
    <x v="6"/>
    <x v="4"/>
  </r>
  <r>
    <x v="993"/>
    <n v="-42.27"/>
    <x v="2148"/>
    <n v="1614.54"/>
    <s v="Complete Access"/>
    <x v="1"/>
    <x v="1"/>
    <x v="1"/>
    <d v="1900-01-02T00:00:00"/>
    <n v="32"/>
    <x v="6"/>
    <x v="4"/>
  </r>
  <r>
    <x v="994"/>
    <n v="-179.45"/>
    <x v="2149"/>
    <n v="1666.96"/>
    <s v="Complete Access"/>
    <x v="76"/>
    <x v="2"/>
    <x v="2"/>
    <d v="1900-01-01T00:00:00"/>
    <n v="32"/>
    <x v="6"/>
    <x v="4"/>
  </r>
  <r>
    <x v="995"/>
    <n v="-25"/>
    <x v="2150"/>
    <n v="1567.51"/>
    <s v="Complete Access"/>
    <x v="0"/>
    <x v="0"/>
    <x v="0"/>
    <d v="1900-01-29T00:00:00"/>
    <n v="31"/>
    <x v="7"/>
    <x v="4"/>
  </r>
  <r>
    <x v="995"/>
    <n v="28.9"/>
    <x v="2151"/>
    <n v="1846.41"/>
    <s v="Complete Access"/>
    <x v="36"/>
    <x v="0"/>
    <x v="0"/>
    <d v="1900-01-29T00:00:00"/>
    <n v="31"/>
    <x v="7"/>
    <x v="4"/>
  </r>
  <r>
    <x v="995"/>
    <n v="250"/>
    <x v="2152"/>
    <n v="1817.51"/>
    <s v="Complete Access"/>
    <x v="36"/>
    <x v="0"/>
    <x v="0"/>
    <d v="1900-01-29T00:00:00"/>
    <n v="31"/>
    <x v="7"/>
    <x v="4"/>
  </r>
  <r>
    <x v="996"/>
    <n v="-3.8"/>
    <x v="2153"/>
    <n v="1592.51"/>
    <s v="Complete Access"/>
    <x v="547"/>
    <x v="20"/>
    <x v="63"/>
    <d v="1900-01-27T00:00:00"/>
    <n v="31"/>
    <x v="7"/>
    <x v="4"/>
  </r>
  <r>
    <x v="997"/>
    <n v="-30.46"/>
    <x v="2154"/>
    <n v="1599.41"/>
    <s v="Complete Access"/>
    <x v="1"/>
    <x v="1"/>
    <x v="1"/>
    <d v="1900-01-26T00:00:00"/>
    <n v="31"/>
    <x v="7"/>
    <x v="4"/>
  </r>
  <r>
    <x v="997"/>
    <n v="-3.1"/>
    <x v="2155"/>
    <n v="1596.31"/>
    <s v="Complete Access"/>
    <x v="21"/>
    <x v="10"/>
    <x v="13"/>
    <d v="1900-01-26T00:00:00"/>
    <n v="31"/>
    <x v="7"/>
    <x v="4"/>
  </r>
  <r>
    <x v="998"/>
    <n v="-50.67"/>
    <x v="2105"/>
    <n v="1629.87"/>
    <s v="Complete Access"/>
    <x v="4"/>
    <x v="1"/>
    <x v="1"/>
    <d v="1900-01-23T00:00:00"/>
    <n v="30"/>
    <x v="7"/>
    <x v="4"/>
  </r>
  <r>
    <x v="999"/>
    <n v="-760"/>
    <x v="656"/>
    <n v="1680.54"/>
    <s v="Complete Access"/>
    <x v="13"/>
    <x v="0"/>
    <x v="0"/>
    <d v="1900-01-21T00:00:00"/>
    <n v="30"/>
    <x v="7"/>
    <x v="4"/>
  </r>
  <r>
    <x v="999"/>
    <n v="2326.5300000000002"/>
    <x v="2156"/>
    <n v="2473.0700000000002"/>
    <s v="Complete Access"/>
    <x v="14"/>
    <x v="6"/>
    <x v="9"/>
    <d v="1900-01-21T00:00:00"/>
    <n v="30"/>
    <x v="7"/>
    <x v="4"/>
  </r>
  <r>
    <x v="999"/>
    <n v="-32.53"/>
    <x v="2157"/>
    <n v="2440.54"/>
    <s v="Complete Access"/>
    <x v="34"/>
    <x v="9"/>
    <x v="12"/>
    <d v="1900-01-21T00:00:00"/>
    <n v="30"/>
    <x v="7"/>
    <x v="4"/>
  </r>
  <r>
    <x v="1000"/>
    <n v="-66.989999999999995"/>
    <x v="2158"/>
    <n v="205.1"/>
    <s v="Complete Access"/>
    <x v="8"/>
    <x v="1"/>
    <x v="5"/>
    <d v="1900-01-19T00:00:00"/>
    <n v="30"/>
    <x v="7"/>
    <x v="4"/>
  </r>
  <r>
    <x v="1000"/>
    <n v="-73.400000000000006"/>
    <x v="2159"/>
    <n v="272.08999999999997"/>
    <s v="Complete Access"/>
    <x v="433"/>
    <x v="7"/>
    <x v="53"/>
    <d v="1900-01-19T00:00:00"/>
    <n v="30"/>
    <x v="7"/>
    <x v="4"/>
  </r>
  <r>
    <x v="1000"/>
    <n v="-58.56"/>
    <x v="2105"/>
    <n v="146.54"/>
    <s v="Complete Access"/>
    <x v="4"/>
    <x v="1"/>
    <x v="1"/>
    <d v="1900-01-19T00:00:00"/>
    <n v="30"/>
    <x v="7"/>
    <x v="4"/>
  </r>
  <r>
    <x v="1001"/>
    <n v="-60"/>
    <x v="2160"/>
    <n v="347.99"/>
    <s v="Complete Access"/>
    <x v="130"/>
    <x v="0"/>
    <x v="0"/>
    <d v="1900-01-18T00:00:00"/>
    <n v="30"/>
    <x v="7"/>
    <x v="4"/>
  </r>
  <r>
    <x v="1001"/>
    <n v="-2.5"/>
    <x v="72"/>
    <n v="345.49"/>
    <s v="Complete Access"/>
    <x v="37"/>
    <x v="0"/>
    <x v="0"/>
    <d v="1900-01-18T00:00:00"/>
    <n v="30"/>
    <x v="7"/>
    <x v="4"/>
  </r>
  <r>
    <x v="1002"/>
    <n v="-21.25"/>
    <x v="2135"/>
    <n v="407.99"/>
    <s v="Complete Access"/>
    <x v="215"/>
    <x v="1"/>
    <x v="1"/>
    <d v="1900-01-17T00:00:00"/>
    <n v="30"/>
    <x v="7"/>
    <x v="4"/>
  </r>
  <r>
    <x v="1003"/>
    <n v="-59"/>
    <x v="2161"/>
    <n v="429.24"/>
    <s v="Complete Access"/>
    <x v="207"/>
    <x v="7"/>
    <x v="11"/>
    <d v="1900-01-16T00:00:00"/>
    <n v="29"/>
    <x v="7"/>
    <x v="4"/>
  </r>
  <r>
    <x v="1004"/>
    <n v="-15.99"/>
    <x v="2162"/>
    <n v="488.24"/>
    <s v="Complete Access"/>
    <x v="548"/>
    <x v="4"/>
    <x v="20"/>
    <d v="1900-01-15T00:00:00"/>
    <n v="29"/>
    <x v="7"/>
    <x v="4"/>
  </r>
  <r>
    <x v="1005"/>
    <n v="-14.47"/>
    <x v="2135"/>
    <n v="504.23"/>
    <s v="Complete Access"/>
    <x v="215"/>
    <x v="1"/>
    <x v="1"/>
    <d v="1900-01-14T00:00:00"/>
    <n v="29"/>
    <x v="7"/>
    <x v="4"/>
  </r>
  <r>
    <x v="1006"/>
    <n v="-7.65"/>
    <x v="2163"/>
    <n v="518.70000000000005"/>
    <s v="Complete Access"/>
    <x v="1"/>
    <x v="1"/>
    <x v="1"/>
    <d v="1900-01-13T00:00:00"/>
    <n v="29"/>
    <x v="7"/>
    <x v="4"/>
  </r>
  <r>
    <x v="1007"/>
    <n v="-42.24"/>
    <x v="2164"/>
    <n v="1135.3"/>
    <s v="Complete Access"/>
    <x v="8"/>
    <x v="1"/>
    <x v="5"/>
    <d v="1900-01-12T00:00:00"/>
    <n v="29"/>
    <x v="7"/>
    <x v="4"/>
  </r>
  <r>
    <x v="1007"/>
    <n v="-576.96"/>
    <x v="2165"/>
    <n v="526.35"/>
    <s v="Complete Access"/>
    <x v="549"/>
    <x v="4"/>
    <x v="20"/>
    <d v="1900-01-12T00:00:00"/>
    <n v="29"/>
    <x v="7"/>
    <x v="4"/>
  </r>
  <r>
    <x v="1007"/>
    <n v="-31.99"/>
    <x v="2166"/>
    <n v="1103.31"/>
    <s v="Complete Access"/>
    <x v="34"/>
    <x v="9"/>
    <x v="12"/>
    <d v="1900-01-12T00:00:00"/>
    <n v="29"/>
    <x v="7"/>
    <x v="4"/>
  </r>
  <r>
    <x v="1008"/>
    <n v="-61.85"/>
    <x v="2167"/>
    <n v="1177.54"/>
    <s v="Complete Access"/>
    <x v="438"/>
    <x v="12"/>
    <x v="21"/>
    <d v="1900-01-11T00:00:00"/>
    <n v="29"/>
    <x v="7"/>
    <x v="4"/>
  </r>
  <r>
    <x v="1008"/>
    <n v="-94.28"/>
    <x v="2105"/>
    <n v="1239.3900000000001"/>
    <s v="Complete Access"/>
    <x v="4"/>
    <x v="1"/>
    <x v="1"/>
    <d v="1900-01-11T00:00:00"/>
    <n v="29"/>
    <x v="7"/>
    <x v="4"/>
  </r>
  <r>
    <x v="1009"/>
    <n v="-17"/>
    <x v="1428"/>
    <n v="1333.67"/>
    <s v="Complete Access"/>
    <x v="0"/>
    <x v="0"/>
    <x v="0"/>
    <d v="1900-01-10T00:00:00"/>
    <n v="29"/>
    <x v="7"/>
    <x v="4"/>
  </r>
  <r>
    <x v="1010"/>
    <n v="-21.4"/>
    <x v="96"/>
    <n v="1350.67"/>
    <s v="Complete Access"/>
    <x v="47"/>
    <x v="1"/>
    <x v="5"/>
    <d v="1900-01-08T00:00:00"/>
    <n v="28"/>
    <x v="7"/>
    <x v="4"/>
  </r>
  <r>
    <x v="1011"/>
    <n v="2163.73"/>
    <x v="2168"/>
    <n v="2382.0700000000002"/>
    <s v="Complete Access"/>
    <x v="14"/>
    <x v="6"/>
    <x v="9"/>
    <d v="1900-01-07T00:00:00"/>
    <n v="28"/>
    <x v="7"/>
    <x v="4"/>
  </r>
  <r>
    <x v="1012"/>
    <n v="326.43"/>
    <x v="2169"/>
    <n v="791.77"/>
    <s v="Complete Access"/>
    <x v="95"/>
    <x v="14"/>
    <x v="38"/>
    <d v="1900-01-06T00:00:00"/>
    <n v="28"/>
    <x v="7"/>
    <x v="4"/>
  </r>
  <r>
    <x v="1012"/>
    <n v="-573.42999999999995"/>
    <x v="2170"/>
    <n v="218.34"/>
    <s v="Complete Access"/>
    <x v="93"/>
    <x v="9"/>
    <x v="36"/>
    <d v="1900-01-06T00:00:00"/>
    <n v="28"/>
    <x v="7"/>
    <x v="4"/>
  </r>
  <r>
    <x v="1013"/>
    <n v="25.67"/>
    <x v="2171"/>
    <n v="1118.2"/>
    <s v="Complete Access"/>
    <x v="8"/>
    <x v="1"/>
    <x v="5"/>
    <d v="1900-01-05T00:00:00"/>
    <n v="28"/>
    <x v="7"/>
    <x v="4"/>
  </r>
  <r>
    <x v="1013"/>
    <n v="33.19"/>
    <x v="2172"/>
    <n v="1143.8699999999999"/>
    <s v="Complete Access"/>
    <x v="550"/>
    <x v="4"/>
    <x v="25"/>
    <d v="1900-01-05T00:00:00"/>
    <n v="28"/>
    <x v="7"/>
    <x v="4"/>
  </r>
  <r>
    <x v="1014"/>
    <n v="-6.19"/>
    <x v="2173"/>
    <n v="1177.06"/>
    <s v="Complete Access"/>
    <x v="215"/>
    <x v="1"/>
    <x v="1"/>
    <d v="1900-01-04T00:00:00"/>
    <n v="28"/>
    <x v="7"/>
    <x v="4"/>
  </r>
  <r>
    <x v="1015"/>
    <n v="30"/>
    <x v="2174"/>
    <n v="1183.25"/>
    <s v="Complete Access"/>
    <x v="36"/>
    <x v="0"/>
    <x v="0"/>
    <d v="1900-01-03T00:00:00"/>
    <n v="28"/>
    <x v="7"/>
    <x v="4"/>
  </r>
  <r>
    <x v="1015"/>
    <n v="-15.98"/>
    <x v="2175"/>
    <n v="1153.25"/>
    <s v="Complete Access"/>
    <x v="215"/>
    <x v="1"/>
    <x v="1"/>
    <d v="1900-01-03T00:00:00"/>
    <n v="28"/>
    <x v="7"/>
    <x v="4"/>
  </r>
  <r>
    <x v="1016"/>
    <n v="-31.22"/>
    <x v="2176"/>
    <n v="1169.23"/>
    <s v="Complete Access"/>
    <x v="551"/>
    <x v="1"/>
    <x v="5"/>
    <d v="1900-01-01T00:00:00"/>
    <n v="27"/>
    <x v="7"/>
    <x v="4"/>
  </r>
  <r>
    <x v="1017"/>
    <n v="-33.270000000000003"/>
    <x v="2177"/>
    <n v="1391.4"/>
    <s v="Complete Access"/>
    <x v="8"/>
    <x v="1"/>
    <x v="5"/>
    <d v="1899-12-31T00:00:00"/>
    <n v="27"/>
    <x v="7"/>
    <x v="4"/>
  </r>
  <r>
    <x v="1017"/>
    <n v="-179.45"/>
    <x v="2178"/>
    <n v="1200.45"/>
    <s v="Complete Access"/>
    <x v="76"/>
    <x v="2"/>
    <x v="2"/>
    <d v="1899-12-31T00:00:00"/>
    <n v="27"/>
    <x v="7"/>
    <x v="4"/>
  </r>
  <r>
    <x v="1017"/>
    <n v="-11.5"/>
    <x v="2179"/>
    <n v="1379.9"/>
    <s v="Complete Access"/>
    <x v="34"/>
    <x v="9"/>
    <x v="12"/>
    <d v="1899-12-31T00:00:00"/>
    <n v="27"/>
    <x v="7"/>
    <x v="4"/>
  </r>
  <r>
    <x v="1018"/>
    <n v="1000"/>
    <x v="2180"/>
    <n v="1424.67"/>
    <s v="Complete Access"/>
    <x v="36"/>
    <x v="0"/>
    <x v="0"/>
    <d v="1900-01-29T00:00:00"/>
    <n v="27"/>
    <x v="8"/>
    <x v="4"/>
  </r>
  <r>
    <x v="1019"/>
    <n v="-351.85"/>
    <x v="2181"/>
    <n v="424.67"/>
    <s v="Complete Access"/>
    <x v="13"/>
    <x v="0"/>
    <x v="0"/>
    <d v="1900-01-26T00:00:00"/>
    <n v="27"/>
    <x v="8"/>
    <x v="4"/>
  </r>
  <r>
    <x v="1019"/>
    <n v="-44.26"/>
    <x v="2135"/>
    <n v="476.52"/>
    <s v="Complete Access"/>
    <x v="215"/>
    <x v="1"/>
    <x v="1"/>
    <d v="1900-01-26T00:00:00"/>
    <n v="27"/>
    <x v="8"/>
    <x v="4"/>
  </r>
  <r>
    <x v="1019"/>
    <n v="300"/>
    <x v="2182"/>
    <n v="776.52"/>
    <s v="Complete Access"/>
    <x v="36"/>
    <x v="0"/>
    <x v="0"/>
    <d v="1900-01-26T00:00:00"/>
    <n v="27"/>
    <x v="8"/>
    <x v="4"/>
  </r>
  <r>
    <x v="1020"/>
    <n v="-600"/>
    <x v="2087"/>
    <n v="520.78"/>
    <s v="Complete Access"/>
    <x v="130"/>
    <x v="0"/>
    <x v="0"/>
    <d v="1900-01-25T00:00:00"/>
    <n v="26"/>
    <x v="8"/>
    <x v="4"/>
  </r>
  <r>
    <x v="1021"/>
    <n v="-380"/>
    <x v="2183"/>
    <n v="1120.78"/>
    <s v="Complete Access"/>
    <x v="0"/>
    <x v="0"/>
    <x v="0"/>
    <d v="1900-01-24T00:00:00"/>
    <n v="26"/>
    <x v="8"/>
    <x v="4"/>
  </r>
  <r>
    <x v="1022"/>
    <n v="-760"/>
    <x v="656"/>
    <n v="1500.78"/>
    <s v="Complete Access"/>
    <x v="13"/>
    <x v="0"/>
    <x v="0"/>
    <d v="1900-01-23T00:00:00"/>
    <n v="26"/>
    <x v="8"/>
    <x v="4"/>
  </r>
  <r>
    <x v="1022"/>
    <n v="2163.7399999999998"/>
    <x v="2184"/>
    <n v="2260.7800000000002"/>
    <s v="Complete Access"/>
    <x v="14"/>
    <x v="6"/>
    <x v="9"/>
    <d v="1900-01-23T00:00:00"/>
    <n v="26"/>
    <x v="8"/>
    <x v="4"/>
  </r>
  <r>
    <x v="1023"/>
    <n v="-15.29"/>
    <x v="2185"/>
    <n v="97.04"/>
    <s v="Complete Access"/>
    <x v="8"/>
    <x v="1"/>
    <x v="5"/>
    <d v="1900-01-22T00:00:00"/>
    <n v="26"/>
    <x v="8"/>
    <x v="4"/>
  </r>
  <r>
    <x v="1024"/>
    <n v="-38.979999999999997"/>
    <x v="2186"/>
    <n v="211.59"/>
    <s v="Complete Access"/>
    <x v="8"/>
    <x v="1"/>
    <x v="5"/>
    <d v="1900-01-21T00:00:00"/>
    <n v="26"/>
    <x v="8"/>
    <x v="4"/>
  </r>
  <r>
    <x v="1024"/>
    <n v="-36.869999999999997"/>
    <x v="2187"/>
    <n v="174.72"/>
    <s v="Complete Access"/>
    <x v="8"/>
    <x v="1"/>
    <x v="5"/>
    <d v="1900-01-21T00:00:00"/>
    <n v="26"/>
    <x v="8"/>
    <x v="4"/>
  </r>
  <r>
    <x v="1024"/>
    <n v="-62.39"/>
    <x v="2188"/>
    <n v="112.33"/>
    <s v="Complete Access"/>
    <x v="8"/>
    <x v="1"/>
    <x v="5"/>
    <d v="1900-01-21T00:00:00"/>
    <n v="26"/>
    <x v="8"/>
    <x v="4"/>
  </r>
  <r>
    <x v="1025"/>
    <n v="-59.78"/>
    <x v="2105"/>
    <n v="250.57"/>
    <s v="Complete Access"/>
    <x v="4"/>
    <x v="1"/>
    <x v="1"/>
    <d v="1900-01-20T00:00:00"/>
    <n v="26"/>
    <x v="8"/>
    <x v="4"/>
  </r>
  <r>
    <x v="1026"/>
    <n v="-100"/>
    <x v="2189"/>
    <n v="340.35"/>
    <s v="Complete Access"/>
    <x v="552"/>
    <x v="0"/>
    <x v="74"/>
    <d v="1900-01-18T00:00:00"/>
    <n v="25"/>
    <x v="8"/>
    <x v="4"/>
  </r>
  <r>
    <x v="1026"/>
    <n v="-8.9"/>
    <x v="2190"/>
    <n v="440.35"/>
    <s v="Complete Access"/>
    <x v="277"/>
    <x v="8"/>
    <x v="29"/>
    <d v="1900-01-18T00:00:00"/>
    <n v="25"/>
    <x v="8"/>
    <x v="4"/>
  </r>
  <r>
    <x v="1026"/>
    <n v="-30"/>
    <x v="2191"/>
    <n v="310.35000000000002"/>
    <s v="Complete Access"/>
    <x v="374"/>
    <x v="8"/>
    <x v="29"/>
    <d v="1900-01-18T00:00:00"/>
    <n v="25"/>
    <x v="8"/>
    <x v="4"/>
  </r>
  <r>
    <x v="1027"/>
    <n v="-315"/>
    <x v="69"/>
    <n v="449.25"/>
    <s v="Complete Access"/>
    <x v="0"/>
    <x v="0"/>
    <x v="0"/>
    <d v="1900-01-17T00:00:00"/>
    <n v="25"/>
    <x v="8"/>
    <x v="4"/>
  </r>
  <r>
    <x v="1027"/>
    <n v="-578"/>
    <x v="2192"/>
    <n v="749.75"/>
    <s v="Complete Access"/>
    <x v="216"/>
    <x v="9"/>
    <x v="36"/>
    <d v="1900-01-17T00:00:00"/>
    <n v="25"/>
    <x v="8"/>
    <x v="4"/>
  </r>
  <r>
    <x v="1027"/>
    <n v="-26.18"/>
    <x v="2193"/>
    <n v="1327.75"/>
    <s v="Complete Access"/>
    <x v="8"/>
    <x v="1"/>
    <x v="5"/>
    <d v="1900-01-17T00:00:00"/>
    <n v="25"/>
    <x v="8"/>
    <x v="4"/>
  </r>
  <r>
    <x v="1027"/>
    <n v="14.5"/>
    <x v="2194"/>
    <n v="764.25"/>
    <s v="Complete Access"/>
    <x v="36"/>
    <x v="0"/>
    <x v="0"/>
    <d v="1900-01-17T00:00:00"/>
    <n v="25"/>
    <x v="8"/>
    <x v="4"/>
  </r>
  <r>
    <x v="1027"/>
    <n v="-59"/>
    <x v="2195"/>
    <n v="1376.42"/>
    <s v="Complete Access"/>
    <x v="207"/>
    <x v="7"/>
    <x v="11"/>
    <d v="1900-01-17T00:00:00"/>
    <n v="25"/>
    <x v="8"/>
    <x v="4"/>
  </r>
  <r>
    <x v="1027"/>
    <n v="-22.49"/>
    <x v="2196"/>
    <n v="1353.93"/>
    <s v="Complete Access"/>
    <x v="343"/>
    <x v="1"/>
    <x v="5"/>
    <d v="1900-01-17T00:00:00"/>
    <n v="25"/>
    <x v="8"/>
    <x v="4"/>
  </r>
  <r>
    <x v="1028"/>
    <n v="-23.99"/>
    <x v="2197"/>
    <n v="1368.23"/>
    <s v="Complete Access"/>
    <x v="8"/>
    <x v="1"/>
    <x v="5"/>
    <d v="1900-01-16T00:00:00"/>
    <n v="25"/>
    <x v="8"/>
    <x v="4"/>
  </r>
  <r>
    <x v="1028"/>
    <n v="67.19"/>
    <x v="2198"/>
    <n v="1435.42"/>
    <s v="Complete Access"/>
    <x v="36"/>
    <x v="0"/>
    <x v="0"/>
    <d v="1900-01-16T00:00:00"/>
    <n v="25"/>
    <x v="8"/>
    <x v="4"/>
  </r>
  <r>
    <x v="1029"/>
    <n v="-29.58"/>
    <x v="2199"/>
    <n v="1423.83"/>
    <s v="Complete Access"/>
    <x v="8"/>
    <x v="1"/>
    <x v="5"/>
    <d v="1900-01-15T00:00:00"/>
    <n v="25"/>
    <x v="8"/>
    <x v="4"/>
  </r>
  <r>
    <x v="1029"/>
    <n v="-21.61"/>
    <x v="2200"/>
    <n v="1402.22"/>
    <s v="Complete Access"/>
    <x v="8"/>
    <x v="1"/>
    <x v="5"/>
    <d v="1900-01-15T00:00:00"/>
    <n v="25"/>
    <x v="8"/>
    <x v="4"/>
  </r>
  <r>
    <x v="1029"/>
    <n v="-10"/>
    <x v="2201"/>
    <n v="1392.22"/>
    <s v="Complete Access"/>
    <x v="34"/>
    <x v="9"/>
    <x v="12"/>
    <d v="1900-01-15T00:00:00"/>
    <n v="25"/>
    <x v="8"/>
    <x v="4"/>
  </r>
  <r>
    <x v="1030"/>
    <n v="-58.25"/>
    <x v="2202"/>
    <n v="1569.49"/>
    <s v="Complete Access"/>
    <x v="61"/>
    <x v="1"/>
    <x v="1"/>
    <d v="1900-01-14T00:00:00"/>
    <n v="25"/>
    <x v="8"/>
    <x v="4"/>
  </r>
  <r>
    <x v="1030"/>
    <n v="-60.1"/>
    <x v="2203"/>
    <n v="1509.39"/>
    <s v="Complete Access"/>
    <x v="553"/>
    <x v="1"/>
    <x v="5"/>
    <d v="1900-01-14T00:00:00"/>
    <n v="25"/>
    <x v="8"/>
    <x v="4"/>
  </r>
  <r>
    <x v="1030"/>
    <n v="-31.79"/>
    <x v="2204"/>
    <n v="1627.74"/>
    <s v="Complete Access"/>
    <x v="8"/>
    <x v="1"/>
    <x v="5"/>
    <d v="1900-01-14T00:00:00"/>
    <n v="25"/>
    <x v="8"/>
    <x v="4"/>
  </r>
  <r>
    <x v="1030"/>
    <n v="-20.68"/>
    <x v="2205"/>
    <n v="1453.41"/>
    <s v="Complete Access"/>
    <x v="8"/>
    <x v="1"/>
    <x v="5"/>
    <d v="1900-01-14T00:00:00"/>
    <n v="25"/>
    <x v="8"/>
    <x v="4"/>
  </r>
  <r>
    <x v="1030"/>
    <n v="-35.299999999999997"/>
    <x v="2206"/>
    <n v="1474.09"/>
    <s v="Complete Access"/>
    <x v="343"/>
    <x v="1"/>
    <x v="5"/>
    <d v="1900-01-14T00:00:00"/>
    <n v="25"/>
    <x v="8"/>
    <x v="4"/>
  </r>
  <r>
    <x v="1030"/>
    <n v="-36.03"/>
    <x v="2207"/>
    <n v="1659.53"/>
    <s v="Complete Access"/>
    <x v="554"/>
    <x v="8"/>
    <x v="29"/>
    <d v="1900-01-14T00:00:00"/>
    <n v="25"/>
    <x v="8"/>
    <x v="4"/>
  </r>
  <r>
    <x v="1030"/>
    <n v="-12.5"/>
    <x v="2201"/>
    <n v="1695.56"/>
    <s v="Complete Access"/>
    <x v="34"/>
    <x v="9"/>
    <x v="12"/>
    <d v="1900-01-14T00:00:00"/>
    <n v="25"/>
    <x v="8"/>
    <x v="4"/>
  </r>
  <r>
    <x v="1031"/>
    <n v="-100"/>
    <x v="2189"/>
    <n v="1787.79"/>
    <s v="Complete Access"/>
    <x v="552"/>
    <x v="0"/>
    <x v="74"/>
    <d v="1900-01-11T00:00:00"/>
    <n v="24"/>
    <x v="8"/>
    <x v="4"/>
  </r>
  <r>
    <x v="1031"/>
    <n v="-26.73"/>
    <x v="2208"/>
    <n v="1761.06"/>
    <s v="Complete Access"/>
    <x v="8"/>
    <x v="1"/>
    <x v="5"/>
    <d v="1900-01-11T00:00:00"/>
    <n v="24"/>
    <x v="8"/>
    <x v="4"/>
  </r>
  <r>
    <x v="1031"/>
    <n v="-53"/>
    <x v="2209"/>
    <n v="1708.06"/>
    <s v="Complete Access"/>
    <x v="0"/>
    <x v="0"/>
    <x v="0"/>
    <d v="1900-01-11T00:00:00"/>
    <n v="24"/>
    <x v="8"/>
    <x v="4"/>
  </r>
  <r>
    <x v="1032"/>
    <n v="-201.58"/>
    <x v="2210"/>
    <n v="1887.79"/>
    <s v="Complete Access"/>
    <x v="438"/>
    <x v="12"/>
    <x v="21"/>
    <d v="1900-01-10T00:00:00"/>
    <n v="24"/>
    <x v="8"/>
    <x v="4"/>
  </r>
  <r>
    <x v="1033"/>
    <n v="-500"/>
    <x v="656"/>
    <n v="1589.37"/>
    <s v="Complete Access"/>
    <x v="13"/>
    <x v="0"/>
    <x v="0"/>
    <d v="1900-01-09T00:00:00"/>
    <n v="24"/>
    <x v="8"/>
    <x v="4"/>
  </r>
  <r>
    <x v="1033"/>
    <n v="-100"/>
    <x v="2189"/>
    <n v="2089.37"/>
    <s v="Complete Access"/>
    <x v="552"/>
    <x v="0"/>
    <x v="74"/>
    <d v="1900-01-09T00:00:00"/>
    <n v="24"/>
    <x v="8"/>
    <x v="4"/>
  </r>
  <r>
    <x v="1033"/>
    <n v="500"/>
    <x v="2211"/>
    <n v="2089.37"/>
    <s v="Complete Access"/>
    <x v="36"/>
    <x v="0"/>
    <x v="0"/>
    <d v="1900-01-09T00:00:00"/>
    <n v="24"/>
    <x v="8"/>
    <x v="4"/>
  </r>
  <r>
    <x v="1033"/>
    <n v="-10"/>
    <x v="2212"/>
    <n v="2189.37"/>
    <s v="Complete Access"/>
    <x v="433"/>
    <x v="7"/>
    <x v="53"/>
    <d v="1900-01-09T00:00:00"/>
    <n v="24"/>
    <x v="8"/>
    <x v="4"/>
  </r>
  <r>
    <x v="1033"/>
    <n v="2163.7399999999998"/>
    <x v="2213"/>
    <n v="2199.37"/>
    <s v="Complete Access"/>
    <x v="14"/>
    <x v="6"/>
    <x v="9"/>
    <d v="1900-01-09T00:00:00"/>
    <n v="24"/>
    <x v="8"/>
    <x v="4"/>
  </r>
  <r>
    <x v="1034"/>
    <n v="-25"/>
    <x v="2214"/>
    <n v="35.630000000000003"/>
    <s v="Complete Access"/>
    <x v="0"/>
    <x v="0"/>
    <x v="0"/>
    <d v="1900-01-08T00:00:00"/>
    <n v="24"/>
    <x v="8"/>
    <x v="4"/>
  </r>
  <r>
    <x v="1034"/>
    <n v="-24"/>
    <x v="1720"/>
    <n v="60.63"/>
    <s v="Complete Access"/>
    <x v="0"/>
    <x v="0"/>
    <x v="0"/>
    <d v="1900-01-08T00:00:00"/>
    <n v="24"/>
    <x v="8"/>
    <x v="4"/>
  </r>
  <r>
    <x v="1034"/>
    <n v="67"/>
    <x v="2215"/>
    <n v="84.63"/>
    <s v="Complete Access"/>
    <x v="36"/>
    <x v="0"/>
    <x v="0"/>
    <d v="1900-01-08T00:00:00"/>
    <n v="24"/>
    <x v="8"/>
    <x v="4"/>
  </r>
  <r>
    <x v="1034"/>
    <n v="-15.93"/>
    <x v="2216"/>
    <n v="45.81"/>
    <s v="Complete Access"/>
    <x v="56"/>
    <x v="9"/>
    <x v="31"/>
    <d v="1900-01-08T00:00:00"/>
    <n v="24"/>
    <x v="8"/>
    <x v="4"/>
  </r>
  <r>
    <x v="1034"/>
    <n v="-28.18"/>
    <x v="2217"/>
    <n v="17.63"/>
    <s v="Complete Access"/>
    <x v="1"/>
    <x v="1"/>
    <x v="1"/>
    <d v="1900-01-08T00:00:00"/>
    <n v="24"/>
    <x v="8"/>
    <x v="4"/>
  </r>
  <r>
    <x v="1035"/>
    <n v="-12.14"/>
    <x v="2218"/>
    <n v="61.74"/>
    <s v="Complete Access"/>
    <x v="333"/>
    <x v="1"/>
    <x v="5"/>
    <d v="1900-01-07T00:00:00"/>
    <n v="24"/>
    <x v="8"/>
    <x v="4"/>
  </r>
  <r>
    <x v="1035"/>
    <n v="-4"/>
    <x v="2219"/>
    <n v="73.88"/>
    <s v="Complete Access"/>
    <x v="1"/>
    <x v="1"/>
    <x v="1"/>
    <d v="1900-01-07T00:00:00"/>
    <n v="24"/>
    <x v="8"/>
    <x v="4"/>
  </r>
  <r>
    <x v="1036"/>
    <n v="-8.0399999999999991"/>
    <x v="2135"/>
    <n v="77.88"/>
    <s v="Complete Access"/>
    <x v="215"/>
    <x v="1"/>
    <x v="1"/>
    <d v="1900-01-05T00:00:00"/>
    <n v="24"/>
    <x v="8"/>
    <x v="4"/>
  </r>
  <r>
    <x v="1037"/>
    <n v="-1526.08"/>
    <x v="2220"/>
    <n v="85.92"/>
    <s v="Complete Access"/>
    <x v="555"/>
    <x v="10"/>
    <x v="75"/>
    <d v="1900-01-04T00:00:00"/>
    <n v="23"/>
    <x v="8"/>
    <x v="4"/>
  </r>
  <r>
    <x v="1038"/>
    <n v="-380"/>
    <x v="2183"/>
    <n v="1612"/>
    <s v="Complete Access"/>
    <x v="0"/>
    <x v="0"/>
    <x v="0"/>
    <d v="1900-01-03T00:00:00"/>
    <n v="23"/>
    <x v="8"/>
    <x v="4"/>
  </r>
  <r>
    <x v="1038"/>
    <n v="-10"/>
    <x v="2221"/>
    <n v="1992"/>
    <s v="Complete Access"/>
    <x v="61"/>
    <x v="1"/>
    <x v="1"/>
    <d v="1900-01-03T00:00:00"/>
    <n v="23"/>
    <x v="8"/>
    <x v="4"/>
  </r>
  <r>
    <x v="1038"/>
    <n v="-11"/>
    <x v="2222"/>
    <n v="2002"/>
    <s v="Complete Access"/>
    <x v="16"/>
    <x v="1"/>
    <x v="5"/>
    <d v="1900-01-03T00:00:00"/>
    <n v="23"/>
    <x v="8"/>
    <x v="4"/>
  </r>
  <r>
    <x v="1039"/>
    <n v="-380"/>
    <x v="2183"/>
    <n v="1213"/>
    <s v="Complete Access"/>
    <x v="0"/>
    <x v="0"/>
    <x v="0"/>
    <d v="1900-01-02T00:00:00"/>
    <n v="23"/>
    <x v="8"/>
    <x v="4"/>
  </r>
  <r>
    <x v="1039"/>
    <n v="-40"/>
    <x v="2223"/>
    <n v="1593"/>
    <s v="Complete Access"/>
    <x v="12"/>
    <x v="5"/>
    <x v="8"/>
    <d v="1900-01-02T00:00:00"/>
    <n v="23"/>
    <x v="8"/>
    <x v="4"/>
  </r>
  <r>
    <x v="1039"/>
    <n v="800"/>
    <x v="370"/>
    <n v="2013"/>
    <s v="Complete Access"/>
    <x v="36"/>
    <x v="0"/>
    <x v="0"/>
    <d v="1900-01-02T00:00:00"/>
    <n v="23"/>
    <x v="8"/>
    <x v="4"/>
  </r>
  <r>
    <x v="1040"/>
    <n v="-14.39"/>
    <x v="2224"/>
    <n v="1633"/>
    <s v="Complete Access"/>
    <x v="556"/>
    <x v="15"/>
    <x v="34"/>
    <d v="1900-01-01T00:00:00"/>
    <n v="23"/>
    <x v="8"/>
    <x v="4"/>
  </r>
  <r>
    <x v="1041"/>
    <n v="-15.22"/>
    <x v="2225"/>
    <n v="2104.4299999999998"/>
    <s v="Complete Access"/>
    <x v="8"/>
    <x v="1"/>
    <x v="5"/>
    <d v="1899-12-31T00:00:00"/>
    <n v="23"/>
    <x v="8"/>
    <x v="4"/>
  </r>
  <r>
    <x v="1041"/>
    <n v="-45.33"/>
    <x v="2226"/>
    <n v="2059.1"/>
    <s v="Complete Access"/>
    <x v="8"/>
    <x v="1"/>
    <x v="5"/>
    <d v="1899-12-31T00:00:00"/>
    <n v="23"/>
    <x v="8"/>
    <x v="4"/>
  </r>
  <r>
    <x v="1041"/>
    <n v="-64.989999999999995"/>
    <x v="2227"/>
    <n v="1900.84"/>
    <s v="Complete Access"/>
    <x v="8"/>
    <x v="1"/>
    <x v="5"/>
    <d v="1899-12-31T00:00:00"/>
    <n v="23"/>
    <x v="8"/>
    <x v="4"/>
  </r>
  <r>
    <x v="1041"/>
    <n v="-28.95"/>
    <x v="2228"/>
    <n v="1965.83"/>
    <s v="Complete Access"/>
    <x v="165"/>
    <x v="8"/>
    <x v="22"/>
    <d v="1899-12-31T00:00:00"/>
    <n v="23"/>
    <x v="8"/>
    <x v="4"/>
  </r>
  <r>
    <x v="1041"/>
    <n v="-20"/>
    <x v="2229"/>
    <n v="2240.65"/>
    <s v="Complete Access"/>
    <x v="557"/>
    <x v="7"/>
    <x v="53"/>
    <d v="1899-12-31T00:00:00"/>
    <n v="23"/>
    <x v="8"/>
    <x v="4"/>
  </r>
  <r>
    <x v="1041"/>
    <n v="-179.45"/>
    <x v="2230"/>
    <n v="1647.39"/>
    <s v="Complete Access"/>
    <x v="76"/>
    <x v="2"/>
    <x v="2"/>
    <d v="1899-12-31T00:00:00"/>
    <n v="23"/>
    <x v="8"/>
    <x v="4"/>
  </r>
  <r>
    <x v="1041"/>
    <n v="-18.579999999999998"/>
    <x v="2231"/>
    <n v="1994.78"/>
    <s v="Complete Access"/>
    <x v="190"/>
    <x v="8"/>
    <x v="29"/>
    <d v="1899-12-31T00:00:00"/>
    <n v="23"/>
    <x v="8"/>
    <x v="4"/>
  </r>
  <r>
    <x v="1041"/>
    <n v="-21.21"/>
    <x v="2231"/>
    <n v="2013.36"/>
    <s v="Complete Access"/>
    <x v="190"/>
    <x v="8"/>
    <x v="29"/>
    <d v="1899-12-31T00:00:00"/>
    <n v="23"/>
    <x v="8"/>
    <x v="4"/>
  </r>
  <r>
    <x v="1041"/>
    <n v="-18.579999999999998"/>
    <x v="2231"/>
    <n v="2034.57"/>
    <s v="Complete Access"/>
    <x v="190"/>
    <x v="8"/>
    <x v="29"/>
    <d v="1899-12-31T00:00:00"/>
    <n v="23"/>
    <x v="8"/>
    <x v="4"/>
  </r>
  <r>
    <x v="1041"/>
    <n v="-74"/>
    <x v="2232"/>
    <n v="1826.84"/>
    <s v="Complete Access"/>
    <x v="243"/>
    <x v="1"/>
    <x v="23"/>
    <d v="1899-12-31T00:00:00"/>
    <n v="23"/>
    <x v="8"/>
    <x v="4"/>
  </r>
  <r>
    <x v="1041"/>
    <n v="-51"/>
    <x v="2233"/>
    <n v="2119.65"/>
    <s v="Complete Access"/>
    <x v="425"/>
    <x v="8"/>
    <x v="29"/>
    <d v="1899-12-31T00:00:00"/>
    <n v="23"/>
    <x v="8"/>
    <x v="4"/>
  </r>
  <r>
    <x v="1041"/>
    <n v="-27"/>
    <x v="2233"/>
    <n v="2170.65"/>
    <s v="Complete Access"/>
    <x v="425"/>
    <x v="8"/>
    <x v="29"/>
    <d v="1899-12-31T00:00:00"/>
    <n v="23"/>
    <x v="8"/>
    <x v="4"/>
  </r>
  <r>
    <x v="1041"/>
    <n v="-22"/>
    <x v="2233"/>
    <n v="2197.65"/>
    <s v="Complete Access"/>
    <x v="425"/>
    <x v="8"/>
    <x v="29"/>
    <d v="1899-12-31T00:00:00"/>
    <n v="23"/>
    <x v="8"/>
    <x v="4"/>
  </r>
  <r>
    <x v="1041"/>
    <n v="-21"/>
    <x v="2233"/>
    <n v="2219.65"/>
    <s v="Complete Access"/>
    <x v="425"/>
    <x v="8"/>
    <x v="29"/>
    <d v="1899-12-31T00:00:00"/>
    <n v="23"/>
    <x v="8"/>
    <x v="4"/>
  </r>
  <r>
    <x v="1041"/>
    <n v="-5.95"/>
    <x v="2234"/>
    <n v="2053.15"/>
    <s v="Complete Access"/>
    <x v="392"/>
    <x v="3"/>
    <x v="26"/>
    <d v="1899-12-31T00:00:00"/>
    <n v="23"/>
    <x v="8"/>
    <x v="4"/>
  </r>
  <r>
    <x v="1042"/>
    <n v="-100"/>
    <x v="2189"/>
    <n v="2258.5500000000002"/>
    <s v="Complete Access"/>
    <x v="552"/>
    <x v="0"/>
    <x v="74"/>
    <d v="1900-01-28T00:00:00"/>
    <n v="22"/>
    <x v="9"/>
    <x v="4"/>
  </r>
  <r>
    <x v="1042"/>
    <n v="10"/>
    <x v="2235"/>
    <n v="2260.65"/>
    <s v="Complete Access"/>
    <x v="36"/>
    <x v="0"/>
    <x v="0"/>
    <d v="1900-01-28T00:00:00"/>
    <n v="22"/>
    <x v="9"/>
    <x v="4"/>
  </r>
  <r>
    <x v="1042"/>
    <n v="-7.9"/>
    <x v="2236"/>
    <n v="2250.65"/>
    <s v="Complete Access"/>
    <x v="277"/>
    <x v="8"/>
    <x v="29"/>
    <d v="1900-01-28T00:00:00"/>
    <n v="22"/>
    <x v="9"/>
    <x v="4"/>
  </r>
  <r>
    <x v="1043"/>
    <n v="-18"/>
    <x v="69"/>
    <n v="2358.5500000000002"/>
    <s v="Complete Access"/>
    <x v="0"/>
    <x v="0"/>
    <x v="0"/>
    <d v="1900-01-27T00:00:00"/>
    <n v="22"/>
    <x v="9"/>
    <x v="4"/>
  </r>
  <r>
    <x v="1043"/>
    <n v="-6.3"/>
    <x v="2135"/>
    <n v="2376.5500000000002"/>
    <s v="Complete Access"/>
    <x v="215"/>
    <x v="1"/>
    <x v="1"/>
    <d v="1900-01-27T00:00:00"/>
    <n v="22"/>
    <x v="9"/>
    <x v="4"/>
  </r>
  <r>
    <x v="1043"/>
    <n v="-8.8000000000000007"/>
    <x v="2237"/>
    <n v="2382.85"/>
    <s v="Complete Access"/>
    <x v="277"/>
    <x v="8"/>
    <x v="29"/>
    <d v="1900-01-27T00:00:00"/>
    <n v="22"/>
    <x v="9"/>
    <x v="4"/>
  </r>
  <r>
    <x v="1044"/>
    <n v="-500"/>
    <x v="656"/>
    <n v="2391.65"/>
    <s v="Complete Access"/>
    <x v="13"/>
    <x v="0"/>
    <x v="0"/>
    <d v="1900-01-26T00:00:00"/>
    <n v="22"/>
    <x v="9"/>
    <x v="4"/>
  </r>
  <r>
    <x v="1044"/>
    <n v="2163.7399999999998"/>
    <x v="2238"/>
    <n v="2891.65"/>
    <s v="Complete Access"/>
    <x v="14"/>
    <x v="6"/>
    <x v="9"/>
    <d v="1900-01-26T00:00:00"/>
    <n v="22"/>
    <x v="9"/>
    <x v="4"/>
  </r>
  <r>
    <x v="1045"/>
    <n v="-32.950000000000003"/>
    <x v="2239"/>
    <n v="763.5"/>
    <s v="Complete Access"/>
    <x v="343"/>
    <x v="1"/>
    <x v="5"/>
    <d v="1900-01-25T00:00:00"/>
    <n v="22"/>
    <x v="9"/>
    <x v="4"/>
  </r>
  <r>
    <x v="1045"/>
    <n v="-35.590000000000003"/>
    <x v="2240"/>
    <n v="727.91"/>
    <s v="Complete Access"/>
    <x v="343"/>
    <x v="1"/>
    <x v="5"/>
    <d v="1900-01-25T00:00:00"/>
    <n v="22"/>
    <x v="9"/>
    <x v="4"/>
  </r>
  <r>
    <x v="1045"/>
    <n v="-12.77"/>
    <x v="2241"/>
    <n v="796.45"/>
    <s v="Complete Access"/>
    <x v="10"/>
    <x v="0"/>
    <x v="0"/>
    <d v="1900-01-25T00:00:00"/>
    <n v="22"/>
    <x v="9"/>
    <x v="4"/>
  </r>
  <r>
    <x v="1045"/>
    <n v="-425.75"/>
    <x v="2242"/>
    <n v="809.22"/>
    <s v="Complete Access"/>
    <x v="558"/>
    <x v="10"/>
    <x v="13"/>
    <d v="1900-01-25T00:00:00"/>
    <n v="22"/>
    <x v="9"/>
    <x v="4"/>
  </r>
  <r>
    <x v="1046"/>
    <n v="20"/>
    <x v="2243"/>
    <n v="1290.6400000000001"/>
    <s v="Complete Access"/>
    <x v="36"/>
    <x v="0"/>
    <x v="0"/>
    <d v="1900-01-23T00:00:00"/>
    <n v="22"/>
    <x v="9"/>
    <x v="4"/>
  </r>
  <r>
    <x v="1046"/>
    <n v="-55.67"/>
    <x v="2105"/>
    <n v="1234.97"/>
    <s v="Complete Access"/>
    <x v="4"/>
    <x v="1"/>
    <x v="1"/>
    <d v="1900-01-23T00:00:00"/>
    <n v="22"/>
    <x v="9"/>
    <x v="4"/>
  </r>
  <r>
    <x v="1047"/>
    <n v="-25.5"/>
    <x v="69"/>
    <n v="1295.6400000000001"/>
    <s v="Complete Access"/>
    <x v="0"/>
    <x v="0"/>
    <x v="0"/>
    <d v="1900-01-22T00:00:00"/>
    <n v="22"/>
    <x v="9"/>
    <x v="4"/>
  </r>
  <r>
    <x v="1047"/>
    <n v="-25"/>
    <x v="69"/>
    <n v="1270.6400000000001"/>
    <s v="Complete Access"/>
    <x v="0"/>
    <x v="0"/>
    <x v="0"/>
    <d v="1900-01-22T00:00:00"/>
    <n v="22"/>
    <x v="9"/>
    <x v="4"/>
  </r>
  <r>
    <x v="1048"/>
    <n v="-100"/>
    <x v="2189"/>
    <n v="1321.14"/>
    <s v="Complete Access"/>
    <x v="552"/>
    <x v="0"/>
    <x v="74"/>
    <d v="1900-01-21T00:00:00"/>
    <n v="21"/>
    <x v="9"/>
    <x v="4"/>
  </r>
  <r>
    <x v="1048"/>
    <n v="-12.65"/>
    <x v="2244"/>
    <n v="1428.14"/>
    <s v="Complete Access"/>
    <x v="188"/>
    <x v="1"/>
    <x v="1"/>
    <d v="1900-01-21T00:00:00"/>
    <n v="21"/>
    <x v="9"/>
    <x v="4"/>
  </r>
  <r>
    <x v="1048"/>
    <n v="-7"/>
    <x v="2245"/>
    <n v="1421.14"/>
    <s v="Complete Access"/>
    <x v="277"/>
    <x v="8"/>
    <x v="29"/>
    <d v="1900-01-21T00:00:00"/>
    <n v="21"/>
    <x v="9"/>
    <x v="4"/>
  </r>
  <r>
    <x v="1049"/>
    <n v="-40"/>
    <x v="2246"/>
    <n v="1459.09"/>
    <s v="Complete Access"/>
    <x v="12"/>
    <x v="5"/>
    <x v="8"/>
    <d v="1900-01-20T00:00:00"/>
    <n v="21"/>
    <x v="9"/>
    <x v="4"/>
  </r>
  <r>
    <x v="1049"/>
    <n v="-8.5"/>
    <x v="436"/>
    <n v="1440.79"/>
    <s v="Complete Access"/>
    <x v="186"/>
    <x v="1"/>
    <x v="5"/>
    <d v="1900-01-20T00:00:00"/>
    <n v="21"/>
    <x v="9"/>
    <x v="4"/>
  </r>
  <r>
    <x v="1049"/>
    <n v="-9.8000000000000007"/>
    <x v="2247"/>
    <n v="1449.29"/>
    <s v="Complete Access"/>
    <x v="277"/>
    <x v="8"/>
    <x v="29"/>
    <d v="1900-01-20T00:00:00"/>
    <n v="21"/>
    <x v="9"/>
    <x v="4"/>
  </r>
  <r>
    <x v="1050"/>
    <n v="-59"/>
    <x v="2248"/>
    <n v="1575.38"/>
    <s v="Complete Access"/>
    <x v="207"/>
    <x v="7"/>
    <x v="11"/>
    <d v="1900-01-18T00:00:00"/>
    <n v="21"/>
    <x v="9"/>
    <x v="4"/>
  </r>
  <r>
    <x v="1050"/>
    <n v="-9.98"/>
    <x v="2249"/>
    <n v="1499.09"/>
    <s v="Complete Access"/>
    <x v="559"/>
    <x v="20"/>
    <x v="63"/>
    <d v="1900-01-18T00:00:00"/>
    <n v="21"/>
    <x v="9"/>
    <x v="4"/>
  </r>
  <r>
    <x v="1050"/>
    <n v="-66.31"/>
    <x v="2250"/>
    <n v="1509.07"/>
    <s v="Complete Access"/>
    <x v="560"/>
    <x v="9"/>
    <x v="12"/>
    <d v="1900-01-18T00:00:00"/>
    <n v="21"/>
    <x v="9"/>
    <x v="4"/>
  </r>
  <r>
    <x v="1051"/>
    <n v="-23.99"/>
    <x v="2251"/>
    <n v="1634.38"/>
    <s v="Complete Access"/>
    <x v="8"/>
    <x v="1"/>
    <x v="5"/>
    <d v="1900-01-17T00:00:00"/>
    <n v="21"/>
    <x v="9"/>
    <x v="4"/>
  </r>
  <r>
    <x v="1051"/>
    <n v="-39"/>
    <x v="2252"/>
    <n v="1658.37"/>
    <s v="Complete Access"/>
    <x v="561"/>
    <x v="8"/>
    <x v="22"/>
    <d v="1900-01-17T00:00:00"/>
    <n v="21"/>
    <x v="9"/>
    <x v="4"/>
  </r>
  <r>
    <x v="1052"/>
    <n v="-18"/>
    <x v="69"/>
    <n v="1697.37"/>
    <s v="Complete Access"/>
    <x v="0"/>
    <x v="0"/>
    <x v="0"/>
    <d v="1900-01-15T00:00:00"/>
    <n v="21"/>
    <x v="9"/>
    <x v="4"/>
  </r>
  <r>
    <x v="1053"/>
    <n v="-100"/>
    <x v="2189"/>
    <n v="1774.87"/>
    <s v="Complete Access"/>
    <x v="552"/>
    <x v="0"/>
    <x v="74"/>
    <d v="1900-01-14T00:00:00"/>
    <n v="20"/>
    <x v="9"/>
    <x v="4"/>
  </r>
  <r>
    <x v="1053"/>
    <n v="-16"/>
    <x v="2253"/>
    <n v="1874.87"/>
    <s v="Complete Access"/>
    <x v="562"/>
    <x v="1"/>
    <x v="5"/>
    <d v="1900-01-14T00:00:00"/>
    <n v="20"/>
    <x v="9"/>
    <x v="4"/>
  </r>
  <r>
    <x v="1053"/>
    <n v="-16"/>
    <x v="2254"/>
    <n v="1900.77"/>
    <s v="Complete Access"/>
    <x v="563"/>
    <x v="9"/>
    <x v="32"/>
    <d v="1900-01-14T00:00:00"/>
    <n v="20"/>
    <x v="9"/>
    <x v="4"/>
  </r>
  <r>
    <x v="1053"/>
    <n v="-21.5"/>
    <x v="2255"/>
    <n v="1753.37"/>
    <s v="Complete Access"/>
    <x v="564"/>
    <x v="1"/>
    <x v="5"/>
    <d v="1900-01-14T00:00:00"/>
    <n v="20"/>
    <x v="9"/>
    <x v="4"/>
  </r>
  <r>
    <x v="1053"/>
    <n v="-38"/>
    <x v="2256"/>
    <n v="1715.37"/>
    <s v="Complete Access"/>
    <x v="565"/>
    <x v="8"/>
    <x v="29"/>
    <d v="1900-01-14T00:00:00"/>
    <n v="20"/>
    <x v="9"/>
    <x v="4"/>
  </r>
  <r>
    <x v="1053"/>
    <n v="-9.9"/>
    <x v="2257"/>
    <n v="1890.87"/>
    <s v="Complete Access"/>
    <x v="277"/>
    <x v="8"/>
    <x v="29"/>
    <d v="1900-01-14T00:00:00"/>
    <n v="20"/>
    <x v="9"/>
    <x v="4"/>
  </r>
  <r>
    <x v="1054"/>
    <n v="-64.48"/>
    <x v="2258"/>
    <n v="1916.77"/>
    <s v="Complete Access"/>
    <x v="4"/>
    <x v="1"/>
    <x v="1"/>
    <d v="1900-01-13T00:00:00"/>
    <n v="20"/>
    <x v="9"/>
    <x v="4"/>
  </r>
  <r>
    <x v="1055"/>
    <n v="-500"/>
    <x v="656"/>
    <n v="2531.0100000000002"/>
    <s v="Complete Access"/>
    <x v="13"/>
    <x v="0"/>
    <x v="0"/>
    <d v="1900-01-12T00:00:00"/>
    <n v="20"/>
    <x v="9"/>
    <x v="4"/>
  </r>
  <r>
    <x v="1055"/>
    <n v="-487.5"/>
    <x v="2259"/>
    <n v="1981.25"/>
    <s v="Complete Access"/>
    <x v="0"/>
    <x v="0"/>
    <x v="0"/>
    <d v="1900-01-12T00:00:00"/>
    <n v="20"/>
    <x v="9"/>
    <x v="4"/>
  </r>
  <r>
    <x v="1055"/>
    <n v="-40"/>
    <x v="2260"/>
    <n v="3053.24"/>
    <s v="Complete Access"/>
    <x v="12"/>
    <x v="5"/>
    <x v="8"/>
    <d v="1900-01-12T00:00:00"/>
    <n v="20"/>
    <x v="9"/>
    <x v="4"/>
  </r>
  <r>
    <x v="1055"/>
    <n v="63"/>
    <x v="2215"/>
    <n v="2594.0100000000002"/>
    <s v="Complete Access"/>
    <x v="36"/>
    <x v="0"/>
    <x v="0"/>
    <d v="1900-01-12T00:00:00"/>
    <n v="20"/>
    <x v="9"/>
    <x v="4"/>
  </r>
  <r>
    <x v="1055"/>
    <n v="62.62"/>
    <x v="2261"/>
    <n v="2656.63"/>
    <s v="Complete Access"/>
    <x v="36"/>
    <x v="0"/>
    <x v="0"/>
    <d v="1900-01-12T00:00:00"/>
    <n v="20"/>
    <x v="9"/>
    <x v="4"/>
  </r>
  <r>
    <x v="1055"/>
    <n v="2156.08"/>
    <x v="2262"/>
    <n v="3093.24"/>
    <s v="Complete Access"/>
    <x v="14"/>
    <x v="6"/>
    <x v="9"/>
    <d v="1900-01-12T00:00:00"/>
    <n v="20"/>
    <x v="9"/>
    <x v="4"/>
  </r>
  <r>
    <x v="1055"/>
    <n v="-22.23"/>
    <x v="2263"/>
    <n v="3031.01"/>
    <s v="Complete Access"/>
    <x v="343"/>
    <x v="1"/>
    <x v="5"/>
    <d v="1900-01-12T00:00:00"/>
    <n v="20"/>
    <x v="9"/>
    <x v="4"/>
  </r>
  <r>
    <x v="1055"/>
    <n v="-187.88"/>
    <x v="2264"/>
    <n v="2468.75"/>
    <s v="Complete Access"/>
    <x v="438"/>
    <x v="12"/>
    <x v="21"/>
    <d v="1900-01-12T00:00:00"/>
    <n v="20"/>
    <x v="9"/>
    <x v="4"/>
  </r>
  <r>
    <x v="1056"/>
    <n v="-44.12"/>
    <x v="2265"/>
    <n v="920.26"/>
    <s v="Complete Access"/>
    <x v="8"/>
    <x v="1"/>
    <x v="5"/>
    <d v="1900-01-11T00:00:00"/>
    <n v="20"/>
    <x v="9"/>
    <x v="4"/>
  </r>
  <r>
    <x v="1056"/>
    <n v="16.899999999999999"/>
    <x v="2266"/>
    <n v="937.16"/>
    <s v="Complete Access"/>
    <x v="27"/>
    <x v="1"/>
    <x v="5"/>
    <d v="1900-01-11T00:00:00"/>
    <n v="20"/>
    <x v="9"/>
    <x v="4"/>
  </r>
  <r>
    <x v="1056"/>
    <n v="-38.4"/>
    <x v="2267"/>
    <n v="964.38"/>
    <s v="Complete Access"/>
    <x v="343"/>
    <x v="1"/>
    <x v="5"/>
    <d v="1900-01-11T00:00:00"/>
    <n v="20"/>
    <x v="9"/>
    <x v="4"/>
  </r>
  <r>
    <x v="1057"/>
    <n v="-6.8"/>
    <x v="2268"/>
    <n v="1002.78"/>
    <s v="Complete Access"/>
    <x v="188"/>
    <x v="1"/>
    <x v="1"/>
    <d v="1900-01-10T00:00:00"/>
    <n v="20"/>
    <x v="9"/>
    <x v="4"/>
  </r>
  <r>
    <x v="1057"/>
    <n v="-38.729999999999997"/>
    <x v="2269"/>
    <n v="1025.58"/>
    <s v="Complete Access"/>
    <x v="8"/>
    <x v="1"/>
    <x v="5"/>
    <d v="1900-01-10T00:00:00"/>
    <n v="20"/>
    <x v="9"/>
    <x v="4"/>
  </r>
  <r>
    <x v="1057"/>
    <n v="-26.74"/>
    <x v="2270"/>
    <n v="1064.31"/>
    <s v="Complete Access"/>
    <x v="8"/>
    <x v="1"/>
    <x v="5"/>
    <d v="1900-01-10T00:00:00"/>
    <n v="20"/>
    <x v="9"/>
    <x v="4"/>
  </r>
  <r>
    <x v="1057"/>
    <n v="-16"/>
    <x v="2271"/>
    <n v="1009.58"/>
    <s v="Complete Access"/>
    <x v="562"/>
    <x v="1"/>
    <x v="5"/>
    <d v="1900-01-10T00:00:00"/>
    <n v="20"/>
    <x v="9"/>
    <x v="4"/>
  </r>
  <r>
    <x v="1058"/>
    <n v="32"/>
    <x v="2266"/>
    <n v="1091.05"/>
    <s v="Complete Access"/>
    <x v="27"/>
    <x v="1"/>
    <x v="5"/>
    <d v="1900-01-09T00:00:00"/>
    <n v="20"/>
    <x v="9"/>
    <x v="4"/>
  </r>
  <r>
    <x v="1059"/>
    <n v="-200"/>
    <x v="2272"/>
    <n v="1059.05"/>
    <s v="Complete Access"/>
    <x v="0"/>
    <x v="0"/>
    <x v="0"/>
    <d v="1900-01-08T00:00:00"/>
    <n v="20"/>
    <x v="9"/>
    <x v="4"/>
  </r>
  <r>
    <x v="1060"/>
    <n v="-23.1"/>
    <x v="2273"/>
    <n v="1259.05"/>
    <s v="Complete Access"/>
    <x v="0"/>
    <x v="0"/>
    <x v="0"/>
    <d v="1900-01-07T00:00:00"/>
    <n v="19"/>
    <x v="9"/>
    <x v="4"/>
  </r>
  <r>
    <x v="1060"/>
    <n v="-100"/>
    <x v="2274"/>
    <n v="1282.1500000000001"/>
    <s v="Complete Access"/>
    <x v="552"/>
    <x v="0"/>
    <x v="74"/>
    <d v="1900-01-07T00:00:00"/>
    <n v="19"/>
    <x v="9"/>
    <x v="4"/>
  </r>
  <r>
    <x v="1060"/>
    <n v="-8"/>
    <x v="2275"/>
    <n v="1382.15"/>
    <s v="Complete Access"/>
    <x v="277"/>
    <x v="8"/>
    <x v="29"/>
    <d v="1900-01-07T00:00:00"/>
    <n v="19"/>
    <x v="9"/>
    <x v="4"/>
  </r>
  <r>
    <x v="1061"/>
    <n v="-17.399999999999999"/>
    <x v="2276"/>
    <n v="1390.15"/>
    <s v="Complete Access"/>
    <x v="186"/>
    <x v="1"/>
    <x v="5"/>
    <d v="1900-01-06T00:00:00"/>
    <n v="19"/>
    <x v="9"/>
    <x v="4"/>
  </r>
  <r>
    <x v="1062"/>
    <n v="200"/>
    <x v="2277"/>
    <n v="1407.55"/>
    <s v="Complete Access"/>
    <x v="566"/>
    <x v="0"/>
    <x v="69"/>
    <d v="1900-01-05T00:00:00"/>
    <n v="19"/>
    <x v="9"/>
    <x v="4"/>
  </r>
  <r>
    <x v="1063"/>
    <n v="-6.2"/>
    <x v="2278"/>
    <n v="1207.55"/>
    <s v="Complete Access"/>
    <x v="218"/>
    <x v="8"/>
    <x v="29"/>
    <d v="1900-01-04T00:00:00"/>
    <n v="19"/>
    <x v="9"/>
    <x v="4"/>
  </r>
  <r>
    <x v="1063"/>
    <n v="-31.4"/>
    <x v="2278"/>
    <n v="1213.75"/>
    <s v="Complete Access"/>
    <x v="218"/>
    <x v="8"/>
    <x v="29"/>
    <d v="1900-01-04T00:00:00"/>
    <n v="19"/>
    <x v="9"/>
    <x v="4"/>
  </r>
  <r>
    <x v="1064"/>
    <n v="-23.99"/>
    <x v="2279"/>
    <n v="1253.58"/>
    <s v="Complete Access"/>
    <x v="8"/>
    <x v="1"/>
    <x v="5"/>
    <d v="1900-01-03T00:00:00"/>
    <n v="19"/>
    <x v="9"/>
    <x v="4"/>
  </r>
  <r>
    <x v="1064"/>
    <n v="-11.06"/>
    <x v="2280"/>
    <n v="1242.52"/>
    <s v="Complete Access"/>
    <x v="423"/>
    <x v="1"/>
    <x v="5"/>
    <d v="1900-01-03T00:00:00"/>
    <n v="19"/>
    <x v="9"/>
    <x v="4"/>
  </r>
  <r>
    <x v="1064"/>
    <n v="-60"/>
    <x v="2281"/>
    <n v="1245.1500000000001"/>
    <s v="Complete Access"/>
    <x v="0"/>
    <x v="0"/>
    <x v="0"/>
    <d v="1900-01-03T00:00:00"/>
    <n v="19"/>
    <x v="9"/>
    <x v="4"/>
  </r>
  <r>
    <x v="1064"/>
    <n v="62.63"/>
    <x v="2282"/>
    <n v="1305.1500000000001"/>
    <s v="Complete Access"/>
    <x v="567"/>
    <x v="0"/>
    <x v="69"/>
    <d v="1900-01-03T00:00:00"/>
    <n v="19"/>
    <x v="9"/>
    <x v="4"/>
  </r>
  <r>
    <x v="1065"/>
    <n v="-179.45"/>
    <x v="2283"/>
    <n v="1277.57"/>
    <s v="Complete Access"/>
    <x v="76"/>
    <x v="2"/>
    <x v="2"/>
    <d v="1900-01-02T00:00:00"/>
    <n v="19"/>
    <x v="9"/>
    <x v="4"/>
  </r>
  <r>
    <x v="1066"/>
    <n v="-70.38"/>
    <x v="2284"/>
    <n v="1457.02"/>
    <s v="Complete Access"/>
    <x v="568"/>
    <x v="0"/>
    <x v="69"/>
    <d v="1900-01-01T00:00:00"/>
    <n v="19"/>
    <x v="9"/>
    <x v="4"/>
  </r>
  <r>
    <x v="1067"/>
    <n v="-9.5"/>
    <x v="2285"/>
    <n v="1647.44"/>
    <s v="Complete Access"/>
    <x v="16"/>
    <x v="1"/>
    <x v="5"/>
    <d v="1899-12-31T00:00:00"/>
    <n v="18"/>
    <x v="9"/>
    <x v="4"/>
  </r>
  <r>
    <x v="1067"/>
    <n v="-20"/>
    <x v="2229"/>
    <n v="1527.44"/>
    <s v="Complete Access"/>
    <x v="557"/>
    <x v="7"/>
    <x v="53"/>
    <d v="1899-12-31T00:00:00"/>
    <n v="18"/>
    <x v="9"/>
    <x v="4"/>
  </r>
  <r>
    <x v="1067"/>
    <n v="-100"/>
    <x v="2274"/>
    <n v="1547.44"/>
    <s v="Complete Access"/>
    <x v="552"/>
    <x v="0"/>
    <x v="74"/>
    <d v="1899-12-31T00:00:00"/>
    <n v="18"/>
    <x v="9"/>
    <x v="4"/>
  </r>
  <r>
    <x v="1067"/>
    <n v="-0.04"/>
    <x v="655"/>
    <n v="1527.4"/>
    <s v="Complete Access"/>
    <x v="249"/>
    <x v="0"/>
    <x v="0"/>
    <d v="1899-12-31T00:00:00"/>
    <n v="18"/>
    <x v="9"/>
    <x v="4"/>
  </r>
  <r>
    <x v="1067"/>
    <n v="-6.5"/>
    <x v="2286"/>
    <n v="1656.94"/>
    <s v="Complete Access"/>
    <x v="186"/>
    <x v="1"/>
    <x v="5"/>
    <d v="1899-12-31T00:00:00"/>
    <n v="18"/>
    <x v="9"/>
    <x v="4"/>
  </r>
  <r>
    <x v="1068"/>
    <n v="-26.74"/>
    <x v="2287"/>
    <n v="1695.68"/>
    <s v="Complete Access"/>
    <x v="8"/>
    <x v="1"/>
    <x v="5"/>
    <d v="1900-01-29T00:00:00"/>
    <n v="18"/>
    <x v="10"/>
    <x v="4"/>
  </r>
  <r>
    <x v="1068"/>
    <n v="-32.24"/>
    <x v="2288"/>
    <n v="1663.44"/>
    <s v="Complete Access"/>
    <x v="556"/>
    <x v="15"/>
    <x v="34"/>
    <d v="1900-01-29T00:00:00"/>
    <n v="18"/>
    <x v="10"/>
    <x v="4"/>
  </r>
  <r>
    <x v="1068"/>
    <n v="-18.59"/>
    <x v="2289"/>
    <n v="1722.42"/>
    <s v="Complete Access"/>
    <x v="104"/>
    <x v="1"/>
    <x v="5"/>
    <d v="1900-01-29T00:00:00"/>
    <n v="18"/>
    <x v="10"/>
    <x v="4"/>
  </r>
  <r>
    <x v="1068"/>
    <n v="-14.95"/>
    <x v="2290"/>
    <n v="1741.01"/>
    <s v="Complete Access"/>
    <x v="569"/>
    <x v="3"/>
    <x v="26"/>
    <d v="1900-01-29T00:00:00"/>
    <n v="18"/>
    <x v="10"/>
    <x v="4"/>
  </r>
  <r>
    <x v="1068"/>
    <n v="-40"/>
    <x v="2291"/>
    <n v="1755.96"/>
    <s v="Complete Access"/>
    <x v="570"/>
    <x v="8"/>
    <x v="29"/>
    <d v="1900-01-29T00:00:00"/>
    <n v="18"/>
    <x v="10"/>
    <x v="4"/>
  </r>
  <r>
    <x v="1069"/>
    <n v="-40"/>
    <x v="2292"/>
    <n v="2357.96"/>
    <s v="Complete Access"/>
    <x v="12"/>
    <x v="5"/>
    <x v="8"/>
    <d v="1900-01-28T00:00:00"/>
    <n v="18"/>
    <x v="10"/>
    <x v="4"/>
  </r>
  <r>
    <x v="1069"/>
    <n v="2143.4699999999998"/>
    <x v="2293"/>
    <n v="2397.96"/>
    <s v="Complete Access"/>
    <x v="14"/>
    <x v="6"/>
    <x v="9"/>
    <d v="1900-01-28T00:00:00"/>
    <n v="18"/>
    <x v="10"/>
    <x v="4"/>
  </r>
  <r>
    <x v="1069"/>
    <n v="-500"/>
    <x v="2294"/>
    <n v="1795.96"/>
    <s v="Complete Access"/>
    <x v="571"/>
    <x v="19"/>
    <x v="61"/>
    <d v="1900-01-28T00:00:00"/>
    <n v="18"/>
    <x v="10"/>
    <x v="4"/>
  </r>
  <r>
    <x v="1069"/>
    <n v="-32.25"/>
    <x v="2295"/>
    <n v="2295.96"/>
    <s v="Complete Access"/>
    <x v="572"/>
    <x v="1"/>
    <x v="5"/>
    <d v="1900-01-28T00:00:00"/>
    <n v="18"/>
    <x v="10"/>
    <x v="4"/>
  </r>
  <r>
    <x v="1069"/>
    <n v="-23.25"/>
    <x v="2296"/>
    <n v="2328.21"/>
    <s v="Complete Access"/>
    <x v="573"/>
    <x v="21"/>
    <x v="76"/>
    <d v="1900-01-28T00:00:00"/>
    <n v="18"/>
    <x v="10"/>
    <x v="4"/>
  </r>
  <r>
    <x v="1069"/>
    <n v="-3.25"/>
    <x v="2297"/>
    <n v="2351.46"/>
    <s v="Complete Access"/>
    <x v="574"/>
    <x v="8"/>
    <x v="29"/>
    <d v="1900-01-28T00:00:00"/>
    <n v="18"/>
    <x v="10"/>
    <x v="4"/>
  </r>
  <r>
    <x v="1069"/>
    <n v="-3.25"/>
    <x v="2297"/>
    <n v="2354.71"/>
    <s v="Complete Access"/>
    <x v="574"/>
    <x v="8"/>
    <x v="29"/>
    <d v="1900-01-28T00:00:00"/>
    <n v="18"/>
    <x v="10"/>
    <x v="4"/>
  </r>
  <r>
    <x v="1070"/>
    <n v="-13.5"/>
    <x v="2298"/>
    <n v="580.77"/>
    <s v="Complete Access"/>
    <x v="47"/>
    <x v="1"/>
    <x v="5"/>
    <d v="1900-01-27T00:00:00"/>
    <n v="18"/>
    <x v="10"/>
    <x v="4"/>
  </r>
  <r>
    <x v="1070"/>
    <n v="-11.1"/>
    <x v="2299"/>
    <n v="594.27"/>
    <s v="Complete Access"/>
    <x v="47"/>
    <x v="1"/>
    <x v="5"/>
    <d v="1900-01-27T00:00:00"/>
    <n v="18"/>
    <x v="10"/>
    <x v="4"/>
  </r>
  <r>
    <x v="1070"/>
    <n v="-100"/>
    <x v="2274"/>
    <n v="605.37"/>
    <s v="Complete Access"/>
    <x v="552"/>
    <x v="0"/>
    <x v="74"/>
    <d v="1900-01-27T00:00:00"/>
    <n v="18"/>
    <x v="10"/>
    <x v="4"/>
  </r>
  <r>
    <x v="1070"/>
    <n v="-75.680000000000007"/>
    <x v="2300"/>
    <n v="254.49"/>
    <s v="Complete Access"/>
    <x v="1"/>
    <x v="1"/>
    <x v="1"/>
    <d v="1900-01-27T00:00:00"/>
    <n v="18"/>
    <x v="10"/>
    <x v="4"/>
  </r>
  <r>
    <x v="1070"/>
    <n v="-245"/>
    <x v="2301"/>
    <n v="335.77"/>
    <s v="Complete Access"/>
    <x v="575"/>
    <x v="17"/>
    <x v="43"/>
    <d v="1900-01-27T00:00:00"/>
    <n v="18"/>
    <x v="10"/>
    <x v="4"/>
  </r>
  <r>
    <x v="1070"/>
    <n v="-5.6"/>
    <x v="2302"/>
    <n v="330.17"/>
    <s v="Complete Access"/>
    <x v="91"/>
    <x v="9"/>
    <x v="12"/>
    <d v="1900-01-27T00:00:00"/>
    <n v="18"/>
    <x v="10"/>
    <x v="4"/>
  </r>
  <r>
    <x v="1071"/>
    <n v="-11.5"/>
    <x v="2303"/>
    <n v="421.37"/>
    <s v="Complete Access"/>
    <x v="576"/>
    <x v="20"/>
    <x v="63"/>
    <d v="1900-01-26T00:00:00"/>
    <n v="18"/>
    <x v="10"/>
    <x v="4"/>
  </r>
  <r>
    <x v="1071"/>
    <n v="200"/>
    <x v="2304"/>
    <n v="705.37"/>
    <s v="Complete Access"/>
    <x v="577"/>
    <x v="0"/>
    <x v="69"/>
    <d v="1900-01-26T00:00:00"/>
    <n v="18"/>
    <x v="10"/>
    <x v="4"/>
  </r>
  <r>
    <x v="1071"/>
    <n v="84"/>
    <x v="2305"/>
    <n v="505.37"/>
    <s v="Complete Access"/>
    <x v="0"/>
    <x v="0"/>
    <x v="0"/>
    <d v="1900-01-26T00:00:00"/>
    <n v="18"/>
    <x v="10"/>
    <x v="4"/>
  </r>
  <r>
    <x v="1071"/>
    <n v="-32.44"/>
    <x v="2306"/>
    <n v="552.87"/>
    <s v="Complete Access"/>
    <x v="578"/>
    <x v="8"/>
    <x v="29"/>
    <d v="1900-01-26T00:00:00"/>
    <n v="18"/>
    <x v="10"/>
    <x v="4"/>
  </r>
  <r>
    <x v="1071"/>
    <n v="-120"/>
    <x v="2307"/>
    <n v="432.87"/>
    <s v="Complete Access"/>
    <x v="579"/>
    <x v="8"/>
    <x v="29"/>
    <d v="1900-01-26T00:00:00"/>
    <n v="18"/>
    <x v="10"/>
    <x v="4"/>
  </r>
  <r>
    <x v="1071"/>
    <n v="-3"/>
    <x v="2308"/>
    <n v="585.30999999999995"/>
    <s v="Complete Access"/>
    <x v="580"/>
    <x v="9"/>
    <x v="12"/>
    <d v="1900-01-26T00:00:00"/>
    <n v="18"/>
    <x v="10"/>
    <x v="4"/>
  </r>
  <r>
    <x v="1071"/>
    <n v="-15.5"/>
    <x v="2308"/>
    <n v="588.30999999999995"/>
    <s v="Complete Access"/>
    <x v="580"/>
    <x v="9"/>
    <x v="12"/>
    <d v="1900-01-26T00:00:00"/>
    <n v="18"/>
    <x v="10"/>
    <x v="4"/>
  </r>
  <r>
    <x v="1072"/>
    <n v="-15"/>
    <x v="2309"/>
    <n v="603.80999999999995"/>
    <s v="Complete Access"/>
    <x v="263"/>
    <x v="0"/>
    <x v="0"/>
    <d v="1900-01-23T00:00:00"/>
    <n v="17"/>
    <x v="10"/>
    <x v="4"/>
  </r>
  <r>
    <x v="1072"/>
    <n v="300"/>
    <x v="2305"/>
    <n v="618.80999999999995"/>
    <s v="Complete Access"/>
    <x v="0"/>
    <x v="0"/>
    <x v="0"/>
    <d v="1900-01-23T00:00:00"/>
    <n v="17"/>
    <x v="10"/>
    <x v="4"/>
  </r>
  <r>
    <x v="1072"/>
    <n v="-13.2"/>
    <x v="2310"/>
    <n v="350.8"/>
    <s v="Complete Access"/>
    <x v="581"/>
    <x v="1"/>
    <x v="5"/>
    <d v="1900-01-23T00:00:00"/>
    <n v="17"/>
    <x v="10"/>
    <x v="4"/>
  </r>
  <r>
    <x v="1072"/>
    <n v="-31.99"/>
    <x v="2311"/>
    <n v="318.81"/>
    <s v="Complete Access"/>
    <x v="34"/>
    <x v="9"/>
    <x v="12"/>
    <d v="1900-01-23T00:00:00"/>
    <n v="17"/>
    <x v="10"/>
    <x v="4"/>
  </r>
  <r>
    <x v="1073"/>
    <n v="-22.49"/>
    <x v="2312"/>
    <n v="372.8"/>
    <s v="Complete Access"/>
    <x v="343"/>
    <x v="1"/>
    <x v="5"/>
    <d v="1900-01-22T00:00:00"/>
    <n v="17"/>
    <x v="10"/>
    <x v="4"/>
  </r>
  <r>
    <x v="1073"/>
    <n v="-8.8000000000000007"/>
    <x v="2313"/>
    <n v="364"/>
    <s v="Complete Access"/>
    <x v="277"/>
    <x v="8"/>
    <x v="29"/>
    <d v="1900-01-22T00:00:00"/>
    <n v="17"/>
    <x v="10"/>
    <x v="4"/>
  </r>
  <r>
    <x v="1074"/>
    <n v="-586.99"/>
    <x v="2314"/>
    <n v="395.29"/>
    <s v="Complete Access"/>
    <x v="582"/>
    <x v="3"/>
    <x v="77"/>
    <d v="1900-01-21T00:00:00"/>
    <n v="17"/>
    <x v="10"/>
    <x v="4"/>
  </r>
  <r>
    <x v="1075"/>
    <n v="-59"/>
    <x v="2315"/>
    <n v="870.74"/>
    <s v="Complete Access"/>
    <x v="207"/>
    <x v="7"/>
    <x v="11"/>
    <d v="1900-01-20T00:00:00"/>
    <n v="17"/>
    <x v="10"/>
    <x v="4"/>
  </r>
  <r>
    <x v="1075"/>
    <n v="195.6"/>
    <x v="2316"/>
    <n v="982.28"/>
    <s v="Complete Access"/>
    <x v="577"/>
    <x v="0"/>
    <x v="69"/>
    <d v="1900-01-20T00:00:00"/>
    <n v="17"/>
    <x v="10"/>
    <x v="4"/>
  </r>
  <r>
    <x v="1075"/>
    <n v="-23.4"/>
    <x v="2317"/>
    <n v="847.34"/>
    <s v="Complete Access"/>
    <x v="343"/>
    <x v="1"/>
    <x v="5"/>
    <d v="1900-01-20T00:00:00"/>
    <n v="17"/>
    <x v="10"/>
    <x v="4"/>
  </r>
  <r>
    <x v="1075"/>
    <n v="-60.66"/>
    <x v="2318"/>
    <n v="786.68"/>
    <s v="Complete Access"/>
    <x v="1"/>
    <x v="1"/>
    <x v="1"/>
    <d v="1900-01-20T00:00:00"/>
    <n v="17"/>
    <x v="10"/>
    <x v="4"/>
  </r>
  <r>
    <x v="1076"/>
    <n v="-4.1500000000000004"/>
    <x v="2319"/>
    <n v="733.14"/>
    <s v="Complete Access"/>
    <x v="188"/>
    <x v="1"/>
    <x v="1"/>
    <d v="1900-01-19T00:00:00"/>
    <n v="17"/>
    <x v="10"/>
    <x v="4"/>
  </r>
  <r>
    <x v="1076"/>
    <n v="-3"/>
    <x v="2320"/>
    <n v="830.68"/>
    <s v="Complete Access"/>
    <x v="8"/>
    <x v="1"/>
    <x v="5"/>
    <d v="1900-01-19T00:00:00"/>
    <n v="17"/>
    <x v="10"/>
    <x v="4"/>
  </r>
  <r>
    <x v="1076"/>
    <n v="-69.400000000000006"/>
    <x v="2321"/>
    <n v="761.28"/>
    <s v="Complete Access"/>
    <x v="8"/>
    <x v="1"/>
    <x v="5"/>
    <d v="1900-01-19T00:00:00"/>
    <n v="17"/>
    <x v="10"/>
    <x v="4"/>
  </r>
  <r>
    <x v="1076"/>
    <n v="-23.99"/>
    <x v="2322"/>
    <n v="737.29"/>
    <s v="Complete Access"/>
    <x v="8"/>
    <x v="1"/>
    <x v="5"/>
    <d v="1900-01-19T00:00:00"/>
    <n v="17"/>
    <x v="10"/>
    <x v="4"/>
  </r>
  <r>
    <x v="1076"/>
    <n v="-102.99"/>
    <x v="2323"/>
    <n v="833.68"/>
    <s v="Complete Access"/>
    <x v="8"/>
    <x v="1"/>
    <x v="5"/>
    <d v="1900-01-19T00:00:00"/>
    <n v="17"/>
    <x v="10"/>
    <x v="4"/>
  </r>
  <r>
    <x v="1076"/>
    <n v="-214"/>
    <x v="2324"/>
    <n v="936.67"/>
    <s v="Complete Access"/>
    <x v="454"/>
    <x v="3"/>
    <x v="60"/>
    <d v="1900-01-19T00:00:00"/>
    <n v="17"/>
    <x v="10"/>
    <x v="4"/>
  </r>
  <r>
    <x v="1076"/>
    <n v="196.6"/>
    <x v="2325"/>
    <n v="929.74"/>
    <s v="Complete Access"/>
    <x v="583"/>
    <x v="0"/>
    <x v="69"/>
    <d v="1900-01-19T00:00:00"/>
    <n v="17"/>
    <x v="10"/>
    <x v="4"/>
  </r>
  <r>
    <x v="1077"/>
    <n v="-1000"/>
    <x v="2326"/>
    <n v="1150.67"/>
    <s v="Complete Access"/>
    <x v="504"/>
    <x v="0"/>
    <x v="72"/>
    <d v="1900-01-17T00:00:00"/>
    <n v="17"/>
    <x v="10"/>
    <x v="4"/>
  </r>
  <r>
    <x v="1078"/>
    <n v="-12"/>
    <x v="2327"/>
    <n v="2250.67"/>
    <s v="Complete Access"/>
    <x v="16"/>
    <x v="1"/>
    <x v="5"/>
    <d v="1900-01-16T00:00:00"/>
    <n v="16"/>
    <x v="10"/>
    <x v="4"/>
  </r>
  <r>
    <x v="1078"/>
    <n v="-100"/>
    <x v="2274"/>
    <n v="2150.67"/>
    <s v="Complete Access"/>
    <x v="552"/>
    <x v="0"/>
    <x v="74"/>
    <d v="1900-01-16T00:00:00"/>
    <n v="16"/>
    <x v="10"/>
    <x v="4"/>
  </r>
  <r>
    <x v="1079"/>
    <n v="-40"/>
    <x v="2328"/>
    <n v="2259.56"/>
    <s v="Complete Access"/>
    <x v="12"/>
    <x v="5"/>
    <x v="8"/>
    <d v="1900-01-15T00:00:00"/>
    <n v="16"/>
    <x v="10"/>
    <x v="4"/>
  </r>
  <r>
    <x v="1079"/>
    <n v="-16"/>
    <x v="2329"/>
    <n v="2190.67"/>
    <s v="Complete Access"/>
    <x v="562"/>
    <x v="1"/>
    <x v="5"/>
    <d v="1900-01-15T00:00:00"/>
    <n v="16"/>
    <x v="10"/>
    <x v="4"/>
  </r>
  <r>
    <x v="1079"/>
    <n v="72"/>
    <x v="2266"/>
    <n v="2262.67"/>
    <s v="Complete Access"/>
    <x v="27"/>
    <x v="1"/>
    <x v="5"/>
    <d v="1900-01-15T00:00:00"/>
    <n v="16"/>
    <x v="10"/>
    <x v="4"/>
  </r>
  <r>
    <x v="1079"/>
    <n v="-43.89"/>
    <x v="2330"/>
    <n v="2215.67"/>
    <s v="Complete Access"/>
    <x v="343"/>
    <x v="1"/>
    <x v="5"/>
    <d v="1900-01-15T00:00:00"/>
    <n v="16"/>
    <x v="10"/>
    <x v="4"/>
  </r>
  <r>
    <x v="1079"/>
    <n v="-9"/>
    <x v="2331"/>
    <n v="2206.67"/>
    <s v="Complete Access"/>
    <x v="277"/>
    <x v="8"/>
    <x v="29"/>
    <d v="1900-01-15T00:00:00"/>
    <n v="16"/>
    <x v="10"/>
    <x v="4"/>
  </r>
  <r>
    <x v="1080"/>
    <n v="2143.4699999999998"/>
    <x v="2332"/>
    <n v="2806.06"/>
    <s v="Complete Access"/>
    <x v="14"/>
    <x v="6"/>
    <x v="9"/>
    <d v="1900-01-14T00:00:00"/>
    <n v="16"/>
    <x v="10"/>
    <x v="4"/>
  </r>
  <r>
    <x v="1080"/>
    <n v="-500"/>
    <x v="2294"/>
    <n v="2306.06"/>
    <s v="Complete Access"/>
    <x v="571"/>
    <x v="19"/>
    <x v="61"/>
    <d v="1900-01-14T00:00:00"/>
    <n v="16"/>
    <x v="10"/>
    <x v="4"/>
  </r>
  <r>
    <x v="1080"/>
    <n v="-6.5"/>
    <x v="436"/>
    <n v="2299.56"/>
    <s v="Complete Access"/>
    <x v="186"/>
    <x v="1"/>
    <x v="5"/>
    <d v="1900-01-14T00:00:00"/>
    <n v="16"/>
    <x v="10"/>
    <x v="4"/>
  </r>
  <r>
    <x v="1081"/>
    <n v="-23.99"/>
    <x v="2333"/>
    <n v="680.66"/>
    <s v="Complete Access"/>
    <x v="8"/>
    <x v="1"/>
    <x v="5"/>
    <d v="1900-01-13T00:00:00"/>
    <n v="16"/>
    <x v="10"/>
    <x v="4"/>
  </r>
  <r>
    <x v="1081"/>
    <n v="-27.98"/>
    <x v="2334"/>
    <n v="704.65"/>
    <s v="Complete Access"/>
    <x v="8"/>
    <x v="1"/>
    <x v="5"/>
    <d v="1900-01-13T00:00:00"/>
    <n v="16"/>
    <x v="10"/>
    <x v="4"/>
  </r>
  <r>
    <x v="1081"/>
    <n v="-18.07"/>
    <x v="2135"/>
    <n v="662.59"/>
    <s v="Complete Access"/>
    <x v="215"/>
    <x v="1"/>
    <x v="1"/>
    <d v="1900-01-13T00:00:00"/>
    <n v="16"/>
    <x v="10"/>
    <x v="4"/>
  </r>
  <r>
    <x v="1081"/>
    <n v="-16.12"/>
    <x v="2335"/>
    <n v="732.63"/>
    <s v="Complete Access"/>
    <x v="1"/>
    <x v="1"/>
    <x v="1"/>
    <d v="1900-01-13T00:00:00"/>
    <n v="16"/>
    <x v="10"/>
    <x v="4"/>
  </r>
  <r>
    <x v="1082"/>
    <n v="-37.200000000000003"/>
    <x v="2336"/>
    <n v="727.75"/>
    <s v="Complete Access"/>
    <x v="8"/>
    <x v="1"/>
    <x v="5"/>
    <d v="1900-01-12T00:00:00"/>
    <n v="16"/>
    <x v="10"/>
    <x v="4"/>
  </r>
  <r>
    <x v="1082"/>
    <n v="15"/>
    <x v="2337"/>
    <n v="742.75"/>
    <s v="Complete Access"/>
    <x v="27"/>
    <x v="1"/>
    <x v="5"/>
    <d v="1900-01-12T00:00:00"/>
    <n v="16"/>
    <x v="10"/>
    <x v="4"/>
  </r>
  <r>
    <x v="1082"/>
    <n v="6"/>
    <x v="2338"/>
    <n v="748.75"/>
    <s v="Complete Access"/>
    <x v="583"/>
    <x v="0"/>
    <x v="69"/>
    <d v="1900-01-12T00:00:00"/>
    <n v="16"/>
    <x v="10"/>
    <x v="4"/>
  </r>
  <r>
    <x v="1083"/>
    <n v="-17.68"/>
    <x v="2135"/>
    <n v="764.95"/>
    <s v="Complete Access"/>
    <x v="215"/>
    <x v="1"/>
    <x v="1"/>
    <d v="1900-01-11T00:00:00"/>
    <n v="16"/>
    <x v="10"/>
    <x v="4"/>
  </r>
  <r>
    <x v="1083"/>
    <n v="1000"/>
    <x v="2339"/>
    <n v="1782.63"/>
    <s v="Complete Access"/>
    <x v="566"/>
    <x v="0"/>
    <x v="69"/>
    <d v="1900-01-11T00:00:00"/>
    <n v="16"/>
    <x v="10"/>
    <x v="4"/>
  </r>
  <r>
    <x v="1083"/>
    <n v="-1000"/>
    <x v="2340"/>
    <n v="782.63"/>
    <s v="Complete Access"/>
    <x v="504"/>
    <x v="0"/>
    <x v="72"/>
    <d v="1900-01-11T00:00:00"/>
    <n v="16"/>
    <x v="10"/>
    <x v="4"/>
  </r>
  <r>
    <x v="1084"/>
    <n v="1000"/>
    <x v="2341"/>
    <n v="1782.63"/>
    <s v="Complete Access"/>
    <x v="584"/>
    <x v="0"/>
    <x v="69"/>
    <d v="1900-01-10T00:00:00"/>
    <n v="16"/>
    <x v="10"/>
    <x v="4"/>
  </r>
  <r>
    <x v="1084"/>
    <n v="300"/>
    <x v="2342"/>
    <n v="782.63"/>
    <s v="Complete Access"/>
    <x v="584"/>
    <x v="0"/>
    <x v="69"/>
    <d v="1900-01-10T00:00:00"/>
    <n v="16"/>
    <x v="10"/>
    <x v="4"/>
  </r>
  <r>
    <x v="1084"/>
    <n v="700"/>
    <x v="2343"/>
    <n v="1482.63"/>
    <s v="Complete Access"/>
    <x v="584"/>
    <x v="0"/>
    <x v="69"/>
    <d v="1900-01-10T00:00:00"/>
    <n v="16"/>
    <x v="10"/>
    <x v="4"/>
  </r>
  <r>
    <x v="1084"/>
    <n v="-1000"/>
    <x v="2344"/>
    <n v="482.63"/>
    <s v="Complete Access"/>
    <x v="504"/>
    <x v="0"/>
    <x v="72"/>
    <d v="1900-01-10T00:00:00"/>
    <n v="16"/>
    <x v="10"/>
    <x v="4"/>
  </r>
  <r>
    <x v="1084"/>
    <n v="-1000"/>
    <x v="2345"/>
    <n v="782.63"/>
    <s v="Complete Access"/>
    <x v="504"/>
    <x v="0"/>
    <x v="72"/>
    <d v="1900-01-10T00:00:00"/>
    <n v="16"/>
    <x v="10"/>
    <x v="4"/>
  </r>
  <r>
    <x v="1085"/>
    <n v="-12"/>
    <x v="2346"/>
    <n v="1532.63"/>
    <s v="Complete Access"/>
    <x v="0"/>
    <x v="0"/>
    <x v="0"/>
    <d v="1900-01-09T00:00:00"/>
    <n v="15"/>
    <x v="10"/>
    <x v="4"/>
  </r>
  <r>
    <x v="1085"/>
    <n v="-75"/>
    <x v="2346"/>
    <n v="1544.63"/>
    <s v="Complete Access"/>
    <x v="0"/>
    <x v="0"/>
    <x v="0"/>
    <d v="1900-01-09T00:00:00"/>
    <n v="15"/>
    <x v="10"/>
    <x v="4"/>
  </r>
  <r>
    <x v="1085"/>
    <n v="-100"/>
    <x v="2274"/>
    <n v="1619.63"/>
    <s v="Complete Access"/>
    <x v="552"/>
    <x v="0"/>
    <x v="74"/>
    <d v="1900-01-09T00:00:00"/>
    <n v="15"/>
    <x v="10"/>
    <x v="4"/>
  </r>
  <r>
    <x v="1085"/>
    <n v="-750"/>
    <x v="2347"/>
    <n v="782.63"/>
    <s v="Complete Access"/>
    <x v="504"/>
    <x v="0"/>
    <x v="72"/>
    <d v="1900-01-09T00:00:00"/>
    <n v="15"/>
    <x v="10"/>
    <x v="4"/>
  </r>
  <r>
    <x v="1086"/>
    <n v="-16"/>
    <x v="2329"/>
    <n v="1719.63"/>
    <s v="Complete Access"/>
    <x v="562"/>
    <x v="1"/>
    <x v="5"/>
    <d v="1900-01-08T00:00:00"/>
    <n v="15"/>
    <x v="10"/>
    <x v="4"/>
  </r>
  <r>
    <x v="1086"/>
    <n v="-8.9"/>
    <x v="2348"/>
    <n v="1735.63"/>
    <s v="Complete Access"/>
    <x v="277"/>
    <x v="8"/>
    <x v="29"/>
    <d v="1900-01-08T00:00:00"/>
    <n v="15"/>
    <x v="10"/>
    <x v="4"/>
  </r>
  <r>
    <x v="1087"/>
    <n v="-25.13"/>
    <x v="2349"/>
    <n v="1968.07"/>
    <s v="Complete Access"/>
    <x v="8"/>
    <x v="1"/>
    <x v="5"/>
    <d v="1900-01-07T00:00:00"/>
    <n v="15"/>
    <x v="10"/>
    <x v="4"/>
  </r>
  <r>
    <x v="1087"/>
    <n v="-29.42"/>
    <x v="2350"/>
    <n v="1938.65"/>
    <s v="Complete Access"/>
    <x v="8"/>
    <x v="1"/>
    <x v="5"/>
    <d v="1900-01-07T00:00:00"/>
    <n v="15"/>
    <x v="10"/>
    <x v="4"/>
  </r>
  <r>
    <x v="1087"/>
    <n v="-11.06"/>
    <x v="2351"/>
    <n v="1744.53"/>
    <s v="Complete Access"/>
    <x v="423"/>
    <x v="1"/>
    <x v="5"/>
    <d v="1900-01-07T00:00:00"/>
    <n v="15"/>
    <x v="10"/>
    <x v="4"/>
  </r>
  <r>
    <x v="1087"/>
    <n v="841.68"/>
    <x v="2352"/>
    <n v="1993.2"/>
    <s v="Complete Access"/>
    <x v="585"/>
    <x v="0"/>
    <x v="78"/>
    <d v="1900-01-07T00:00:00"/>
    <n v="15"/>
    <x v="10"/>
    <x v="4"/>
  </r>
  <r>
    <x v="1087"/>
    <n v="-129"/>
    <x v="2353"/>
    <n v="1755.59"/>
    <s v="Complete Access"/>
    <x v="214"/>
    <x v="4"/>
    <x v="52"/>
    <d v="1900-01-07T00:00:00"/>
    <n v="15"/>
    <x v="10"/>
    <x v="4"/>
  </r>
  <r>
    <x v="1087"/>
    <n v="-54.06"/>
    <x v="2354"/>
    <n v="1884.59"/>
    <s v="Complete Access"/>
    <x v="1"/>
    <x v="1"/>
    <x v="1"/>
    <d v="1900-01-07T00:00:00"/>
    <n v="15"/>
    <x v="10"/>
    <x v="4"/>
  </r>
  <r>
    <x v="1088"/>
    <n v="-46.99"/>
    <x v="2350"/>
    <n v="1151.52"/>
    <s v="Complete Access"/>
    <x v="8"/>
    <x v="1"/>
    <x v="5"/>
    <d v="1900-01-06T00:00:00"/>
    <n v="15"/>
    <x v="10"/>
    <x v="4"/>
  </r>
  <r>
    <x v="1088"/>
    <n v="-36.520000000000003"/>
    <x v="2355"/>
    <n v="1198.51"/>
    <s v="Complete Access"/>
    <x v="8"/>
    <x v="1"/>
    <x v="5"/>
    <d v="1900-01-06T00:00:00"/>
    <n v="15"/>
    <x v="10"/>
    <x v="4"/>
  </r>
  <r>
    <x v="1088"/>
    <n v="-1.61"/>
    <x v="2355"/>
    <n v="1235.03"/>
    <s v="Complete Access"/>
    <x v="8"/>
    <x v="1"/>
    <x v="5"/>
    <d v="1900-01-06T00:00:00"/>
    <n v="15"/>
    <x v="10"/>
    <x v="4"/>
  </r>
  <r>
    <x v="1089"/>
    <n v="2474.94"/>
    <x v="2356"/>
    <n v="3736.64"/>
    <s v="Complete Access"/>
    <x v="586"/>
    <x v="4"/>
    <x v="78"/>
    <d v="1900-01-05T00:00:00"/>
    <n v="15"/>
    <x v="10"/>
    <x v="4"/>
  </r>
  <r>
    <x v="1089"/>
    <n v="-2500"/>
    <x v="2357"/>
    <n v="1236.6400000000001"/>
    <s v="Complete Access"/>
    <x v="504"/>
    <x v="0"/>
    <x v="72"/>
    <d v="1900-01-05T00:00:00"/>
    <n v="15"/>
    <x v="10"/>
    <x v="4"/>
  </r>
  <r>
    <x v="1090"/>
    <n v="-36"/>
    <x v="2358"/>
    <n v="1261.7"/>
    <s v="Complete Access"/>
    <x v="0"/>
    <x v="0"/>
    <x v="0"/>
    <d v="1900-01-02T00:00:00"/>
    <n v="14"/>
    <x v="10"/>
    <x v="4"/>
  </r>
  <r>
    <x v="1090"/>
    <n v="-100"/>
    <x v="2274"/>
    <n v="1297.7"/>
    <s v="Complete Access"/>
    <x v="552"/>
    <x v="0"/>
    <x v="74"/>
    <d v="1900-01-02T00:00:00"/>
    <n v="14"/>
    <x v="10"/>
    <x v="4"/>
  </r>
  <r>
    <x v="1091"/>
    <n v="-45"/>
    <x v="2359"/>
    <n v="1595.51"/>
    <s v="Complete Access"/>
    <x v="0"/>
    <x v="0"/>
    <x v="0"/>
    <d v="1900-01-01T00:00:00"/>
    <n v="14"/>
    <x v="10"/>
    <x v="4"/>
  </r>
  <r>
    <x v="1091"/>
    <n v="-197.81"/>
    <x v="2360"/>
    <n v="1397.7"/>
    <s v="Complete Access"/>
    <x v="0"/>
    <x v="0"/>
    <x v="0"/>
    <d v="1900-01-01T00:00:00"/>
    <n v="14"/>
    <x v="10"/>
    <x v="4"/>
  </r>
  <r>
    <x v="1092"/>
    <n v="-23.99"/>
    <x v="2361"/>
    <n v="2339.9899999999998"/>
    <s v="Complete Access"/>
    <x v="8"/>
    <x v="1"/>
    <x v="5"/>
    <d v="1899-12-31T00:00:00"/>
    <n v="14"/>
    <x v="10"/>
    <x v="4"/>
  </r>
  <r>
    <x v="1092"/>
    <n v="-40"/>
    <x v="2362"/>
    <n v="2407.56"/>
    <s v="Complete Access"/>
    <x v="12"/>
    <x v="5"/>
    <x v="8"/>
    <d v="1899-12-31T00:00:00"/>
    <n v="14"/>
    <x v="10"/>
    <x v="4"/>
  </r>
  <r>
    <x v="1092"/>
    <n v="2143.4699999999998"/>
    <x v="728"/>
    <n v="2447.56"/>
    <s v="Complete Access"/>
    <x v="14"/>
    <x v="6"/>
    <x v="9"/>
    <d v="1899-12-31T00:00:00"/>
    <n v="14"/>
    <x v="10"/>
    <x v="4"/>
  </r>
  <r>
    <x v="1092"/>
    <n v="-500"/>
    <x v="2294"/>
    <n v="1839.99"/>
    <s v="Complete Access"/>
    <x v="571"/>
    <x v="19"/>
    <x v="61"/>
    <d v="1899-12-31T00:00:00"/>
    <n v="14"/>
    <x v="10"/>
    <x v="4"/>
  </r>
  <r>
    <x v="1092"/>
    <n v="-20"/>
    <x v="2229"/>
    <n v="1819.99"/>
    <s v="Complete Access"/>
    <x v="557"/>
    <x v="7"/>
    <x v="53"/>
    <d v="1899-12-31T00:00:00"/>
    <n v="14"/>
    <x v="10"/>
    <x v="4"/>
  </r>
  <r>
    <x v="1092"/>
    <n v="-179.45"/>
    <x v="2363"/>
    <n v="1640.51"/>
    <s v="Complete Access"/>
    <x v="76"/>
    <x v="2"/>
    <x v="2"/>
    <d v="1899-12-31T00:00:00"/>
    <n v="14"/>
    <x v="10"/>
    <x v="4"/>
  </r>
  <r>
    <x v="1092"/>
    <n v="-0.03"/>
    <x v="655"/>
    <n v="1819.96"/>
    <s v="Complete Access"/>
    <x v="249"/>
    <x v="0"/>
    <x v="0"/>
    <d v="1899-12-31T00:00:00"/>
    <n v="14"/>
    <x v="10"/>
    <x v="4"/>
  </r>
  <r>
    <x v="1092"/>
    <n v="-43.58"/>
    <x v="2364"/>
    <n v="2363.98"/>
    <s v="Complete Access"/>
    <x v="1"/>
    <x v="1"/>
    <x v="1"/>
    <d v="1899-12-31T00:00:00"/>
    <n v="14"/>
    <x v="10"/>
    <x v="4"/>
  </r>
  <r>
    <x v="1093"/>
    <n v="350"/>
    <x v="2365"/>
    <n v="431.72"/>
    <s v="Complete Access"/>
    <x v="0"/>
    <x v="0"/>
    <x v="0"/>
    <d v="1900-01-30T00:00:00"/>
    <n v="14"/>
    <x v="11"/>
    <x v="4"/>
  </r>
  <r>
    <x v="1093"/>
    <n v="-53.99"/>
    <x v="2366"/>
    <n v="114.22"/>
    <s v="Complete Access"/>
    <x v="8"/>
    <x v="1"/>
    <x v="5"/>
    <d v="1900-01-30T00:00:00"/>
    <n v="14"/>
    <x v="11"/>
    <x v="4"/>
  </r>
  <r>
    <x v="1093"/>
    <n v="-32.5"/>
    <x v="2367"/>
    <n v="81.72"/>
    <s v="Complete Access"/>
    <x v="8"/>
    <x v="1"/>
    <x v="5"/>
    <d v="1900-01-30T00:00:00"/>
    <n v="14"/>
    <x v="11"/>
    <x v="4"/>
  </r>
  <r>
    <x v="1093"/>
    <n v="-16"/>
    <x v="2329"/>
    <n v="615.72"/>
    <s v="Complete Access"/>
    <x v="562"/>
    <x v="1"/>
    <x v="5"/>
    <d v="1900-01-30T00:00:00"/>
    <n v="14"/>
    <x v="11"/>
    <x v="4"/>
  </r>
  <r>
    <x v="1093"/>
    <n v="200"/>
    <x v="2305"/>
    <n v="631.72"/>
    <s v="Complete Access"/>
    <x v="0"/>
    <x v="0"/>
    <x v="0"/>
    <d v="1900-01-30T00:00:00"/>
    <n v="14"/>
    <x v="11"/>
    <x v="4"/>
  </r>
  <r>
    <x v="1093"/>
    <n v="-20"/>
    <x v="2346"/>
    <n v="652.28"/>
    <s v="Complete Access"/>
    <x v="0"/>
    <x v="0"/>
    <x v="0"/>
    <d v="1900-01-30T00:00:00"/>
    <n v="14"/>
    <x v="11"/>
    <x v="4"/>
  </r>
  <r>
    <x v="1093"/>
    <n v="56.56"/>
    <x v="2282"/>
    <n v="672.28"/>
    <s v="Complete Access"/>
    <x v="567"/>
    <x v="0"/>
    <x v="69"/>
    <d v="1900-01-30T00:00:00"/>
    <n v="14"/>
    <x v="11"/>
    <x v="4"/>
  </r>
  <r>
    <x v="1093"/>
    <n v="-348.19"/>
    <x v="2368"/>
    <n v="304.08999999999997"/>
    <s v="Complete Access"/>
    <x v="438"/>
    <x v="12"/>
    <x v="21"/>
    <d v="1900-01-30T00:00:00"/>
    <n v="14"/>
    <x v="11"/>
    <x v="4"/>
  </r>
  <r>
    <x v="1094"/>
    <n v="-1000"/>
    <x v="2369"/>
    <n v="182.11"/>
    <s v="Complete Access"/>
    <x v="585"/>
    <x v="0"/>
    <x v="78"/>
    <d v="1900-01-29T00:00:00"/>
    <n v="14"/>
    <x v="11"/>
    <x v="4"/>
  </r>
  <r>
    <x v="1094"/>
    <n v="-5"/>
    <x v="2370"/>
    <n v="177.11"/>
    <s v="Complete Access"/>
    <x v="587"/>
    <x v="8"/>
    <x v="22"/>
    <d v="1900-01-29T00:00:00"/>
    <n v="14"/>
    <x v="11"/>
    <x v="4"/>
  </r>
  <r>
    <x v="1094"/>
    <n v="-8.9"/>
    <x v="2371"/>
    <n v="168.21"/>
    <s v="Complete Access"/>
    <x v="277"/>
    <x v="8"/>
    <x v="29"/>
    <d v="1900-01-29T00:00:00"/>
    <n v="14"/>
    <x v="11"/>
    <x v="4"/>
  </r>
  <r>
    <x v="1095"/>
    <n v="-100"/>
    <x v="2274"/>
    <n v="1182.1099999999999"/>
    <s v="Complete Access"/>
    <x v="552"/>
    <x v="0"/>
    <x v="74"/>
    <d v="1900-01-26T00:00:00"/>
    <n v="13"/>
    <x v="11"/>
    <x v="4"/>
  </r>
  <r>
    <x v="1095"/>
    <n v="-56.56"/>
    <x v="2372"/>
    <n v="1282.1099999999999"/>
    <s v="Complete Access"/>
    <x v="1"/>
    <x v="1"/>
    <x v="1"/>
    <d v="1900-01-26T00:00:00"/>
    <n v="13"/>
    <x v="11"/>
    <x v="4"/>
  </r>
  <r>
    <x v="1096"/>
    <n v="-2.2799999999999998"/>
    <x v="2373"/>
    <n v="1338.67"/>
    <s v="Complete Access"/>
    <x v="188"/>
    <x v="1"/>
    <x v="1"/>
    <d v="1900-01-25T00:00:00"/>
    <n v="13"/>
    <x v="11"/>
    <x v="4"/>
  </r>
  <r>
    <x v="1097"/>
    <n v="-8.8000000000000007"/>
    <x v="2374"/>
    <n v="1340.95"/>
    <s v="Complete Access"/>
    <x v="588"/>
    <x v="1"/>
    <x v="5"/>
    <d v="1900-01-24T00:00:00"/>
    <n v="13"/>
    <x v="11"/>
    <x v="4"/>
  </r>
  <r>
    <x v="1098"/>
    <n v="-23.89"/>
    <x v="2375"/>
    <n v="1240.75"/>
    <s v="Complete Access"/>
    <x v="8"/>
    <x v="1"/>
    <x v="5"/>
    <d v="1900-01-23T00:00:00"/>
    <n v="13"/>
    <x v="11"/>
    <x v="4"/>
  </r>
  <r>
    <x v="1098"/>
    <n v="-16"/>
    <x v="2329"/>
    <n v="1224.75"/>
    <s v="Complete Access"/>
    <x v="562"/>
    <x v="1"/>
    <x v="5"/>
    <d v="1900-01-23T00:00:00"/>
    <n v="13"/>
    <x v="11"/>
    <x v="4"/>
  </r>
  <r>
    <x v="1098"/>
    <n v="462.12"/>
    <x v="2376"/>
    <n v="1264.6400000000001"/>
    <s v="Complete Access"/>
    <x v="160"/>
    <x v="17"/>
    <x v="43"/>
    <d v="1900-01-23T00:00:00"/>
    <n v="13"/>
    <x v="11"/>
    <x v="4"/>
  </r>
  <r>
    <x v="1098"/>
    <n v="125"/>
    <x v="2377"/>
    <n v="1349.75"/>
    <s v="Complete Access"/>
    <x v="583"/>
    <x v="0"/>
    <x v="69"/>
    <d v="1900-01-23T00:00:00"/>
    <n v="13"/>
    <x v="11"/>
    <x v="4"/>
  </r>
  <r>
    <x v="1099"/>
    <n v="-59"/>
    <x v="2378"/>
    <n v="1264.6400000000001"/>
    <s v="Complete Access"/>
    <x v="207"/>
    <x v="7"/>
    <x v="11"/>
    <d v="1900-01-22T00:00:00"/>
    <n v="13"/>
    <x v="11"/>
    <x v="4"/>
  </r>
  <r>
    <x v="1099"/>
    <n v="-242.35"/>
    <x v="2379"/>
    <n v="1323.64"/>
    <s v="Complete Access"/>
    <x v="589"/>
    <x v="4"/>
    <x v="30"/>
    <d v="1900-01-22T00:00:00"/>
    <n v="13"/>
    <x v="11"/>
    <x v="4"/>
  </r>
  <r>
    <x v="1099"/>
    <n v="-462.12"/>
    <x v="2380"/>
    <n v="802.52"/>
    <s v="Complete Access"/>
    <x v="160"/>
    <x v="17"/>
    <x v="43"/>
    <d v="1900-01-22T00:00:00"/>
    <n v="13"/>
    <x v="11"/>
    <x v="4"/>
  </r>
  <r>
    <x v="1100"/>
    <n v="-0.92"/>
    <x v="2381"/>
    <n v="1691.98"/>
    <s v="Complete Access"/>
    <x v="188"/>
    <x v="1"/>
    <x v="1"/>
    <d v="1900-01-19T00:00:00"/>
    <n v="12"/>
    <x v="11"/>
    <x v="4"/>
  </r>
  <r>
    <x v="1100"/>
    <n v="-10"/>
    <x v="2382"/>
    <n v="1681.98"/>
    <s v="Complete Access"/>
    <x v="16"/>
    <x v="1"/>
    <x v="5"/>
    <d v="1900-01-19T00:00:00"/>
    <n v="12"/>
    <x v="11"/>
    <x v="4"/>
  </r>
  <r>
    <x v="1100"/>
    <n v="-15.99"/>
    <x v="2383"/>
    <n v="1665.99"/>
    <s v="Complete Access"/>
    <x v="373"/>
    <x v="8"/>
    <x v="7"/>
    <d v="1900-01-19T00:00:00"/>
    <n v="12"/>
    <x v="11"/>
    <x v="4"/>
  </r>
  <r>
    <x v="1100"/>
    <n v="-100"/>
    <x v="2274"/>
    <n v="1565.99"/>
    <s v="Complete Access"/>
    <x v="552"/>
    <x v="0"/>
    <x v="74"/>
    <d v="1900-01-19T00:00:00"/>
    <n v="12"/>
    <x v="11"/>
    <x v="4"/>
  </r>
  <r>
    <x v="1101"/>
    <n v="-40"/>
    <x v="2384"/>
    <n v="1710.3"/>
    <s v="Complete Access"/>
    <x v="12"/>
    <x v="5"/>
    <x v="8"/>
    <d v="1900-01-18T00:00:00"/>
    <n v="12"/>
    <x v="11"/>
    <x v="4"/>
  </r>
  <r>
    <x v="1101"/>
    <n v="-17.399999999999999"/>
    <x v="436"/>
    <n v="1692.9"/>
    <s v="Complete Access"/>
    <x v="186"/>
    <x v="1"/>
    <x v="5"/>
    <d v="1900-01-18T00:00:00"/>
    <n v="12"/>
    <x v="11"/>
    <x v="4"/>
  </r>
  <r>
    <x v="1102"/>
    <n v="2143.4699999999998"/>
    <x v="2385"/>
    <n v="2250.3000000000002"/>
    <s v="Complete Access"/>
    <x v="14"/>
    <x v="6"/>
    <x v="9"/>
    <d v="1900-01-17T00:00:00"/>
    <n v="12"/>
    <x v="11"/>
    <x v="4"/>
  </r>
  <r>
    <x v="1102"/>
    <n v="-500"/>
    <x v="2294"/>
    <n v="1750.3"/>
    <s v="Complete Access"/>
    <x v="571"/>
    <x v="19"/>
    <x v="61"/>
    <d v="1900-01-17T00:00:00"/>
    <n v="12"/>
    <x v="11"/>
    <x v="4"/>
  </r>
  <r>
    <x v="1103"/>
    <n v="150"/>
    <x v="2365"/>
    <n v="106.83"/>
    <s v="Complete Access"/>
    <x v="0"/>
    <x v="0"/>
    <x v="0"/>
    <d v="1900-01-16T00:00:00"/>
    <n v="12"/>
    <x v="11"/>
    <x v="4"/>
  </r>
  <r>
    <x v="1103"/>
    <n v="-24"/>
    <x v="2386"/>
    <n v="28.59"/>
    <s v="Complete Access"/>
    <x v="590"/>
    <x v="20"/>
    <x v="63"/>
    <d v="1900-01-16T00:00:00"/>
    <n v="12"/>
    <x v="11"/>
    <x v="4"/>
  </r>
  <r>
    <x v="1103"/>
    <n v="-8.6999999999999993"/>
    <x v="2386"/>
    <n v="52.59"/>
    <s v="Complete Access"/>
    <x v="590"/>
    <x v="20"/>
    <x v="63"/>
    <d v="1900-01-16T00:00:00"/>
    <n v="12"/>
    <x v="11"/>
    <x v="4"/>
  </r>
  <r>
    <x v="1103"/>
    <n v="-8.6999999999999993"/>
    <x v="2386"/>
    <n v="61.29"/>
    <s v="Complete Access"/>
    <x v="590"/>
    <x v="20"/>
    <x v="63"/>
    <d v="1900-01-16T00:00:00"/>
    <n v="12"/>
    <x v="11"/>
    <x v="4"/>
  </r>
  <r>
    <x v="1103"/>
    <n v="-33.29"/>
    <x v="2387"/>
    <n v="-4.7"/>
    <s v="Complete Access"/>
    <x v="8"/>
    <x v="1"/>
    <x v="5"/>
    <d v="1900-01-16T00:00:00"/>
    <n v="12"/>
    <x v="11"/>
    <x v="4"/>
  </r>
  <r>
    <x v="1103"/>
    <n v="-38.47"/>
    <x v="2388"/>
    <n v="-43.17"/>
    <s v="Complete Access"/>
    <x v="1"/>
    <x v="1"/>
    <x v="1"/>
    <d v="1900-01-16T00:00:00"/>
    <n v="12"/>
    <x v="11"/>
    <x v="4"/>
  </r>
  <r>
    <x v="1104"/>
    <n v="-5"/>
    <x v="2389"/>
    <n v="84.99"/>
    <s v="Complete Access"/>
    <x v="591"/>
    <x v="0"/>
    <x v="0"/>
    <d v="1900-01-15T00:00:00"/>
    <n v="12"/>
    <x v="11"/>
    <x v="4"/>
  </r>
  <r>
    <x v="1104"/>
    <n v="198.5"/>
    <x v="2390"/>
    <n v="89.99"/>
    <s v="Complete Access"/>
    <x v="438"/>
    <x v="12"/>
    <x v="21"/>
    <d v="1900-01-15T00:00:00"/>
    <n v="12"/>
    <x v="11"/>
    <x v="4"/>
  </r>
  <r>
    <x v="1104"/>
    <n v="-15"/>
    <x v="2391"/>
    <n v="69.989999999999995"/>
    <s v="Complete Access"/>
    <x v="263"/>
    <x v="0"/>
    <x v="0"/>
    <d v="1900-01-15T00:00:00"/>
    <n v="12"/>
    <x v="11"/>
    <x v="4"/>
  </r>
  <r>
    <x v="1104"/>
    <n v="-59.99"/>
    <x v="2392"/>
    <n v="-97.11"/>
    <s v="Complete Access"/>
    <x v="343"/>
    <x v="1"/>
    <x v="5"/>
    <d v="1900-01-15T00:00:00"/>
    <n v="12"/>
    <x v="11"/>
    <x v="4"/>
  </r>
  <r>
    <x v="1104"/>
    <n v="-3.2"/>
    <x v="2393"/>
    <n v="-108.51"/>
    <s v="Complete Access"/>
    <x v="592"/>
    <x v="3"/>
    <x v="26"/>
    <d v="1900-01-15T00:00:00"/>
    <n v="12"/>
    <x v="11"/>
    <x v="4"/>
  </r>
  <r>
    <x v="1104"/>
    <n v="-8.1999999999999993"/>
    <x v="2394"/>
    <n v="-105.31"/>
    <s v="Complete Access"/>
    <x v="277"/>
    <x v="8"/>
    <x v="29"/>
    <d v="1900-01-15T00:00:00"/>
    <n v="12"/>
    <x v="11"/>
    <x v="4"/>
  </r>
  <r>
    <x v="1105"/>
    <n v="-198.5"/>
    <x v="2395"/>
    <n v="-37.119999999999997"/>
    <s v="Complete Access"/>
    <x v="438"/>
    <x v="12"/>
    <x v="21"/>
    <d v="1900-01-14T00:00:00"/>
    <n v="12"/>
    <x v="11"/>
    <x v="4"/>
  </r>
  <r>
    <x v="1106"/>
    <n v="-10"/>
    <x v="2396"/>
    <n v="101.38"/>
    <s v="Complete Access"/>
    <x v="16"/>
    <x v="1"/>
    <x v="5"/>
    <d v="1900-01-12T00:00:00"/>
    <n v="11"/>
    <x v="11"/>
    <x v="4"/>
  </r>
  <r>
    <x v="1106"/>
    <n v="60"/>
    <x v="2305"/>
    <n v="161.38"/>
    <s v="Complete Access"/>
    <x v="0"/>
    <x v="0"/>
    <x v="0"/>
    <d v="1900-01-12T00:00:00"/>
    <n v="11"/>
    <x v="11"/>
    <x v="4"/>
  </r>
  <r>
    <x v="1106"/>
    <n v="-100"/>
    <x v="2274"/>
    <n v="111.38"/>
    <s v="Complete Access"/>
    <x v="552"/>
    <x v="0"/>
    <x v="74"/>
    <d v="1900-01-12T00:00:00"/>
    <n v="11"/>
    <x v="11"/>
    <x v="4"/>
  </r>
  <r>
    <x v="1107"/>
    <n v="-10"/>
    <x v="2397"/>
    <n v="211.38"/>
    <s v="Complete Access"/>
    <x v="188"/>
    <x v="1"/>
    <x v="1"/>
    <d v="1900-01-11T00:00:00"/>
    <n v="11"/>
    <x v="11"/>
    <x v="4"/>
  </r>
  <r>
    <x v="1108"/>
    <n v="200"/>
    <x v="2305"/>
    <n v="221.38"/>
    <s v="Complete Access"/>
    <x v="0"/>
    <x v="0"/>
    <x v="0"/>
    <d v="1900-01-10T00:00:00"/>
    <n v="11"/>
    <x v="11"/>
    <x v="4"/>
  </r>
  <r>
    <x v="1108"/>
    <n v="-30.02"/>
    <x v="2398"/>
    <n v="24.38"/>
    <s v="Complete Access"/>
    <x v="1"/>
    <x v="1"/>
    <x v="1"/>
    <d v="1900-01-10T00:00:00"/>
    <n v="11"/>
    <x v="11"/>
    <x v="4"/>
  </r>
  <r>
    <x v="1108"/>
    <n v="-3"/>
    <x v="2399"/>
    <n v="21.38"/>
    <s v="Complete Access"/>
    <x v="34"/>
    <x v="9"/>
    <x v="12"/>
    <d v="1900-01-10T00:00:00"/>
    <n v="11"/>
    <x v="11"/>
    <x v="4"/>
  </r>
  <r>
    <x v="1109"/>
    <n v="-16"/>
    <x v="2329"/>
    <n v="54.4"/>
    <s v="Complete Access"/>
    <x v="562"/>
    <x v="1"/>
    <x v="5"/>
    <d v="1900-01-09T00:00:00"/>
    <n v="11"/>
    <x v="11"/>
    <x v="4"/>
  </r>
  <r>
    <x v="1109"/>
    <n v="2000"/>
    <x v="2305"/>
    <n v="6970.4"/>
    <s v="Complete Access"/>
    <x v="0"/>
    <x v="0"/>
    <x v="0"/>
    <d v="1900-01-09T00:00:00"/>
    <n v="11"/>
    <x v="11"/>
    <x v="4"/>
  </r>
  <r>
    <x v="1109"/>
    <n v="-6900"/>
    <x v="2400"/>
    <n v="70.400000000000006"/>
    <s v="Complete Access"/>
    <x v="504"/>
    <x v="0"/>
    <x v="72"/>
    <d v="1900-01-09T00:00:00"/>
    <n v="11"/>
    <x v="11"/>
    <x v="4"/>
  </r>
  <r>
    <x v="1110"/>
    <n v="-1.1599999999999999"/>
    <x v="2401"/>
    <n v="4980.3999999999996"/>
    <s v="Complete Access"/>
    <x v="188"/>
    <x v="1"/>
    <x v="1"/>
    <d v="1900-01-08T00:00:00"/>
    <n v="11"/>
    <x v="11"/>
    <x v="4"/>
  </r>
  <r>
    <x v="1110"/>
    <n v="-11.03"/>
    <x v="2402"/>
    <n v="4981.5600000000004"/>
    <s v="Complete Access"/>
    <x v="8"/>
    <x v="1"/>
    <x v="5"/>
    <d v="1900-01-08T00:00:00"/>
    <n v="11"/>
    <x v="11"/>
    <x v="4"/>
  </r>
  <r>
    <x v="1110"/>
    <n v="-40"/>
    <x v="2403"/>
    <n v="4992.59"/>
    <s v="Complete Access"/>
    <x v="12"/>
    <x v="5"/>
    <x v="8"/>
    <d v="1900-01-08T00:00:00"/>
    <n v="11"/>
    <x v="11"/>
    <x v="4"/>
  </r>
  <r>
    <x v="1110"/>
    <n v="-10"/>
    <x v="2404"/>
    <n v="4970.3999999999996"/>
    <s v="Complete Access"/>
    <x v="16"/>
    <x v="1"/>
    <x v="5"/>
    <d v="1900-01-08T00:00:00"/>
    <n v="11"/>
    <x v="11"/>
    <x v="4"/>
  </r>
  <r>
    <x v="1111"/>
    <n v="-69.77"/>
    <x v="2105"/>
    <n v="5032.59"/>
    <s v="Complete Access"/>
    <x v="4"/>
    <x v="1"/>
    <x v="1"/>
    <d v="1900-01-07T00:00:00"/>
    <n v="11"/>
    <x v="11"/>
    <x v="4"/>
  </r>
  <r>
    <x v="1112"/>
    <n v="-16"/>
    <x v="2405"/>
    <n v="5102.3599999999997"/>
    <s v="Complete Access"/>
    <x v="0"/>
    <x v="0"/>
    <x v="0"/>
    <d v="1900-01-05T00:00:00"/>
    <n v="10"/>
    <x v="11"/>
    <x v="4"/>
  </r>
  <r>
    <x v="1112"/>
    <n v="-100"/>
    <x v="2274"/>
    <n v="5118.3599999999997"/>
    <s v="Complete Access"/>
    <x v="552"/>
    <x v="0"/>
    <x v="74"/>
    <d v="1900-01-05T00:00:00"/>
    <n v="10"/>
    <x v="11"/>
    <x v="4"/>
  </r>
  <r>
    <x v="1113"/>
    <n v="-22.04"/>
    <x v="2135"/>
    <n v="5218.3599999999997"/>
    <s v="Complete Access"/>
    <x v="215"/>
    <x v="1"/>
    <x v="1"/>
    <d v="1900-01-04T00:00:00"/>
    <n v="10"/>
    <x v="11"/>
    <x v="4"/>
  </r>
  <r>
    <x v="1114"/>
    <n v="2143.4699999999998"/>
    <x v="2109"/>
    <n v="5685.3"/>
    <s v="Complete Access"/>
    <x v="14"/>
    <x v="6"/>
    <x v="9"/>
    <d v="1900-01-03T00:00:00"/>
    <n v="10"/>
    <x v="11"/>
    <x v="4"/>
  </r>
  <r>
    <x v="1114"/>
    <n v="-500"/>
    <x v="2294"/>
    <n v="5185.3"/>
    <s v="Complete Access"/>
    <x v="571"/>
    <x v="19"/>
    <x v="61"/>
    <d v="1900-01-03T00:00:00"/>
    <n v="10"/>
    <x v="11"/>
    <x v="4"/>
  </r>
  <r>
    <x v="1114"/>
    <n v="-10.9"/>
    <x v="2406"/>
    <n v="5174.3999999999996"/>
    <s v="Complete Access"/>
    <x v="27"/>
    <x v="1"/>
    <x v="5"/>
    <d v="1900-01-03T00:00:00"/>
    <n v="10"/>
    <x v="11"/>
    <x v="4"/>
  </r>
  <r>
    <x v="1114"/>
    <n v="66"/>
    <x v="2282"/>
    <n v="5240.3999999999996"/>
    <s v="Complete Access"/>
    <x v="567"/>
    <x v="0"/>
    <x v="69"/>
    <d v="1900-01-03T00:00:00"/>
    <n v="10"/>
    <x v="11"/>
    <x v="4"/>
  </r>
  <r>
    <x v="1115"/>
    <n v="-28.29"/>
    <x v="2407"/>
    <n v="3557.83"/>
    <s v="Complete Access"/>
    <x v="8"/>
    <x v="1"/>
    <x v="5"/>
    <d v="1900-01-02T00:00:00"/>
    <n v="10"/>
    <x v="11"/>
    <x v="4"/>
  </r>
  <r>
    <x v="1115"/>
    <n v="-16"/>
    <x v="2329"/>
    <n v="3541.83"/>
    <s v="Complete Access"/>
    <x v="562"/>
    <x v="1"/>
    <x v="5"/>
    <d v="1900-01-02T00:00:00"/>
    <n v="10"/>
    <x v="11"/>
    <x v="4"/>
  </r>
  <r>
    <x v="1116"/>
    <n v="-2.12"/>
    <x v="2408"/>
    <n v="3599.12"/>
    <s v="Complete Access"/>
    <x v="188"/>
    <x v="1"/>
    <x v="1"/>
    <d v="1900-01-01T00:00:00"/>
    <n v="10"/>
    <x v="11"/>
    <x v="4"/>
  </r>
  <r>
    <x v="1116"/>
    <n v="-13"/>
    <x v="2409"/>
    <n v="3586.12"/>
    <s v="Complete Access"/>
    <x v="0"/>
    <x v="0"/>
    <x v="0"/>
    <d v="1900-01-01T00:00:00"/>
    <n v="10"/>
    <x v="11"/>
    <x v="4"/>
  </r>
  <r>
    <x v="1117"/>
    <n v="-20"/>
    <x v="2229"/>
    <n v="3810.05"/>
    <s v="Complete Access"/>
    <x v="557"/>
    <x v="7"/>
    <x v="53"/>
    <d v="1899-12-31T00:00:00"/>
    <n v="10"/>
    <x v="11"/>
    <x v="4"/>
  </r>
  <r>
    <x v="1117"/>
    <n v="-32.21"/>
    <x v="2135"/>
    <n v="3777.84"/>
    <s v="Complete Access"/>
    <x v="215"/>
    <x v="1"/>
    <x v="1"/>
    <d v="1899-12-31T00:00:00"/>
    <n v="10"/>
    <x v="11"/>
    <x v="4"/>
  </r>
  <r>
    <x v="1117"/>
    <n v="-176.6"/>
    <x v="2410"/>
    <n v="3601.24"/>
    <s v="Complete Access"/>
    <x v="76"/>
    <x v="2"/>
    <x v="2"/>
    <d v="1899-12-31T00:00:00"/>
    <n v="10"/>
    <x v="11"/>
    <x v="4"/>
  </r>
  <r>
    <x v="1118"/>
    <n v="-24"/>
    <x v="2409"/>
    <n v="3830.05"/>
    <s v="Complete Access"/>
    <x v="0"/>
    <x v="0"/>
    <x v="0"/>
    <d v="1900-01-27T00:00:00"/>
    <n v="10"/>
    <x v="0"/>
    <x v="4"/>
  </r>
  <r>
    <x v="1119"/>
    <n v="-2.84"/>
    <x v="2411"/>
    <n v="3864.05"/>
    <s v="Complete Access"/>
    <x v="188"/>
    <x v="1"/>
    <x v="1"/>
    <d v="1900-01-26T00:00:00"/>
    <n v="9"/>
    <x v="0"/>
    <x v="4"/>
  </r>
  <r>
    <x v="1119"/>
    <n v="-10"/>
    <x v="2412"/>
    <n v="3854.05"/>
    <s v="Complete Access"/>
    <x v="16"/>
    <x v="1"/>
    <x v="5"/>
    <d v="1900-01-26T00:00:00"/>
    <n v="9"/>
    <x v="0"/>
    <x v="4"/>
  </r>
  <r>
    <x v="1119"/>
    <n v="-100"/>
    <x v="2274"/>
    <n v="3866.89"/>
    <s v="Complete Access"/>
    <x v="552"/>
    <x v="0"/>
    <x v="74"/>
    <d v="1900-01-26T00:00:00"/>
    <n v="9"/>
    <x v="0"/>
    <x v="4"/>
  </r>
  <r>
    <x v="1120"/>
    <n v="-40"/>
    <x v="2413"/>
    <n v="3982.89"/>
    <s v="Complete Access"/>
    <x v="12"/>
    <x v="5"/>
    <x v="8"/>
    <d v="1900-01-25T00:00:00"/>
    <n v="9"/>
    <x v="0"/>
    <x v="4"/>
  </r>
  <r>
    <x v="1120"/>
    <n v="-16"/>
    <x v="436"/>
    <n v="3966.89"/>
    <s v="Complete Access"/>
    <x v="186"/>
    <x v="1"/>
    <x v="5"/>
    <d v="1900-01-25T00:00:00"/>
    <n v="9"/>
    <x v="0"/>
    <x v="4"/>
  </r>
  <r>
    <x v="1121"/>
    <n v="3412.26"/>
    <x v="2414"/>
    <n v="4022.89"/>
    <s v="Complete Access"/>
    <x v="384"/>
    <x v="14"/>
    <x v="68"/>
    <d v="1900-01-24T00:00:00"/>
    <n v="9"/>
    <x v="0"/>
    <x v="4"/>
  </r>
  <r>
    <x v="1122"/>
    <n v="-23.89"/>
    <x v="2415"/>
    <n v="738.66"/>
    <s v="Complete Access"/>
    <x v="8"/>
    <x v="1"/>
    <x v="5"/>
    <d v="1900-01-23T00:00:00"/>
    <n v="9"/>
    <x v="0"/>
    <x v="4"/>
  </r>
  <r>
    <x v="1122"/>
    <n v="-49.09"/>
    <x v="2416"/>
    <n v="689.57"/>
    <s v="Complete Access"/>
    <x v="8"/>
    <x v="1"/>
    <x v="5"/>
    <d v="1900-01-23T00:00:00"/>
    <n v="9"/>
    <x v="0"/>
    <x v="4"/>
  </r>
  <r>
    <x v="1122"/>
    <n v="-18.600000000000001"/>
    <x v="2417"/>
    <n v="651.97"/>
    <s v="Complete Access"/>
    <x v="218"/>
    <x v="8"/>
    <x v="29"/>
    <d v="1900-01-23T00:00:00"/>
    <n v="9"/>
    <x v="0"/>
    <x v="4"/>
  </r>
  <r>
    <x v="1122"/>
    <n v="-19"/>
    <x v="2417"/>
    <n v="670.57"/>
    <s v="Complete Access"/>
    <x v="218"/>
    <x v="8"/>
    <x v="29"/>
    <d v="1900-01-23T00:00:00"/>
    <n v="9"/>
    <x v="0"/>
    <x v="4"/>
  </r>
  <r>
    <x v="1122"/>
    <n v="-21.34"/>
    <x v="2418"/>
    <n v="610.63"/>
    <s v="Complete Access"/>
    <x v="1"/>
    <x v="1"/>
    <x v="1"/>
    <d v="1900-01-23T00:00:00"/>
    <n v="9"/>
    <x v="0"/>
    <x v="4"/>
  </r>
  <r>
    <x v="1122"/>
    <n v="-20"/>
    <x v="2419"/>
    <n v="631.97"/>
    <s v="Complete Access"/>
    <x v="34"/>
    <x v="9"/>
    <x v="12"/>
    <d v="1900-01-23T00:00:00"/>
    <n v="9"/>
    <x v="0"/>
    <x v="4"/>
  </r>
  <r>
    <x v="1123"/>
    <n v="-1.75"/>
    <x v="2420"/>
    <n v="1462.55"/>
    <s v="Complete Access"/>
    <x v="188"/>
    <x v="1"/>
    <x v="1"/>
    <d v="1900-01-22T00:00:00"/>
    <n v="9"/>
    <x v="0"/>
    <x v="4"/>
  </r>
  <r>
    <x v="1123"/>
    <n v="-700"/>
    <x v="2305"/>
    <n v="762.55"/>
    <s v="Complete Access"/>
    <x v="0"/>
    <x v="0"/>
    <x v="0"/>
    <d v="1900-01-22T00:00:00"/>
    <n v="9"/>
    <x v="0"/>
    <x v="4"/>
  </r>
  <r>
    <x v="1124"/>
    <n v="-53.51"/>
    <x v="2105"/>
    <n v="1464.3"/>
    <s v="Complete Access"/>
    <x v="4"/>
    <x v="1"/>
    <x v="1"/>
    <d v="1900-01-21T00:00:00"/>
    <n v="9"/>
    <x v="0"/>
    <x v="4"/>
  </r>
  <r>
    <x v="1125"/>
    <n v="-100"/>
    <x v="2274"/>
    <n v="1493.81"/>
    <s v="Complete Access"/>
    <x v="552"/>
    <x v="0"/>
    <x v="74"/>
    <d v="1900-01-19T00:00:00"/>
    <n v="8"/>
    <x v="0"/>
    <x v="4"/>
  </r>
  <r>
    <x v="1125"/>
    <n v="24"/>
    <x v="2421"/>
    <n v="1517.81"/>
    <s v="Complete Access"/>
    <x v="583"/>
    <x v="0"/>
    <x v="69"/>
    <d v="1900-01-19T00:00:00"/>
    <n v="8"/>
    <x v="0"/>
    <x v="4"/>
  </r>
  <r>
    <x v="1126"/>
    <n v="-3.08"/>
    <x v="2422"/>
    <n v="1617.71"/>
    <s v="Complete Access"/>
    <x v="188"/>
    <x v="1"/>
    <x v="1"/>
    <d v="1900-01-18T00:00:00"/>
    <n v="8"/>
    <x v="0"/>
    <x v="4"/>
  </r>
  <r>
    <x v="1126"/>
    <n v="-40"/>
    <x v="2423"/>
    <n v="1620.79"/>
    <s v="Complete Access"/>
    <x v="12"/>
    <x v="5"/>
    <x v="8"/>
    <d v="1900-01-18T00:00:00"/>
    <n v="8"/>
    <x v="0"/>
    <x v="4"/>
  </r>
  <r>
    <x v="1126"/>
    <n v="-13.9"/>
    <x v="2406"/>
    <n v="1593.81"/>
    <s v="Complete Access"/>
    <x v="27"/>
    <x v="1"/>
    <x v="5"/>
    <d v="1900-01-18T00:00:00"/>
    <n v="8"/>
    <x v="0"/>
    <x v="4"/>
  </r>
  <r>
    <x v="1126"/>
    <n v="-10"/>
    <x v="2424"/>
    <n v="1607.71"/>
    <s v="Complete Access"/>
    <x v="16"/>
    <x v="1"/>
    <x v="5"/>
    <d v="1900-01-18T00:00:00"/>
    <n v="8"/>
    <x v="0"/>
    <x v="4"/>
  </r>
  <r>
    <x v="1127"/>
    <n v="-24.99"/>
    <x v="2425"/>
    <n v="2271.56"/>
    <s v="Complete Access"/>
    <x v="8"/>
    <x v="1"/>
    <x v="5"/>
    <d v="1900-01-17T00:00:00"/>
    <n v="8"/>
    <x v="0"/>
    <x v="4"/>
  </r>
  <r>
    <x v="1127"/>
    <n v="-59.2"/>
    <x v="2426"/>
    <n v="2212.36"/>
    <s v="Complete Access"/>
    <x v="207"/>
    <x v="7"/>
    <x v="11"/>
    <d v="1900-01-17T00:00:00"/>
    <n v="8"/>
    <x v="0"/>
    <x v="4"/>
  </r>
  <r>
    <x v="1127"/>
    <n v="-16"/>
    <x v="2329"/>
    <n v="1696.36"/>
    <s v="Complete Access"/>
    <x v="562"/>
    <x v="1"/>
    <x v="5"/>
    <d v="1900-01-17T00:00:00"/>
    <n v="8"/>
    <x v="0"/>
    <x v="4"/>
  </r>
  <r>
    <x v="1127"/>
    <n v="2143.4699999999998"/>
    <x v="2427"/>
    <n v="2296.5500000000002"/>
    <s v="Complete Access"/>
    <x v="14"/>
    <x v="6"/>
    <x v="9"/>
    <d v="1900-01-17T00:00:00"/>
    <n v="8"/>
    <x v="0"/>
    <x v="4"/>
  </r>
  <r>
    <x v="1127"/>
    <n v="-500"/>
    <x v="2294"/>
    <n v="1712.36"/>
    <s v="Complete Access"/>
    <x v="571"/>
    <x v="19"/>
    <x v="61"/>
    <d v="1900-01-17T00:00:00"/>
    <n v="8"/>
    <x v="0"/>
    <x v="4"/>
  </r>
  <r>
    <x v="1127"/>
    <n v="-35.57"/>
    <x v="2105"/>
    <n v="1660.79"/>
    <s v="Complete Access"/>
    <x v="4"/>
    <x v="1"/>
    <x v="1"/>
    <d v="1900-01-17T00:00:00"/>
    <n v="8"/>
    <x v="0"/>
    <x v="4"/>
  </r>
  <r>
    <x v="1128"/>
    <n v="-23.89"/>
    <x v="2428"/>
    <n v="153.08000000000001"/>
    <s v="Complete Access"/>
    <x v="8"/>
    <x v="1"/>
    <x v="5"/>
    <d v="1900-01-16T00:00:00"/>
    <n v="8"/>
    <x v="0"/>
    <x v="4"/>
  </r>
  <r>
    <x v="1129"/>
    <n v="-2.41"/>
    <x v="2429"/>
    <n v="239.16"/>
    <s v="Complete Access"/>
    <x v="188"/>
    <x v="1"/>
    <x v="1"/>
    <d v="1900-01-15T00:00:00"/>
    <n v="8"/>
    <x v="0"/>
    <x v="4"/>
  </r>
  <r>
    <x v="1129"/>
    <n v="-31.99"/>
    <x v="2135"/>
    <n v="176.97"/>
    <s v="Complete Access"/>
    <x v="215"/>
    <x v="1"/>
    <x v="1"/>
    <d v="1900-01-15T00:00:00"/>
    <n v="8"/>
    <x v="0"/>
    <x v="4"/>
  </r>
  <r>
    <x v="1129"/>
    <n v="-22"/>
    <x v="2430"/>
    <n v="208.96"/>
    <s v="Complete Access"/>
    <x v="190"/>
    <x v="8"/>
    <x v="29"/>
    <d v="1900-01-15T00:00:00"/>
    <n v="8"/>
    <x v="0"/>
    <x v="4"/>
  </r>
  <r>
    <x v="1129"/>
    <n v="-8.1999999999999993"/>
    <x v="2430"/>
    <n v="230.96"/>
    <s v="Complete Access"/>
    <x v="190"/>
    <x v="8"/>
    <x v="29"/>
    <d v="1900-01-15T00:00:00"/>
    <n v="8"/>
    <x v="0"/>
    <x v="4"/>
  </r>
  <r>
    <x v="1130"/>
    <n v="-500"/>
    <x v="2431"/>
    <n v="241.57"/>
    <s v="Complete Access"/>
    <x v="0"/>
    <x v="0"/>
    <x v="0"/>
    <d v="1900-01-12T00:00:00"/>
    <n v="7"/>
    <x v="0"/>
    <x v="4"/>
  </r>
  <r>
    <x v="1130"/>
    <n v="-3.08"/>
    <x v="2432"/>
    <n v="3254.92"/>
    <s v="Complete Access"/>
    <x v="188"/>
    <x v="1"/>
    <x v="1"/>
    <d v="1900-01-12T00:00:00"/>
    <n v="7"/>
    <x v="0"/>
    <x v="4"/>
  </r>
  <r>
    <x v="1130"/>
    <n v="-13.35"/>
    <x v="2135"/>
    <n v="3241.57"/>
    <s v="Complete Access"/>
    <x v="215"/>
    <x v="1"/>
    <x v="1"/>
    <d v="1900-01-12T00:00:00"/>
    <n v="7"/>
    <x v="0"/>
    <x v="4"/>
  </r>
  <r>
    <x v="1130"/>
    <n v="-100"/>
    <x v="2274"/>
    <n v="3258"/>
    <s v="Complete Access"/>
    <x v="552"/>
    <x v="0"/>
    <x v="74"/>
    <d v="1900-01-12T00:00:00"/>
    <n v="7"/>
    <x v="0"/>
    <x v="4"/>
  </r>
  <r>
    <x v="1130"/>
    <n v="-2500"/>
    <x v="2433"/>
    <n v="741.57"/>
    <s v="Complete Access"/>
    <x v="504"/>
    <x v="0"/>
    <x v="72"/>
    <d v="1900-01-12T00:00:00"/>
    <n v="7"/>
    <x v="0"/>
    <x v="4"/>
  </r>
  <r>
    <x v="1131"/>
    <n v="-2.36"/>
    <x v="2434"/>
    <n v="3381"/>
    <s v="Complete Access"/>
    <x v="188"/>
    <x v="1"/>
    <x v="1"/>
    <d v="1900-01-11T00:00:00"/>
    <n v="7"/>
    <x v="0"/>
    <x v="4"/>
  </r>
  <r>
    <x v="1131"/>
    <n v="-7"/>
    <x v="2435"/>
    <n v="3374"/>
    <s v="Complete Access"/>
    <x v="16"/>
    <x v="1"/>
    <x v="5"/>
    <d v="1900-01-11T00:00:00"/>
    <n v="7"/>
    <x v="0"/>
    <x v="4"/>
  </r>
  <r>
    <x v="1131"/>
    <n v="-16"/>
    <x v="436"/>
    <n v="3358"/>
    <s v="Complete Access"/>
    <x v="186"/>
    <x v="1"/>
    <x v="5"/>
    <d v="1900-01-11T00:00:00"/>
    <n v="7"/>
    <x v="0"/>
    <x v="4"/>
  </r>
  <r>
    <x v="1132"/>
    <n v="-40"/>
    <x v="2436"/>
    <n v="3556.14"/>
    <s v="Complete Access"/>
    <x v="12"/>
    <x v="5"/>
    <x v="8"/>
    <d v="1900-01-10T00:00:00"/>
    <n v="7"/>
    <x v="0"/>
    <x v="4"/>
  </r>
  <r>
    <x v="1132"/>
    <n v="-16"/>
    <x v="2329"/>
    <n v="3521.64"/>
    <s v="Complete Access"/>
    <x v="562"/>
    <x v="1"/>
    <x v="5"/>
    <d v="1900-01-10T00:00:00"/>
    <n v="7"/>
    <x v="0"/>
    <x v="4"/>
  </r>
  <r>
    <x v="1132"/>
    <n v="-138.28"/>
    <x v="2437"/>
    <n v="3383.36"/>
    <s v="Complete Access"/>
    <x v="438"/>
    <x v="12"/>
    <x v="21"/>
    <d v="1900-01-10T00:00:00"/>
    <n v="7"/>
    <x v="0"/>
    <x v="4"/>
  </r>
  <r>
    <x v="1132"/>
    <n v="-18.5"/>
    <x v="2438"/>
    <n v="3537.64"/>
    <s v="Complete Access"/>
    <x v="1"/>
    <x v="1"/>
    <x v="1"/>
    <d v="1900-01-10T00:00:00"/>
    <n v="7"/>
    <x v="0"/>
    <x v="4"/>
  </r>
  <r>
    <x v="1133"/>
    <n v="-50.74"/>
    <x v="2439"/>
    <n v="3627.64"/>
    <s v="Complete Access"/>
    <x v="8"/>
    <x v="1"/>
    <x v="5"/>
    <d v="1900-01-09T00:00:00"/>
    <n v="7"/>
    <x v="0"/>
    <x v="4"/>
  </r>
  <r>
    <x v="1133"/>
    <n v="-31.5"/>
    <x v="1633"/>
    <n v="3596.14"/>
    <s v="Complete Access"/>
    <x v="434"/>
    <x v="8"/>
    <x v="29"/>
    <d v="1900-01-09T00:00:00"/>
    <n v="7"/>
    <x v="0"/>
    <x v="4"/>
  </r>
  <r>
    <x v="1134"/>
    <n v="-2.61"/>
    <x v="2440"/>
    <n v="3722.39"/>
    <s v="Complete Access"/>
    <x v="188"/>
    <x v="1"/>
    <x v="1"/>
    <d v="1900-01-08T00:00:00"/>
    <n v="7"/>
    <x v="0"/>
    <x v="4"/>
  </r>
  <r>
    <x v="1134"/>
    <n v="-44.01"/>
    <x v="2105"/>
    <n v="3678.38"/>
    <s v="Complete Access"/>
    <x v="4"/>
    <x v="1"/>
    <x v="1"/>
    <d v="1900-01-08T00:00:00"/>
    <n v="7"/>
    <x v="0"/>
    <x v="4"/>
  </r>
  <r>
    <x v="1135"/>
    <n v="-1.79"/>
    <x v="2441"/>
    <n v="3853"/>
    <s v="Complete Access"/>
    <x v="188"/>
    <x v="1"/>
    <x v="1"/>
    <d v="1900-01-05T00:00:00"/>
    <n v="6"/>
    <x v="0"/>
    <x v="4"/>
  </r>
  <r>
    <x v="1135"/>
    <n v="-18.5"/>
    <x v="2442"/>
    <n v="3725"/>
    <s v="Complete Access"/>
    <x v="593"/>
    <x v="1"/>
    <x v="5"/>
    <d v="1900-01-05T00:00:00"/>
    <n v="6"/>
    <x v="0"/>
    <x v="4"/>
  </r>
  <r>
    <x v="1135"/>
    <n v="-9.5"/>
    <x v="2443"/>
    <n v="3843.5"/>
    <s v="Complete Access"/>
    <x v="16"/>
    <x v="1"/>
    <x v="5"/>
    <d v="1900-01-05T00:00:00"/>
    <n v="6"/>
    <x v="0"/>
    <x v="4"/>
  </r>
  <r>
    <x v="1135"/>
    <n v="-100"/>
    <x v="2274"/>
    <n v="3743.5"/>
    <s v="Complete Access"/>
    <x v="552"/>
    <x v="0"/>
    <x v="74"/>
    <d v="1900-01-05T00:00:00"/>
    <n v="6"/>
    <x v="0"/>
    <x v="4"/>
  </r>
  <r>
    <x v="1136"/>
    <n v="-11.65"/>
    <x v="2444"/>
    <n v="3870.79"/>
    <s v="Complete Access"/>
    <x v="188"/>
    <x v="1"/>
    <x v="1"/>
    <d v="1900-01-04T00:00:00"/>
    <n v="6"/>
    <x v="0"/>
    <x v="4"/>
  </r>
  <r>
    <x v="1136"/>
    <n v="-16"/>
    <x v="436"/>
    <n v="3854.79"/>
    <s v="Complete Access"/>
    <x v="186"/>
    <x v="1"/>
    <x v="5"/>
    <d v="1900-01-04T00:00:00"/>
    <n v="6"/>
    <x v="0"/>
    <x v="4"/>
  </r>
  <r>
    <x v="1137"/>
    <n v="2223.19"/>
    <x v="2445"/>
    <n v="4382.4399999999996"/>
    <s v="Complete Access"/>
    <x v="14"/>
    <x v="6"/>
    <x v="9"/>
    <d v="1900-01-03T00:00:00"/>
    <n v="6"/>
    <x v="0"/>
    <x v="4"/>
  </r>
  <r>
    <x v="1137"/>
    <n v="-500"/>
    <x v="2294"/>
    <n v="3882.44"/>
    <s v="Complete Access"/>
    <x v="571"/>
    <x v="19"/>
    <x v="61"/>
    <d v="1900-01-03T00:00:00"/>
    <n v="6"/>
    <x v="0"/>
    <x v="4"/>
  </r>
  <r>
    <x v="1138"/>
    <n v="-60.99"/>
    <x v="2446"/>
    <n v="2220.13"/>
    <s v="Complete Access"/>
    <x v="8"/>
    <x v="1"/>
    <x v="5"/>
    <d v="1900-01-02T00:00:00"/>
    <n v="6"/>
    <x v="0"/>
    <x v="4"/>
  </r>
  <r>
    <x v="1138"/>
    <n v="-21.89"/>
    <x v="2447"/>
    <n v="2162.25"/>
    <s v="Complete Access"/>
    <x v="8"/>
    <x v="1"/>
    <x v="5"/>
    <d v="1900-01-02T00:00:00"/>
    <n v="6"/>
    <x v="0"/>
    <x v="4"/>
  </r>
  <r>
    <x v="1138"/>
    <n v="-35.99"/>
    <x v="2448"/>
    <n v="2184.14"/>
    <s v="Complete Access"/>
    <x v="8"/>
    <x v="1"/>
    <x v="5"/>
    <d v="1900-01-02T00:00:00"/>
    <n v="6"/>
    <x v="0"/>
    <x v="4"/>
  </r>
  <r>
    <x v="1138"/>
    <n v="-3"/>
    <x v="2449"/>
    <n v="2159.25"/>
    <s v="Complete Access"/>
    <x v="1"/>
    <x v="1"/>
    <x v="1"/>
    <d v="1900-01-02T00:00:00"/>
    <n v="6"/>
    <x v="0"/>
    <x v="4"/>
  </r>
  <r>
    <x v="1139"/>
    <n v="-7.9"/>
    <x v="2450"/>
    <n v="2301.11"/>
    <s v="Complete Access"/>
    <x v="277"/>
    <x v="8"/>
    <x v="29"/>
    <d v="1900-01-01T00:00:00"/>
    <n v="6"/>
    <x v="0"/>
    <x v="4"/>
  </r>
  <r>
    <x v="1139"/>
    <n v="-19.989999999999998"/>
    <x v="2451"/>
    <n v="2281.12"/>
    <s v="Complete Access"/>
    <x v="34"/>
    <x v="9"/>
    <x v="12"/>
    <d v="1900-01-01T00:00:00"/>
    <n v="6"/>
    <x v="0"/>
    <x v="4"/>
  </r>
  <r>
    <x v="1140"/>
    <n v="5000"/>
    <x v="2305"/>
    <n v="6485.61"/>
    <s v="Complete Access"/>
    <x v="0"/>
    <x v="0"/>
    <x v="0"/>
    <d v="1899-12-31T00:00:00"/>
    <n v="6"/>
    <x v="0"/>
    <x v="4"/>
  </r>
  <r>
    <x v="1140"/>
    <n v="-20"/>
    <x v="2229"/>
    <n v="1530.64"/>
    <s v="Complete Access"/>
    <x v="557"/>
    <x v="7"/>
    <x v="53"/>
    <d v="1899-12-31T00:00:00"/>
    <n v="6"/>
    <x v="0"/>
    <x v="4"/>
  </r>
  <r>
    <x v="1140"/>
    <n v="-176.6"/>
    <x v="2452"/>
    <n v="2309.0100000000002"/>
    <s v="Complete Access"/>
    <x v="76"/>
    <x v="2"/>
    <x v="2"/>
    <d v="1899-12-31T00:00:00"/>
    <n v="6"/>
    <x v="0"/>
    <x v="4"/>
  </r>
  <r>
    <x v="1140"/>
    <n v="-2000"/>
    <x v="2453"/>
    <n v="2485.61"/>
    <s v="Complete Access"/>
    <x v="504"/>
    <x v="0"/>
    <x v="72"/>
    <d v="1899-12-31T00:00:00"/>
    <n v="6"/>
    <x v="0"/>
    <x v="4"/>
  </r>
  <r>
    <x v="1140"/>
    <n v="-2000"/>
    <x v="2454"/>
    <n v="4485.6099999999997"/>
    <s v="Complete Access"/>
    <x v="504"/>
    <x v="0"/>
    <x v="72"/>
    <d v="1899-12-31T00:00:00"/>
    <n v="6"/>
    <x v="0"/>
    <x v="4"/>
  </r>
  <r>
    <x v="1140"/>
    <n v="-45.03"/>
    <x v="2105"/>
    <n v="1485.61"/>
    <s v="Complete Access"/>
    <x v="4"/>
    <x v="1"/>
    <x v="1"/>
    <d v="1899-12-31T00:00:00"/>
    <n v="6"/>
    <x v="0"/>
    <x v="4"/>
  </r>
  <r>
    <x v="1141"/>
    <n v="36"/>
    <x v="2266"/>
    <n v="1550.64"/>
    <s v="Complete Access"/>
    <x v="27"/>
    <x v="1"/>
    <x v="5"/>
    <d v="1900-01-30T00:00:00"/>
    <n v="6"/>
    <x v="1"/>
    <x v="4"/>
  </r>
  <r>
    <x v="1142"/>
    <n v="-1.9"/>
    <x v="2455"/>
    <n v="1514.64"/>
    <s v="Complete Access"/>
    <x v="188"/>
    <x v="1"/>
    <x v="1"/>
    <d v="1900-01-29T00:00:00"/>
    <n v="5"/>
    <x v="1"/>
    <x v="4"/>
  </r>
  <r>
    <x v="1142"/>
    <n v="-100"/>
    <x v="2274"/>
    <n v="1516.54"/>
    <s v="Complete Access"/>
    <x v="552"/>
    <x v="0"/>
    <x v="74"/>
    <d v="1900-01-29T00:00:00"/>
    <n v="5"/>
    <x v="1"/>
    <x v="4"/>
  </r>
  <r>
    <x v="1143"/>
    <n v="-8.0500000000000007"/>
    <x v="2456"/>
    <n v="1627.54"/>
    <s v="Complete Access"/>
    <x v="188"/>
    <x v="1"/>
    <x v="1"/>
    <d v="1900-01-28T00:00:00"/>
    <n v="5"/>
    <x v="1"/>
    <x v="4"/>
  </r>
  <r>
    <x v="1143"/>
    <n v="-2.81"/>
    <x v="2456"/>
    <n v="1635.59"/>
    <s v="Complete Access"/>
    <x v="188"/>
    <x v="1"/>
    <x v="1"/>
    <d v="1900-01-28T00:00:00"/>
    <n v="5"/>
    <x v="1"/>
    <x v="4"/>
  </r>
  <r>
    <x v="1143"/>
    <n v="-40"/>
    <x v="2457"/>
    <n v="1638.4"/>
    <s v="Complete Access"/>
    <x v="12"/>
    <x v="5"/>
    <x v="8"/>
    <d v="1900-01-28T00:00:00"/>
    <n v="5"/>
    <x v="1"/>
    <x v="4"/>
  </r>
  <r>
    <x v="1143"/>
    <n v="-11"/>
    <x v="2458"/>
    <n v="1616.54"/>
    <s v="Complete Access"/>
    <x v="16"/>
    <x v="1"/>
    <x v="5"/>
    <d v="1900-01-28T00:00:00"/>
    <n v="5"/>
    <x v="1"/>
    <x v="4"/>
  </r>
  <r>
    <x v="1144"/>
    <n v="-16"/>
    <x v="2329"/>
    <n v="1724.54"/>
    <s v="Complete Access"/>
    <x v="562"/>
    <x v="1"/>
    <x v="5"/>
    <d v="1900-01-27T00:00:00"/>
    <n v="5"/>
    <x v="1"/>
    <x v="4"/>
  </r>
  <r>
    <x v="1144"/>
    <n v="-655"/>
    <x v="2459"/>
    <n v="1778.08"/>
    <s v="Complete Access"/>
    <x v="524"/>
    <x v="3"/>
    <x v="15"/>
    <d v="1900-01-27T00:00:00"/>
    <n v="5"/>
    <x v="1"/>
    <x v="4"/>
  </r>
  <r>
    <x v="1144"/>
    <n v="-5.05"/>
    <x v="2460"/>
    <n v="1773.03"/>
    <s v="Complete Access"/>
    <x v="594"/>
    <x v="1"/>
    <x v="5"/>
    <d v="1900-01-27T00:00:00"/>
    <n v="5"/>
    <x v="1"/>
    <x v="4"/>
  </r>
  <r>
    <x v="1144"/>
    <n v="-8.49"/>
    <x v="2461"/>
    <n v="1764.54"/>
    <s v="Complete Access"/>
    <x v="543"/>
    <x v="3"/>
    <x v="15"/>
    <d v="1900-01-27T00:00:00"/>
    <n v="5"/>
    <x v="1"/>
    <x v="4"/>
  </r>
  <r>
    <x v="1144"/>
    <n v="-24"/>
    <x v="2462"/>
    <n v="1740.54"/>
    <s v="Complete Access"/>
    <x v="595"/>
    <x v="9"/>
    <x v="12"/>
    <d v="1900-01-27T00:00:00"/>
    <n v="5"/>
    <x v="1"/>
    <x v="4"/>
  </r>
  <r>
    <x v="1144"/>
    <n v="-46.14"/>
    <x v="2105"/>
    <n v="1678.4"/>
    <s v="Complete Access"/>
    <x v="4"/>
    <x v="1"/>
    <x v="1"/>
    <d v="1900-01-27T00:00:00"/>
    <n v="5"/>
    <x v="1"/>
    <x v="4"/>
  </r>
  <r>
    <x v="1145"/>
    <n v="-11.73"/>
    <x v="2463"/>
    <n v="2483.1799999999998"/>
    <s v="Complete Access"/>
    <x v="188"/>
    <x v="1"/>
    <x v="1"/>
    <d v="1900-01-25T00:00:00"/>
    <n v="5"/>
    <x v="1"/>
    <x v="4"/>
  </r>
  <r>
    <x v="1145"/>
    <n v="-74.59"/>
    <x v="2464"/>
    <n v="2494.91"/>
    <s v="Complete Access"/>
    <x v="8"/>
    <x v="1"/>
    <x v="5"/>
    <d v="1900-01-25T00:00:00"/>
    <n v="5"/>
    <x v="1"/>
    <x v="4"/>
  </r>
  <r>
    <x v="1145"/>
    <n v="-20"/>
    <x v="2465"/>
    <n v="2569.5"/>
    <s v="Complete Access"/>
    <x v="438"/>
    <x v="12"/>
    <x v="21"/>
    <d v="1900-01-25T00:00:00"/>
    <n v="5"/>
    <x v="1"/>
    <x v="4"/>
  </r>
  <r>
    <x v="1145"/>
    <n v="-188.83"/>
    <x v="2466"/>
    <n v="2589.5"/>
    <s v="Complete Access"/>
    <x v="95"/>
    <x v="14"/>
    <x v="38"/>
    <d v="1900-01-25T00:00:00"/>
    <n v="5"/>
    <x v="1"/>
    <x v="4"/>
  </r>
  <r>
    <x v="1145"/>
    <n v="-9.1"/>
    <x v="2467"/>
    <n v="2474.08"/>
    <s v="Complete Access"/>
    <x v="596"/>
    <x v="8"/>
    <x v="29"/>
    <d v="1900-01-25T00:00:00"/>
    <n v="5"/>
    <x v="1"/>
    <x v="4"/>
  </r>
  <r>
    <x v="1145"/>
    <n v="-41"/>
    <x v="2468"/>
    <n v="2433.08"/>
    <s v="Complete Access"/>
    <x v="0"/>
    <x v="0"/>
    <x v="0"/>
    <d v="1900-01-25T00:00:00"/>
    <n v="5"/>
    <x v="1"/>
    <x v="4"/>
  </r>
  <r>
    <x v="1146"/>
    <n v="-15.23"/>
    <x v="2469"/>
    <n v="2880.23"/>
    <s v="Complete Access"/>
    <x v="597"/>
    <x v="20"/>
    <x v="63"/>
    <d v="1900-01-23T00:00:00"/>
    <n v="5"/>
    <x v="1"/>
    <x v="4"/>
  </r>
  <r>
    <x v="1146"/>
    <n v="-26"/>
    <x v="2467"/>
    <n v="2778.33"/>
    <s v="Complete Access"/>
    <x v="596"/>
    <x v="8"/>
    <x v="29"/>
    <d v="1900-01-23T00:00:00"/>
    <n v="5"/>
    <x v="1"/>
    <x v="4"/>
  </r>
  <r>
    <x v="1146"/>
    <n v="-59"/>
    <x v="2467"/>
    <n v="2804.33"/>
    <s v="Complete Access"/>
    <x v="596"/>
    <x v="8"/>
    <x v="29"/>
    <d v="1900-01-23T00:00:00"/>
    <n v="5"/>
    <x v="1"/>
    <x v="4"/>
  </r>
  <r>
    <x v="1146"/>
    <n v="-16.899999999999999"/>
    <x v="2467"/>
    <n v="2863.33"/>
    <s v="Complete Access"/>
    <x v="596"/>
    <x v="8"/>
    <x v="29"/>
    <d v="1900-01-23T00:00:00"/>
    <n v="5"/>
    <x v="1"/>
    <x v="4"/>
  </r>
  <r>
    <x v="1146"/>
    <n v="-9"/>
    <x v="2470"/>
    <n v="2895.46"/>
    <s v="Complete Access"/>
    <x v="598"/>
    <x v="1"/>
    <x v="5"/>
    <d v="1900-01-23T00:00:00"/>
    <n v="5"/>
    <x v="1"/>
    <x v="4"/>
  </r>
  <r>
    <x v="1147"/>
    <n v="-100"/>
    <x v="2274"/>
    <n v="2918.46"/>
    <s v="Complete Access"/>
    <x v="552"/>
    <x v="0"/>
    <x v="74"/>
    <d v="1900-01-22T00:00:00"/>
    <n v="4"/>
    <x v="1"/>
    <x v="4"/>
  </r>
  <r>
    <x v="1147"/>
    <n v="-14"/>
    <x v="2471"/>
    <n v="2904.46"/>
    <s v="Complete Access"/>
    <x v="186"/>
    <x v="1"/>
    <x v="5"/>
    <d v="1900-01-22T00:00:00"/>
    <n v="4"/>
    <x v="1"/>
    <x v="4"/>
  </r>
  <r>
    <x v="1148"/>
    <n v="-11.85"/>
    <x v="2472"/>
    <n v="3027.96"/>
    <s v="Complete Access"/>
    <x v="188"/>
    <x v="1"/>
    <x v="1"/>
    <d v="1900-01-21T00:00:00"/>
    <n v="4"/>
    <x v="1"/>
    <x v="4"/>
  </r>
  <r>
    <x v="1148"/>
    <n v="-9.5"/>
    <x v="2473"/>
    <n v="3018.46"/>
    <s v="Complete Access"/>
    <x v="16"/>
    <x v="1"/>
    <x v="5"/>
    <d v="1900-01-21T00:00:00"/>
    <n v="4"/>
    <x v="1"/>
    <x v="4"/>
  </r>
  <r>
    <x v="1149"/>
    <n v="-40"/>
    <x v="2474"/>
    <n v="3182.4"/>
    <s v="Complete Access"/>
    <x v="12"/>
    <x v="5"/>
    <x v="8"/>
    <d v="1900-01-20T00:00:00"/>
    <n v="4"/>
    <x v="1"/>
    <x v="4"/>
  </r>
  <r>
    <x v="1149"/>
    <n v="-5"/>
    <x v="2475"/>
    <n v="2964.81"/>
    <s v="Complete Access"/>
    <x v="507"/>
    <x v="1"/>
    <x v="1"/>
    <d v="1900-01-20T00:00:00"/>
    <n v="4"/>
    <x v="1"/>
    <x v="4"/>
  </r>
  <r>
    <x v="1149"/>
    <n v="-59"/>
    <x v="2476"/>
    <n v="3123.4"/>
    <s v="Complete Access"/>
    <x v="207"/>
    <x v="7"/>
    <x v="11"/>
    <d v="1900-01-20T00:00:00"/>
    <n v="4"/>
    <x v="1"/>
    <x v="4"/>
  </r>
  <r>
    <x v="1149"/>
    <n v="-118.73"/>
    <x v="2477"/>
    <n v="3004.67"/>
    <s v="Complete Access"/>
    <x v="438"/>
    <x v="12"/>
    <x v="21"/>
    <d v="1900-01-20T00:00:00"/>
    <n v="4"/>
    <x v="1"/>
    <x v="4"/>
  </r>
  <r>
    <x v="1149"/>
    <n v="2248.8000000000002"/>
    <x v="2478"/>
    <n v="3722.4"/>
    <s v="Complete Access"/>
    <x v="14"/>
    <x v="6"/>
    <x v="9"/>
    <d v="1900-01-20T00:00:00"/>
    <n v="4"/>
    <x v="1"/>
    <x v="4"/>
  </r>
  <r>
    <x v="1149"/>
    <n v="-500"/>
    <x v="2294"/>
    <n v="3222.4"/>
    <s v="Complete Access"/>
    <x v="571"/>
    <x v="19"/>
    <x v="61"/>
    <d v="1900-01-20T00:00:00"/>
    <n v="4"/>
    <x v="1"/>
    <x v="4"/>
  </r>
  <r>
    <x v="1149"/>
    <n v="75"/>
    <x v="2479"/>
    <n v="3039.81"/>
    <s v="Complete Access"/>
    <x v="584"/>
    <x v="0"/>
    <x v="69"/>
    <d v="1900-01-20T00:00:00"/>
    <n v="4"/>
    <x v="1"/>
    <x v="4"/>
  </r>
  <r>
    <x v="1149"/>
    <n v="-34.86"/>
    <x v="2480"/>
    <n v="2969.81"/>
    <s v="Complete Access"/>
    <x v="237"/>
    <x v="15"/>
    <x v="34"/>
    <d v="1900-01-20T00:00:00"/>
    <n v="4"/>
    <x v="1"/>
    <x v="4"/>
  </r>
  <r>
    <x v="1150"/>
    <n v="-11.66"/>
    <x v="2481"/>
    <n v="1484.6"/>
    <s v="Complete Access"/>
    <x v="599"/>
    <x v="15"/>
    <x v="34"/>
    <d v="1900-01-19T00:00:00"/>
    <n v="4"/>
    <x v="1"/>
    <x v="4"/>
  </r>
  <r>
    <x v="1150"/>
    <n v="-11"/>
    <x v="2482"/>
    <n v="1473.6"/>
    <s v="Complete Access"/>
    <x v="600"/>
    <x v="8"/>
    <x v="29"/>
    <d v="1900-01-19T00:00:00"/>
    <n v="4"/>
    <x v="1"/>
    <x v="4"/>
  </r>
  <r>
    <x v="1151"/>
    <n v="-35.94"/>
    <x v="2483"/>
    <n v="1588.79"/>
    <s v="Complete Access"/>
    <x v="8"/>
    <x v="1"/>
    <x v="5"/>
    <d v="1900-01-18T00:00:00"/>
    <n v="4"/>
    <x v="1"/>
    <x v="4"/>
  </r>
  <r>
    <x v="1151"/>
    <n v="-10.59"/>
    <x v="2135"/>
    <n v="1578.2"/>
    <s v="Complete Access"/>
    <x v="215"/>
    <x v="1"/>
    <x v="1"/>
    <d v="1900-01-18T00:00:00"/>
    <n v="4"/>
    <x v="1"/>
    <x v="4"/>
  </r>
  <r>
    <x v="1151"/>
    <n v="-81.94"/>
    <x v="2105"/>
    <n v="1496.26"/>
    <s v="Complete Access"/>
    <x v="4"/>
    <x v="1"/>
    <x v="1"/>
    <d v="1900-01-18T00:00:00"/>
    <n v="4"/>
    <x v="1"/>
    <x v="4"/>
  </r>
  <r>
    <x v="1152"/>
    <n v="-100"/>
    <x v="2484"/>
    <n v="1627.63"/>
    <s v="Complete Access"/>
    <x v="601"/>
    <x v="0"/>
    <x v="0"/>
    <d v="1900-01-15T00:00:00"/>
    <n v="3"/>
    <x v="1"/>
    <x v="4"/>
  </r>
  <r>
    <x v="1152"/>
    <n v="-2"/>
    <x v="2485"/>
    <n v="1798.33"/>
    <s v="Complete Access"/>
    <x v="602"/>
    <x v="11"/>
    <x v="14"/>
    <d v="1900-01-15T00:00:00"/>
    <n v="3"/>
    <x v="1"/>
    <x v="4"/>
  </r>
  <r>
    <x v="1152"/>
    <n v="-18.18"/>
    <x v="2486"/>
    <n v="1727.63"/>
    <s v="Complete Access"/>
    <x v="603"/>
    <x v="8"/>
    <x v="29"/>
    <d v="1900-01-15T00:00:00"/>
    <n v="3"/>
    <x v="1"/>
    <x v="4"/>
  </r>
  <r>
    <x v="1152"/>
    <n v="-52.52"/>
    <x v="2486"/>
    <n v="1745.81"/>
    <s v="Complete Access"/>
    <x v="603"/>
    <x v="8"/>
    <x v="29"/>
    <d v="1900-01-15T00:00:00"/>
    <n v="3"/>
    <x v="1"/>
    <x v="4"/>
  </r>
  <r>
    <x v="1152"/>
    <n v="-2.9"/>
    <x v="72"/>
    <n v="1624.73"/>
    <s v="Complete Access"/>
    <x v="37"/>
    <x v="0"/>
    <x v="0"/>
    <d v="1900-01-15T00:00:00"/>
    <n v="3"/>
    <x v="1"/>
    <x v="4"/>
  </r>
  <r>
    <x v="1152"/>
    <n v="-100"/>
    <x v="2274"/>
    <n v="1800.33"/>
    <s v="Complete Access"/>
    <x v="552"/>
    <x v="0"/>
    <x v="74"/>
    <d v="1900-01-15T00:00:00"/>
    <n v="3"/>
    <x v="1"/>
    <x v="4"/>
  </r>
  <r>
    <x v="1153"/>
    <n v="-23.48"/>
    <x v="2135"/>
    <n v="1900.33"/>
    <s v="Complete Access"/>
    <x v="215"/>
    <x v="1"/>
    <x v="1"/>
    <d v="1900-01-14T00:00:00"/>
    <n v="3"/>
    <x v="1"/>
    <x v="4"/>
  </r>
  <r>
    <x v="1154"/>
    <n v="-64.569999999999993"/>
    <x v="2487"/>
    <n v="1923.81"/>
    <s v="Complete Access"/>
    <x v="1"/>
    <x v="1"/>
    <x v="1"/>
    <d v="1900-01-13T00:00:00"/>
    <n v="3"/>
    <x v="1"/>
    <x v="4"/>
  </r>
  <r>
    <x v="1155"/>
    <n v="-2.4700000000000002"/>
    <x v="2488"/>
    <n v="1988.38"/>
    <s v="Complete Access"/>
    <x v="188"/>
    <x v="1"/>
    <x v="1"/>
    <d v="1900-01-12T00:00:00"/>
    <n v="3"/>
    <x v="1"/>
    <x v="4"/>
  </r>
  <r>
    <x v="1155"/>
    <n v="-22.49"/>
    <x v="2489"/>
    <n v="1990.85"/>
    <s v="Complete Access"/>
    <x v="8"/>
    <x v="1"/>
    <x v="5"/>
    <d v="1900-01-12T00:00:00"/>
    <n v="3"/>
    <x v="1"/>
    <x v="4"/>
  </r>
  <r>
    <x v="1156"/>
    <n v="-29.49"/>
    <x v="2490"/>
    <n v="2013.34"/>
    <s v="Complete Access"/>
    <x v="8"/>
    <x v="1"/>
    <x v="5"/>
    <d v="1900-01-11T00:00:00"/>
    <n v="3"/>
    <x v="1"/>
    <x v="4"/>
  </r>
  <r>
    <x v="1156"/>
    <n v="-1180"/>
    <x v="2491"/>
    <n v="2042.83"/>
    <s v="Complete Access"/>
    <x v="567"/>
    <x v="0"/>
    <x v="69"/>
    <d v="1900-01-11T00:00:00"/>
    <n v="3"/>
    <x v="1"/>
    <x v="4"/>
  </r>
  <r>
    <x v="1157"/>
    <n v="39.200000000000003"/>
    <x v="2492"/>
    <n v="3222.83"/>
    <s v="Complete Access"/>
    <x v="17"/>
    <x v="7"/>
    <x v="11"/>
    <d v="1900-01-10T00:00:00"/>
    <n v="3"/>
    <x v="1"/>
    <x v="4"/>
  </r>
  <r>
    <x v="1158"/>
    <n v="150.02000000000001"/>
    <x v="2493"/>
    <n v="3202.13"/>
    <s v="Complete Access"/>
    <x v="577"/>
    <x v="0"/>
    <x v="69"/>
    <d v="1900-01-09T00:00:00"/>
    <n v="3"/>
    <x v="1"/>
    <x v="4"/>
  </r>
  <r>
    <x v="1158"/>
    <n v="-18.5"/>
    <x v="2494"/>
    <n v="3183.63"/>
    <s v="Complete Access"/>
    <x v="27"/>
    <x v="1"/>
    <x v="5"/>
    <d v="1900-01-09T00:00:00"/>
    <n v="3"/>
    <x v="1"/>
    <x v="4"/>
  </r>
  <r>
    <x v="1159"/>
    <n v="-15.44"/>
    <x v="2495"/>
    <n v="3054.1"/>
    <s v="Complete Access"/>
    <x v="215"/>
    <x v="1"/>
    <x v="1"/>
    <d v="1900-01-08T00:00:00"/>
    <n v="2"/>
    <x v="1"/>
    <x v="4"/>
  </r>
  <r>
    <x v="1159"/>
    <n v="-61.94"/>
    <x v="2495"/>
    <n v="3069.54"/>
    <s v="Complete Access"/>
    <x v="215"/>
    <x v="1"/>
    <x v="1"/>
    <d v="1900-01-08T00:00:00"/>
    <n v="2"/>
    <x v="1"/>
    <x v="4"/>
  </r>
  <r>
    <x v="1159"/>
    <n v="-100"/>
    <x v="2274"/>
    <n v="3131.48"/>
    <s v="Complete Access"/>
    <x v="552"/>
    <x v="0"/>
    <x v="74"/>
    <d v="1900-01-08T00:00:00"/>
    <n v="2"/>
    <x v="1"/>
    <x v="4"/>
  </r>
  <r>
    <x v="1159"/>
    <n v="-1.99"/>
    <x v="2496"/>
    <n v="3052.11"/>
    <s v="Complete Access"/>
    <x v="604"/>
    <x v="11"/>
    <x v="14"/>
    <d v="1900-01-08T00:00:00"/>
    <n v="2"/>
    <x v="1"/>
    <x v="4"/>
  </r>
  <r>
    <x v="1160"/>
    <n v="2248.8000000000002"/>
    <x v="2497"/>
    <n v="3756.48"/>
    <s v="Complete Access"/>
    <x v="14"/>
    <x v="6"/>
    <x v="9"/>
    <d v="1900-01-06T00:00:00"/>
    <n v="2"/>
    <x v="1"/>
    <x v="4"/>
  </r>
  <r>
    <x v="1160"/>
    <n v="-500"/>
    <x v="2294"/>
    <n v="3231.48"/>
    <s v="Complete Access"/>
    <x v="571"/>
    <x v="19"/>
    <x v="61"/>
    <d v="1900-01-06T00:00:00"/>
    <n v="2"/>
    <x v="1"/>
    <x v="4"/>
  </r>
  <r>
    <x v="1160"/>
    <n v="-25"/>
    <x v="2498"/>
    <n v="3731.48"/>
    <s v="Complete Access"/>
    <x v="605"/>
    <x v="8"/>
    <x v="29"/>
    <d v="1900-01-06T00:00:00"/>
    <n v="2"/>
    <x v="1"/>
    <x v="4"/>
  </r>
  <r>
    <x v="1161"/>
    <n v="-31.06"/>
    <x v="2499"/>
    <n v="1746.68"/>
    <s v="Complete Access"/>
    <x v="8"/>
    <x v="1"/>
    <x v="5"/>
    <d v="1900-01-05T00:00:00"/>
    <n v="2"/>
    <x v="1"/>
    <x v="4"/>
  </r>
  <r>
    <x v="1161"/>
    <n v="-10.33"/>
    <x v="2499"/>
    <n v="1777.74"/>
    <s v="Complete Access"/>
    <x v="8"/>
    <x v="1"/>
    <x v="5"/>
    <d v="1900-01-05T00:00:00"/>
    <n v="2"/>
    <x v="1"/>
    <x v="4"/>
  </r>
  <r>
    <x v="1161"/>
    <n v="-239"/>
    <x v="2500"/>
    <n v="1507.68"/>
    <s v="Complete Access"/>
    <x v="347"/>
    <x v="3"/>
    <x v="62"/>
    <d v="1900-01-05T00:00:00"/>
    <n v="2"/>
    <x v="1"/>
    <x v="4"/>
  </r>
  <r>
    <x v="1162"/>
    <n v="46"/>
    <x v="2282"/>
    <n v="1788.07"/>
    <s v="Complete Access"/>
    <x v="567"/>
    <x v="0"/>
    <x v="69"/>
    <d v="1900-01-04T00:00:00"/>
    <n v="2"/>
    <x v="1"/>
    <x v="4"/>
  </r>
  <r>
    <x v="1163"/>
    <n v="-176.6"/>
    <x v="2501"/>
    <n v="1742.07"/>
    <s v="Complete Access"/>
    <x v="76"/>
    <x v="2"/>
    <x v="2"/>
    <d v="1900-01-03T00:00:00"/>
    <n v="2"/>
    <x v="1"/>
    <x v="4"/>
  </r>
  <r>
    <x v="1163"/>
    <n v="-1.99"/>
    <x v="2496"/>
    <n v="1918.67"/>
    <s v="Complete Access"/>
    <x v="604"/>
    <x v="11"/>
    <x v="14"/>
    <d v="1900-01-03T00:00:00"/>
    <n v="2"/>
    <x v="1"/>
    <x v="4"/>
  </r>
  <r>
    <x v="1164"/>
    <n v="-300"/>
    <x v="2502"/>
    <n v="1929.66"/>
    <s v="Complete Access"/>
    <x v="601"/>
    <x v="0"/>
    <x v="0"/>
    <d v="1900-01-01T00:00:00"/>
    <n v="1"/>
    <x v="1"/>
    <x v="4"/>
  </r>
  <r>
    <x v="1164"/>
    <n v="-9"/>
    <x v="2503"/>
    <n v="2250.86"/>
    <s v="Complete Access"/>
    <x v="606"/>
    <x v="8"/>
    <x v="29"/>
    <d v="1900-01-01T00:00:00"/>
    <n v="1"/>
    <x v="1"/>
    <x v="4"/>
  </r>
  <r>
    <x v="1164"/>
    <n v="-31"/>
    <x v="2503"/>
    <n v="2259.86"/>
    <s v="Complete Access"/>
    <x v="606"/>
    <x v="8"/>
    <x v="29"/>
    <d v="1900-01-01T00:00:00"/>
    <n v="1"/>
    <x v="1"/>
    <x v="4"/>
  </r>
  <r>
    <x v="1164"/>
    <n v="-9"/>
    <x v="2503"/>
    <n v="2290.86"/>
    <s v="Complete Access"/>
    <x v="606"/>
    <x v="8"/>
    <x v="29"/>
    <d v="1900-01-01T00:00:00"/>
    <n v="1"/>
    <x v="1"/>
    <x v="4"/>
  </r>
  <r>
    <x v="1164"/>
    <n v="-9"/>
    <x v="2503"/>
    <n v="2299.86"/>
    <s v="Complete Access"/>
    <x v="606"/>
    <x v="8"/>
    <x v="29"/>
    <d v="1900-01-01T00:00:00"/>
    <n v="1"/>
    <x v="1"/>
    <x v="4"/>
  </r>
  <r>
    <x v="1164"/>
    <n v="-9"/>
    <x v="72"/>
    <n v="1920.66"/>
    <s v="Complete Access"/>
    <x v="37"/>
    <x v="0"/>
    <x v="0"/>
    <d v="1900-01-01T00:00:00"/>
    <n v="1"/>
    <x v="1"/>
    <x v="4"/>
  </r>
  <r>
    <x v="1164"/>
    <n v="-100"/>
    <x v="2274"/>
    <n v="2308.86"/>
    <s v="Complete Access"/>
    <x v="552"/>
    <x v="0"/>
    <x v="74"/>
    <d v="1900-01-01T00:00:00"/>
    <n v="1"/>
    <x v="1"/>
    <x v="4"/>
  </r>
  <r>
    <x v="1164"/>
    <n v="-10.6"/>
    <x v="2504"/>
    <n v="2229.66"/>
    <s v="Complete Access"/>
    <x v="607"/>
    <x v="8"/>
    <x v="29"/>
    <d v="1900-01-01T00:00:00"/>
    <n v="1"/>
    <x v="1"/>
    <x v="4"/>
  </r>
  <r>
    <x v="1164"/>
    <n v="-10.6"/>
    <x v="2504"/>
    <n v="2240.2600000000002"/>
    <s v="Complete Access"/>
    <x v="607"/>
    <x v="8"/>
    <x v="29"/>
    <d v="1900-01-01T00:00:00"/>
    <n v="1"/>
    <x v="1"/>
    <x v="4"/>
  </r>
  <r>
    <x v="1165"/>
    <n v="-75.94"/>
    <x v="2505"/>
    <n v="2623.17"/>
    <s v="Complete Access"/>
    <x v="8"/>
    <x v="1"/>
    <x v="5"/>
    <d v="1899-12-31T00:00:00"/>
    <n v="1"/>
    <x v="1"/>
    <x v="4"/>
  </r>
  <r>
    <x v="1165"/>
    <n v="-59"/>
    <x v="2506"/>
    <n v="2428.86"/>
    <s v="Complete Access"/>
    <x v="207"/>
    <x v="7"/>
    <x v="11"/>
    <d v="1899-12-31T00:00:00"/>
    <n v="1"/>
    <x v="1"/>
    <x v="4"/>
  </r>
  <r>
    <x v="1165"/>
    <n v="-91"/>
    <x v="2507"/>
    <n v="2487.86"/>
    <s v="Complete Access"/>
    <x v="35"/>
    <x v="1"/>
    <x v="23"/>
    <d v="1899-12-31T00:00:00"/>
    <n v="1"/>
    <x v="1"/>
    <x v="4"/>
  </r>
  <r>
    <x v="1165"/>
    <n v="-20"/>
    <x v="2229"/>
    <n v="2408.86"/>
    <s v="Complete Access"/>
    <x v="557"/>
    <x v="7"/>
    <x v="53"/>
    <d v="1899-12-31T00:00:00"/>
    <n v="1"/>
    <x v="1"/>
    <x v="4"/>
  </r>
  <r>
    <x v="1165"/>
    <n v="-44.31"/>
    <x v="2508"/>
    <n v="2578.86"/>
    <s v="Complete Access"/>
    <x v="1"/>
    <x v="1"/>
    <x v="1"/>
    <d v="1899-12-31T00:00:00"/>
    <n v="1"/>
    <x v="1"/>
    <x v="4"/>
  </r>
  <r>
    <x v="1166"/>
    <n v="-41.99"/>
    <x v="2509"/>
    <n v="2826.24"/>
    <s v="Complete Access"/>
    <x v="8"/>
    <x v="1"/>
    <x v="5"/>
    <d v="1900-01-30T00:00:00"/>
    <n v="53"/>
    <x v="2"/>
    <x v="5"/>
  </r>
  <r>
    <x v="1166"/>
    <n v="-97"/>
    <x v="2510"/>
    <n v="2699.11"/>
    <s v="Complete Access"/>
    <x v="347"/>
    <x v="3"/>
    <x v="62"/>
    <d v="1900-01-30T00:00:00"/>
    <n v="53"/>
    <x v="2"/>
    <x v="5"/>
  </r>
  <r>
    <x v="1166"/>
    <n v="-30.13"/>
    <x v="2511"/>
    <n v="2796.11"/>
    <s v="Complete Access"/>
    <x v="34"/>
    <x v="9"/>
    <x v="12"/>
    <d v="1900-01-30T00:00:00"/>
    <n v="53"/>
    <x v="2"/>
    <x v="5"/>
  </r>
  <r>
    <x v="1167"/>
    <n v="-33.9"/>
    <x v="2512"/>
    <n v="5099.71"/>
    <s v="Complete Access"/>
    <x v="608"/>
    <x v="20"/>
    <x v="63"/>
    <d v="1900-01-29T00:00:00"/>
    <n v="53"/>
    <x v="2"/>
    <x v="5"/>
  </r>
  <r>
    <x v="1167"/>
    <n v="-150"/>
    <x v="2359"/>
    <n v="2868.23"/>
    <s v="Complete Access"/>
    <x v="0"/>
    <x v="0"/>
    <x v="0"/>
    <d v="1900-01-29T00:00:00"/>
    <n v="53"/>
    <x v="2"/>
    <x v="5"/>
  </r>
  <r>
    <x v="1167"/>
    <n v="-10.199999999999999"/>
    <x v="2513"/>
    <n v="5232.5600000000004"/>
    <s v="Complete Access"/>
    <x v="609"/>
    <x v="1"/>
    <x v="1"/>
    <d v="1900-01-29T00:00:00"/>
    <n v="53"/>
    <x v="2"/>
    <x v="5"/>
  </r>
  <r>
    <x v="1167"/>
    <n v="-1491.15"/>
    <x v="2514"/>
    <n v="3082.71"/>
    <s v="Complete Access"/>
    <x v="347"/>
    <x v="3"/>
    <x v="62"/>
    <d v="1900-01-29T00:00:00"/>
    <n v="53"/>
    <x v="2"/>
    <x v="5"/>
  </r>
  <r>
    <x v="1167"/>
    <n v="-98.95"/>
    <x v="2515"/>
    <n v="5133.6099999999997"/>
    <s v="Complete Access"/>
    <x v="582"/>
    <x v="3"/>
    <x v="77"/>
    <d v="1900-01-29T00:00:00"/>
    <n v="53"/>
    <x v="2"/>
    <x v="5"/>
  </r>
  <r>
    <x v="1167"/>
    <n v="-525.85"/>
    <x v="2516"/>
    <n v="4573.8599999999997"/>
    <s v="Complete Access"/>
    <x v="610"/>
    <x v="4"/>
    <x v="62"/>
    <d v="1900-01-29T00:00:00"/>
    <n v="53"/>
    <x v="2"/>
    <x v="5"/>
  </r>
  <r>
    <x v="1167"/>
    <n v="-64.48"/>
    <x v="2105"/>
    <n v="3018.23"/>
    <s v="Complete Access"/>
    <x v="4"/>
    <x v="1"/>
    <x v="1"/>
    <d v="1900-01-29T00:00:00"/>
    <n v="53"/>
    <x v="2"/>
    <x v="5"/>
  </r>
  <r>
    <x v="1168"/>
    <n v="-20"/>
    <x v="2494"/>
    <n v="5242.76"/>
    <s v="Complete Access"/>
    <x v="27"/>
    <x v="1"/>
    <x v="5"/>
    <d v="1900-01-28T00:00:00"/>
    <n v="53"/>
    <x v="2"/>
    <x v="5"/>
  </r>
  <r>
    <x v="1169"/>
    <n v="-100"/>
    <x v="2274"/>
    <n v="5262.76"/>
    <s v="Complete Access"/>
    <x v="552"/>
    <x v="0"/>
    <x v="74"/>
    <d v="1900-01-25T00:00:00"/>
    <n v="52"/>
    <x v="2"/>
    <x v="5"/>
  </r>
  <r>
    <x v="1170"/>
    <n v="-44.49"/>
    <x v="2517"/>
    <n v="5362.76"/>
    <s v="Complete Access"/>
    <x v="8"/>
    <x v="1"/>
    <x v="5"/>
    <d v="1900-01-24T00:00:00"/>
    <n v="52"/>
    <x v="2"/>
    <x v="5"/>
  </r>
  <r>
    <x v="1170"/>
    <n v="-4.9000000000000004"/>
    <x v="2518"/>
    <n v="5407.25"/>
    <s v="Complete Access"/>
    <x v="1"/>
    <x v="1"/>
    <x v="1"/>
    <d v="1900-01-24T00:00:00"/>
    <n v="52"/>
    <x v="2"/>
    <x v="5"/>
  </r>
  <r>
    <x v="1171"/>
    <n v="-194.78"/>
    <x v="2519"/>
    <n v="5412.15"/>
    <s v="Complete Access"/>
    <x v="295"/>
    <x v="14"/>
    <x v="66"/>
    <d v="1900-01-23T00:00:00"/>
    <n v="52"/>
    <x v="2"/>
    <x v="5"/>
  </r>
  <r>
    <x v="1171"/>
    <n v="2248.79"/>
    <x v="2520"/>
    <n v="6120.48"/>
    <s v="Complete Access"/>
    <x v="14"/>
    <x v="6"/>
    <x v="9"/>
    <d v="1900-01-23T00:00:00"/>
    <n v="52"/>
    <x v="2"/>
    <x v="5"/>
  </r>
  <r>
    <x v="1171"/>
    <n v="-123"/>
    <x v="2521"/>
    <n v="5412.15"/>
    <s v="Complete Access"/>
    <x v="91"/>
    <x v="9"/>
    <x v="12"/>
    <d v="1900-01-23T00:00:00"/>
    <n v="52"/>
    <x v="2"/>
    <x v="5"/>
  </r>
  <r>
    <x v="1171"/>
    <n v="-500"/>
    <x v="2294"/>
    <n v="5620.48"/>
    <s v="Complete Access"/>
    <x v="571"/>
    <x v="19"/>
    <x v="61"/>
    <d v="1900-01-23T00:00:00"/>
    <n v="52"/>
    <x v="2"/>
    <x v="5"/>
  </r>
  <r>
    <x v="1171"/>
    <n v="123"/>
    <x v="2522"/>
    <n v="5535.15"/>
    <s v="Complete Access"/>
    <x v="567"/>
    <x v="0"/>
    <x v="69"/>
    <d v="1900-01-23T00:00:00"/>
    <n v="52"/>
    <x v="2"/>
    <x v="5"/>
  </r>
  <r>
    <x v="1171"/>
    <n v="-4.25"/>
    <x v="2523"/>
    <n v="5616.23"/>
    <s v="Complete Access"/>
    <x v="611"/>
    <x v="4"/>
    <x v="20"/>
    <d v="1900-01-23T00:00:00"/>
    <n v="52"/>
    <x v="2"/>
    <x v="5"/>
  </r>
  <r>
    <x v="1171"/>
    <n v="-9.3000000000000007"/>
    <x v="2524"/>
    <n v="5606.93"/>
    <s v="Complete Access"/>
    <x v="98"/>
    <x v="9"/>
    <x v="32"/>
    <d v="1900-01-23T00:00:00"/>
    <n v="52"/>
    <x v="2"/>
    <x v="5"/>
  </r>
  <r>
    <x v="1172"/>
    <n v="-37.99"/>
    <x v="2525"/>
    <n v="1922.71"/>
    <s v="Complete Access"/>
    <x v="8"/>
    <x v="1"/>
    <x v="5"/>
    <d v="1900-01-22T00:00:00"/>
    <n v="52"/>
    <x v="2"/>
    <x v="5"/>
  </r>
  <r>
    <x v="1172"/>
    <n v="-23.89"/>
    <x v="2526"/>
    <n v="1898.82"/>
    <s v="Complete Access"/>
    <x v="8"/>
    <x v="1"/>
    <x v="5"/>
    <d v="1900-01-22T00:00:00"/>
    <n v="52"/>
    <x v="2"/>
    <x v="5"/>
  </r>
  <r>
    <x v="1172"/>
    <n v="2000"/>
    <x v="2305"/>
    <n v="3875.18"/>
    <s v="Complete Access"/>
    <x v="0"/>
    <x v="0"/>
    <x v="0"/>
    <d v="1900-01-22T00:00:00"/>
    <n v="52"/>
    <x v="2"/>
    <x v="5"/>
  </r>
  <r>
    <x v="1172"/>
    <n v="-3.49"/>
    <x v="2527"/>
    <n v="3871.69"/>
    <s v="Complete Access"/>
    <x v="177"/>
    <x v="1"/>
    <x v="1"/>
    <d v="1900-01-22T00:00:00"/>
    <n v="52"/>
    <x v="2"/>
    <x v="5"/>
  </r>
  <r>
    <x v="1172"/>
    <n v="-23.64"/>
    <x v="2528"/>
    <n v="1875.18"/>
    <s v="Complete Access"/>
    <x v="91"/>
    <x v="9"/>
    <x v="12"/>
    <d v="1900-01-22T00:00:00"/>
    <n v="52"/>
    <x v="2"/>
    <x v="5"/>
  </r>
  <r>
    <x v="1173"/>
    <n v="-140"/>
    <x v="2529"/>
    <n v="1960.7"/>
    <s v="Complete Access"/>
    <x v="0"/>
    <x v="0"/>
    <x v="0"/>
    <d v="1900-01-21T00:00:00"/>
    <n v="52"/>
    <x v="2"/>
    <x v="5"/>
  </r>
  <r>
    <x v="1173"/>
    <n v="-1"/>
    <x v="2530"/>
    <n v="2100.6999999999998"/>
    <s v="Complete Access"/>
    <x v="430"/>
    <x v="14"/>
    <x v="32"/>
    <d v="1900-01-21T00:00:00"/>
    <n v="52"/>
    <x v="2"/>
    <x v="5"/>
  </r>
  <r>
    <x v="1174"/>
    <n v="-300"/>
    <x v="2531"/>
    <n v="2104.1999999999998"/>
    <s v="Complete Access"/>
    <x v="601"/>
    <x v="0"/>
    <x v="0"/>
    <d v="1900-01-18T00:00:00"/>
    <n v="51"/>
    <x v="2"/>
    <x v="5"/>
  </r>
  <r>
    <x v="1174"/>
    <n v="-7"/>
    <x v="2532"/>
    <n v="2413.3000000000002"/>
    <s v="Complete Access"/>
    <x v="612"/>
    <x v="18"/>
    <x v="59"/>
    <d v="1900-01-18T00:00:00"/>
    <n v="51"/>
    <x v="2"/>
    <x v="5"/>
  </r>
  <r>
    <x v="1174"/>
    <n v="-2.5"/>
    <x v="72"/>
    <n v="2101.6999999999998"/>
    <s v="Complete Access"/>
    <x v="37"/>
    <x v="0"/>
    <x v="0"/>
    <d v="1900-01-18T00:00:00"/>
    <n v="51"/>
    <x v="2"/>
    <x v="5"/>
  </r>
  <r>
    <x v="1174"/>
    <n v="-9.1"/>
    <x v="96"/>
    <n v="2404.1999999999998"/>
    <s v="Complete Access"/>
    <x v="47"/>
    <x v="1"/>
    <x v="5"/>
    <d v="1900-01-18T00:00:00"/>
    <n v="51"/>
    <x v="2"/>
    <x v="5"/>
  </r>
  <r>
    <x v="1174"/>
    <n v="-274"/>
    <x v="2533"/>
    <n v="2420.3000000000002"/>
    <s v="Complete Access"/>
    <x v="191"/>
    <x v="10"/>
    <x v="13"/>
    <d v="1900-01-18T00:00:00"/>
    <n v="51"/>
    <x v="2"/>
    <x v="5"/>
  </r>
  <r>
    <x v="1174"/>
    <n v="-100"/>
    <x v="2274"/>
    <n v="2694.3"/>
    <s v="Complete Access"/>
    <x v="552"/>
    <x v="0"/>
    <x v="74"/>
    <d v="1900-01-18T00:00:00"/>
    <n v="51"/>
    <x v="2"/>
    <x v="5"/>
  </r>
  <r>
    <x v="1175"/>
    <n v="-60"/>
    <x v="2534"/>
    <n v="1794.3"/>
    <s v="Complete Access"/>
    <x v="612"/>
    <x v="18"/>
    <x v="59"/>
    <d v="1900-01-17T00:00:00"/>
    <n v="51"/>
    <x v="2"/>
    <x v="5"/>
  </r>
  <r>
    <x v="1175"/>
    <n v="1000"/>
    <x v="2535"/>
    <n v="2794.3"/>
    <s v="Complete Access"/>
    <x v="584"/>
    <x v="0"/>
    <x v="69"/>
    <d v="1900-01-17T00:00:00"/>
    <n v="51"/>
    <x v="2"/>
    <x v="5"/>
  </r>
  <r>
    <x v="1176"/>
    <n v="-33.89"/>
    <x v="2536"/>
    <n v="1854.3"/>
    <s v="Complete Access"/>
    <x v="8"/>
    <x v="1"/>
    <x v="5"/>
    <d v="1900-01-15T00:00:00"/>
    <n v="51"/>
    <x v="2"/>
    <x v="5"/>
  </r>
  <r>
    <x v="1177"/>
    <n v="-63.65"/>
    <x v="2105"/>
    <n v="1888.19"/>
    <s v="Complete Access"/>
    <x v="4"/>
    <x v="1"/>
    <x v="1"/>
    <d v="1900-01-13T00:00:00"/>
    <n v="51"/>
    <x v="2"/>
    <x v="5"/>
  </r>
  <r>
    <x v="1178"/>
    <n v="-100"/>
    <x v="2274"/>
    <n v="1951.84"/>
    <s v="Complete Access"/>
    <x v="552"/>
    <x v="0"/>
    <x v="74"/>
    <d v="1900-01-11T00:00:00"/>
    <n v="50"/>
    <x v="2"/>
    <x v="5"/>
  </r>
  <r>
    <x v="1179"/>
    <n v="-23.74"/>
    <x v="2537"/>
    <n v="2083.29"/>
    <s v="Complete Access"/>
    <x v="8"/>
    <x v="1"/>
    <x v="5"/>
    <d v="1900-01-10T00:00:00"/>
    <n v="50"/>
    <x v="2"/>
    <x v="5"/>
  </r>
  <r>
    <x v="1179"/>
    <n v="-12.4"/>
    <x v="2538"/>
    <n v="2064.69"/>
    <s v="Complete Access"/>
    <x v="613"/>
    <x v="10"/>
    <x v="79"/>
    <d v="1900-01-10T00:00:00"/>
    <n v="50"/>
    <x v="2"/>
    <x v="5"/>
  </r>
  <r>
    <x v="1179"/>
    <n v="-6.2"/>
    <x v="2538"/>
    <n v="2077.09"/>
    <s v="Complete Access"/>
    <x v="613"/>
    <x v="10"/>
    <x v="79"/>
    <d v="1900-01-10T00:00:00"/>
    <n v="50"/>
    <x v="2"/>
    <x v="5"/>
  </r>
  <r>
    <x v="1179"/>
    <n v="-12.85"/>
    <x v="96"/>
    <n v="2051.84"/>
    <s v="Complete Access"/>
    <x v="47"/>
    <x v="1"/>
    <x v="5"/>
    <d v="1900-01-10T00:00:00"/>
    <n v="50"/>
    <x v="2"/>
    <x v="5"/>
  </r>
  <r>
    <x v="1180"/>
    <n v="2237.73"/>
    <x v="2539"/>
    <n v="2607.0300000000002"/>
    <s v="Complete Access"/>
    <x v="14"/>
    <x v="6"/>
    <x v="9"/>
    <d v="1900-01-09T00:00:00"/>
    <n v="50"/>
    <x v="2"/>
    <x v="5"/>
  </r>
  <r>
    <x v="1180"/>
    <n v="-500"/>
    <x v="2294"/>
    <n v="2107.0300000000002"/>
    <s v="Complete Access"/>
    <x v="571"/>
    <x v="19"/>
    <x v="61"/>
    <d v="1900-01-09T00:00:00"/>
    <n v="50"/>
    <x v="2"/>
    <x v="5"/>
  </r>
  <r>
    <x v="1181"/>
    <n v="-1100"/>
    <x v="2540"/>
    <n v="415.58"/>
    <s v="Complete Access"/>
    <x v="601"/>
    <x v="0"/>
    <x v="0"/>
    <d v="1900-01-08T00:00:00"/>
    <n v="50"/>
    <x v="2"/>
    <x v="5"/>
  </r>
  <r>
    <x v="1181"/>
    <n v="-38.99"/>
    <x v="2541"/>
    <n v="515.58000000000004"/>
    <s v="Complete Access"/>
    <x v="8"/>
    <x v="1"/>
    <x v="5"/>
    <d v="1900-01-08T00:00:00"/>
    <n v="50"/>
    <x v="2"/>
    <x v="5"/>
  </r>
  <r>
    <x v="1181"/>
    <n v="1000"/>
    <x v="2542"/>
    <n v="1515.58"/>
    <s v="Complete Access"/>
    <x v="558"/>
    <x v="10"/>
    <x v="13"/>
    <d v="1900-01-08T00:00:00"/>
    <n v="50"/>
    <x v="2"/>
    <x v="5"/>
  </r>
  <r>
    <x v="1181"/>
    <n v="-46.28"/>
    <x v="2543"/>
    <n v="369.3"/>
    <s v="Complete Access"/>
    <x v="17"/>
    <x v="7"/>
    <x v="11"/>
    <d v="1900-01-08T00:00:00"/>
    <n v="50"/>
    <x v="2"/>
    <x v="5"/>
  </r>
  <r>
    <x v="1182"/>
    <n v="-4.1500000000000004"/>
    <x v="2544"/>
    <n v="554.57000000000005"/>
    <s v="Complete Access"/>
    <x v="1"/>
    <x v="1"/>
    <x v="1"/>
    <d v="1900-01-07T00:00:00"/>
    <n v="50"/>
    <x v="2"/>
    <x v="5"/>
  </r>
  <r>
    <x v="1183"/>
    <n v="-100"/>
    <x v="2274"/>
    <n v="633.79"/>
    <s v="Complete Access"/>
    <x v="552"/>
    <x v="0"/>
    <x v="74"/>
    <d v="1900-01-04T00:00:00"/>
    <n v="49"/>
    <x v="2"/>
    <x v="5"/>
  </r>
  <r>
    <x v="1183"/>
    <n v="-69.27"/>
    <x v="2105"/>
    <n v="558.72"/>
    <s v="Complete Access"/>
    <x v="4"/>
    <x v="1"/>
    <x v="1"/>
    <d v="1900-01-04T00:00:00"/>
    <n v="49"/>
    <x v="2"/>
    <x v="5"/>
  </r>
  <r>
    <x v="1183"/>
    <n v="-5.8"/>
    <x v="2545"/>
    <n v="627.99"/>
    <s v="Complete Access"/>
    <x v="34"/>
    <x v="9"/>
    <x v="12"/>
    <d v="1900-01-04T00:00:00"/>
    <n v="49"/>
    <x v="2"/>
    <x v="5"/>
  </r>
  <r>
    <x v="1184"/>
    <n v="-203.39"/>
    <x v="2546"/>
    <n v="585.66"/>
    <s v="Complete Access"/>
    <x v="438"/>
    <x v="12"/>
    <x v="21"/>
    <d v="1900-01-03T00:00:00"/>
    <n v="49"/>
    <x v="2"/>
    <x v="5"/>
  </r>
  <r>
    <x v="1184"/>
    <n v="148.13"/>
    <x v="2547"/>
    <n v="733.79"/>
    <s v="Complete Access"/>
    <x v="577"/>
    <x v="0"/>
    <x v="69"/>
    <d v="1900-01-03T00:00:00"/>
    <n v="49"/>
    <x v="2"/>
    <x v="5"/>
  </r>
  <r>
    <x v="1185"/>
    <n v="-61.6"/>
    <x v="2548"/>
    <n v="1126.9000000000001"/>
    <s v="Complete Access"/>
    <x v="8"/>
    <x v="1"/>
    <x v="5"/>
    <d v="1900-01-02T00:00:00"/>
    <n v="49"/>
    <x v="2"/>
    <x v="5"/>
  </r>
  <r>
    <x v="1185"/>
    <n v="-337.85"/>
    <x v="2549"/>
    <n v="789.05"/>
    <s v="Complete Access"/>
    <x v="614"/>
    <x v="1"/>
    <x v="5"/>
    <d v="1900-01-02T00:00:00"/>
    <n v="49"/>
    <x v="2"/>
    <x v="5"/>
  </r>
  <r>
    <x v="1186"/>
    <n v="-18.989999999999998"/>
    <x v="2550"/>
    <n v="1303.08"/>
    <s v="Complete Access"/>
    <x v="8"/>
    <x v="1"/>
    <x v="5"/>
    <d v="1900-01-01T00:00:00"/>
    <n v="49"/>
    <x v="2"/>
    <x v="5"/>
  </r>
  <r>
    <x v="1186"/>
    <n v="-22.49"/>
    <x v="2551"/>
    <n v="1247.7"/>
    <s v="Complete Access"/>
    <x v="8"/>
    <x v="1"/>
    <x v="5"/>
    <d v="1900-01-01T00:00:00"/>
    <n v="49"/>
    <x v="2"/>
    <x v="5"/>
  </r>
  <r>
    <x v="1186"/>
    <n v="-32.89"/>
    <x v="2551"/>
    <n v="1270.19"/>
    <s v="Complete Access"/>
    <x v="8"/>
    <x v="1"/>
    <x v="5"/>
    <d v="1900-01-01T00:00:00"/>
    <n v="49"/>
    <x v="2"/>
    <x v="5"/>
  </r>
  <r>
    <x v="1186"/>
    <n v="-38.200000000000003"/>
    <x v="2552"/>
    <n v="1209.5"/>
    <s v="Complete Access"/>
    <x v="343"/>
    <x v="1"/>
    <x v="5"/>
    <d v="1900-01-01T00:00:00"/>
    <n v="49"/>
    <x v="2"/>
    <x v="5"/>
  </r>
  <r>
    <x v="1186"/>
    <n v="-21"/>
    <x v="2273"/>
    <n v="1188.5"/>
    <s v="Complete Access"/>
    <x v="0"/>
    <x v="0"/>
    <x v="0"/>
    <d v="1900-01-01T00:00:00"/>
    <n v="49"/>
    <x v="2"/>
    <x v="5"/>
  </r>
  <r>
    <x v="1186"/>
    <n v="-21.99"/>
    <x v="2553"/>
    <n v="1322.07"/>
    <s v="Complete Access"/>
    <x v="104"/>
    <x v="1"/>
    <x v="5"/>
    <d v="1900-01-01T00:00:00"/>
    <n v="49"/>
    <x v="2"/>
    <x v="5"/>
  </r>
  <r>
    <x v="1187"/>
    <n v="-36.99"/>
    <x v="2554"/>
    <n v="1394.11"/>
    <s v="Complete Access"/>
    <x v="8"/>
    <x v="1"/>
    <x v="5"/>
    <d v="1899-12-31T00:00:00"/>
    <n v="49"/>
    <x v="2"/>
    <x v="5"/>
  </r>
  <r>
    <x v="1187"/>
    <n v="-11.65"/>
    <x v="2555"/>
    <n v="1382.46"/>
    <s v="Complete Access"/>
    <x v="47"/>
    <x v="1"/>
    <x v="5"/>
    <d v="1899-12-31T00:00:00"/>
    <n v="49"/>
    <x v="2"/>
    <x v="5"/>
  </r>
  <r>
    <x v="1187"/>
    <n v="-20"/>
    <x v="2229"/>
    <n v="1431.1"/>
    <s v="Complete Access"/>
    <x v="557"/>
    <x v="7"/>
    <x v="53"/>
    <d v="1899-12-31T00:00:00"/>
    <n v="49"/>
    <x v="2"/>
    <x v="5"/>
  </r>
  <r>
    <x v="1187"/>
    <n v="69"/>
    <x v="2282"/>
    <n v="1520.66"/>
    <s v="Complete Access"/>
    <x v="567"/>
    <x v="0"/>
    <x v="69"/>
    <d v="1899-12-31T00:00:00"/>
    <n v="49"/>
    <x v="2"/>
    <x v="5"/>
  </r>
  <r>
    <x v="1187"/>
    <n v="69.2"/>
    <x v="2556"/>
    <n v="1451.66"/>
    <s v="Complete Access"/>
    <x v="583"/>
    <x v="0"/>
    <x v="69"/>
    <d v="1899-12-31T00:00:00"/>
    <n v="49"/>
    <x v="2"/>
    <x v="5"/>
  </r>
  <r>
    <x v="1187"/>
    <n v="-176.6"/>
    <x v="2557"/>
    <n v="1344.06"/>
    <s v="Complete Access"/>
    <x v="76"/>
    <x v="2"/>
    <x v="2"/>
    <d v="1899-12-31T00:00:00"/>
    <n v="49"/>
    <x v="2"/>
    <x v="5"/>
  </r>
  <r>
    <x v="1188"/>
    <n v="22"/>
    <x v="2558"/>
    <n v="1451.1"/>
    <s v="Complete Access"/>
    <x v="583"/>
    <x v="0"/>
    <x v="69"/>
    <d v="1900-01-28T00:00:00"/>
    <n v="49"/>
    <x v="3"/>
    <x v="5"/>
  </r>
  <r>
    <x v="1188"/>
    <n v="1132.6300000000001"/>
    <x v="2559"/>
    <n v="1429.1"/>
    <s v="Complete Access"/>
    <x v="384"/>
    <x v="14"/>
    <x v="68"/>
    <d v="1900-01-28T00:00:00"/>
    <n v="49"/>
    <x v="3"/>
    <x v="5"/>
  </r>
  <r>
    <x v="1189"/>
    <n v="-60"/>
    <x v="2560"/>
    <n v="296.47000000000003"/>
    <s v="Complete Access"/>
    <x v="0"/>
    <x v="0"/>
    <x v="0"/>
    <d v="1900-01-27T00:00:00"/>
    <n v="48"/>
    <x v="3"/>
    <x v="5"/>
  </r>
  <r>
    <x v="1189"/>
    <n v="-10.59"/>
    <x v="2561"/>
    <n v="456.47"/>
    <s v="Complete Access"/>
    <x v="215"/>
    <x v="1"/>
    <x v="1"/>
    <d v="1900-01-27T00:00:00"/>
    <n v="48"/>
    <x v="3"/>
    <x v="5"/>
  </r>
  <r>
    <x v="1189"/>
    <n v="-100"/>
    <x v="2274"/>
    <n v="356.47"/>
    <s v="Complete Access"/>
    <x v="552"/>
    <x v="0"/>
    <x v="74"/>
    <d v="1900-01-27T00:00:00"/>
    <n v="48"/>
    <x v="3"/>
    <x v="5"/>
  </r>
  <r>
    <x v="1190"/>
    <n v="-17.48"/>
    <x v="2527"/>
    <n v="467.06"/>
    <s v="Complete Access"/>
    <x v="177"/>
    <x v="1"/>
    <x v="1"/>
    <d v="1900-01-26T00:00:00"/>
    <n v="48"/>
    <x v="3"/>
    <x v="5"/>
  </r>
  <r>
    <x v="1190"/>
    <n v="-5000"/>
    <x v="2562"/>
    <n v="484.54"/>
    <s v="Complete Access"/>
    <x v="504"/>
    <x v="0"/>
    <x v="72"/>
    <d v="1900-01-26T00:00:00"/>
    <n v="48"/>
    <x v="3"/>
    <x v="5"/>
  </r>
  <r>
    <x v="1191"/>
    <n v="2143.4699999999998"/>
    <x v="2563"/>
    <n v="8013.54"/>
    <s v="Complete Access"/>
    <x v="14"/>
    <x v="6"/>
    <x v="9"/>
    <d v="1900-01-25T00:00:00"/>
    <n v="48"/>
    <x v="3"/>
    <x v="5"/>
  </r>
  <r>
    <x v="1191"/>
    <n v="-500"/>
    <x v="2294"/>
    <n v="7513.54"/>
    <s v="Complete Access"/>
    <x v="571"/>
    <x v="19"/>
    <x v="61"/>
    <d v="1900-01-25T00:00:00"/>
    <n v="48"/>
    <x v="3"/>
    <x v="5"/>
  </r>
  <r>
    <x v="1191"/>
    <n v="-24"/>
    <x v="2564"/>
    <n v="7489.54"/>
    <s v="Complete Access"/>
    <x v="434"/>
    <x v="8"/>
    <x v="29"/>
    <d v="1900-01-25T00:00:00"/>
    <n v="48"/>
    <x v="3"/>
    <x v="5"/>
  </r>
  <r>
    <x v="1191"/>
    <n v="-5"/>
    <x v="2565"/>
    <n v="7484.54"/>
    <s v="Complete Access"/>
    <x v="1"/>
    <x v="1"/>
    <x v="1"/>
    <d v="1900-01-25T00:00:00"/>
    <n v="48"/>
    <x v="3"/>
    <x v="5"/>
  </r>
  <r>
    <x v="1191"/>
    <n v="-2000"/>
    <x v="2566"/>
    <n v="5484.54"/>
    <s v="Complete Access"/>
    <x v="504"/>
    <x v="0"/>
    <x v="72"/>
    <d v="1900-01-25T00:00:00"/>
    <n v="48"/>
    <x v="3"/>
    <x v="5"/>
  </r>
  <r>
    <x v="1192"/>
    <n v="-24.99"/>
    <x v="2567"/>
    <n v="5870.07"/>
    <s v="Complete Access"/>
    <x v="8"/>
    <x v="1"/>
    <x v="5"/>
    <d v="1900-01-24T00:00:00"/>
    <n v="48"/>
    <x v="3"/>
    <x v="5"/>
  </r>
  <r>
    <x v="1192"/>
    <n v="-22.49"/>
    <x v="2568"/>
    <n v="5938.85"/>
    <s v="Complete Access"/>
    <x v="8"/>
    <x v="1"/>
    <x v="5"/>
    <d v="1900-01-24T00:00:00"/>
    <n v="48"/>
    <x v="3"/>
    <x v="5"/>
  </r>
  <r>
    <x v="1192"/>
    <n v="-27.89"/>
    <x v="2568"/>
    <n v="5961.34"/>
    <s v="Complete Access"/>
    <x v="8"/>
    <x v="1"/>
    <x v="5"/>
    <d v="1900-01-24T00:00:00"/>
    <n v="48"/>
    <x v="3"/>
    <x v="5"/>
  </r>
  <r>
    <x v="1192"/>
    <n v="-43.79"/>
    <x v="2569"/>
    <n v="5895.06"/>
    <s v="Complete Access"/>
    <x v="8"/>
    <x v="1"/>
    <x v="5"/>
    <d v="1900-01-24T00:00:00"/>
    <n v="48"/>
    <x v="3"/>
    <x v="5"/>
  </r>
  <r>
    <x v="1193"/>
    <n v="-20.68"/>
    <x v="2570"/>
    <n v="5989.23"/>
    <s v="Complete Access"/>
    <x v="34"/>
    <x v="9"/>
    <x v="12"/>
    <d v="1900-01-23T00:00:00"/>
    <n v="48"/>
    <x v="3"/>
    <x v="5"/>
  </r>
  <r>
    <x v="1194"/>
    <n v="-22.01"/>
    <x v="2135"/>
    <n v="6009.91"/>
    <s v="Complete Access"/>
    <x v="215"/>
    <x v="1"/>
    <x v="1"/>
    <d v="1900-01-22T00:00:00"/>
    <n v="48"/>
    <x v="3"/>
    <x v="5"/>
  </r>
  <r>
    <x v="1195"/>
    <n v="-40"/>
    <x v="2571"/>
    <n v="6031.92"/>
    <s v="Complete Access"/>
    <x v="601"/>
    <x v="0"/>
    <x v="0"/>
    <d v="1900-01-20T00:00:00"/>
    <n v="47"/>
    <x v="3"/>
    <x v="5"/>
  </r>
  <r>
    <x v="1195"/>
    <n v="-100"/>
    <x v="2274"/>
    <n v="6071.92"/>
    <s v="Complete Access"/>
    <x v="552"/>
    <x v="0"/>
    <x v="74"/>
    <d v="1900-01-20T00:00:00"/>
    <n v="47"/>
    <x v="3"/>
    <x v="5"/>
  </r>
  <r>
    <x v="1196"/>
    <n v="-273.08999999999997"/>
    <x v="2572"/>
    <n v="6171.92"/>
    <s v="Complete Access"/>
    <x v="295"/>
    <x v="14"/>
    <x v="66"/>
    <d v="1900-01-19T00:00:00"/>
    <n v="47"/>
    <x v="3"/>
    <x v="5"/>
  </r>
  <r>
    <x v="1197"/>
    <n v="-50.4"/>
    <x v="2573"/>
    <n v="6462.01"/>
    <s v="Complete Access"/>
    <x v="237"/>
    <x v="15"/>
    <x v="34"/>
    <d v="1900-01-18T00:00:00"/>
    <n v="47"/>
    <x v="3"/>
    <x v="5"/>
  </r>
  <r>
    <x v="1197"/>
    <n v="-5"/>
    <x v="2574"/>
    <n v="6445.01"/>
    <s v="Complete Access"/>
    <x v="1"/>
    <x v="1"/>
    <x v="1"/>
    <d v="1900-01-18T00:00:00"/>
    <n v="47"/>
    <x v="3"/>
    <x v="5"/>
  </r>
  <r>
    <x v="1197"/>
    <n v="-12"/>
    <x v="2575"/>
    <n v="6450.01"/>
    <s v="Complete Access"/>
    <x v="1"/>
    <x v="1"/>
    <x v="1"/>
    <d v="1900-01-18T00:00:00"/>
    <n v="47"/>
    <x v="3"/>
    <x v="5"/>
  </r>
  <r>
    <x v="1198"/>
    <n v="-39.49"/>
    <x v="2576"/>
    <n v="6565.19"/>
    <s v="Complete Access"/>
    <x v="8"/>
    <x v="1"/>
    <x v="5"/>
    <d v="1900-01-17T00:00:00"/>
    <n v="47"/>
    <x v="3"/>
    <x v="5"/>
  </r>
  <r>
    <x v="1198"/>
    <n v="-28.89"/>
    <x v="2577"/>
    <n v="6512.41"/>
    <s v="Complete Access"/>
    <x v="8"/>
    <x v="1"/>
    <x v="5"/>
    <d v="1900-01-17T00:00:00"/>
    <n v="47"/>
    <x v="3"/>
    <x v="5"/>
  </r>
  <r>
    <x v="1198"/>
    <n v="-23.89"/>
    <x v="2578"/>
    <n v="6541.3"/>
    <s v="Complete Access"/>
    <x v="8"/>
    <x v="1"/>
    <x v="5"/>
    <d v="1900-01-17T00:00:00"/>
    <n v="47"/>
    <x v="3"/>
    <x v="5"/>
  </r>
  <r>
    <x v="1199"/>
    <n v="-240"/>
    <x v="2579"/>
    <n v="6630.66"/>
    <s v="Complete Access"/>
    <x v="601"/>
    <x v="0"/>
    <x v="0"/>
    <d v="1900-01-16T00:00:00"/>
    <n v="47"/>
    <x v="3"/>
    <x v="5"/>
  </r>
  <r>
    <x v="1199"/>
    <n v="-25.14"/>
    <x v="2580"/>
    <n v="7012.85"/>
    <s v="Complete Access"/>
    <x v="8"/>
    <x v="1"/>
    <x v="5"/>
    <d v="1900-01-16T00:00:00"/>
    <n v="47"/>
    <x v="3"/>
    <x v="5"/>
  </r>
  <r>
    <x v="1199"/>
    <n v="-2.5"/>
    <x v="72"/>
    <n v="6628.16"/>
    <s v="Complete Access"/>
    <x v="37"/>
    <x v="0"/>
    <x v="0"/>
    <d v="1900-01-16T00:00:00"/>
    <n v="47"/>
    <x v="3"/>
    <x v="5"/>
  </r>
  <r>
    <x v="1199"/>
    <n v="-4.1399999999999997"/>
    <x v="2581"/>
    <n v="6870.66"/>
    <s v="Complete Access"/>
    <x v="10"/>
    <x v="0"/>
    <x v="0"/>
    <d v="1900-01-16T00:00:00"/>
    <n v="47"/>
    <x v="3"/>
    <x v="5"/>
  </r>
  <r>
    <x v="1199"/>
    <n v="-138.05000000000001"/>
    <x v="2582"/>
    <n v="6874.8"/>
    <s v="Complete Access"/>
    <x v="615"/>
    <x v="4"/>
    <x v="73"/>
    <d v="1900-01-16T00:00:00"/>
    <n v="47"/>
    <x v="3"/>
    <x v="5"/>
  </r>
  <r>
    <x v="1199"/>
    <n v="-23.48"/>
    <x v="2105"/>
    <n v="6604.68"/>
    <s v="Complete Access"/>
    <x v="4"/>
    <x v="1"/>
    <x v="1"/>
    <d v="1900-01-16T00:00:00"/>
    <n v="47"/>
    <x v="3"/>
    <x v="5"/>
  </r>
  <r>
    <x v="1200"/>
    <n v="-10.1"/>
    <x v="2583"/>
    <n v="7086.51"/>
    <s v="Complete Access"/>
    <x v="616"/>
    <x v="1"/>
    <x v="1"/>
    <d v="1900-01-15T00:00:00"/>
    <n v="47"/>
    <x v="3"/>
    <x v="5"/>
  </r>
  <r>
    <x v="1200"/>
    <n v="-48.52"/>
    <x v="2135"/>
    <n v="7037.99"/>
    <s v="Complete Access"/>
    <x v="215"/>
    <x v="1"/>
    <x v="1"/>
    <d v="1900-01-15T00:00:00"/>
    <n v="47"/>
    <x v="3"/>
    <x v="5"/>
  </r>
  <r>
    <x v="1201"/>
    <n v="-40"/>
    <x v="2584"/>
    <n v="7099.11"/>
    <s v="Complete Access"/>
    <x v="601"/>
    <x v="0"/>
    <x v="0"/>
    <d v="1900-01-13T00:00:00"/>
    <n v="46"/>
    <x v="3"/>
    <x v="5"/>
  </r>
  <r>
    <x v="1201"/>
    <n v="-350"/>
    <x v="2584"/>
    <n v="7141.61"/>
    <s v="Complete Access"/>
    <x v="601"/>
    <x v="0"/>
    <x v="0"/>
    <d v="1900-01-13T00:00:00"/>
    <n v="46"/>
    <x v="3"/>
    <x v="5"/>
  </r>
  <r>
    <x v="1201"/>
    <n v="-2.5"/>
    <x v="72"/>
    <n v="7096.61"/>
    <s v="Complete Access"/>
    <x v="37"/>
    <x v="0"/>
    <x v="0"/>
    <d v="1900-01-13T00:00:00"/>
    <n v="46"/>
    <x v="3"/>
    <x v="5"/>
  </r>
  <r>
    <x v="1201"/>
    <n v="-2.5"/>
    <x v="72"/>
    <n v="7139.11"/>
    <s v="Complete Access"/>
    <x v="37"/>
    <x v="0"/>
    <x v="0"/>
    <d v="1900-01-13T00:00:00"/>
    <n v="46"/>
    <x v="3"/>
    <x v="5"/>
  </r>
  <r>
    <x v="1201"/>
    <n v="-100"/>
    <x v="2274"/>
    <n v="7491.61"/>
    <s v="Complete Access"/>
    <x v="552"/>
    <x v="0"/>
    <x v="74"/>
    <d v="1900-01-13T00:00:00"/>
    <n v="46"/>
    <x v="3"/>
    <x v="5"/>
  </r>
  <r>
    <x v="1202"/>
    <n v="-32.9"/>
    <x v="2585"/>
    <n v="7591.61"/>
    <s v="Complete Access"/>
    <x v="8"/>
    <x v="1"/>
    <x v="5"/>
    <d v="1900-01-12T00:00:00"/>
    <n v="46"/>
    <x v="3"/>
    <x v="5"/>
  </r>
  <r>
    <x v="1202"/>
    <n v="-174.2"/>
    <x v="2586"/>
    <n v="7624.51"/>
    <s v="Complete Access"/>
    <x v="438"/>
    <x v="12"/>
    <x v="21"/>
    <d v="1900-01-12T00:00:00"/>
    <n v="46"/>
    <x v="3"/>
    <x v="5"/>
  </r>
  <r>
    <x v="1203"/>
    <n v="2227.4699999999998"/>
    <x v="2520"/>
    <n v="8240.7099999999991"/>
    <s v="Complete Access"/>
    <x v="14"/>
    <x v="6"/>
    <x v="9"/>
    <d v="1900-01-11T00:00:00"/>
    <n v="46"/>
    <x v="3"/>
    <x v="5"/>
  </r>
  <r>
    <x v="1203"/>
    <n v="-500"/>
    <x v="2294"/>
    <n v="7740.71"/>
    <s v="Complete Access"/>
    <x v="571"/>
    <x v="19"/>
    <x v="61"/>
    <d v="1900-01-11T00:00:00"/>
    <n v="46"/>
    <x v="3"/>
    <x v="5"/>
  </r>
  <r>
    <x v="1203"/>
    <n v="58"/>
    <x v="2282"/>
    <n v="7798.71"/>
    <s v="Complete Access"/>
    <x v="567"/>
    <x v="0"/>
    <x v="69"/>
    <d v="1900-01-11T00:00:00"/>
    <n v="46"/>
    <x v="3"/>
    <x v="5"/>
  </r>
  <r>
    <x v="1204"/>
    <n v="-40.799999999999997"/>
    <x v="2587"/>
    <n v="5979.24"/>
    <s v="Complete Access"/>
    <x v="8"/>
    <x v="1"/>
    <x v="5"/>
    <d v="1900-01-10T00:00:00"/>
    <n v="46"/>
    <x v="3"/>
    <x v="5"/>
  </r>
  <r>
    <x v="1204"/>
    <n v="-32.799999999999997"/>
    <x v="2588"/>
    <n v="6020.04"/>
    <s v="Complete Access"/>
    <x v="8"/>
    <x v="1"/>
    <x v="5"/>
    <d v="1900-01-10T00:00:00"/>
    <n v="46"/>
    <x v="3"/>
    <x v="5"/>
  </r>
  <r>
    <x v="1204"/>
    <n v="34"/>
    <x v="2589"/>
    <n v="6013.24"/>
    <s v="Complete Access"/>
    <x v="0"/>
    <x v="0"/>
    <x v="0"/>
    <d v="1900-01-10T00:00:00"/>
    <n v="46"/>
    <x v="3"/>
    <x v="5"/>
  </r>
  <r>
    <x v="1205"/>
    <n v="-43.79"/>
    <x v="2590"/>
    <n v="6142.34"/>
    <s v="Complete Access"/>
    <x v="8"/>
    <x v="1"/>
    <x v="5"/>
    <d v="1900-01-09T00:00:00"/>
    <n v="46"/>
    <x v="3"/>
    <x v="5"/>
  </r>
  <r>
    <x v="1205"/>
    <n v="-33"/>
    <x v="2591"/>
    <n v="6109.34"/>
    <s v="Complete Access"/>
    <x v="8"/>
    <x v="1"/>
    <x v="5"/>
    <d v="1900-01-09T00:00:00"/>
    <n v="46"/>
    <x v="3"/>
    <x v="5"/>
  </r>
  <r>
    <x v="1205"/>
    <n v="-56.5"/>
    <x v="2135"/>
    <n v="6052.84"/>
    <s v="Complete Access"/>
    <x v="215"/>
    <x v="1"/>
    <x v="1"/>
    <d v="1900-01-09T00:00:00"/>
    <n v="46"/>
    <x v="3"/>
    <x v="5"/>
  </r>
  <r>
    <x v="1206"/>
    <n v="30"/>
    <x v="2589"/>
    <n v="6245.13"/>
    <s v="Complete Access"/>
    <x v="0"/>
    <x v="0"/>
    <x v="0"/>
    <d v="1900-01-08T00:00:00"/>
    <n v="46"/>
    <x v="3"/>
    <x v="5"/>
  </r>
  <r>
    <x v="1206"/>
    <n v="-20"/>
    <x v="2592"/>
    <n v="6215.13"/>
    <s v="Complete Access"/>
    <x v="0"/>
    <x v="0"/>
    <x v="0"/>
    <d v="1900-01-08T00:00:00"/>
    <n v="46"/>
    <x v="3"/>
    <x v="5"/>
  </r>
  <r>
    <x v="1206"/>
    <n v="-59"/>
    <x v="2543"/>
    <n v="6186.13"/>
    <s v="Complete Access"/>
    <x v="17"/>
    <x v="7"/>
    <x v="11"/>
    <d v="1900-01-08T00:00:00"/>
    <n v="46"/>
    <x v="3"/>
    <x v="5"/>
  </r>
  <r>
    <x v="1207"/>
    <n v="20"/>
    <x v="2593"/>
    <n v="6256.13"/>
    <s v="Complete Access"/>
    <x v="568"/>
    <x v="0"/>
    <x v="69"/>
    <d v="1900-01-07T00:00:00"/>
    <n v="46"/>
    <x v="3"/>
    <x v="5"/>
  </r>
  <r>
    <x v="1207"/>
    <n v="-20"/>
    <x v="2594"/>
    <n v="6236.13"/>
    <s v="Complete Access"/>
    <x v="0"/>
    <x v="0"/>
    <x v="0"/>
    <d v="1900-01-07T00:00:00"/>
    <n v="46"/>
    <x v="3"/>
    <x v="5"/>
  </r>
  <r>
    <x v="1207"/>
    <n v="-21"/>
    <x v="2346"/>
    <n v="6235.13"/>
    <s v="Complete Access"/>
    <x v="0"/>
    <x v="0"/>
    <x v="0"/>
    <d v="1900-01-07T00:00:00"/>
    <n v="46"/>
    <x v="3"/>
    <x v="5"/>
  </r>
  <r>
    <x v="1208"/>
    <n v="-10.99"/>
    <x v="2595"/>
    <n v="6357.99"/>
    <s v="Complete Access"/>
    <x v="373"/>
    <x v="8"/>
    <x v="7"/>
    <d v="1900-01-06T00:00:00"/>
    <n v="45"/>
    <x v="3"/>
    <x v="5"/>
  </r>
  <r>
    <x v="1208"/>
    <n v="-100"/>
    <x v="2274"/>
    <n v="6256.13"/>
    <s v="Complete Access"/>
    <x v="552"/>
    <x v="0"/>
    <x v="74"/>
    <d v="1900-01-06T00:00:00"/>
    <n v="45"/>
    <x v="3"/>
    <x v="5"/>
  </r>
  <r>
    <x v="1208"/>
    <n v="-1.86"/>
    <x v="2596"/>
    <n v="6356.13"/>
    <s v="Complete Access"/>
    <x v="44"/>
    <x v="4"/>
    <x v="27"/>
    <d v="1900-01-06T00:00:00"/>
    <n v="45"/>
    <x v="3"/>
    <x v="5"/>
  </r>
  <r>
    <x v="1209"/>
    <n v="-23.5"/>
    <x v="2597"/>
    <n v="6379.57"/>
    <s v="Complete Access"/>
    <x v="343"/>
    <x v="1"/>
    <x v="5"/>
    <d v="1900-01-03T00:00:00"/>
    <n v="45"/>
    <x v="3"/>
    <x v="5"/>
  </r>
  <r>
    <x v="1209"/>
    <n v="-10.59"/>
    <x v="2135"/>
    <n v="6368.98"/>
    <s v="Complete Access"/>
    <x v="215"/>
    <x v="1"/>
    <x v="1"/>
    <d v="1900-01-03T00:00:00"/>
    <n v="45"/>
    <x v="3"/>
    <x v="5"/>
  </r>
  <r>
    <x v="1210"/>
    <n v="-14.88"/>
    <x v="2135"/>
    <n v="6403.07"/>
    <s v="Complete Access"/>
    <x v="215"/>
    <x v="1"/>
    <x v="1"/>
    <d v="1900-01-02T00:00:00"/>
    <n v="45"/>
    <x v="3"/>
    <x v="5"/>
  </r>
  <r>
    <x v="1210"/>
    <n v="-14.99"/>
    <x v="2598"/>
    <n v="6417.95"/>
    <s v="Complete Access"/>
    <x v="222"/>
    <x v="11"/>
    <x v="14"/>
    <d v="1900-01-02T00:00:00"/>
    <n v="45"/>
    <x v="3"/>
    <x v="5"/>
  </r>
  <r>
    <x v="1211"/>
    <n v="-172.99"/>
    <x v="2599"/>
    <n v="6432.94"/>
    <s v="Complete Access"/>
    <x v="76"/>
    <x v="2"/>
    <x v="2"/>
    <d v="1900-01-01T00:00:00"/>
    <n v="45"/>
    <x v="3"/>
    <x v="5"/>
  </r>
  <r>
    <x v="1212"/>
    <n v="-20"/>
    <x v="2229"/>
    <n v="6642.39"/>
    <s v="Complete Access"/>
    <x v="557"/>
    <x v="7"/>
    <x v="53"/>
    <d v="1899-12-31T00:00:00"/>
    <n v="45"/>
    <x v="3"/>
    <x v="5"/>
  </r>
  <r>
    <x v="1212"/>
    <n v="-36.46"/>
    <x v="2135"/>
    <n v="6605.93"/>
    <s v="Complete Access"/>
    <x v="215"/>
    <x v="1"/>
    <x v="1"/>
    <d v="1899-12-31T00:00:00"/>
    <n v="45"/>
    <x v="3"/>
    <x v="5"/>
  </r>
  <r>
    <x v="1213"/>
    <n v="-31.15"/>
    <x v="2600"/>
    <n v="6662.39"/>
    <s v="Complete Access"/>
    <x v="551"/>
    <x v="1"/>
    <x v="5"/>
    <d v="1900-01-30T00:00:00"/>
    <n v="44"/>
    <x v="4"/>
    <x v="5"/>
  </r>
  <r>
    <x v="1213"/>
    <n v="-100"/>
    <x v="2274"/>
    <n v="6693.54"/>
    <s v="Complete Access"/>
    <x v="552"/>
    <x v="0"/>
    <x v="74"/>
    <d v="1900-01-30T00:00:00"/>
    <n v="44"/>
    <x v="4"/>
    <x v="5"/>
  </r>
  <r>
    <x v="1214"/>
    <n v="-7.53"/>
    <x v="2601"/>
    <n v="6793.54"/>
    <s v="Complete Access"/>
    <x v="1"/>
    <x v="1"/>
    <x v="1"/>
    <d v="1900-01-29T00:00:00"/>
    <n v="44"/>
    <x v="4"/>
    <x v="5"/>
  </r>
  <r>
    <x v="1215"/>
    <n v="2101.4699999999998"/>
    <x v="2602"/>
    <n v="7301.07"/>
    <s v="Complete Access"/>
    <x v="14"/>
    <x v="6"/>
    <x v="9"/>
    <d v="1900-01-28T00:00:00"/>
    <n v="44"/>
    <x v="4"/>
    <x v="5"/>
  </r>
  <r>
    <x v="1215"/>
    <n v="-500"/>
    <x v="2294"/>
    <n v="6801.07"/>
    <s v="Complete Access"/>
    <x v="571"/>
    <x v="19"/>
    <x v="61"/>
    <d v="1900-01-28T00:00:00"/>
    <n v="44"/>
    <x v="4"/>
    <x v="5"/>
  </r>
  <r>
    <x v="1216"/>
    <n v="-23.89"/>
    <x v="2603"/>
    <n v="5251.96"/>
    <s v="Complete Access"/>
    <x v="8"/>
    <x v="1"/>
    <x v="5"/>
    <d v="1900-01-27T00:00:00"/>
    <n v="44"/>
    <x v="4"/>
    <x v="5"/>
  </r>
  <r>
    <x v="1216"/>
    <n v="-23.89"/>
    <x v="2604"/>
    <n v="5275.85"/>
    <s v="Complete Access"/>
    <x v="8"/>
    <x v="1"/>
    <x v="5"/>
    <d v="1900-01-27T00:00:00"/>
    <n v="44"/>
    <x v="4"/>
    <x v="5"/>
  </r>
  <r>
    <x v="1216"/>
    <n v="-30"/>
    <x v="2605"/>
    <n v="5299.74"/>
    <s v="Complete Access"/>
    <x v="104"/>
    <x v="1"/>
    <x v="5"/>
    <d v="1900-01-27T00:00:00"/>
    <n v="44"/>
    <x v="4"/>
    <x v="5"/>
  </r>
  <r>
    <x v="1216"/>
    <n v="-52.36"/>
    <x v="2105"/>
    <n v="5199.6000000000004"/>
    <s v="Complete Access"/>
    <x v="4"/>
    <x v="1"/>
    <x v="1"/>
    <d v="1900-01-27T00:00:00"/>
    <n v="44"/>
    <x v="4"/>
    <x v="5"/>
  </r>
  <r>
    <x v="1217"/>
    <n v="-100"/>
    <x v="2359"/>
    <n v="5329.74"/>
    <s v="Complete Access"/>
    <x v="0"/>
    <x v="0"/>
    <x v="0"/>
    <d v="1900-01-25T00:00:00"/>
    <n v="44"/>
    <x v="4"/>
    <x v="5"/>
  </r>
  <r>
    <x v="1217"/>
    <n v="-28.63"/>
    <x v="2135"/>
    <n v="5429.74"/>
    <s v="Complete Access"/>
    <x v="215"/>
    <x v="1"/>
    <x v="1"/>
    <d v="1900-01-25T00:00:00"/>
    <n v="44"/>
    <x v="4"/>
    <x v="5"/>
  </r>
  <r>
    <x v="1218"/>
    <n v="-25.99"/>
    <x v="2606"/>
    <n v="5542.37"/>
    <s v="Complete Access"/>
    <x v="8"/>
    <x v="1"/>
    <x v="5"/>
    <d v="1900-01-23T00:00:00"/>
    <n v="43"/>
    <x v="4"/>
    <x v="5"/>
  </r>
  <r>
    <x v="1218"/>
    <n v="-100"/>
    <x v="2274"/>
    <n v="5442.37"/>
    <s v="Complete Access"/>
    <x v="552"/>
    <x v="0"/>
    <x v="74"/>
    <d v="1900-01-23T00:00:00"/>
    <n v="43"/>
    <x v="4"/>
    <x v="5"/>
  </r>
  <r>
    <x v="1218"/>
    <n v="16"/>
    <x v="2607"/>
    <n v="5458.37"/>
    <s v="Complete Access"/>
    <x v="0"/>
    <x v="0"/>
    <x v="0"/>
    <d v="1900-01-23T00:00:00"/>
    <n v="43"/>
    <x v="4"/>
    <x v="5"/>
  </r>
  <r>
    <x v="1219"/>
    <n v="-53.8"/>
    <x v="2608"/>
    <n v="5568.36"/>
    <s v="Complete Access"/>
    <x v="56"/>
    <x v="9"/>
    <x v="31"/>
    <d v="1900-01-20T00:00:00"/>
    <n v="43"/>
    <x v="4"/>
    <x v="5"/>
  </r>
  <r>
    <x v="1220"/>
    <n v="-23.89"/>
    <x v="2609"/>
    <n v="5586.22"/>
    <s v="Complete Access"/>
    <x v="8"/>
    <x v="1"/>
    <x v="5"/>
    <d v="1900-01-19T00:00:00"/>
    <n v="43"/>
    <x v="4"/>
    <x v="5"/>
  </r>
  <r>
    <x v="1220"/>
    <n v="20.12"/>
    <x v="2610"/>
    <n v="5610.11"/>
    <s v="Complete Access"/>
    <x v="617"/>
    <x v="4"/>
    <x v="73"/>
    <d v="1900-01-19T00:00:00"/>
    <n v="43"/>
    <x v="4"/>
    <x v="5"/>
  </r>
  <r>
    <x v="1220"/>
    <n v="63"/>
    <x v="2556"/>
    <n v="5622.16"/>
    <s v="Complete Access"/>
    <x v="583"/>
    <x v="0"/>
    <x v="69"/>
    <d v="1900-01-19T00:00:00"/>
    <n v="43"/>
    <x v="4"/>
    <x v="5"/>
  </r>
  <r>
    <x v="1220"/>
    <n v="-27.06"/>
    <x v="2611"/>
    <n v="5559.16"/>
    <s v="Complete Access"/>
    <x v="4"/>
    <x v="1"/>
    <x v="1"/>
    <d v="1900-01-19T00:00:00"/>
    <n v="43"/>
    <x v="4"/>
    <x v="5"/>
  </r>
  <r>
    <x v="1221"/>
    <n v="-22"/>
    <x v="2612"/>
    <n v="5754.99"/>
    <s v="Complete Access"/>
    <x v="0"/>
    <x v="0"/>
    <x v="0"/>
    <d v="1900-01-18T00:00:00"/>
    <n v="43"/>
    <x v="4"/>
    <x v="5"/>
  </r>
  <r>
    <x v="1221"/>
    <n v="-165"/>
    <x v="2613"/>
    <n v="5589.99"/>
    <s v="Complete Access"/>
    <x v="504"/>
    <x v="0"/>
    <x v="72"/>
    <d v="1900-01-18T00:00:00"/>
    <n v="43"/>
    <x v="4"/>
    <x v="5"/>
  </r>
  <r>
    <x v="1222"/>
    <n v="-22"/>
    <x v="2614"/>
    <n v="5776.99"/>
    <s v="Complete Access"/>
    <x v="0"/>
    <x v="0"/>
    <x v="0"/>
    <d v="1900-01-16T00:00:00"/>
    <n v="42"/>
    <x v="4"/>
    <x v="5"/>
  </r>
  <r>
    <x v="1222"/>
    <n v="-100"/>
    <x v="2274"/>
    <n v="5798.99"/>
    <s v="Complete Access"/>
    <x v="552"/>
    <x v="0"/>
    <x v="74"/>
    <d v="1900-01-16T00:00:00"/>
    <n v="42"/>
    <x v="4"/>
    <x v="5"/>
  </r>
  <r>
    <x v="1223"/>
    <n v="-67.08"/>
    <x v="2615"/>
    <n v="5927.99"/>
    <s v="Complete Access"/>
    <x v="8"/>
    <x v="1"/>
    <x v="5"/>
    <d v="1900-01-15T00:00:00"/>
    <n v="42"/>
    <x v="4"/>
    <x v="5"/>
  </r>
  <r>
    <x v="1223"/>
    <n v="-23.89"/>
    <x v="2615"/>
    <n v="5995.07"/>
    <s v="Complete Access"/>
    <x v="8"/>
    <x v="1"/>
    <x v="5"/>
    <d v="1900-01-15T00:00:00"/>
    <n v="42"/>
    <x v="4"/>
    <x v="5"/>
  </r>
  <r>
    <x v="1223"/>
    <n v="-29"/>
    <x v="2616"/>
    <n v="5898.99"/>
    <s v="Complete Access"/>
    <x v="1"/>
    <x v="1"/>
    <x v="1"/>
    <d v="1900-01-15T00:00:00"/>
    <n v="42"/>
    <x v="4"/>
    <x v="5"/>
  </r>
  <r>
    <x v="1224"/>
    <n v="2101.4699999999998"/>
    <x v="2617"/>
    <n v="6518.96"/>
    <s v="Complete Access"/>
    <x v="14"/>
    <x v="6"/>
    <x v="9"/>
    <d v="1900-01-14T00:00:00"/>
    <n v="42"/>
    <x v="4"/>
    <x v="5"/>
  </r>
  <r>
    <x v="1224"/>
    <n v="-500"/>
    <x v="2294"/>
    <n v="6018.96"/>
    <s v="Complete Access"/>
    <x v="571"/>
    <x v="19"/>
    <x v="61"/>
    <d v="1900-01-14T00:00:00"/>
    <n v="42"/>
    <x v="4"/>
    <x v="5"/>
  </r>
  <r>
    <x v="1225"/>
    <n v="-23.89"/>
    <x v="2618"/>
    <n v="4417.49"/>
    <s v="Complete Access"/>
    <x v="8"/>
    <x v="1"/>
    <x v="5"/>
    <d v="1900-01-13T00:00:00"/>
    <n v="42"/>
    <x v="4"/>
    <x v="5"/>
  </r>
  <r>
    <x v="1225"/>
    <n v="-28.49"/>
    <x v="2618"/>
    <n v="4441.38"/>
    <s v="Complete Access"/>
    <x v="8"/>
    <x v="1"/>
    <x v="5"/>
    <d v="1900-01-13T00:00:00"/>
    <n v="42"/>
    <x v="4"/>
    <x v="5"/>
  </r>
  <r>
    <x v="1226"/>
    <n v="-180"/>
    <x v="2619"/>
    <n v="4469.87"/>
    <s v="Complete Access"/>
    <x v="618"/>
    <x v="8"/>
    <x v="29"/>
    <d v="1900-01-12T00:00:00"/>
    <n v="42"/>
    <x v="4"/>
    <x v="5"/>
  </r>
  <r>
    <x v="1226"/>
    <n v="-117"/>
    <x v="2619"/>
    <n v="4649.87"/>
    <s v="Complete Access"/>
    <x v="618"/>
    <x v="8"/>
    <x v="29"/>
    <d v="1900-01-12T00:00:00"/>
    <n v="42"/>
    <x v="4"/>
    <x v="5"/>
  </r>
  <r>
    <x v="1227"/>
    <n v="-42.48"/>
    <x v="2135"/>
    <n v="4826.37"/>
    <s v="Complete Access"/>
    <x v="215"/>
    <x v="1"/>
    <x v="1"/>
    <d v="1900-01-11T00:00:00"/>
    <n v="42"/>
    <x v="4"/>
    <x v="5"/>
  </r>
  <r>
    <x v="1227"/>
    <n v="-59.5"/>
    <x v="2543"/>
    <n v="4766.87"/>
    <s v="Complete Access"/>
    <x v="17"/>
    <x v="7"/>
    <x v="11"/>
    <d v="1900-01-11T00:00:00"/>
    <n v="42"/>
    <x v="4"/>
    <x v="5"/>
  </r>
  <r>
    <x v="1228"/>
    <n v="-100"/>
    <x v="2274"/>
    <n v="4850.8500000000004"/>
    <s v="Complete Access"/>
    <x v="552"/>
    <x v="0"/>
    <x v="74"/>
    <d v="1900-01-09T00:00:00"/>
    <n v="41"/>
    <x v="4"/>
    <x v="5"/>
  </r>
  <r>
    <x v="1228"/>
    <n v="18"/>
    <x v="2620"/>
    <n v="4868.8500000000004"/>
    <s v="Complete Access"/>
    <x v="0"/>
    <x v="0"/>
    <x v="0"/>
    <d v="1900-01-09T00:00:00"/>
    <n v="41"/>
    <x v="4"/>
    <x v="5"/>
  </r>
  <r>
    <x v="1229"/>
    <n v="-8"/>
    <x v="2409"/>
    <n v="4950.8500000000004"/>
    <s v="Complete Access"/>
    <x v="0"/>
    <x v="0"/>
    <x v="0"/>
    <d v="1900-01-08T00:00:00"/>
    <n v="41"/>
    <x v="4"/>
    <x v="5"/>
  </r>
  <r>
    <x v="1229"/>
    <n v="-16.600000000000001"/>
    <x v="1965"/>
    <n v="4958.8500000000004"/>
    <s v="Complete Access"/>
    <x v="304"/>
    <x v="1"/>
    <x v="5"/>
    <d v="1900-01-08T00:00:00"/>
    <n v="41"/>
    <x v="4"/>
    <x v="5"/>
  </r>
  <r>
    <x v="1230"/>
    <n v="-33.5"/>
    <x v="2621"/>
    <n v="4975.45"/>
    <s v="Complete Access"/>
    <x v="61"/>
    <x v="1"/>
    <x v="1"/>
    <d v="1900-01-07T00:00:00"/>
    <n v="41"/>
    <x v="4"/>
    <x v="5"/>
  </r>
  <r>
    <x v="1230"/>
    <n v="-24.26"/>
    <x v="2621"/>
    <n v="5008.95"/>
    <s v="Complete Access"/>
    <x v="61"/>
    <x v="1"/>
    <x v="1"/>
    <d v="1900-01-07T00:00:00"/>
    <n v="41"/>
    <x v="4"/>
    <x v="5"/>
  </r>
  <r>
    <x v="1230"/>
    <n v="-33.5"/>
    <x v="2622"/>
    <n v="4975.45"/>
    <s v="Complete Access"/>
    <x v="61"/>
    <x v="1"/>
    <x v="1"/>
    <d v="1900-01-07T00:00:00"/>
    <n v="41"/>
    <x v="4"/>
    <x v="5"/>
  </r>
  <r>
    <x v="1230"/>
    <n v="-24.26"/>
    <x v="2622"/>
    <n v="5008.95"/>
    <s v="Complete Access"/>
    <x v="61"/>
    <x v="1"/>
    <x v="1"/>
    <d v="1900-01-07T00:00:00"/>
    <n v="41"/>
    <x v="4"/>
    <x v="5"/>
  </r>
  <r>
    <x v="1230"/>
    <n v="-9.99"/>
    <x v="2623"/>
    <n v="5033.21"/>
    <s v="Complete Access"/>
    <x v="373"/>
    <x v="8"/>
    <x v="7"/>
    <d v="1900-01-07T00:00:00"/>
    <n v="41"/>
    <x v="4"/>
    <x v="5"/>
  </r>
  <r>
    <x v="1230"/>
    <n v="-9.99"/>
    <x v="2624"/>
    <n v="5033.21"/>
    <s v="Complete Access"/>
    <x v="373"/>
    <x v="8"/>
    <x v="7"/>
    <d v="1900-01-07T00:00:00"/>
    <n v="41"/>
    <x v="4"/>
    <x v="5"/>
  </r>
  <r>
    <x v="1231"/>
    <n v="-23.29"/>
    <x v="2625"/>
    <n v="5271.54"/>
    <s v="Complete Access"/>
    <x v="8"/>
    <x v="1"/>
    <x v="5"/>
    <d v="1900-01-06T00:00:00"/>
    <n v="41"/>
    <x v="4"/>
    <x v="5"/>
  </r>
  <r>
    <x v="1231"/>
    <n v="-21.9"/>
    <x v="2625"/>
    <n v="5294.83"/>
    <s v="Complete Access"/>
    <x v="8"/>
    <x v="1"/>
    <x v="5"/>
    <d v="1900-01-06T00:00:00"/>
    <n v="41"/>
    <x v="4"/>
    <x v="5"/>
  </r>
  <r>
    <x v="1231"/>
    <n v="-23.89"/>
    <x v="2625"/>
    <n v="5316.73"/>
    <s v="Complete Access"/>
    <x v="8"/>
    <x v="1"/>
    <x v="5"/>
    <d v="1900-01-06T00:00:00"/>
    <n v="41"/>
    <x v="4"/>
    <x v="5"/>
  </r>
  <r>
    <x v="1231"/>
    <n v="-24.34"/>
    <x v="2626"/>
    <n v="5247.2"/>
    <s v="Complete Access"/>
    <x v="8"/>
    <x v="1"/>
    <x v="5"/>
    <d v="1900-01-06T00:00:00"/>
    <n v="41"/>
    <x v="4"/>
    <x v="5"/>
  </r>
  <r>
    <x v="1231"/>
    <n v="-54"/>
    <x v="2627"/>
    <n v="5113.2"/>
    <s v="Complete Access"/>
    <x v="35"/>
    <x v="1"/>
    <x v="23"/>
    <d v="1900-01-06T00:00:00"/>
    <n v="41"/>
    <x v="4"/>
    <x v="5"/>
  </r>
  <r>
    <x v="1231"/>
    <n v="-70"/>
    <x v="2628"/>
    <n v="5043.2"/>
    <s v="Complete Access"/>
    <x v="0"/>
    <x v="0"/>
    <x v="0"/>
    <d v="1900-01-06T00:00:00"/>
    <n v="41"/>
    <x v="4"/>
    <x v="5"/>
  </r>
  <r>
    <x v="1231"/>
    <n v="-60"/>
    <x v="2629"/>
    <n v="5167.2"/>
    <s v="Complete Access"/>
    <x v="619"/>
    <x v="3"/>
    <x v="15"/>
    <d v="1900-01-06T00:00:00"/>
    <n v="41"/>
    <x v="4"/>
    <x v="5"/>
  </r>
  <r>
    <x v="1231"/>
    <n v="-20"/>
    <x v="2630"/>
    <n v="5227.2"/>
    <s v="Complete Access"/>
    <x v="620"/>
    <x v="3"/>
    <x v="15"/>
    <d v="1900-01-06T00:00:00"/>
    <n v="41"/>
    <x v="4"/>
    <x v="5"/>
  </r>
  <r>
    <x v="1232"/>
    <n v="-36.29"/>
    <x v="2631"/>
    <n v="5347.62"/>
    <s v="Complete Access"/>
    <x v="8"/>
    <x v="1"/>
    <x v="5"/>
    <d v="1900-01-05T00:00:00"/>
    <n v="41"/>
    <x v="4"/>
    <x v="5"/>
  </r>
  <r>
    <x v="1232"/>
    <n v="-4"/>
    <x v="2632"/>
    <n v="5343.62"/>
    <s v="Complete Access"/>
    <x v="621"/>
    <x v="3"/>
    <x v="15"/>
    <d v="1900-01-05T00:00:00"/>
    <n v="41"/>
    <x v="4"/>
    <x v="5"/>
  </r>
  <r>
    <x v="1232"/>
    <n v="-186.15"/>
    <x v="2633"/>
    <n v="5383.91"/>
    <s v="Complete Access"/>
    <x v="438"/>
    <x v="12"/>
    <x v="21"/>
    <d v="1900-01-05T00:00:00"/>
    <n v="41"/>
    <x v="4"/>
    <x v="5"/>
  </r>
  <r>
    <x v="1232"/>
    <n v="-3"/>
    <x v="2634"/>
    <n v="5340.62"/>
    <s v="Complete Access"/>
    <x v="622"/>
    <x v="1"/>
    <x v="23"/>
    <d v="1900-01-05T00:00:00"/>
    <n v="41"/>
    <x v="4"/>
    <x v="5"/>
  </r>
  <r>
    <x v="1233"/>
    <n v="-35"/>
    <x v="2635"/>
    <n v="5623.58"/>
    <s v="Complete Access"/>
    <x v="623"/>
    <x v="1"/>
    <x v="5"/>
    <d v="1900-01-04T00:00:00"/>
    <n v="41"/>
    <x v="4"/>
    <x v="5"/>
  </r>
  <r>
    <x v="1233"/>
    <n v="-5"/>
    <x v="2636"/>
    <n v="5581.51"/>
    <s v="Complete Access"/>
    <x v="624"/>
    <x v="9"/>
    <x v="12"/>
    <d v="1900-01-04T00:00:00"/>
    <n v="41"/>
    <x v="4"/>
    <x v="5"/>
  </r>
  <r>
    <x v="1233"/>
    <n v="-37.07"/>
    <x v="2636"/>
    <n v="5586.51"/>
    <s v="Complete Access"/>
    <x v="624"/>
    <x v="9"/>
    <x v="12"/>
    <d v="1900-01-04T00:00:00"/>
    <n v="41"/>
    <x v="4"/>
    <x v="5"/>
  </r>
  <r>
    <x v="1233"/>
    <n v="-11.45"/>
    <x v="2637"/>
    <n v="5570.06"/>
    <s v="Complete Access"/>
    <x v="625"/>
    <x v="1"/>
    <x v="5"/>
    <d v="1900-01-04T00:00:00"/>
    <n v="41"/>
    <x v="4"/>
    <x v="5"/>
  </r>
  <r>
    <x v="1233"/>
    <n v="-6.5"/>
    <x v="2638"/>
    <n v="5718.58"/>
    <s v="Complete Access"/>
    <x v="304"/>
    <x v="1"/>
    <x v="5"/>
    <d v="1900-01-04T00:00:00"/>
    <n v="41"/>
    <x v="4"/>
    <x v="5"/>
  </r>
  <r>
    <x v="1233"/>
    <n v="-60"/>
    <x v="2639"/>
    <n v="5658.58"/>
    <s v="Complete Access"/>
    <x v="4"/>
    <x v="1"/>
    <x v="1"/>
    <d v="1900-01-04T00:00:00"/>
    <n v="41"/>
    <x v="4"/>
    <x v="5"/>
  </r>
  <r>
    <x v="1234"/>
    <n v="-90"/>
    <x v="2640"/>
    <n v="5733.27"/>
    <s v="Complete Access"/>
    <x v="601"/>
    <x v="0"/>
    <x v="0"/>
    <d v="1900-01-02T00:00:00"/>
    <n v="40"/>
    <x v="4"/>
    <x v="5"/>
  </r>
  <r>
    <x v="1234"/>
    <n v="-5"/>
    <x v="2641"/>
    <n v="5881.17"/>
    <s v="Complete Access"/>
    <x v="507"/>
    <x v="1"/>
    <x v="1"/>
    <d v="1900-01-02T00:00:00"/>
    <n v="40"/>
    <x v="4"/>
    <x v="5"/>
  </r>
  <r>
    <x v="1234"/>
    <n v="-55"/>
    <x v="2642"/>
    <n v="5823.27"/>
    <s v="Complete Access"/>
    <x v="626"/>
    <x v="3"/>
    <x v="15"/>
    <d v="1900-01-02T00:00:00"/>
    <n v="40"/>
    <x v="4"/>
    <x v="5"/>
  </r>
  <r>
    <x v="1234"/>
    <n v="-8.19"/>
    <x v="2643"/>
    <n v="5725.08"/>
    <s v="Complete Access"/>
    <x v="215"/>
    <x v="1"/>
    <x v="1"/>
    <d v="1900-01-02T00:00:00"/>
    <n v="40"/>
    <x v="4"/>
    <x v="5"/>
  </r>
  <r>
    <x v="1234"/>
    <n v="-100"/>
    <x v="2274"/>
    <n v="5886.17"/>
    <s v="Complete Access"/>
    <x v="552"/>
    <x v="0"/>
    <x v="74"/>
    <d v="1900-01-02T00:00:00"/>
    <n v="40"/>
    <x v="4"/>
    <x v="5"/>
  </r>
  <r>
    <x v="1234"/>
    <n v="-2.9"/>
    <x v="2644"/>
    <n v="5878.27"/>
    <s v="Complete Access"/>
    <x v="1"/>
    <x v="1"/>
    <x v="1"/>
    <d v="1900-01-02T00:00:00"/>
    <n v="40"/>
    <x v="4"/>
    <x v="5"/>
  </r>
  <r>
    <x v="1235"/>
    <n v="62"/>
    <x v="2282"/>
    <n v="5986.17"/>
    <s v="Complete Access"/>
    <x v="567"/>
    <x v="0"/>
    <x v="69"/>
    <d v="1900-01-01T00:00:00"/>
    <n v="40"/>
    <x v="4"/>
    <x v="5"/>
  </r>
  <r>
    <x v="1236"/>
    <n v="-31.4"/>
    <x v="2645"/>
    <n v="6635.86"/>
    <s v="Complete Access"/>
    <x v="8"/>
    <x v="1"/>
    <x v="5"/>
    <d v="1899-12-31T00:00:00"/>
    <n v="40"/>
    <x v="4"/>
    <x v="5"/>
  </r>
  <r>
    <x v="1236"/>
    <n v="2101.4699999999998"/>
    <x v="2646"/>
    <n v="6756.75"/>
    <s v="Complete Access"/>
    <x v="14"/>
    <x v="6"/>
    <x v="9"/>
    <d v="1899-12-31T00:00:00"/>
    <n v="40"/>
    <x v="4"/>
    <x v="5"/>
  </r>
  <r>
    <x v="1236"/>
    <n v="-500"/>
    <x v="2294"/>
    <n v="6135.86"/>
    <s v="Complete Access"/>
    <x v="571"/>
    <x v="19"/>
    <x v="61"/>
    <d v="1899-12-31T00:00:00"/>
    <n v="40"/>
    <x v="4"/>
    <x v="5"/>
  </r>
  <r>
    <x v="1236"/>
    <n v="-26.8"/>
    <x v="2647"/>
    <n v="6667.26"/>
    <s v="Complete Access"/>
    <x v="627"/>
    <x v="8"/>
    <x v="29"/>
    <d v="1899-12-31T00:00:00"/>
    <n v="40"/>
    <x v="4"/>
    <x v="5"/>
  </r>
  <r>
    <x v="1236"/>
    <n v="-23"/>
    <x v="2647"/>
    <n v="6694.06"/>
    <s v="Complete Access"/>
    <x v="627"/>
    <x v="8"/>
    <x v="29"/>
    <d v="1899-12-31T00:00:00"/>
    <n v="40"/>
    <x v="4"/>
    <x v="5"/>
  </r>
  <r>
    <x v="1236"/>
    <n v="-20"/>
    <x v="2229"/>
    <n v="6115.86"/>
    <s v="Complete Access"/>
    <x v="557"/>
    <x v="7"/>
    <x v="53"/>
    <d v="1899-12-31T00:00:00"/>
    <n v="40"/>
    <x v="4"/>
    <x v="5"/>
  </r>
  <r>
    <x v="1236"/>
    <n v="-39.69"/>
    <x v="2648"/>
    <n v="6717.06"/>
    <s v="Complete Access"/>
    <x v="237"/>
    <x v="15"/>
    <x v="34"/>
    <d v="1899-12-31T00:00:00"/>
    <n v="40"/>
    <x v="4"/>
    <x v="5"/>
  </r>
  <r>
    <x v="1236"/>
    <n v="-172.3"/>
    <x v="2649"/>
    <n v="5924.17"/>
    <s v="Complete Access"/>
    <x v="76"/>
    <x v="2"/>
    <x v="2"/>
    <d v="1899-12-31T00:00:00"/>
    <n v="40"/>
    <x v="4"/>
    <x v="5"/>
  </r>
  <r>
    <x v="1236"/>
    <n v="-19.39"/>
    <x v="2639"/>
    <n v="6096.47"/>
    <s v="Complete Access"/>
    <x v="4"/>
    <x v="1"/>
    <x v="1"/>
    <d v="1899-12-31T00:00:00"/>
    <n v="40"/>
    <x v="4"/>
    <x v="5"/>
  </r>
  <r>
    <x v="1237"/>
    <n v="-30.64"/>
    <x v="2650"/>
    <n v="4679.17"/>
    <s v="Complete Access"/>
    <x v="8"/>
    <x v="1"/>
    <x v="5"/>
    <d v="1900-01-29T00:00:00"/>
    <n v="40"/>
    <x v="5"/>
    <x v="5"/>
  </r>
  <r>
    <x v="1237"/>
    <n v="-23.89"/>
    <x v="2651"/>
    <n v="4655.28"/>
    <s v="Complete Access"/>
    <x v="8"/>
    <x v="1"/>
    <x v="5"/>
    <d v="1900-01-29T00:00:00"/>
    <n v="40"/>
    <x v="5"/>
    <x v="5"/>
  </r>
  <r>
    <x v="1238"/>
    <n v="-27.79"/>
    <x v="2652"/>
    <n v="4776.51"/>
    <s v="Complete Access"/>
    <x v="8"/>
    <x v="1"/>
    <x v="5"/>
    <d v="1900-01-28T00:00:00"/>
    <n v="40"/>
    <x v="5"/>
    <x v="5"/>
  </r>
  <r>
    <x v="1238"/>
    <n v="-47.7"/>
    <x v="2643"/>
    <n v="4709.8100000000004"/>
    <s v="Complete Access"/>
    <x v="215"/>
    <x v="1"/>
    <x v="1"/>
    <d v="1900-01-28T00:00:00"/>
    <n v="40"/>
    <x v="5"/>
    <x v="5"/>
  </r>
  <r>
    <x v="1238"/>
    <n v="-19"/>
    <x v="2653"/>
    <n v="4757.51"/>
    <s v="Complete Access"/>
    <x v="34"/>
    <x v="9"/>
    <x v="12"/>
    <d v="1900-01-28T00:00:00"/>
    <n v="40"/>
    <x v="5"/>
    <x v="5"/>
  </r>
  <r>
    <x v="1239"/>
    <n v="-560"/>
    <x v="2654"/>
    <n v="4804.3"/>
    <s v="Complete Access"/>
    <x v="532"/>
    <x v="17"/>
    <x v="43"/>
    <d v="1900-01-26T00:00:00"/>
    <n v="40"/>
    <x v="5"/>
    <x v="5"/>
  </r>
  <r>
    <x v="1240"/>
    <n v="-100"/>
    <x v="2274"/>
    <n v="5364.3"/>
    <s v="Complete Access"/>
    <x v="552"/>
    <x v="0"/>
    <x v="74"/>
    <d v="1900-01-25T00:00:00"/>
    <n v="39"/>
    <x v="5"/>
    <x v="5"/>
  </r>
  <r>
    <x v="1241"/>
    <n v="-17.53"/>
    <x v="2643"/>
    <n v="5464.3"/>
    <s v="Complete Access"/>
    <x v="215"/>
    <x v="1"/>
    <x v="1"/>
    <d v="1900-01-23T00:00:00"/>
    <n v="39"/>
    <x v="5"/>
    <x v="5"/>
  </r>
  <r>
    <x v="1242"/>
    <n v="-22.89"/>
    <x v="2655"/>
    <n v="5481.83"/>
    <s v="Complete Access"/>
    <x v="8"/>
    <x v="1"/>
    <x v="5"/>
    <d v="1900-01-22T00:00:00"/>
    <n v="39"/>
    <x v="5"/>
    <x v="5"/>
  </r>
  <r>
    <x v="1242"/>
    <n v="-33.299999999999997"/>
    <x v="2656"/>
    <n v="5504.72"/>
    <s v="Complete Access"/>
    <x v="8"/>
    <x v="1"/>
    <x v="5"/>
    <d v="1900-01-22T00:00:00"/>
    <n v="39"/>
    <x v="5"/>
    <x v="5"/>
  </r>
  <r>
    <x v="1243"/>
    <n v="-47.49"/>
    <x v="2657"/>
    <n v="5538.02"/>
    <s v="Complete Access"/>
    <x v="8"/>
    <x v="1"/>
    <x v="5"/>
    <d v="1900-01-21T00:00:00"/>
    <n v="39"/>
    <x v="5"/>
    <x v="5"/>
  </r>
  <r>
    <x v="1244"/>
    <n v="-21"/>
    <x v="2612"/>
    <n v="5585.51"/>
    <s v="Complete Access"/>
    <x v="0"/>
    <x v="0"/>
    <x v="0"/>
    <d v="1900-01-20T00:00:00"/>
    <n v="39"/>
    <x v="5"/>
    <x v="5"/>
  </r>
  <r>
    <x v="1245"/>
    <n v="-100"/>
    <x v="2274"/>
    <n v="5606.51"/>
    <s v="Complete Access"/>
    <x v="552"/>
    <x v="0"/>
    <x v="74"/>
    <d v="1900-01-18T00:00:00"/>
    <n v="38"/>
    <x v="5"/>
    <x v="5"/>
  </r>
  <r>
    <x v="1246"/>
    <n v="30"/>
    <x v="2593"/>
    <n v="5706.51"/>
    <s v="Complete Access"/>
    <x v="568"/>
    <x v="0"/>
    <x v="69"/>
    <d v="1900-01-17T00:00:00"/>
    <n v="38"/>
    <x v="5"/>
    <x v="5"/>
  </r>
  <r>
    <x v="1246"/>
    <n v="-30"/>
    <x v="2658"/>
    <n v="5676.51"/>
    <s v="Complete Access"/>
    <x v="0"/>
    <x v="0"/>
    <x v="0"/>
    <d v="1900-01-17T00:00:00"/>
    <n v="38"/>
    <x v="5"/>
    <x v="5"/>
  </r>
  <r>
    <x v="1246"/>
    <n v="-13.98"/>
    <x v="2659"/>
    <n v="5706.51"/>
    <s v="Complete Access"/>
    <x v="1"/>
    <x v="1"/>
    <x v="1"/>
    <d v="1900-01-17T00:00:00"/>
    <n v="38"/>
    <x v="5"/>
    <x v="5"/>
  </r>
  <r>
    <x v="1247"/>
    <n v="-88.79"/>
    <x v="2660"/>
    <n v="6220.49"/>
    <s v="Complete Access"/>
    <x v="8"/>
    <x v="1"/>
    <x v="5"/>
    <d v="1900-01-16T00:00:00"/>
    <n v="38"/>
    <x v="5"/>
    <x v="5"/>
  </r>
  <r>
    <x v="1247"/>
    <n v="2101.4699999999998"/>
    <x v="2661"/>
    <n v="6309.28"/>
    <s v="Complete Access"/>
    <x v="14"/>
    <x v="6"/>
    <x v="9"/>
    <d v="1900-01-16T00:00:00"/>
    <n v="38"/>
    <x v="5"/>
    <x v="5"/>
  </r>
  <r>
    <x v="1247"/>
    <n v="-500"/>
    <x v="2294"/>
    <n v="5720.49"/>
    <s v="Complete Access"/>
    <x v="571"/>
    <x v="19"/>
    <x v="61"/>
    <d v="1900-01-16T00:00:00"/>
    <n v="38"/>
    <x v="5"/>
    <x v="5"/>
  </r>
  <r>
    <x v="1248"/>
    <n v="-31.69"/>
    <x v="2662"/>
    <n v="4267.78"/>
    <s v="Complete Access"/>
    <x v="8"/>
    <x v="1"/>
    <x v="5"/>
    <d v="1900-01-15T00:00:00"/>
    <n v="38"/>
    <x v="5"/>
    <x v="5"/>
  </r>
  <r>
    <x v="1248"/>
    <n v="-23.89"/>
    <x v="2663"/>
    <n v="4243.8900000000003"/>
    <s v="Complete Access"/>
    <x v="8"/>
    <x v="1"/>
    <x v="5"/>
    <d v="1900-01-15T00:00:00"/>
    <n v="38"/>
    <x v="5"/>
    <x v="5"/>
  </r>
  <r>
    <x v="1248"/>
    <n v="-4"/>
    <x v="2664"/>
    <n v="4239.8900000000003"/>
    <s v="Complete Access"/>
    <x v="1"/>
    <x v="1"/>
    <x v="1"/>
    <d v="1900-01-15T00:00:00"/>
    <n v="38"/>
    <x v="5"/>
    <x v="5"/>
  </r>
  <r>
    <x v="1248"/>
    <n v="-32.08"/>
    <x v="2639"/>
    <n v="4207.8100000000004"/>
    <s v="Complete Access"/>
    <x v="4"/>
    <x v="1"/>
    <x v="1"/>
    <d v="1900-01-15T00:00:00"/>
    <n v="38"/>
    <x v="5"/>
    <x v="5"/>
  </r>
  <r>
    <x v="1249"/>
    <n v="63.5"/>
    <x v="2556"/>
    <n v="4299.47"/>
    <s v="Complete Access"/>
    <x v="583"/>
    <x v="0"/>
    <x v="69"/>
    <d v="1900-01-13T00:00:00"/>
    <n v="38"/>
    <x v="5"/>
    <x v="5"/>
  </r>
  <r>
    <x v="1249"/>
    <n v="-11.15"/>
    <x v="2639"/>
    <n v="4235.97"/>
    <s v="Complete Access"/>
    <x v="4"/>
    <x v="1"/>
    <x v="1"/>
    <d v="1900-01-13T00:00:00"/>
    <n v="38"/>
    <x v="5"/>
    <x v="5"/>
  </r>
  <r>
    <x v="1250"/>
    <n v="-3.29"/>
    <x v="2643"/>
    <n v="4247.12"/>
    <s v="Complete Access"/>
    <x v="215"/>
    <x v="1"/>
    <x v="1"/>
    <d v="1900-01-11T00:00:00"/>
    <n v="37"/>
    <x v="5"/>
    <x v="5"/>
  </r>
  <r>
    <x v="1250"/>
    <n v="-100"/>
    <x v="2274"/>
    <n v="4250.41"/>
    <s v="Complete Access"/>
    <x v="552"/>
    <x v="0"/>
    <x v="74"/>
    <d v="1900-01-11T00:00:00"/>
    <n v="37"/>
    <x v="5"/>
    <x v="5"/>
  </r>
  <r>
    <x v="1251"/>
    <n v="-191.63"/>
    <x v="2665"/>
    <n v="4350.41"/>
    <s v="Complete Access"/>
    <x v="438"/>
    <x v="12"/>
    <x v="21"/>
    <d v="1900-01-09T00:00:00"/>
    <n v="37"/>
    <x v="5"/>
    <x v="5"/>
  </r>
  <r>
    <x v="1252"/>
    <n v="-32.99"/>
    <x v="2666"/>
    <n v="5021.12"/>
    <s v="Complete Access"/>
    <x v="8"/>
    <x v="1"/>
    <x v="5"/>
    <d v="1900-01-08T00:00:00"/>
    <n v="37"/>
    <x v="5"/>
    <x v="5"/>
  </r>
  <r>
    <x v="1252"/>
    <n v="-290"/>
    <x v="2543"/>
    <n v="4542.04"/>
    <s v="Complete Access"/>
    <x v="17"/>
    <x v="7"/>
    <x v="11"/>
    <d v="1900-01-08T00:00:00"/>
    <n v="37"/>
    <x v="5"/>
    <x v="5"/>
  </r>
  <r>
    <x v="1252"/>
    <n v="-84.38"/>
    <x v="2667"/>
    <n v="4936.74"/>
    <s v="Complete Access"/>
    <x v="222"/>
    <x v="11"/>
    <x v="14"/>
    <d v="1900-01-08T00:00:00"/>
    <n v="37"/>
    <x v="5"/>
    <x v="5"/>
  </r>
  <r>
    <x v="1252"/>
    <n v="-100"/>
    <x v="2668"/>
    <n v="4832.04"/>
    <s v="Complete Access"/>
    <x v="0"/>
    <x v="0"/>
    <x v="0"/>
    <d v="1900-01-08T00:00:00"/>
    <n v="37"/>
    <x v="5"/>
    <x v="5"/>
  </r>
  <r>
    <x v="1252"/>
    <n v="-4.7"/>
    <x v="2669"/>
    <n v="4932.04"/>
    <s v="Complete Access"/>
    <x v="1"/>
    <x v="1"/>
    <x v="1"/>
    <d v="1900-01-08T00:00:00"/>
    <n v="37"/>
    <x v="5"/>
    <x v="5"/>
  </r>
  <r>
    <x v="1252"/>
    <n v="-26.44"/>
    <x v="2670"/>
    <n v="5054.1099999999997"/>
    <s v="Complete Access"/>
    <x v="1"/>
    <x v="1"/>
    <x v="1"/>
    <d v="1900-01-08T00:00:00"/>
    <n v="37"/>
    <x v="5"/>
    <x v="5"/>
  </r>
  <r>
    <x v="1253"/>
    <n v="-9.99"/>
    <x v="2671"/>
    <n v="5032.55"/>
    <s v="Complete Access"/>
    <x v="373"/>
    <x v="8"/>
    <x v="7"/>
    <d v="1900-01-07T00:00:00"/>
    <n v="37"/>
    <x v="5"/>
    <x v="5"/>
  </r>
  <r>
    <x v="1253"/>
    <n v="48"/>
    <x v="2672"/>
    <n v="5080.55"/>
    <s v="Complete Access"/>
    <x v="584"/>
    <x v="0"/>
    <x v="69"/>
    <d v="1900-01-07T00:00:00"/>
    <n v="37"/>
    <x v="5"/>
    <x v="5"/>
  </r>
  <r>
    <x v="1254"/>
    <n v="-25.6"/>
    <x v="2639"/>
    <n v="5042.54"/>
    <s v="Complete Access"/>
    <x v="4"/>
    <x v="1"/>
    <x v="1"/>
    <d v="1900-01-06T00:00:00"/>
    <n v="37"/>
    <x v="5"/>
    <x v="5"/>
  </r>
  <r>
    <x v="1255"/>
    <n v="-10"/>
    <x v="2673"/>
    <n v="5068.1400000000003"/>
    <s v="Complete Access"/>
    <x v="213"/>
    <x v="1"/>
    <x v="23"/>
    <d v="1900-01-05T00:00:00"/>
    <n v="37"/>
    <x v="5"/>
    <x v="5"/>
  </r>
  <r>
    <x v="1255"/>
    <n v="-89.31"/>
    <x v="2639"/>
    <n v="5078.1400000000003"/>
    <s v="Complete Access"/>
    <x v="4"/>
    <x v="1"/>
    <x v="1"/>
    <d v="1900-01-05T00:00:00"/>
    <n v="37"/>
    <x v="5"/>
    <x v="5"/>
  </r>
  <r>
    <x v="1256"/>
    <n v="16"/>
    <x v="2674"/>
    <n v="5167.45"/>
    <s v="Complete Access"/>
    <x v="628"/>
    <x v="0"/>
    <x v="69"/>
    <d v="1900-01-04T00:00:00"/>
    <n v="36"/>
    <x v="5"/>
    <x v="5"/>
  </r>
  <r>
    <x v="1256"/>
    <n v="-100"/>
    <x v="2274"/>
    <n v="5466.59"/>
    <s v="Complete Access"/>
    <x v="552"/>
    <x v="0"/>
    <x v="74"/>
    <d v="1900-01-04T00:00:00"/>
    <n v="36"/>
    <x v="5"/>
    <x v="5"/>
  </r>
  <r>
    <x v="1256"/>
    <n v="-28"/>
    <x v="2675"/>
    <n v="5151.45"/>
    <s v="Complete Access"/>
    <x v="0"/>
    <x v="0"/>
    <x v="0"/>
    <d v="1900-01-04T00:00:00"/>
    <n v="36"/>
    <x v="5"/>
    <x v="5"/>
  </r>
  <r>
    <x v="1256"/>
    <n v="-277"/>
    <x v="2676"/>
    <n v="5179.45"/>
    <s v="Complete Access"/>
    <x v="629"/>
    <x v="1"/>
    <x v="5"/>
    <d v="1900-01-04T00:00:00"/>
    <n v="36"/>
    <x v="5"/>
    <x v="5"/>
  </r>
  <r>
    <x v="1256"/>
    <n v="-10.14"/>
    <x v="2677"/>
    <n v="5456.45"/>
    <s v="Complete Access"/>
    <x v="34"/>
    <x v="9"/>
    <x v="12"/>
    <d v="1900-01-04T00:00:00"/>
    <n v="36"/>
    <x v="5"/>
    <x v="5"/>
  </r>
  <r>
    <x v="1257"/>
    <n v="-21.95"/>
    <x v="2678"/>
    <n v="5566.59"/>
    <s v="Complete Access"/>
    <x v="617"/>
    <x v="4"/>
    <x v="73"/>
    <d v="1900-01-03T00:00:00"/>
    <n v="36"/>
    <x v="5"/>
    <x v="5"/>
  </r>
  <r>
    <x v="1258"/>
    <n v="2063.09"/>
    <x v="2679"/>
    <n v="5950.54"/>
    <s v="Complete Access"/>
    <x v="14"/>
    <x v="6"/>
    <x v="9"/>
    <d v="1900-01-02T00:00:00"/>
    <n v="36"/>
    <x v="5"/>
    <x v="5"/>
  </r>
  <r>
    <x v="1258"/>
    <n v="-500"/>
    <x v="2294"/>
    <n v="5450.54"/>
    <s v="Complete Access"/>
    <x v="571"/>
    <x v="19"/>
    <x v="61"/>
    <d v="1900-01-02T00:00:00"/>
    <n v="36"/>
    <x v="5"/>
    <x v="5"/>
  </r>
  <r>
    <x v="1258"/>
    <n v="138"/>
    <x v="2266"/>
    <n v="5588.54"/>
    <s v="Complete Access"/>
    <x v="27"/>
    <x v="1"/>
    <x v="5"/>
    <d v="1900-01-02T00:00:00"/>
    <n v="36"/>
    <x v="5"/>
    <x v="5"/>
  </r>
  <r>
    <x v="1259"/>
    <n v="-32.89"/>
    <x v="2680"/>
    <n v="3916.05"/>
    <s v="Complete Access"/>
    <x v="8"/>
    <x v="1"/>
    <x v="5"/>
    <d v="1900-01-01T00:00:00"/>
    <n v="36"/>
    <x v="5"/>
    <x v="5"/>
  </r>
  <r>
    <x v="1259"/>
    <n v="-3.21"/>
    <x v="2681"/>
    <n v="3887.45"/>
    <s v="Complete Access"/>
    <x v="8"/>
    <x v="1"/>
    <x v="5"/>
    <d v="1900-01-01T00:00:00"/>
    <n v="36"/>
    <x v="5"/>
    <x v="5"/>
  </r>
  <r>
    <x v="1259"/>
    <n v="-25.39"/>
    <x v="2681"/>
    <n v="3890.66"/>
    <s v="Complete Access"/>
    <x v="8"/>
    <x v="1"/>
    <x v="5"/>
    <d v="1900-01-01T00:00:00"/>
    <n v="36"/>
    <x v="5"/>
    <x v="5"/>
  </r>
  <r>
    <x v="1260"/>
    <n v="-20"/>
    <x v="2229"/>
    <n v="4171.24"/>
    <s v="Complete Access"/>
    <x v="557"/>
    <x v="7"/>
    <x v="53"/>
    <d v="1899-12-31T00:00:00"/>
    <n v="36"/>
    <x v="5"/>
    <x v="5"/>
  </r>
  <r>
    <x v="1260"/>
    <n v="-172.3"/>
    <x v="2682"/>
    <n v="3948.94"/>
    <s v="Complete Access"/>
    <x v="76"/>
    <x v="2"/>
    <x v="2"/>
    <d v="1899-12-31T00:00:00"/>
    <n v="36"/>
    <x v="5"/>
    <x v="5"/>
  </r>
  <r>
    <x v="1260"/>
    <n v="-50"/>
    <x v="2668"/>
    <n v="4121.24"/>
    <s v="Complete Access"/>
    <x v="0"/>
    <x v="0"/>
    <x v="0"/>
    <d v="1899-12-31T00:00:00"/>
    <n v="36"/>
    <x v="5"/>
    <x v="5"/>
  </r>
  <r>
    <x v="1261"/>
    <n v="-100"/>
    <x v="2274"/>
    <n v="4191.24"/>
    <s v="Complete Access"/>
    <x v="552"/>
    <x v="0"/>
    <x v="74"/>
    <d v="1900-01-28T00:00:00"/>
    <n v="35"/>
    <x v="6"/>
    <x v="5"/>
  </r>
  <r>
    <x v="1262"/>
    <n v="-31"/>
    <x v="2683"/>
    <n v="4291.24"/>
    <s v="Complete Access"/>
    <x v="1"/>
    <x v="1"/>
    <x v="1"/>
    <d v="1900-01-26T00:00:00"/>
    <n v="35"/>
    <x v="6"/>
    <x v="5"/>
  </r>
  <r>
    <x v="1263"/>
    <n v="-66.19"/>
    <x v="2684"/>
    <n v="4267.05"/>
    <s v="Complete Access"/>
    <x v="8"/>
    <x v="1"/>
    <x v="5"/>
    <d v="1900-01-25T00:00:00"/>
    <n v="35"/>
    <x v="6"/>
    <x v="5"/>
  </r>
  <r>
    <x v="1263"/>
    <n v="70"/>
    <x v="2685"/>
    <n v="4322.24"/>
    <s v="Complete Access"/>
    <x v="584"/>
    <x v="0"/>
    <x v="69"/>
    <d v="1900-01-25T00:00:00"/>
    <n v="35"/>
    <x v="6"/>
    <x v="5"/>
  </r>
  <r>
    <x v="1263"/>
    <n v="-14.81"/>
    <x v="2686"/>
    <n v="4252.24"/>
    <s v="Complete Access"/>
    <x v="34"/>
    <x v="9"/>
    <x v="12"/>
    <d v="1900-01-25T00:00:00"/>
    <n v="35"/>
    <x v="6"/>
    <x v="5"/>
  </r>
  <r>
    <x v="1264"/>
    <n v="-22.5"/>
    <x v="2687"/>
    <n v="4445.57"/>
    <s v="Complete Access"/>
    <x v="243"/>
    <x v="1"/>
    <x v="23"/>
    <d v="1900-01-24T00:00:00"/>
    <n v="35"/>
    <x v="6"/>
    <x v="5"/>
  </r>
  <r>
    <x v="1264"/>
    <n v="-112.33"/>
    <x v="2639"/>
    <n v="4333.24"/>
    <s v="Complete Access"/>
    <x v="4"/>
    <x v="1"/>
    <x v="1"/>
    <d v="1900-01-24T00:00:00"/>
    <n v="35"/>
    <x v="6"/>
    <x v="5"/>
  </r>
  <r>
    <x v="1265"/>
    <n v="-38.51"/>
    <x v="2688"/>
    <n v="4468.07"/>
    <s v="Complete Access"/>
    <x v="177"/>
    <x v="1"/>
    <x v="1"/>
    <d v="1900-01-22T00:00:00"/>
    <n v="35"/>
    <x v="6"/>
    <x v="5"/>
  </r>
  <r>
    <x v="1266"/>
    <n v="-100"/>
    <x v="2274"/>
    <n v="4506.58"/>
    <s v="Complete Access"/>
    <x v="552"/>
    <x v="0"/>
    <x v="74"/>
    <d v="1900-01-21T00:00:00"/>
    <n v="34"/>
    <x v="6"/>
    <x v="5"/>
  </r>
  <r>
    <x v="1267"/>
    <n v="2053.4899999999998"/>
    <x v="388"/>
    <n v="5106.58"/>
    <s v="Complete Access"/>
    <x v="14"/>
    <x v="6"/>
    <x v="9"/>
    <d v="1900-01-19T00:00:00"/>
    <n v="34"/>
    <x v="6"/>
    <x v="5"/>
  </r>
  <r>
    <x v="1267"/>
    <n v="-500"/>
    <x v="2294"/>
    <n v="4606.58"/>
    <s v="Complete Access"/>
    <x v="571"/>
    <x v="19"/>
    <x v="61"/>
    <d v="1900-01-19T00:00:00"/>
    <n v="34"/>
    <x v="6"/>
    <x v="5"/>
  </r>
  <r>
    <x v="1268"/>
    <n v="-35.79"/>
    <x v="2689"/>
    <n v="3089.76"/>
    <s v="Complete Access"/>
    <x v="8"/>
    <x v="1"/>
    <x v="5"/>
    <d v="1900-01-18T00:00:00"/>
    <n v="34"/>
    <x v="6"/>
    <x v="5"/>
  </r>
  <r>
    <x v="1268"/>
    <n v="-27.4"/>
    <x v="2690"/>
    <n v="3165.55"/>
    <s v="Complete Access"/>
    <x v="343"/>
    <x v="1"/>
    <x v="5"/>
    <d v="1900-01-18T00:00:00"/>
    <n v="34"/>
    <x v="6"/>
    <x v="5"/>
  </r>
  <r>
    <x v="1268"/>
    <n v="-40"/>
    <x v="2691"/>
    <n v="3125.55"/>
    <s v="Complete Access"/>
    <x v="343"/>
    <x v="1"/>
    <x v="5"/>
    <d v="1900-01-18T00:00:00"/>
    <n v="34"/>
    <x v="6"/>
    <x v="5"/>
  </r>
  <r>
    <x v="1268"/>
    <n v="-9.65"/>
    <x v="2692"/>
    <n v="3080.11"/>
    <s v="Complete Access"/>
    <x v="630"/>
    <x v="1"/>
    <x v="5"/>
    <d v="1900-01-18T00:00:00"/>
    <n v="34"/>
    <x v="6"/>
    <x v="5"/>
  </r>
  <r>
    <x v="1268"/>
    <n v="-27.02"/>
    <x v="2693"/>
    <n v="3053.09"/>
    <s v="Complete Access"/>
    <x v="1"/>
    <x v="1"/>
    <x v="1"/>
    <d v="1900-01-18T00:00:00"/>
    <n v="34"/>
    <x v="6"/>
    <x v="5"/>
  </r>
  <r>
    <x v="1269"/>
    <n v="-27"/>
    <x v="2694"/>
    <n v="3221.8"/>
    <s v="Complete Access"/>
    <x v="343"/>
    <x v="1"/>
    <x v="5"/>
    <d v="1900-01-17T00:00:00"/>
    <n v="34"/>
    <x v="6"/>
    <x v="5"/>
  </r>
  <r>
    <x v="1269"/>
    <n v="-19.2"/>
    <x v="2695"/>
    <n v="3192.95"/>
    <s v="Complete Access"/>
    <x v="630"/>
    <x v="1"/>
    <x v="5"/>
    <d v="1900-01-17T00:00:00"/>
    <n v="34"/>
    <x v="6"/>
    <x v="5"/>
  </r>
  <r>
    <x v="1269"/>
    <n v="-9.65"/>
    <x v="2695"/>
    <n v="3212.15"/>
    <s v="Complete Access"/>
    <x v="630"/>
    <x v="1"/>
    <x v="5"/>
    <d v="1900-01-17T00:00:00"/>
    <n v="34"/>
    <x v="6"/>
    <x v="5"/>
  </r>
  <r>
    <x v="1270"/>
    <n v="-58"/>
    <x v="2639"/>
    <n v="3248.8"/>
    <s v="Complete Access"/>
    <x v="4"/>
    <x v="1"/>
    <x v="1"/>
    <d v="1900-01-16T00:00:00"/>
    <n v="34"/>
    <x v="6"/>
    <x v="5"/>
  </r>
  <r>
    <x v="1271"/>
    <n v="-4.07"/>
    <x v="2696"/>
    <n v="3473.11"/>
    <s v="Complete Access"/>
    <x v="631"/>
    <x v="8"/>
    <x v="29"/>
    <d v="1900-01-14T00:00:00"/>
    <n v="33"/>
    <x v="6"/>
    <x v="5"/>
  </r>
  <r>
    <x v="1271"/>
    <n v="-15"/>
    <x v="2697"/>
    <n v="3477.18"/>
    <s v="Complete Access"/>
    <x v="632"/>
    <x v="1"/>
    <x v="5"/>
    <d v="1900-01-14T00:00:00"/>
    <n v="33"/>
    <x v="6"/>
    <x v="5"/>
  </r>
  <r>
    <x v="1271"/>
    <n v="-24.14"/>
    <x v="2698"/>
    <n v="3420.3"/>
    <s v="Complete Access"/>
    <x v="633"/>
    <x v="8"/>
    <x v="29"/>
    <d v="1900-01-14T00:00:00"/>
    <n v="33"/>
    <x v="6"/>
    <x v="5"/>
  </r>
  <r>
    <x v="1271"/>
    <n v="-28.67"/>
    <x v="2698"/>
    <n v="3444.44"/>
    <s v="Complete Access"/>
    <x v="633"/>
    <x v="8"/>
    <x v="29"/>
    <d v="1900-01-14T00:00:00"/>
    <n v="33"/>
    <x v="6"/>
    <x v="5"/>
  </r>
  <r>
    <x v="1271"/>
    <n v="20"/>
    <x v="2699"/>
    <n v="3306.8"/>
    <s v="Complete Access"/>
    <x v="634"/>
    <x v="1"/>
    <x v="5"/>
    <d v="1900-01-14T00:00:00"/>
    <n v="33"/>
    <x v="6"/>
    <x v="5"/>
  </r>
  <r>
    <x v="1271"/>
    <n v="-100"/>
    <x v="2274"/>
    <n v="3320.3"/>
    <s v="Complete Access"/>
    <x v="552"/>
    <x v="0"/>
    <x v="74"/>
    <d v="1900-01-14T00:00:00"/>
    <n v="33"/>
    <x v="6"/>
    <x v="5"/>
  </r>
  <r>
    <x v="1271"/>
    <n v="-33.5"/>
    <x v="2700"/>
    <n v="3286.8"/>
    <s v="Complete Access"/>
    <x v="243"/>
    <x v="1"/>
    <x v="23"/>
    <d v="1900-01-14T00:00:00"/>
    <n v="33"/>
    <x v="6"/>
    <x v="5"/>
  </r>
  <r>
    <x v="1272"/>
    <n v="-7.8"/>
    <x v="2701"/>
    <n v="3376"/>
    <s v="Complete Access"/>
    <x v="47"/>
    <x v="1"/>
    <x v="5"/>
    <d v="1900-01-13T00:00:00"/>
    <n v="33"/>
    <x v="6"/>
    <x v="5"/>
  </r>
  <r>
    <x v="1272"/>
    <n v="112.56"/>
    <x v="2282"/>
    <n v="3488.56"/>
    <s v="Complete Access"/>
    <x v="567"/>
    <x v="0"/>
    <x v="69"/>
    <d v="1900-01-13T00:00:00"/>
    <n v="33"/>
    <x v="6"/>
    <x v="5"/>
  </r>
  <r>
    <x v="1272"/>
    <n v="3.62"/>
    <x v="2702"/>
    <n v="3492.18"/>
    <s v="Complete Access"/>
    <x v="6"/>
    <x v="4"/>
    <x v="4"/>
    <d v="1900-01-13T00:00:00"/>
    <n v="33"/>
    <x v="6"/>
    <x v="5"/>
  </r>
  <r>
    <x v="1272"/>
    <n v="-23.99"/>
    <x v="2703"/>
    <n v="3387.4"/>
    <s v="Complete Access"/>
    <x v="635"/>
    <x v="1"/>
    <x v="23"/>
    <d v="1900-01-13T00:00:00"/>
    <n v="33"/>
    <x v="6"/>
    <x v="5"/>
  </r>
  <r>
    <x v="1272"/>
    <n v="-3.6"/>
    <x v="2704"/>
    <n v="3383.8"/>
    <s v="Complete Access"/>
    <x v="91"/>
    <x v="9"/>
    <x v="12"/>
    <d v="1900-01-13T00:00:00"/>
    <n v="33"/>
    <x v="6"/>
    <x v="5"/>
  </r>
  <r>
    <x v="1273"/>
    <n v="-19"/>
    <x v="2705"/>
    <n v="3417.39"/>
    <s v="Complete Access"/>
    <x v="636"/>
    <x v="8"/>
    <x v="29"/>
    <d v="1900-01-12T00:00:00"/>
    <n v="33"/>
    <x v="6"/>
    <x v="5"/>
  </r>
  <r>
    <x v="1273"/>
    <n v="-6"/>
    <x v="2706"/>
    <n v="3411.39"/>
    <s v="Complete Access"/>
    <x v="637"/>
    <x v="1"/>
    <x v="5"/>
    <d v="1900-01-12T00:00:00"/>
    <n v="33"/>
    <x v="6"/>
    <x v="5"/>
  </r>
  <r>
    <x v="1274"/>
    <n v="-17.5"/>
    <x v="2707"/>
    <n v="3709.11"/>
    <s v="Complete Access"/>
    <x v="593"/>
    <x v="1"/>
    <x v="5"/>
    <d v="1900-01-11T00:00:00"/>
    <n v="33"/>
    <x v="6"/>
    <x v="5"/>
  </r>
  <r>
    <x v="1274"/>
    <n v="-11.45"/>
    <x v="2708"/>
    <n v="3506.39"/>
    <s v="Complete Access"/>
    <x v="638"/>
    <x v="1"/>
    <x v="5"/>
    <d v="1900-01-11T00:00:00"/>
    <n v="33"/>
    <x v="6"/>
    <x v="5"/>
  </r>
  <r>
    <x v="1274"/>
    <n v="-70"/>
    <x v="2675"/>
    <n v="3436.39"/>
    <s v="Complete Access"/>
    <x v="0"/>
    <x v="0"/>
    <x v="0"/>
    <d v="1900-01-11T00:00:00"/>
    <n v="33"/>
    <x v="6"/>
    <x v="5"/>
  </r>
  <r>
    <x v="1274"/>
    <n v="-191.27"/>
    <x v="2709"/>
    <n v="3517.84"/>
    <s v="Complete Access"/>
    <x v="639"/>
    <x v="4"/>
    <x v="20"/>
    <d v="1900-01-11T00:00:00"/>
    <n v="33"/>
    <x v="6"/>
    <x v="5"/>
  </r>
  <r>
    <x v="1275"/>
    <n v="-47.75"/>
    <x v="2710"/>
    <n v="3726.61"/>
    <s v="Complete Access"/>
    <x v="61"/>
    <x v="1"/>
    <x v="1"/>
    <d v="1900-01-10T00:00:00"/>
    <n v="33"/>
    <x v="6"/>
    <x v="5"/>
  </r>
  <r>
    <x v="1275"/>
    <n v="-25.2"/>
    <x v="2711"/>
    <n v="3783.86"/>
    <s v="Complete Access"/>
    <x v="104"/>
    <x v="1"/>
    <x v="5"/>
    <d v="1900-01-10T00:00:00"/>
    <n v="33"/>
    <x v="6"/>
    <x v="5"/>
  </r>
  <r>
    <x v="1275"/>
    <n v="-9.5"/>
    <x v="2675"/>
    <n v="3774.36"/>
    <s v="Complete Access"/>
    <x v="0"/>
    <x v="0"/>
    <x v="0"/>
    <d v="1900-01-10T00:00:00"/>
    <n v="33"/>
    <x v="6"/>
    <x v="5"/>
  </r>
  <r>
    <x v="1275"/>
    <n v="-12.96"/>
    <x v="2712"/>
    <n v="3809.06"/>
    <s v="Complete Access"/>
    <x v="1"/>
    <x v="1"/>
    <x v="1"/>
    <d v="1900-01-10T00:00:00"/>
    <n v="33"/>
    <x v="6"/>
    <x v="5"/>
  </r>
  <r>
    <x v="1276"/>
    <n v="-8.5"/>
    <x v="2713"/>
    <n v="3910.07"/>
    <s v="Complete Access"/>
    <x v="640"/>
    <x v="8"/>
    <x v="22"/>
    <d v="1900-01-09T00:00:00"/>
    <n v="33"/>
    <x v="6"/>
    <x v="5"/>
  </r>
  <r>
    <x v="1276"/>
    <n v="-16.8"/>
    <x v="2713"/>
    <n v="3918.57"/>
    <s v="Complete Access"/>
    <x v="640"/>
    <x v="8"/>
    <x v="22"/>
    <d v="1900-01-09T00:00:00"/>
    <n v="33"/>
    <x v="6"/>
    <x v="5"/>
  </r>
  <r>
    <x v="1276"/>
    <n v="-28.55"/>
    <x v="2714"/>
    <n v="3881.52"/>
    <s v="Complete Access"/>
    <x v="641"/>
    <x v="1"/>
    <x v="5"/>
    <d v="1900-01-09T00:00:00"/>
    <n v="33"/>
    <x v="6"/>
    <x v="5"/>
  </r>
  <r>
    <x v="1276"/>
    <n v="-59.5"/>
    <x v="2543"/>
    <n v="3822.02"/>
    <s v="Complete Access"/>
    <x v="17"/>
    <x v="7"/>
    <x v="11"/>
    <d v="1900-01-09T00:00:00"/>
    <n v="33"/>
    <x v="6"/>
    <x v="5"/>
  </r>
  <r>
    <x v="1277"/>
    <n v="-24.2"/>
    <x v="2715"/>
    <n v="3935.37"/>
    <s v="Complete Access"/>
    <x v="642"/>
    <x v="8"/>
    <x v="29"/>
    <d v="1900-01-08T00:00:00"/>
    <n v="33"/>
    <x v="6"/>
    <x v="5"/>
  </r>
  <r>
    <x v="1277"/>
    <n v="-6.3"/>
    <x v="2715"/>
    <n v="3959.57"/>
    <s v="Complete Access"/>
    <x v="642"/>
    <x v="8"/>
    <x v="29"/>
    <d v="1900-01-08T00:00:00"/>
    <n v="33"/>
    <x v="6"/>
    <x v="5"/>
  </r>
  <r>
    <x v="1277"/>
    <n v="-3"/>
    <x v="2716"/>
    <n v="3965.87"/>
    <s v="Complete Access"/>
    <x v="47"/>
    <x v="1"/>
    <x v="5"/>
    <d v="1900-01-08T00:00:00"/>
    <n v="33"/>
    <x v="6"/>
    <x v="5"/>
  </r>
  <r>
    <x v="1278"/>
    <n v="-100"/>
    <x v="2274"/>
    <n v="3991.8"/>
    <s v="Complete Access"/>
    <x v="552"/>
    <x v="0"/>
    <x v="74"/>
    <d v="1900-01-07T00:00:00"/>
    <n v="32"/>
    <x v="6"/>
    <x v="5"/>
  </r>
  <r>
    <x v="1278"/>
    <n v="-22.93"/>
    <x v="2639"/>
    <n v="3968.87"/>
    <s v="Complete Access"/>
    <x v="4"/>
    <x v="1"/>
    <x v="1"/>
    <d v="1900-01-07T00:00:00"/>
    <n v="32"/>
    <x v="6"/>
    <x v="5"/>
  </r>
  <r>
    <x v="1279"/>
    <n v="-185"/>
    <x v="2717"/>
    <n v="4091.8"/>
    <s v="Complete Access"/>
    <x v="643"/>
    <x v="4"/>
    <x v="20"/>
    <d v="1900-01-06T00:00:00"/>
    <n v="32"/>
    <x v="6"/>
    <x v="5"/>
  </r>
  <r>
    <x v="1279"/>
    <n v="-14.95"/>
    <x v="2718"/>
    <n v="4276.8"/>
    <s v="Complete Access"/>
    <x v="47"/>
    <x v="1"/>
    <x v="5"/>
    <d v="1900-01-06T00:00:00"/>
    <n v="32"/>
    <x v="6"/>
    <x v="5"/>
  </r>
  <r>
    <x v="1279"/>
    <n v="-70"/>
    <x v="2719"/>
    <n v="4291.75"/>
    <s v="Complete Access"/>
    <x v="30"/>
    <x v="4"/>
    <x v="20"/>
    <d v="1900-01-06T00:00:00"/>
    <n v="32"/>
    <x v="6"/>
    <x v="5"/>
  </r>
  <r>
    <x v="1280"/>
    <n v="-337.7"/>
    <x v="2720"/>
    <n v="4871.74"/>
    <s v="Complete Access"/>
    <x v="438"/>
    <x v="12"/>
    <x v="21"/>
    <d v="1900-01-05T00:00:00"/>
    <n v="32"/>
    <x v="6"/>
    <x v="5"/>
  </r>
  <r>
    <x v="1280"/>
    <n v="2053.4899999999998"/>
    <x v="2721"/>
    <n v="5209.4399999999996"/>
    <s v="Complete Access"/>
    <x v="14"/>
    <x v="6"/>
    <x v="9"/>
    <d v="1900-01-05T00:00:00"/>
    <n v="32"/>
    <x v="6"/>
    <x v="5"/>
  </r>
  <r>
    <x v="1280"/>
    <n v="-500"/>
    <x v="2294"/>
    <n v="4361.75"/>
    <s v="Complete Access"/>
    <x v="571"/>
    <x v="19"/>
    <x v="61"/>
    <d v="1900-01-05T00:00:00"/>
    <n v="32"/>
    <x v="6"/>
    <x v="5"/>
  </r>
  <r>
    <x v="1280"/>
    <n v="-9.99"/>
    <x v="2722"/>
    <n v="4861.75"/>
    <s v="Complete Access"/>
    <x v="373"/>
    <x v="8"/>
    <x v="7"/>
    <d v="1900-01-05T00:00:00"/>
    <n v="32"/>
    <x v="6"/>
    <x v="5"/>
  </r>
  <r>
    <x v="1281"/>
    <n v="-28.53"/>
    <x v="2723"/>
    <n v="3324.95"/>
    <s v="Complete Access"/>
    <x v="8"/>
    <x v="1"/>
    <x v="5"/>
    <d v="1900-01-04T00:00:00"/>
    <n v="32"/>
    <x v="6"/>
    <x v="5"/>
  </r>
  <r>
    <x v="1281"/>
    <n v="-169"/>
    <x v="2724"/>
    <n v="3155.95"/>
    <s v="Complete Access"/>
    <x v="50"/>
    <x v="4"/>
    <x v="25"/>
    <d v="1900-01-04T00:00:00"/>
    <n v="32"/>
    <x v="6"/>
    <x v="5"/>
  </r>
  <r>
    <x v="1282"/>
    <n v="-23.55"/>
    <x v="2643"/>
    <n v="3525.78"/>
    <s v="Complete Access"/>
    <x v="215"/>
    <x v="1"/>
    <x v="1"/>
    <d v="1900-01-02T00:00:00"/>
    <n v="32"/>
    <x v="6"/>
    <x v="5"/>
  </r>
  <r>
    <x v="1282"/>
    <n v="-172.3"/>
    <x v="2725"/>
    <n v="3353.48"/>
    <s v="Complete Access"/>
    <x v="76"/>
    <x v="2"/>
    <x v="2"/>
    <d v="1900-01-02T00:00:00"/>
    <n v="32"/>
    <x v="6"/>
    <x v="5"/>
  </r>
  <r>
    <x v="1283"/>
    <n v="-20"/>
    <x v="2726"/>
    <n v="3659.33"/>
    <s v="Complete Access"/>
    <x v="27"/>
    <x v="1"/>
    <x v="5"/>
    <d v="1899-12-31T00:00:00"/>
    <n v="31"/>
    <x v="6"/>
    <x v="5"/>
  </r>
  <r>
    <x v="1283"/>
    <n v="-20"/>
    <x v="2229"/>
    <n v="3698.33"/>
    <s v="Complete Access"/>
    <x v="557"/>
    <x v="7"/>
    <x v="53"/>
    <d v="1899-12-31T00:00:00"/>
    <n v="31"/>
    <x v="6"/>
    <x v="5"/>
  </r>
  <r>
    <x v="1283"/>
    <n v="-100"/>
    <x v="2274"/>
    <n v="3718.33"/>
    <s v="Complete Access"/>
    <x v="552"/>
    <x v="0"/>
    <x v="74"/>
    <d v="1899-12-31T00:00:00"/>
    <n v="31"/>
    <x v="6"/>
    <x v="5"/>
  </r>
  <r>
    <x v="1283"/>
    <n v="-110"/>
    <x v="2668"/>
    <n v="3549.33"/>
    <s v="Complete Access"/>
    <x v="0"/>
    <x v="0"/>
    <x v="0"/>
    <d v="1899-12-31T00:00:00"/>
    <n v="31"/>
    <x v="6"/>
    <x v="5"/>
  </r>
  <r>
    <x v="1283"/>
    <n v="-19"/>
    <x v="2700"/>
    <n v="3679.33"/>
    <s v="Complete Access"/>
    <x v="243"/>
    <x v="1"/>
    <x v="23"/>
    <d v="1899-12-31T00:00:00"/>
    <n v="31"/>
    <x v="6"/>
    <x v="5"/>
  </r>
  <r>
    <x v="1284"/>
    <n v="-70"/>
    <x v="2727"/>
    <n v="3840.13"/>
    <s v="Complete Access"/>
    <x v="215"/>
    <x v="1"/>
    <x v="1"/>
    <d v="1900-01-30T00:00:00"/>
    <n v="31"/>
    <x v="7"/>
    <x v="5"/>
  </r>
  <r>
    <x v="1284"/>
    <n v="-2.8"/>
    <x v="72"/>
    <n v="3837.33"/>
    <s v="Complete Access"/>
    <x v="37"/>
    <x v="0"/>
    <x v="0"/>
    <d v="1900-01-30T00:00:00"/>
    <n v="31"/>
    <x v="7"/>
    <x v="5"/>
  </r>
  <r>
    <x v="1284"/>
    <n v="-19"/>
    <x v="2700"/>
    <n v="3818.33"/>
    <s v="Complete Access"/>
    <x v="243"/>
    <x v="1"/>
    <x v="23"/>
    <d v="1900-01-30T00:00:00"/>
    <n v="31"/>
    <x v="7"/>
    <x v="5"/>
  </r>
  <r>
    <x v="1285"/>
    <n v="-45.89"/>
    <x v="2728"/>
    <n v="3930.88"/>
    <s v="Complete Access"/>
    <x v="237"/>
    <x v="15"/>
    <x v="34"/>
    <d v="1900-01-29T00:00:00"/>
    <n v="31"/>
    <x v="7"/>
    <x v="5"/>
  </r>
  <r>
    <x v="1285"/>
    <n v="-40.11"/>
    <x v="2729"/>
    <n v="3976.77"/>
    <s v="Complete Access"/>
    <x v="237"/>
    <x v="15"/>
    <x v="34"/>
    <d v="1900-01-29T00:00:00"/>
    <n v="31"/>
    <x v="7"/>
    <x v="5"/>
  </r>
  <r>
    <x v="1285"/>
    <n v="-20.75"/>
    <x v="2730"/>
    <n v="3910.13"/>
    <s v="Complete Access"/>
    <x v="1"/>
    <x v="1"/>
    <x v="1"/>
    <d v="1900-01-29T00:00:00"/>
    <n v="31"/>
    <x v="7"/>
    <x v="5"/>
  </r>
  <r>
    <x v="1285"/>
    <n v="-21.5"/>
    <x v="2731"/>
    <n v="4016.88"/>
    <s v="Complete Access"/>
    <x v="644"/>
    <x v="1"/>
    <x v="23"/>
    <d v="1900-01-29T00:00:00"/>
    <n v="31"/>
    <x v="7"/>
    <x v="5"/>
  </r>
  <r>
    <x v="1286"/>
    <n v="-7.5"/>
    <x v="2675"/>
    <n v="4038.38"/>
    <s v="Complete Access"/>
    <x v="0"/>
    <x v="0"/>
    <x v="0"/>
    <d v="1900-01-28T00:00:00"/>
    <n v="31"/>
    <x v="7"/>
    <x v="5"/>
  </r>
  <r>
    <x v="1287"/>
    <n v="-30"/>
    <x v="2732"/>
    <n v="4369.26"/>
    <s v="Complete Access"/>
    <x v="0"/>
    <x v="0"/>
    <x v="0"/>
    <d v="1900-01-27T00:00:00"/>
    <n v="31"/>
    <x v="7"/>
    <x v="5"/>
  </r>
  <r>
    <x v="1287"/>
    <n v="-250"/>
    <x v="2628"/>
    <n v="4119.26"/>
    <s v="Complete Access"/>
    <x v="0"/>
    <x v="0"/>
    <x v="0"/>
    <d v="1900-01-27T00:00:00"/>
    <n v="31"/>
    <x v="7"/>
    <x v="5"/>
  </r>
  <r>
    <x v="1287"/>
    <n v="-73.38"/>
    <x v="2639"/>
    <n v="4045.88"/>
    <s v="Complete Access"/>
    <x v="4"/>
    <x v="1"/>
    <x v="1"/>
    <d v="1900-01-27T00:00:00"/>
    <n v="31"/>
    <x v="7"/>
    <x v="5"/>
  </r>
  <r>
    <x v="1288"/>
    <n v="-100"/>
    <x v="2274"/>
    <n v="4429.26"/>
    <s v="Complete Access"/>
    <x v="552"/>
    <x v="0"/>
    <x v="74"/>
    <d v="1900-01-24T00:00:00"/>
    <n v="30"/>
    <x v="7"/>
    <x v="5"/>
  </r>
  <r>
    <x v="1288"/>
    <n v="-30"/>
    <x v="2733"/>
    <n v="4399.26"/>
    <s v="Complete Access"/>
    <x v="504"/>
    <x v="0"/>
    <x v="72"/>
    <d v="1900-01-24T00:00:00"/>
    <n v="30"/>
    <x v="7"/>
    <x v="5"/>
  </r>
  <r>
    <x v="1289"/>
    <n v="2053.4899999999998"/>
    <x v="2734"/>
    <n v="5029.26"/>
    <s v="Complete Access"/>
    <x v="14"/>
    <x v="6"/>
    <x v="9"/>
    <d v="1900-01-22T00:00:00"/>
    <n v="30"/>
    <x v="7"/>
    <x v="5"/>
  </r>
  <r>
    <x v="1289"/>
    <n v="-500"/>
    <x v="2294"/>
    <n v="4529.26"/>
    <s v="Complete Access"/>
    <x v="571"/>
    <x v="19"/>
    <x v="61"/>
    <d v="1900-01-22T00:00:00"/>
    <n v="30"/>
    <x v="7"/>
    <x v="5"/>
  </r>
  <r>
    <x v="1290"/>
    <n v="-26.9"/>
    <x v="2735"/>
    <n v="3160.41"/>
    <s v="Complete Access"/>
    <x v="343"/>
    <x v="1"/>
    <x v="5"/>
    <d v="1900-01-21T00:00:00"/>
    <n v="30"/>
    <x v="7"/>
    <x v="5"/>
  </r>
  <r>
    <x v="1290"/>
    <n v="-143"/>
    <x v="2736"/>
    <n v="2975.77"/>
    <s v="Complete Access"/>
    <x v="0"/>
    <x v="0"/>
    <x v="0"/>
    <d v="1900-01-21T00:00:00"/>
    <n v="30"/>
    <x v="7"/>
    <x v="5"/>
  </r>
  <r>
    <x v="1290"/>
    <n v="-23.99"/>
    <x v="2737"/>
    <n v="3187.31"/>
    <s v="Complete Access"/>
    <x v="104"/>
    <x v="1"/>
    <x v="5"/>
    <d v="1900-01-21T00:00:00"/>
    <n v="30"/>
    <x v="7"/>
    <x v="5"/>
  </r>
  <r>
    <x v="1290"/>
    <n v="-41.64"/>
    <x v="2738"/>
    <n v="3118.77"/>
    <s v="Complete Access"/>
    <x v="1"/>
    <x v="1"/>
    <x v="1"/>
    <d v="1900-01-21T00:00:00"/>
    <n v="30"/>
    <x v="7"/>
    <x v="5"/>
  </r>
  <r>
    <x v="1291"/>
    <n v="20"/>
    <x v="2739"/>
    <n v="3211.3"/>
    <s v="Complete Access"/>
    <x v="645"/>
    <x v="0"/>
    <x v="69"/>
    <d v="1900-01-20T00:00:00"/>
    <n v="30"/>
    <x v="7"/>
    <x v="5"/>
  </r>
  <r>
    <x v="1291"/>
    <n v="-4.9000000000000004"/>
    <x v="2740"/>
    <n v="3191.3"/>
    <s v="Complete Access"/>
    <x v="646"/>
    <x v="1"/>
    <x v="1"/>
    <d v="1900-01-20T00:00:00"/>
    <n v="30"/>
    <x v="7"/>
    <x v="5"/>
  </r>
  <r>
    <x v="1292"/>
    <n v="-52.7"/>
    <x v="2639"/>
    <n v="3196.2"/>
    <s v="Complete Access"/>
    <x v="4"/>
    <x v="1"/>
    <x v="1"/>
    <d v="1900-01-19T00:00:00"/>
    <n v="30"/>
    <x v="7"/>
    <x v="5"/>
  </r>
  <r>
    <x v="1293"/>
    <n v="-20"/>
    <x v="2741"/>
    <n v="3248.9"/>
    <s v="Complete Access"/>
    <x v="645"/>
    <x v="0"/>
    <x v="69"/>
    <d v="1900-01-17T00:00:00"/>
    <n v="29"/>
    <x v="7"/>
    <x v="5"/>
  </r>
  <r>
    <x v="1293"/>
    <n v="-100"/>
    <x v="2274"/>
    <n v="3268.9"/>
    <s v="Complete Access"/>
    <x v="552"/>
    <x v="0"/>
    <x v="74"/>
    <d v="1900-01-17T00:00:00"/>
    <n v="29"/>
    <x v="7"/>
    <x v="5"/>
  </r>
  <r>
    <x v="1294"/>
    <n v="-13.4"/>
    <x v="2742"/>
    <n v="3368.9"/>
    <s v="Complete Access"/>
    <x v="267"/>
    <x v="1"/>
    <x v="1"/>
    <d v="1900-01-15T00:00:00"/>
    <n v="29"/>
    <x v="7"/>
    <x v="5"/>
  </r>
  <r>
    <x v="1294"/>
    <n v="-39.9"/>
    <x v="2743"/>
    <n v="3382.3"/>
    <s v="Complete Access"/>
    <x v="237"/>
    <x v="15"/>
    <x v="34"/>
    <d v="1900-01-15T00:00:00"/>
    <n v="29"/>
    <x v="7"/>
    <x v="5"/>
  </r>
  <r>
    <x v="1294"/>
    <n v="-15.75"/>
    <x v="2743"/>
    <n v="3422.2"/>
    <s v="Complete Access"/>
    <x v="237"/>
    <x v="15"/>
    <x v="34"/>
    <d v="1900-01-15T00:00:00"/>
    <n v="29"/>
    <x v="7"/>
    <x v="5"/>
  </r>
  <r>
    <x v="1295"/>
    <n v="-24"/>
    <x v="2744"/>
    <n v="3437.95"/>
    <s v="Complete Access"/>
    <x v="27"/>
    <x v="1"/>
    <x v="5"/>
    <d v="1900-01-14T00:00:00"/>
    <n v="29"/>
    <x v="7"/>
    <x v="5"/>
  </r>
  <r>
    <x v="1296"/>
    <n v="-211.12"/>
    <x v="2745"/>
    <n v="3461.95"/>
    <s v="Complete Access"/>
    <x v="647"/>
    <x v="1"/>
    <x v="5"/>
    <d v="1900-01-13T00:00:00"/>
    <n v="29"/>
    <x v="7"/>
    <x v="5"/>
  </r>
  <r>
    <x v="1296"/>
    <n v="-17.989999999999998"/>
    <x v="2746"/>
    <n v="3673.07"/>
    <s v="Complete Access"/>
    <x v="104"/>
    <x v="1"/>
    <x v="5"/>
    <d v="1900-01-13T00:00:00"/>
    <n v="29"/>
    <x v="7"/>
    <x v="5"/>
  </r>
  <r>
    <x v="1297"/>
    <n v="60"/>
    <x v="2747"/>
    <n v="3691.06"/>
    <s v="Complete Access"/>
    <x v="648"/>
    <x v="1"/>
    <x v="5"/>
    <d v="1900-01-12T00:00:00"/>
    <n v="29"/>
    <x v="7"/>
    <x v="5"/>
  </r>
  <r>
    <x v="1298"/>
    <n v="54"/>
    <x v="2748"/>
    <n v="3631.06"/>
    <s v="Complete Access"/>
    <x v="634"/>
    <x v="1"/>
    <x v="5"/>
    <d v="1900-01-10T00:00:00"/>
    <n v="28"/>
    <x v="7"/>
    <x v="5"/>
  </r>
  <r>
    <x v="1298"/>
    <n v="-100"/>
    <x v="2274"/>
    <n v="3577.06"/>
    <s v="Complete Access"/>
    <x v="552"/>
    <x v="0"/>
    <x v="74"/>
    <d v="1900-01-10T00:00:00"/>
    <n v="28"/>
    <x v="7"/>
    <x v="5"/>
  </r>
  <r>
    <x v="1299"/>
    <n v="-20"/>
    <x v="2749"/>
    <n v="3724.32"/>
    <s v="Complete Access"/>
    <x v="50"/>
    <x v="4"/>
    <x v="25"/>
    <d v="1900-01-09T00:00:00"/>
    <n v="28"/>
    <x v="7"/>
    <x v="5"/>
  </r>
  <r>
    <x v="1299"/>
    <n v="-47.26"/>
    <x v="2543"/>
    <n v="3677.06"/>
    <s v="Complete Access"/>
    <x v="17"/>
    <x v="7"/>
    <x v="11"/>
    <d v="1900-01-09T00:00:00"/>
    <n v="28"/>
    <x v="7"/>
    <x v="5"/>
  </r>
  <r>
    <x v="1300"/>
    <n v="-160.46"/>
    <x v="2750"/>
    <n v="4283.91"/>
    <s v="Complete Access"/>
    <x v="438"/>
    <x v="12"/>
    <x v="21"/>
    <d v="1900-01-08T00:00:00"/>
    <n v="28"/>
    <x v="7"/>
    <x v="5"/>
  </r>
  <r>
    <x v="1300"/>
    <n v="2053.4899999999998"/>
    <x v="2751"/>
    <n v="4444.37"/>
    <s v="Complete Access"/>
    <x v="14"/>
    <x v="6"/>
    <x v="9"/>
    <d v="1900-01-08T00:00:00"/>
    <n v="28"/>
    <x v="7"/>
    <x v="5"/>
  </r>
  <r>
    <x v="1300"/>
    <n v="-500"/>
    <x v="2294"/>
    <n v="3744.32"/>
    <s v="Complete Access"/>
    <x v="571"/>
    <x v="19"/>
    <x v="61"/>
    <d v="1900-01-08T00:00:00"/>
    <n v="28"/>
    <x v="7"/>
    <x v="5"/>
  </r>
  <r>
    <x v="1300"/>
    <n v="-8.6300000000000008"/>
    <x v="2752"/>
    <n v="4244.32"/>
    <s v="Complete Access"/>
    <x v="649"/>
    <x v="8"/>
    <x v="29"/>
    <d v="1900-01-08T00:00:00"/>
    <n v="28"/>
    <x v="7"/>
    <x v="5"/>
  </r>
  <r>
    <x v="1300"/>
    <n v="-30.96"/>
    <x v="2752"/>
    <n v="4252.95"/>
    <s v="Complete Access"/>
    <x v="649"/>
    <x v="8"/>
    <x v="29"/>
    <d v="1900-01-08T00:00:00"/>
    <n v="28"/>
    <x v="7"/>
    <x v="5"/>
  </r>
  <r>
    <x v="1301"/>
    <n v="-46.46"/>
    <x v="2753"/>
    <n v="2412.9499999999998"/>
    <s v="Complete Access"/>
    <x v="8"/>
    <x v="1"/>
    <x v="5"/>
    <d v="1900-01-07T00:00:00"/>
    <n v="28"/>
    <x v="7"/>
    <x v="5"/>
  </r>
  <r>
    <x v="1301"/>
    <n v="-22.07"/>
    <x v="2754"/>
    <n v="2390.88"/>
    <s v="Complete Access"/>
    <x v="1"/>
    <x v="1"/>
    <x v="1"/>
    <d v="1900-01-07T00:00:00"/>
    <n v="28"/>
    <x v="7"/>
    <x v="5"/>
  </r>
  <r>
    <x v="1302"/>
    <n v="-9.99"/>
    <x v="2755"/>
    <n v="2496.04"/>
    <s v="Complete Access"/>
    <x v="373"/>
    <x v="8"/>
    <x v="7"/>
    <d v="1900-01-06T00:00:00"/>
    <n v="28"/>
    <x v="7"/>
    <x v="5"/>
  </r>
  <r>
    <x v="1302"/>
    <n v="-36.630000000000003"/>
    <x v="2639"/>
    <n v="2459.41"/>
    <s v="Complete Access"/>
    <x v="4"/>
    <x v="1"/>
    <x v="1"/>
    <d v="1900-01-06T00:00:00"/>
    <n v="28"/>
    <x v="7"/>
    <x v="5"/>
  </r>
  <r>
    <x v="1303"/>
    <n v="53.48"/>
    <x v="2282"/>
    <n v="2484.52"/>
    <s v="Complete Access"/>
    <x v="567"/>
    <x v="0"/>
    <x v="69"/>
    <d v="1900-01-05T00:00:00"/>
    <n v="28"/>
    <x v="7"/>
    <x v="5"/>
  </r>
  <r>
    <x v="1303"/>
    <n v="53.3"/>
    <x v="2556"/>
    <n v="2537.8200000000002"/>
    <s v="Complete Access"/>
    <x v="583"/>
    <x v="0"/>
    <x v="69"/>
    <d v="1900-01-05T00:00:00"/>
    <n v="28"/>
    <x v="7"/>
    <x v="5"/>
  </r>
  <r>
    <x v="1303"/>
    <n v="-31.79"/>
    <x v="2639"/>
    <n v="2506.0300000000002"/>
    <s v="Complete Access"/>
    <x v="4"/>
    <x v="1"/>
    <x v="1"/>
    <d v="1900-01-05T00:00:00"/>
    <n v="28"/>
    <x v="7"/>
    <x v="5"/>
  </r>
  <r>
    <x v="1304"/>
    <n v="-100"/>
    <x v="2274"/>
    <n v="2431.04"/>
    <s v="Complete Access"/>
    <x v="552"/>
    <x v="0"/>
    <x v="74"/>
    <d v="1900-01-03T00:00:00"/>
    <n v="27"/>
    <x v="7"/>
    <x v="5"/>
  </r>
  <r>
    <x v="1305"/>
    <n v="-47.94"/>
    <x v="2756"/>
    <n v="2531.04"/>
    <s v="Complete Access"/>
    <x v="177"/>
    <x v="1"/>
    <x v="1"/>
    <d v="1900-01-01T00:00:00"/>
    <n v="27"/>
    <x v="7"/>
    <x v="5"/>
  </r>
  <r>
    <x v="1305"/>
    <n v="-8.33"/>
    <x v="2757"/>
    <n v="2578.98"/>
    <s v="Complete Access"/>
    <x v="1"/>
    <x v="1"/>
    <x v="1"/>
    <d v="1900-01-01T00:00:00"/>
    <n v="27"/>
    <x v="7"/>
    <x v="5"/>
  </r>
  <r>
    <x v="1306"/>
    <n v="-14.2"/>
    <x v="2758"/>
    <n v="2759.61"/>
    <s v="Complete Access"/>
    <x v="650"/>
    <x v="1"/>
    <x v="5"/>
    <d v="1899-12-31T00:00:00"/>
    <n v="27"/>
    <x v="7"/>
    <x v="5"/>
  </r>
  <r>
    <x v="1306"/>
    <n v="-20"/>
    <x v="2229"/>
    <n v="2773.81"/>
    <s v="Complete Access"/>
    <x v="557"/>
    <x v="7"/>
    <x v="53"/>
    <d v="1899-12-31T00:00:00"/>
    <n v="27"/>
    <x v="7"/>
    <x v="5"/>
  </r>
  <r>
    <x v="1306"/>
    <n v="-172.3"/>
    <x v="2759"/>
    <n v="2587.31"/>
    <s v="Complete Access"/>
    <x v="76"/>
    <x v="2"/>
    <x v="2"/>
    <d v="1899-12-31T00:00:00"/>
    <n v="27"/>
    <x v="7"/>
    <x v="5"/>
  </r>
  <r>
    <x v="1307"/>
    <n v="-27.5"/>
    <x v="2760"/>
    <n v="2862.27"/>
    <s v="Complete Access"/>
    <x v="645"/>
    <x v="0"/>
    <x v="69"/>
    <d v="1900-01-29T00:00:00"/>
    <n v="27"/>
    <x v="8"/>
    <x v="5"/>
  </r>
  <r>
    <x v="1307"/>
    <n v="-68.459999999999994"/>
    <x v="2639"/>
    <n v="2793.81"/>
    <s v="Complete Access"/>
    <x v="4"/>
    <x v="1"/>
    <x v="1"/>
    <d v="1900-01-29T00:00:00"/>
    <n v="27"/>
    <x v="8"/>
    <x v="5"/>
  </r>
  <r>
    <x v="1307"/>
    <n v="-33.19"/>
    <x v="2761"/>
    <n v="2889.77"/>
    <s v="Complete Access"/>
    <x v="34"/>
    <x v="9"/>
    <x v="12"/>
    <d v="1900-01-29T00:00:00"/>
    <n v="27"/>
    <x v="8"/>
    <x v="5"/>
  </r>
  <r>
    <x v="1308"/>
    <n v="-19.55"/>
    <x v="2762"/>
    <n v="2922.96"/>
    <s v="Complete Access"/>
    <x v="616"/>
    <x v="1"/>
    <x v="1"/>
    <d v="1900-01-28T00:00:00"/>
    <n v="27"/>
    <x v="8"/>
    <x v="5"/>
  </r>
  <r>
    <x v="1308"/>
    <n v="56"/>
    <x v="2763"/>
    <n v="2946.5"/>
    <s v="Complete Access"/>
    <x v="0"/>
    <x v="0"/>
    <x v="0"/>
    <d v="1900-01-28T00:00:00"/>
    <n v="27"/>
    <x v="8"/>
    <x v="5"/>
  </r>
  <r>
    <x v="1308"/>
    <n v="56"/>
    <x v="2764"/>
    <n v="2890.5"/>
    <s v="Complete Access"/>
    <x v="651"/>
    <x v="0"/>
    <x v="69"/>
    <d v="1900-01-28T00:00:00"/>
    <n v="27"/>
    <x v="8"/>
    <x v="5"/>
  </r>
  <r>
    <x v="1308"/>
    <n v="-210"/>
    <x v="2760"/>
    <n v="2834.5"/>
    <s v="Complete Access"/>
    <x v="645"/>
    <x v="0"/>
    <x v="69"/>
    <d v="1900-01-28T00:00:00"/>
    <n v="27"/>
    <x v="8"/>
    <x v="5"/>
  </r>
  <r>
    <x v="1308"/>
    <n v="-3.99"/>
    <x v="2643"/>
    <n v="2942.51"/>
    <s v="Complete Access"/>
    <x v="215"/>
    <x v="1"/>
    <x v="1"/>
    <d v="1900-01-28T00:00:00"/>
    <n v="27"/>
    <x v="8"/>
    <x v="5"/>
  </r>
  <r>
    <x v="1309"/>
    <n v="-100"/>
    <x v="2274"/>
    <n v="3078.38"/>
    <s v="Complete Access"/>
    <x v="552"/>
    <x v="0"/>
    <x v="74"/>
    <d v="1900-01-26T00:00:00"/>
    <n v="26"/>
    <x v="8"/>
    <x v="5"/>
  </r>
  <r>
    <x v="1309"/>
    <n v="-6.9"/>
    <x v="2765"/>
    <n v="3071.48"/>
    <s v="Complete Access"/>
    <x v="652"/>
    <x v="8"/>
    <x v="29"/>
    <d v="1900-01-26T00:00:00"/>
    <n v="26"/>
    <x v="8"/>
    <x v="5"/>
  </r>
  <r>
    <x v="1309"/>
    <n v="-26.98"/>
    <x v="2766"/>
    <n v="3044.5"/>
    <s v="Complete Access"/>
    <x v="215"/>
    <x v="1"/>
    <x v="1"/>
    <d v="1900-01-26T00:00:00"/>
    <n v="26"/>
    <x v="8"/>
    <x v="5"/>
  </r>
  <r>
    <x v="1310"/>
    <n v="-45.4"/>
    <x v="2767"/>
    <n v="3178.38"/>
    <s v="Complete Access"/>
    <x v="243"/>
    <x v="1"/>
    <x v="23"/>
    <d v="1900-01-25T00:00:00"/>
    <n v="26"/>
    <x v="8"/>
    <x v="5"/>
  </r>
  <r>
    <x v="1311"/>
    <n v="2053.4899999999998"/>
    <x v="2768"/>
    <n v="5950.4"/>
    <s v="Complete Access"/>
    <x v="14"/>
    <x v="6"/>
    <x v="9"/>
    <d v="1900-01-24T00:00:00"/>
    <n v="26"/>
    <x v="8"/>
    <x v="5"/>
  </r>
  <r>
    <x v="1311"/>
    <n v="-33.229999999999997"/>
    <x v="2769"/>
    <n v="3223.78"/>
    <s v="Complete Access"/>
    <x v="27"/>
    <x v="1"/>
    <x v="5"/>
    <d v="1900-01-24T00:00:00"/>
    <n v="26"/>
    <x v="8"/>
    <x v="5"/>
  </r>
  <r>
    <x v="1311"/>
    <n v="-500"/>
    <x v="2294"/>
    <n v="3359.01"/>
    <s v="Complete Access"/>
    <x v="571"/>
    <x v="19"/>
    <x v="61"/>
    <d v="1900-01-24T00:00:00"/>
    <n v="26"/>
    <x v="8"/>
    <x v="5"/>
  </r>
  <r>
    <x v="1311"/>
    <n v="-2056"/>
    <x v="2770"/>
    <n v="3859.01"/>
    <s v="Complete Access"/>
    <x v="50"/>
    <x v="4"/>
    <x v="25"/>
    <d v="1900-01-24T00:00:00"/>
    <n v="26"/>
    <x v="8"/>
    <x v="5"/>
  </r>
  <r>
    <x v="1311"/>
    <n v="-102"/>
    <x v="2771"/>
    <n v="3257.01"/>
    <s v="Complete Access"/>
    <x v="567"/>
    <x v="0"/>
    <x v="69"/>
    <d v="1900-01-24T00:00:00"/>
    <n v="26"/>
    <x v="8"/>
    <x v="5"/>
  </r>
  <r>
    <x v="1311"/>
    <n v="-35.39"/>
    <x v="2772"/>
    <n v="5915.01"/>
    <s v="Complete Access"/>
    <x v="237"/>
    <x v="15"/>
    <x v="34"/>
    <d v="1900-01-24T00:00:00"/>
    <n v="26"/>
    <x v="8"/>
    <x v="5"/>
  </r>
  <r>
    <x v="1312"/>
    <n v="-10.45"/>
    <x v="2773"/>
    <n v="3896.91"/>
    <s v="Complete Access"/>
    <x v="1"/>
    <x v="1"/>
    <x v="1"/>
    <d v="1900-01-23T00:00:00"/>
    <n v="26"/>
    <x v="8"/>
    <x v="5"/>
  </r>
  <r>
    <x v="1313"/>
    <n v="-5.08"/>
    <x v="2774"/>
    <n v="3907.36"/>
    <s v="Complete Access"/>
    <x v="213"/>
    <x v="1"/>
    <x v="23"/>
    <d v="1900-01-22T00:00:00"/>
    <n v="26"/>
    <x v="8"/>
    <x v="5"/>
  </r>
  <r>
    <x v="1314"/>
    <n v="-37.520000000000003"/>
    <x v="2639"/>
    <n v="3912.44"/>
    <s v="Complete Access"/>
    <x v="4"/>
    <x v="1"/>
    <x v="1"/>
    <d v="1900-01-21T00:00:00"/>
    <n v="26"/>
    <x v="8"/>
    <x v="5"/>
  </r>
  <r>
    <x v="1315"/>
    <n v="-250"/>
    <x v="2775"/>
    <n v="4052.76"/>
    <s v="Complete Access"/>
    <x v="601"/>
    <x v="0"/>
    <x v="0"/>
    <d v="1900-01-19T00:00:00"/>
    <n v="25"/>
    <x v="8"/>
    <x v="5"/>
  </r>
  <r>
    <x v="1315"/>
    <n v="-2.8"/>
    <x v="72"/>
    <n v="4049.96"/>
    <s v="Complete Access"/>
    <x v="37"/>
    <x v="0"/>
    <x v="0"/>
    <d v="1900-01-19T00:00:00"/>
    <n v="25"/>
    <x v="8"/>
    <x v="5"/>
  </r>
  <r>
    <x v="1315"/>
    <n v="-100"/>
    <x v="2776"/>
    <n v="3949.96"/>
    <s v="Complete Access"/>
    <x v="645"/>
    <x v="0"/>
    <x v="69"/>
    <d v="1900-01-19T00:00:00"/>
    <n v="25"/>
    <x v="8"/>
    <x v="5"/>
  </r>
  <r>
    <x v="1315"/>
    <n v="-100"/>
    <x v="2274"/>
    <n v="4350.76"/>
    <s v="Complete Access"/>
    <x v="552"/>
    <x v="0"/>
    <x v="74"/>
    <d v="1900-01-19T00:00:00"/>
    <n v="25"/>
    <x v="8"/>
    <x v="5"/>
  </r>
  <r>
    <x v="1315"/>
    <n v="-48"/>
    <x v="2700"/>
    <n v="4302.76"/>
    <s v="Complete Access"/>
    <x v="243"/>
    <x v="1"/>
    <x v="23"/>
    <d v="1900-01-19T00:00:00"/>
    <n v="25"/>
    <x v="8"/>
    <x v="5"/>
  </r>
  <r>
    <x v="1316"/>
    <n v="-42.19"/>
    <x v="2777"/>
    <n v="4450.76"/>
    <s v="Complete Access"/>
    <x v="1"/>
    <x v="1"/>
    <x v="1"/>
    <d v="1900-01-17T00:00:00"/>
    <n v="25"/>
    <x v="8"/>
    <x v="5"/>
  </r>
  <r>
    <x v="1317"/>
    <n v="-197.83"/>
    <x v="2778"/>
    <n v="4492.95"/>
    <s v="Complete Access"/>
    <x v="645"/>
    <x v="0"/>
    <x v="69"/>
    <d v="1900-01-16T00:00:00"/>
    <n v="25"/>
    <x v="8"/>
    <x v="5"/>
  </r>
  <r>
    <x v="1318"/>
    <n v="-33.99"/>
    <x v="2779"/>
    <n v="4711.55"/>
    <s v="Complete Access"/>
    <x v="104"/>
    <x v="1"/>
    <x v="5"/>
    <d v="1900-01-15T00:00:00"/>
    <n v="25"/>
    <x v="8"/>
    <x v="5"/>
  </r>
  <r>
    <x v="1318"/>
    <n v="-20.77"/>
    <x v="2639"/>
    <n v="4690.78"/>
    <s v="Complete Access"/>
    <x v="4"/>
    <x v="1"/>
    <x v="1"/>
    <d v="1900-01-15T00:00:00"/>
    <n v="25"/>
    <x v="8"/>
    <x v="5"/>
  </r>
  <r>
    <x v="1319"/>
    <n v="-100"/>
    <x v="2274"/>
    <n v="4745.54"/>
    <s v="Complete Access"/>
    <x v="552"/>
    <x v="0"/>
    <x v="74"/>
    <d v="1900-01-12T00:00:00"/>
    <n v="24"/>
    <x v="8"/>
    <x v="5"/>
  </r>
  <r>
    <x v="1320"/>
    <n v="16"/>
    <x v="2780"/>
    <n v="4845.54"/>
    <s v="Complete Access"/>
    <x v="568"/>
    <x v="0"/>
    <x v="69"/>
    <d v="1900-01-11T00:00:00"/>
    <n v="24"/>
    <x v="8"/>
    <x v="5"/>
  </r>
  <r>
    <x v="1320"/>
    <n v="-43"/>
    <x v="2700"/>
    <n v="4829.54"/>
    <s v="Complete Access"/>
    <x v="243"/>
    <x v="1"/>
    <x v="23"/>
    <d v="1900-01-11T00:00:00"/>
    <n v="24"/>
    <x v="8"/>
    <x v="5"/>
  </r>
  <r>
    <x v="1321"/>
    <n v="2053.4899999999998"/>
    <x v="2781"/>
    <n v="5514.77"/>
    <s v="Complete Access"/>
    <x v="14"/>
    <x v="6"/>
    <x v="9"/>
    <d v="1900-01-10T00:00:00"/>
    <n v="24"/>
    <x v="8"/>
    <x v="5"/>
  </r>
  <r>
    <x v="1321"/>
    <n v="-500"/>
    <x v="2294"/>
    <n v="5014.7700000000004"/>
    <s v="Complete Access"/>
    <x v="571"/>
    <x v="19"/>
    <x v="61"/>
    <d v="1900-01-10T00:00:00"/>
    <n v="24"/>
    <x v="8"/>
    <x v="5"/>
  </r>
  <r>
    <x v="1321"/>
    <n v="-73"/>
    <x v="2543"/>
    <n v="4872.54"/>
    <s v="Complete Access"/>
    <x v="17"/>
    <x v="7"/>
    <x v="11"/>
    <d v="1900-01-10T00:00:00"/>
    <n v="24"/>
    <x v="8"/>
    <x v="5"/>
  </r>
  <r>
    <x v="1321"/>
    <n v="-69.23"/>
    <x v="2782"/>
    <n v="4945.54"/>
    <s v="Complete Access"/>
    <x v="1"/>
    <x v="1"/>
    <x v="1"/>
    <d v="1900-01-10T00:00:00"/>
    <n v="24"/>
    <x v="8"/>
    <x v="5"/>
  </r>
  <r>
    <x v="1322"/>
    <n v="-8.6999999999999993"/>
    <x v="2783"/>
    <n v="3461.28"/>
    <s v="Complete Access"/>
    <x v="34"/>
    <x v="9"/>
    <x v="12"/>
    <d v="1900-01-09T00:00:00"/>
    <n v="24"/>
    <x v="8"/>
    <x v="5"/>
  </r>
  <r>
    <x v="1323"/>
    <n v="-9.99"/>
    <x v="2784"/>
    <n v="3469.98"/>
    <s v="Complete Access"/>
    <x v="373"/>
    <x v="8"/>
    <x v="7"/>
    <d v="1900-01-08T00:00:00"/>
    <n v="24"/>
    <x v="8"/>
    <x v="5"/>
  </r>
  <r>
    <x v="1324"/>
    <n v="-100"/>
    <x v="2274"/>
    <n v="3479.97"/>
    <s v="Complete Access"/>
    <x v="552"/>
    <x v="0"/>
    <x v="74"/>
    <d v="1900-01-05T00:00:00"/>
    <n v="23"/>
    <x v="8"/>
    <x v="5"/>
  </r>
  <r>
    <x v="1325"/>
    <n v="-181.02"/>
    <x v="2785"/>
    <n v="3579.97"/>
    <s v="Complete Access"/>
    <x v="438"/>
    <x v="12"/>
    <x v="21"/>
    <d v="1900-01-04T00:00:00"/>
    <n v="23"/>
    <x v="8"/>
    <x v="5"/>
  </r>
  <r>
    <x v="1326"/>
    <n v="-48"/>
    <x v="2786"/>
    <n v="3760.99"/>
    <s v="Complete Access"/>
    <x v="1"/>
    <x v="1"/>
    <x v="1"/>
    <d v="1900-01-03T00:00:00"/>
    <n v="23"/>
    <x v="8"/>
    <x v="5"/>
  </r>
  <r>
    <x v="1327"/>
    <n v="-15"/>
    <x v="2787"/>
    <n v="3808.99"/>
    <s v="Complete Access"/>
    <x v="347"/>
    <x v="3"/>
    <x v="62"/>
    <d v="1900-01-02T00:00:00"/>
    <n v="23"/>
    <x v="8"/>
    <x v="5"/>
  </r>
  <r>
    <x v="1327"/>
    <n v="-16.149999999999999"/>
    <x v="2788"/>
    <n v="3823.99"/>
    <s v="Complete Access"/>
    <x v="34"/>
    <x v="9"/>
    <x v="12"/>
    <d v="1900-01-02T00:00:00"/>
    <n v="23"/>
    <x v="8"/>
    <x v="5"/>
  </r>
  <r>
    <x v="1328"/>
    <n v="90"/>
    <x v="2282"/>
    <n v="3795.14"/>
    <s v="Complete Access"/>
    <x v="567"/>
    <x v="0"/>
    <x v="69"/>
    <d v="1900-01-01T00:00:00"/>
    <n v="23"/>
    <x v="8"/>
    <x v="5"/>
  </r>
  <r>
    <x v="1328"/>
    <n v="45"/>
    <x v="2556"/>
    <n v="3840.14"/>
    <s v="Complete Access"/>
    <x v="583"/>
    <x v="0"/>
    <x v="69"/>
    <d v="1900-01-01T00:00:00"/>
    <n v="23"/>
    <x v="8"/>
    <x v="5"/>
  </r>
  <r>
    <x v="1328"/>
    <n v="-32.090000000000003"/>
    <x v="2789"/>
    <n v="3705.14"/>
    <s v="Complete Access"/>
    <x v="1"/>
    <x v="1"/>
    <x v="1"/>
    <d v="1900-01-01T00:00:00"/>
    <n v="23"/>
    <x v="8"/>
    <x v="5"/>
  </r>
  <r>
    <x v="1329"/>
    <n v="-20"/>
    <x v="2229"/>
    <n v="3909.53"/>
    <s v="Complete Access"/>
    <x v="557"/>
    <x v="7"/>
    <x v="53"/>
    <d v="1899-12-31T00:00:00"/>
    <n v="23"/>
    <x v="8"/>
    <x v="5"/>
  </r>
  <r>
    <x v="1329"/>
    <n v="-172.3"/>
    <x v="2790"/>
    <n v="3737.23"/>
    <s v="Complete Access"/>
    <x v="76"/>
    <x v="2"/>
    <x v="2"/>
    <d v="1899-12-31T00:00:00"/>
    <n v="23"/>
    <x v="8"/>
    <x v="5"/>
  </r>
  <r>
    <x v="1330"/>
    <n v="-100"/>
    <x v="2274"/>
    <n v="3929.53"/>
    <s v="Complete Access"/>
    <x v="552"/>
    <x v="0"/>
    <x v="74"/>
    <d v="1900-01-29T00:00:00"/>
    <n v="22"/>
    <x v="9"/>
    <x v="5"/>
  </r>
  <r>
    <x v="1331"/>
    <n v="2053.4899999999998"/>
    <x v="2791"/>
    <n v="4529.53"/>
    <s v="Complete Access"/>
    <x v="14"/>
    <x v="6"/>
    <x v="9"/>
    <d v="1900-01-27T00:00:00"/>
    <n v="22"/>
    <x v="9"/>
    <x v="5"/>
  </r>
  <r>
    <x v="1331"/>
    <n v="-500"/>
    <x v="2294"/>
    <n v="4029.53"/>
    <s v="Complete Access"/>
    <x v="571"/>
    <x v="19"/>
    <x v="61"/>
    <d v="1900-01-27T00:00:00"/>
    <n v="22"/>
    <x v="9"/>
    <x v="5"/>
  </r>
  <r>
    <x v="1332"/>
    <n v="-17.5"/>
    <x v="2792"/>
    <n v="2550.16"/>
    <s v="Complete Access"/>
    <x v="593"/>
    <x v="1"/>
    <x v="5"/>
    <d v="1900-01-26T00:00:00"/>
    <n v="22"/>
    <x v="9"/>
    <x v="5"/>
  </r>
  <r>
    <x v="1332"/>
    <n v="-74.12"/>
    <x v="2793"/>
    <n v="2476.04"/>
    <s v="Complete Access"/>
    <x v="1"/>
    <x v="1"/>
    <x v="1"/>
    <d v="1900-01-26T00:00:00"/>
    <n v="22"/>
    <x v="9"/>
    <x v="5"/>
  </r>
  <r>
    <x v="1333"/>
    <n v="-322.41000000000003"/>
    <x v="2794"/>
    <n v="2567.66"/>
    <s v="Complete Access"/>
    <x v="95"/>
    <x v="14"/>
    <x v="38"/>
    <d v="1900-01-25T00:00:00"/>
    <n v="22"/>
    <x v="9"/>
    <x v="5"/>
  </r>
  <r>
    <x v="1333"/>
    <n v="-191.76"/>
    <x v="2795"/>
    <n v="2890.07"/>
    <s v="Complete Access"/>
    <x v="295"/>
    <x v="14"/>
    <x v="66"/>
    <d v="1900-01-25T00:00:00"/>
    <n v="22"/>
    <x v="9"/>
    <x v="5"/>
  </r>
  <r>
    <x v="1334"/>
    <n v="-21.66"/>
    <x v="2643"/>
    <n v="3081.83"/>
    <s v="Complete Access"/>
    <x v="215"/>
    <x v="1"/>
    <x v="1"/>
    <d v="1900-01-22T00:00:00"/>
    <n v="21"/>
    <x v="9"/>
    <x v="5"/>
  </r>
  <r>
    <x v="1334"/>
    <n v="-100"/>
    <x v="2274"/>
    <n v="3147.49"/>
    <s v="Complete Access"/>
    <x v="552"/>
    <x v="0"/>
    <x v="74"/>
    <d v="1900-01-22T00:00:00"/>
    <n v="21"/>
    <x v="9"/>
    <x v="5"/>
  </r>
  <r>
    <x v="1334"/>
    <n v="-44"/>
    <x v="2700"/>
    <n v="3103.49"/>
    <s v="Complete Access"/>
    <x v="243"/>
    <x v="1"/>
    <x v="23"/>
    <d v="1900-01-22T00:00:00"/>
    <n v="21"/>
    <x v="9"/>
    <x v="5"/>
  </r>
  <r>
    <x v="1335"/>
    <n v="-13.12"/>
    <x v="2796"/>
    <n v="3347.99"/>
    <s v="Complete Access"/>
    <x v="19"/>
    <x v="3"/>
    <x v="3"/>
    <d v="1900-01-19T00:00:00"/>
    <n v="21"/>
    <x v="9"/>
    <x v="5"/>
  </r>
  <r>
    <x v="1335"/>
    <n v="-21.9"/>
    <x v="2797"/>
    <n v="3302.7"/>
    <s v="Complete Access"/>
    <x v="343"/>
    <x v="1"/>
    <x v="5"/>
    <d v="1900-01-19T00:00:00"/>
    <n v="21"/>
    <x v="9"/>
    <x v="5"/>
  </r>
  <r>
    <x v="1335"/>
    <n v="-23.39"/>
    <x v="2798"/>
    <n v="3324.6"/>
    <s v="Complete Access"/>
    <x v="104"/>
    <x v="1"/>
    <x v="5"/>
    <d v="1900-01-19T00:00:00"/>
    <n v="21"/>
    <x v="9"/>
    <x v="5"/>
  </r>
  <r>
    <x v="1335"/>
    <n v="-55.21"/>
    <x v="2799"/>
    <n v="3247.49"/>
    <s v="Complete Access"/>
    <x v="1"/>
    <x v="1"/>
    <x v="1"/>
    <d v="1900-01-19T00:00:00"/>
    <n v="21"/>
    <x v="9"/>
    <x v="5"/>
  </r>
  <r>
    <x v="1336"/>
    <n v="-46"/>
    <x v="2800"/>
    <n v="3361.11"/>
    <s v="Complete Access"/>
    <x v="104"/>
    <x v="1"/>
    <x v="5"/>
    <d v="1900-01-18T00:00:00"/>
    <n v="21"/>
    <x v="9"/>
    <x v="5"/>
  </r>
  <r>
    <x v="1337"/>
    <n v="-100"/>
    <x v="2274"/>
    <n v="3407.11"/>
    <s v="Complete Access"/>
    <x v="552"/>
    <x v="0"/>
    <x v="74"/>
    <d v="1900-01-15T00:00:00"/>
    <n v="20"/>
    <x v="9"/>
    <x v="5"/>
  </r>
  <r>
    <x v="1338"/>
    <n v="2053.4899999999998"/>
    <x v="2801"/>
    <n v="4007.11"/>
    <s v="Complete Access"/>
    <x v="14"/>
    <x v="6"/>
    <x v="9"/>
    <d v="1900-01-13T00:00:00"/>
    <n v="20"/>
    <x v="9"/>
    <x v="5"/>
  </r>
  <r>
    <x v="1338"/>
    <n v="-500"/>
    <x v="2294"/>
    <n v="3507.11"/>
    <s v="Complete Access"/>
    <x v="571"/>
    <x v="19"/>
    <x v="61"/>
    <d v="1900-01-13T00:00:00"/>
    <n v="20"/>
    <x v="9"/>
    <x v="5"/>
  </r>
  <r>
    <x v="1339"/>
    <n v="-40"/>
    <x v="2802"/>
    <n v="1990.64"/>
    <s v="Complete Access"/>
    <x v="343"/>
    <x v="1"/>
    <x v="5"/>
    <d v="1900-01-12T00:00:00"/>
    <n v="20"/>
    <x v="9"/>
    <x v="5"/>
  </r>
  <r>
    <x v="1339"/>
    <n v="-37.020000000000003"/>
    <x v="2803"/>
    <n v="1953.62"/>
    <s v="Complete Access"/>
    <x v="1"/>
    <x v="1"/>
    <x v="1"/>
    <d v="1900-01-12T00:00:00"/>
    <n v="20"/>
    <x v="9"/>
    <x v="5"/>
  </r>
  <r>
    <x v="1340"/>
    <n v="-73"/>
    <x v="2543"/>
    <n v="2030.64"/>
    <s v="Complete Access"/>
    <x v="17"/>
    <x v="7"/>
    <x v="11"/>
    <d v="1900-01-10T00:00:00"/>
    <n v="20"/>
    <x v="9"/>
    <x v="5"/>
  </r>
  <r>
    <x v="1341"/>
    <n v="-85"/>
    <x v="2643"/>
    <n v="2115.36"/>
    <s v="Complete Access"/>
    <x v="215"/>
    <x v="1"/>
    <x v="1"/>
    <d v="1900-01-09T00:00:00"/>
    <n v="20"/>
    <x v="9"/>
    <x v="5"/>
  </r>
  <r>
    <x v="1341"/>
    <n v="-11.72"/>
    <x v="2688"/>
    <n v="2103.64"/>
    <s v="Complete Access"/>
    <x v="177"/>
    <x v="1"/>
    <x v="1"/>
    <d v="1900-01-09T00:00:00"/>
    <n v="20"/>
    <x v="9"/>
    <x v="5"/>
  </r>
  <r>
    <x v="1342"/>
    <n v="-100"/>
    <x v="2274"/>
    <n v="2200.36"/>
    <s v="Complete Access"/>
    <x v="552"/>
    <x v="0"/>
    <x v="74"/>
    <d v="1900-01-08T00:00:00"/>
    <n v="19"/>
    <x v="9"/>
    <x v="5"/>
  </r>
  <r>
    <x v="1343"/>
    <n v="-199.41"/>
    <x v="2804"/>
    <n v="2233.96"/>
    <s v="Complete Access"/>
    <x v="438"/>
    <x v="12"/>
    <x v="21"/>
    <d v="1900-01-07T00:00:00"/>
    <n v="19"/>
    <x v="9"/>
    <x v="5"/>
  </r>
  <r>
    <x v="1343"/>
    <n v="66.400000000000006"/>
    <x v="2282"/>
    <n v="2300.36"/>
    <s v="Complete Access"/>
    <x v="567"/>
    <x v="0"/>
    <x v="69"/>
    <d v="1900-01-07T00:00:00"/>
    <n v="19"/>
    <x v="9"/>
    <x v="5"/>
  </r>
  <r>
    <x v="1344"/>
    <n v="-9.99"/>
    <x v="2805"/>
    <n v="2720.97"/>
    <s v="Complete Access"/>
    <x v="373"/>
    <x v="8"/>
    <x v="7"/>
    <d v="1900-01-06T00:00:00"/>
    <n v="19"/>
    <x v="9"/>
    <x v="5"/>
  </r>
  <r>
    <x v="1344"/>
    <n v="-139"/>
    <x v="2806"/>
    <n v="2457.12"/>
    <s v="Complete Access"/>
    <x v="50"/>
    <x v="4"/>
    <x v="25"/>
    <d v="1900-01-06T00:00:00"/>
    <n v="19"/>
    <x v="9"/>
    <x v="5"/>
  </r>
  <r>
    <x v="1344"/>
    <n v="-17.25"/>
    <x v="2643"/>
    <n v="2433.37"/>
    <s v="Complete Access"/>
    <x v="215"/>
    <x v="1"/>
    <x v="1"/>
    <d v="1900-01-06T00:00:00"/>
    <n v="19"/>
    <x v="9"/>
    <x v="5"/>
  </r>
  <r>
    <x v="1344"/>
    <n v="-6.5"/>
    <x v="2700"/>
    <n v="2450.62"/>
    <s v="Complete Access"/>
    <x v="243"/>
    <x v="1"/>
    <x v="23"/>
    <d v="1900-01-06T00:00:00"/>
    <n v="19"/>
    <x v="9"/>
    <x v="5"/>
  </r>
  <r>
    <x v="1344"/>
    <n v="-124.85"/>
    <x v="2807"/>
    <n v="2596.12"/>
    <s v="Complete Access"/>
    <x v="653"/>
    <x v="4"/>
    <x v="20"/>
    <d v="1900-01-06T00:00:00"/>
    <n v="19"/>
    <x v="9"/>
    <x v="5"/>
  </r>
  <r>
    <x v="1345"/>
    <n v="-45"/>
    <x v="2808"/>
    <n v="2730.96"/>
    <s v="Complete Access"/>
    <x v="50"/>
    <x v="4"/>
    <x v="25"/>
    <d v="1900-01-05T00:00:00"/>
    <n v="19"/>
    <x v="9"/>
    <x v="5"/>
  </r>
  <r>
    <x v="1345"/>
    <n v="-95.75"/>
    <x v="2809"/>
    <n v="2775.96"/>
    <s v="Complete Access"/>
    <x v="645"/>
    <x v="0"/>
    <x v="69"/>
    <d v="1900-01-05T00:00:00"/>
    <n v="19"/>
    <x v="9"/>
    <x v="5"/>
  </r>
  <r>
    <x v="1345"/>
    <n v="-228.34"/>
    <x v="2810"/>
    <n v="2871.71"/>
    <s v="Complete Access"/>
    <x v="654"/>
    <x v="4"/>
    <x v="25"/>
    <d v="1900-01-05T00:00:00"/>
    <n v="19"/>
    <x v="9"/>
    <x v="5"/>
  </r>
  <r>
    <x v="1346"/>
    <n v="-34.869999999999997"/>
    <x v="2811"/>
    <n v="3100.05"/>
    <s v="Complete Access"/>
    <x v="61"/>
    <x v="1"/>
    <x v="1"/>
    <d v="1900-01-04T00:00:00"/>
    <n v="19"/>
    <x v="9"/>
    <x v="5"/>
  </r>
  <r>
    <x v="1347"/>
    <n v="-16.399999999999999"/>
    <x v="2643"/>
    <n v="3134.92"/>
    <s v="Complete Access"/>
    <x v="215"/>
    <x v="1"/>
    <x v="1"/>
    <d v="1900-01-03T00:00:00"/>
    <n v="19"/>
    <x v="9"/>
    <x v="5"/>
  </r>
  <r>
    <x v="1348"/>
    <n v="-16.25"/>
    <x v="2643"/>
    <n v="3151.32"/>
    <s v="Complete Access"/>
    <x v="215"/>
    <x v="1"/>
    <x v="1"/>
    <d v="1900-01-02T00:00:00"/>
    <n v="19"/>
    <x v="9"/>
    <x v="5"/>
  </r>
  <r>
    <x v="1349"/>
    <n v="-100"/>
    <x v="2274"/>
    <n v="3167.57"/>
    <s v="Complete Access"/>
    <x v="552"/>
    <x v="0"/>
    <x v="74"/>
    <d v="1900-01-01T00:00:00"/>
    <n v="18"/>
    <x v="9"/>
    <x v="5"/>
  </r>
  <r>
    <x v="1350"/>
    <n v="-20"/>
    <x v="2229"/>
    <n v="3458.87"/>
    <s v="Complete Access"/>
    <x v="557"/>
    <x v="7"/>
    <x v="53"/>
    <d v="1899-12-31T00:00:00"/>
    <n v="18"/>
    <x v="9"/>
    <x v="5"/>
  </r>
  <r>
    <x v="1350"/>
    <n v="-19"/>
    <x v="2494"/>
    <n v="3439.87"/>
    <s v="Complete Access"/>
    <x v="27"/>
    <x v="1"/>
    <x v="5"/>
    <d v="1899-12-31T00:00:00"/>
    <n v="18"/>
    <x v="9"/>
    <x v="5"/>
  </r>
  <r>
    <x v="1350"/>
    <n v="-172.3"/>
    <x v="2812"/>
    <n v="3267.57"/>
    <s v="Complete Access"/>
    <x v="76"/>
    <x v="2"/>
    <x v="2"/>
    <d v="1899-12-31T00:00:00"/>
    <n v="18"/>
    <x v="9"/>
    <x v="5"/>
  </r>
  <r>
    <x v="1351"/>
    <n v="2053.4899999999998"/>
    <x v="2813"/>
    <n v="4045.87"/>
    <s v="Complete Access"/>
    <x v="14"/>
    <x v="6"/>
    <x v="9"/>
    <d v="1900-01-29T00:00:00"/>
    <n v="18"/>
    <x v="10"/>
    <x v="5"/>
  </r>
  <r>
    <x v="1351"/>
    <n v="-500"/>
    <x v="2294"/>
    <n v="3478.87"/>
    <s v="Complete Access"/>
    <x v="571"/>
    <x v="19"/>
    <x v="61"/>
    <d v="1900-01-29T00:00:00"/>
    <n v="18"/>
    <x v="10"/>
    <x v="5"/>
  </r>
  <r>
    <x v="1351"/>
    <n v="-67"/>
    <x v="2814"/>
    <n v="3978.87"/>
    <s v="Complete Access"/>
    <x v="5"/>
    <x v="3"/>
    <x v="3"/>
    <d v="1900-01-29T00:00:00"/>
    <n v="18"/>
    <x v="10"/>
    <x v="5"/>
  </r>
  <r>
    <x v="1352"/>
    <n v="-1050.94"/>
    <x v="2815"/>
    <n v="2073.6"/>
    <s v="Complete Access"/>
    <x v="655"/>
    <x v="4"/>
    <x v="20"/>
    <d v="1900-01-28T00:00:00"/>
    <n v="18"/>
    <x v="10"/>
    <x v="5"/>
  </r>
  <r>
    <x v="1352"/>
    <n v="-31.53"/>
    <x v="2816"/>
    <n v="2042.07"/>
    <s v="Complete Access"/>
    <x v="10"/>
    <x v="0"/>
    <x v="0"/>
    <d v="1900-01-28T00:00:00"/>
    <n v="18"/>
    <x v="10"/>
    <x v="5"/>
  </r>
  <r>
    <x v="1352"/>
    <n v="-49.69"/>
    <x v="2817"/>
    <n v="1992.38"/>
    <s v="Complete Access"/>
    <x v="1"/>
    <x v="1"/>
    <x v="1"/>
    <d v="1900-01-28T00:00:00"/>
    <n v="18"/>
    <x v="10"/>
    <x v="5"/>
  </r>
  <r>
    <x v="1353"/>
    <n v="350"/>
    <x v="2818"/>
    <n v="3124.54"/>
    <s v="Complete Access"/>
    <x v="567"/>
    <x v="0"/>
    <x v="69"/>
    <d v="1900-01-27T00:00:00"/>
    <n v="18"/>
    <x v="10"/>
    <x v="5"/>
  </r>
  <r>
    <x v="1353"/>
    <n v="-1413.5"/>
    <x v="2819"/>
    <n v="2774.54"/>
    <s v="Complete Access"/>
    <x v="656"/>
    <x v="4"/>
    <x v="20"/>
    <d v="1900-01-27T00:00:00"/>
    <n v="18"/>
    <x v="10"/>
    <x v="5"/>
  </r>
  <r>
    <x v="1354"/>
    <n v="800"/>
    <x v="2820"/>
    <n v="4188.04"/>
    <s v="Complete Access"/>
    <x v="657"/>
    <x v="0"/>
    <x v="69"/>
    <d v="1900-01-26T00:00:00"/>
    <n v="18"/>
    <x v="10"/>
    <x v="5"/>
  </r>
  <r>
    <x v="1355"/>
    <n v="-8.4499999999999993"/>
    <x v="2643"/>
    <n v="3397.26"/>
    <s v="Complete Access"/>
    <x v="215"/>
    <x v="1"/>
    <x v="1"/>
    <d v="1900-01-25T00:00:00"/>
    <n v="18"/>
    <x v="10"/>
    <x v="5"/>
  </r>
  <r>
    <x v="1355"/>
    <n v="-9.2200000000000006"/>
    <x v="2688"/>
    <n v="3388.04"/>
    <s v="Complete Access"/>
    <x v="177"/>
    <x v="1"/>
    <x v="1"/>
    <d v="1900-01-25T00:00:00"/>
    <n v="18"/>
    <x v="10"/>
    <x v="5"/>
  </r>
  <r>
    <x v="1356"/>
    <n v="-8.2899999999999991"/>
    <x v="2643"/>
    <n v="3405.71"/>
    <s v="Complete Access"/>
    <x v="215"/>
    <x v="1"/>
    <x v="1"/>
    <d v="1900-01-24T00:00:00"/>
    <n v="17"/>
    <x v="10"/>
    <x v="5"/>
  </r>
  <r>
    <x v="1356"/>
    <n v="-100"/>
    <x v="2274"/>
    <n v="3414"/>
    <s v="Complete Access"/>
    <x v="552"/>
    <x v="0"/>
    <x v="74"/>
    <d v="1900-01-24T00:00:00"/>
    <n v="17"/>
    <x v="10"/>
    <x v="5"/>
  </r>
  <r>
    <x v="1357"/>
    <n v="-86.38"/>
    <x v="2821"/>
    <n v="3546.97"/>
    <s v="Complete Access"/>
    <x v="1"/>
    <x v="1"/>
    <x v="1"/>
    <d v="1900-01-21T00:00:00"/>
    <n v="17"/>
    <x v="10"/>
    <x v="5"/>
  </r>
  <r>
    <x v="1357"/>
    <n v="-32.97"/>
    <x v="2822"/>
    <n v="3514"/>
    <s v="Complete Access"/>
    <x v="34"/>
    <x v="9"/>
    <x v="12"/>
    <d v="1900-01-21T00:00:00"/>
    <n v="17"/>
    <x v="10"/>
    <x v="5"/>
  </r>
  <r>
    <x v="1358"/>
    <n v="-10.27"/>
    <x v="2823"/>
    <n v="3667.34"/>
    <s v="Complete Access"/>
    <x v="215"/>
    <x v="1"/>
    <x v="1"/>
    <d v="1900-01-20T00:00:00"/>
    <n v="17"/>
    <x v="10"/>
    <x v="5"/>
  </r>
  <r>
    <x v="1358"/>
    <n v="-33.99"/>
    <x v="2824"/>
    <n v="3633.35"/>
    <s v="Complete Access"/>
    <x v="34"/>
    <x v="9"/>
    <x v="12"/>
    <d v="1900-01-20T00:00:00"/>
    <n v="17"/>
    <x v="10"/>
    <x v="5"/>
  </r>
  <r>
    <x v="1359"/>
    <n v="-16.440000000000001"/>
    <x v="2688"/>
    <n v="3677.61"/>
    <s v="Complete Access"/>
    <x v="177"/>
    <x v="1"/>
    <x v="1"/>
    <d v="1900-01-18T00:00:00"/>
    <n v="17"/>
    <x v="10"/>
    <x v="5"/>
  </r>
  <r>
    <x v="1360"/>
    <n v="-185.33"/>
    <x v="2825"/>
    <n v="4372.04"/>
    <s v="Complete Access"/>
    <x v="438"/>
    <x v="12"/>
    <x v="21"/>
    <d v="1900-01-17T00:00:00"/>
    <n v="16"/>
    <x v="10"/>
    <x v="5"/>
  </r>
  <r>
    <x v="1360"/>
    <n v="-577.99"/>
    <x v="2826"/>
    <n v="3794.05"/>
    <s v="Complete Access"/>
    <x v="93"/>
    <x v="9"/>
    <x v="36"/>
    <d v="1900-01-17T00:00:00"/>
    <n v="16"/>
    <x v="10"/>
    <x v="5"/>
  </r>
  <r>
    <x v="1360"/>
    <n v="-100"/>
    <x v="2274"/>
    <n v="3694.05"/>
    <s v="Complete Access"/>
    <x v="552"/>
    <x v="0"/>
    <x v="74"/>
    <d v="1900-01-17T00:00:00"/>
    <n v="16"/>
    <x v="10"/>
    <x v="5"/>
  </r>
  <r>
    <x v="1361"/>
    <n v="-0.9"/>
    <x v="2643"/>
    <n v="4571.87"/>
    <s v="Complete Access"/>
    <x v="215"/>
    <x v="1"/>
    <x v="1"/>
    <d v="1900-01-16T00:00:00"/>
    <n v="16"/>
    <x v="10"/>
    <x v="5"/>
  </r>
  <r>
    <x v="1361"/>
    <n v="-14.5"/>
    <x v="2700"/>
    <n v="4557.37"/>
    <s v="Complete Access"/>
    <x v="243"/>
    <x v="1"/>
    <x v="23"/>
    <d v="1900-01-16T00:00:00"/>
    <n v="16"/>
    <x v="10"/>
    <x v="5"/>
  </r>
  <r>
    <x v="1362"/>
    <n v="2053.4899999999998"/>
    <x v="2827"/>
    <n v="5072.7700000000004"/>
    <s v="Complete Access"/>
    <x v="14"/>
    <x v="6"/>
    <x v="9"/>
    <d v="1900-01-15T00:00:00"/>
    <n v="16"/>
    <x v="10"/>
    <x v="5"/>
  </r>
  <r>
    <x v="1362"/>
    <n v="-500"/>
    <x v="2294"/>
    <n v="4572.7700000000004"/>
    <s v="Complete Access"/>
    <x v="571"/>
    <x v="19"/>
    <x v="61"/>
    <d v="1900-01-15T00:00:00"/>
    <n v="16"/>
    <x v="10"/>
    <x v="5"/>
  </r>
  <r>
    <x v="1363"/>
    <n v="-16"/>
    <x v="2828"/>
    <n v="2895.73"/>
    <s v="Complete Access"/>
    <x v="658"/>
    <x v="4"/>
    <x v="52"/>
    <d v="1900-01-14T00:00:00"/>
    <n v="16"/>
    <x v="10"/>
    <x v="5"/>
  </r>
  <r>
    <x v="1363"/>
    <n v="61.77"/>
    <x v="2282"/>
    <n v="2957.5"/>
    <s v="Complete Access"/>
    <x v="567"/>
    <x v="0"/>
    <x v="69"/>
    <d v="1900-01-14T00:00:00"/>
    <n v="16"/>
    <x v="10"/>
    <x v="5"/>
  </r>
  <r>
    <x v="1363"/>
    <n v="61.78"/>
    <x v="2556"/>
    <n v="3019.28"/>
    <s v="Complete Access"/>
    <x v="583"/>
    <x v="0"/>
    <x v="69"/>
    <d v="1900-01-14T00:00:00"/>
    <n v="16"/>
    <x v="10"/>
    <x v="5"/>
  </r>
  <r>
    <x v="1364"/>
    <n v="-50.9"/>
    <x v="2643"/>
    <n v="2911.73"/>
    <s v="Complete Access"/>
    <x v="215"/>
    <x v="1"/>
    <x v="1"/>
    <d v="1900-01-12T00:00:00"/>
    <n v="16"/>
    <x v="10"/>
    <x v="5"/>
  </r>
  <r>
    <x v="1365"/>
    <n v="-100"/>
    <x v="2274"/>
    <n v="2962.63"/>
    <s v="Complete Access"/>
    <x v="552"/>
    <x v="0"/>
    <x v="74"/>
    <d v="1900-01-10T00:00:00"/>
    <n v="15"/>
    <x v="10"/>
    <x v="5"/>
  </r>
  <r>
    <x v="1366"/>
    <n v="-65"/>
    <x v="2829"/>
    <n v="3062.63"/>
    <s v="Complete Access"/>
    <x v="27"/>
    <x v="1"/>
    <x v="5"/>
    <d v="1900-01-09T00:00:00"/>
    <n v="15"/>
    <x v="10"/>
    <x v="5"/>
  </r>
  <r>
    <x v="1366"/>
    <n v="-39.479999999999997"/>
    <x v="2643"/>
    <n v="3127.63"/>
    <s v="Complete Access"/>
    <x v="215"/>
    <x v="1"/>
    <x v="1"/>
    <d v="1900-01-09T00:00:00"/>
    <n v="15"/>
    <x v="10"/>
    <x v="5"/>
  </r>
  <r>
    <x v="1366"/>
    <n v="-29.95"/>
    <x v="2688"/>
    <n v="3167.11"/>
    <s v="Complete Access"/>
    <x v="177"/>
    <x v="1"/>
    <x v="1"/>
    <d v="1900-01-09T00:00:00"/>
    <n v="15"/>
    <x v="10"/>
    <x v="5"/>
  </r>
  <r>
    <x v="1367"/>
    <n v="-73.5"/>
    <x v="2830"/>
    <n v="3272.56"/>
    <s v="Complete Access"/>
    <x v="8"/>
    <x v="1"/>
    <x v="5"/>
    <d v="1900-01-07T00:00:00"/>
    <n v="15"/>
    <x v="10"/>
    <x v="5"/>
  </r>
  <r>
    <x v="1367"/>
    <n v="-75.5"/>
    <x v="2543"/>
    <n v="3197.06"/>
    <s v="Complete Access"/>
    <x v="17"/>
    <x v="7"/>
    <x v="11"/>
    <d v="1900-01-07T00:00:00"/>
    <n v="15"/>
    <x v="10"/>
    <x v="5"/>
  </r>
  <r>
    <x v="1368"/>
    <n v="13.5"/>
    <x v="2831"/>
    <n v="3346.06"/>
    <s v="Complete Access"/>
    <x v="0"/>
    <x v="0"/>
    <x v="0"/>
    <d v="1900-01-06T00:00:00"/>
    <n v="15"/>
    <x v="10"/>
    <x v="5"/>
  </r>
  <r>
    <x v="1368"/>
    <n v="-27.18"/>
    <x v="2832"/>
    <n v="3349.26"/>
    <s v="Complete Access"/>
    <x v="1"/>
    <x v="1"/>
    <x v="1"/>
    <d v="1900-01-06T00:00:00"/>
    <n v="15"/>
    <x v="10"/>
    <x v="5"/>
  </r>
  <r>
    <x v="1368"/>
    <n v="-16.7"/>
    <x v="2833"/>
    <n v="3332.56"/>
    <s v="Complete Access"/>
    <x v="34"/>
    <x v="9"/>
    <x v="12"/>
    <d v="1900-01-06T00:00:00"/>
    <n v="15"/>
    <x v="10"/>
    <x v="5"/>
  </r>
  <r>
    <x v="1369"/>
    <n v="-100"/>
    <x v="2274"/>
    <n v="3421.35"/>
    <s v="Complete Access"/>
    <x v="552"/>
    <x v="0"/>
    <x v="74"/>
    <d v="1900-01-03T00:00:00"/>
    <n v="14"/>
    <x v="10"/>
    <x v="5"/>
  </r>
  <r>
    <x v="1369"/>
    <n v="-44.91"/>
    <x v="2639"/>
    <n v="3376.44"/>
    <s v="Complete Access"/>
    <x v="4"/>
    <x v="1"/>
    <x v="1"/>
    <d v="1900-01-03T00:00:00"/>
    <n v="14"/>
    <x v="10"/>
    <x v="5"/>
  </r>
  <r>
    <x v="1370"/>
    <n v="-16"/>
    <x v="2834"/>
    <n v="4243.3500000000004"/>
    <s v="Complete Access"/>
    <x v="593"/>
    <x v="1"/>
    <x v="5"/>
    <d v="1900-01-01T00:00:00"/>
    <n v="14"/>
    <x v="10"/>
    <x v="5"/>
  </r>
  <r>
    <x v="1370"/>
    <n v="2053.4899999999998"/>
    <x v="2835"/>
    <n v="4299.3500000000004"/>
    <s v="Complete Access"/>
    <x v="14"/>
    <x v="6"/>
    <x v="9"/>
    <d v="1900-01-01T00:00:00"/>
    <n v="14"/>
    <x v="10"/>
    <x v="5"/>
  </r>
  <r>
    <x v="1370"/>
    <n v="-500"/>
    <x v="2294"/>
    <n v="3521.35"/>
    <s v="Complete Access"/>
    <x v="571"/>
    <x v="19"/>
    <x v="61"/>
    <d v="1900-01-01T00:00:00"/>
    <n v="14"/>
    <x v="10"/>
    <x v="5"/>
  </r>
  <r>
    <x v="1370"/>
    <n v="-40"/>
    <x v="2836"/>
    <n v="4259.3500000000004"/>
    <s v="Complete Access"/>
    <x v="104"/>
    <x v="1"/>
    <x v="5"/>
    <d v="1900-01-01T00:00:00"/>
    <n v="14"/>
    <x v="10"/>
    <x v="5"/>
  </r>
  <r>
    <x v="1370"/>
    <n v="-17"/>
    <x v="2837"/>
    <n v="4226.3500000000004"/>
    <s v="Complete Access"/>
    <x v="1"/>
    <x v="1"/>
    <x v="1"/>
    <d v="1900-01-01T00:00:00"/>
    <n v="14"/>
    <x v="10"/>
    <x v="5"/>
  </r>
  <r>
    <x v="1370"/>
    <n v="-205"/>
    <x v="2838"/>
    <n v="4021.35"/>
    <s v="Complete Access"/>
    <x v="659"/>
    <x v="4"/>
    <x v="30"/>
    <d v="1900-01-01T00:00:00"/>
    <n v="14"/>
    <x v="10"/>
    <x v="5"/>
  </r>
  <r>
    <x v="1371"/>
    <n v="-48.5"/>
    <x v="2839"/>
    <n v="2463.64"/>
    <s v="Complete Access"/>
    <x v="593"/>
    <x v="1"/>
    <x v="5"/>
    <d v="1899-12-31T00:00:00"/>
    <n v="14"/>
    <x v="10"/>
    <x v="5"/>
  </r>
  <r>
    <x v="1371"/>
    <n v="-61"/>
    <x v="2839"/>
    <n v="2512.14"/>
    <s v="Complete Access"/>
    <x v="593"/>
    <x v="1"/>
    <x v="5"/>
    <d v="1899-12-31T00:00:00"/>
    <n v="14"/>
    <x v="10"/>
    <x v="5"/>
  </r>
  <r>
    <x v="1371"/>
    <n v="-20"/>
    <x v="2229"/>
    <n v="2574.54"/>
    <s v="Complete Access"/>
    <x v="557"/>
    <x v="7"/>
    <x v="53"/>
    <d v="1899-12-31T00:00:00"/>
    <n v="14"/>
    <x v="10"/>
    <x v="5"/>
  </r>
  <r>
    <x v="1371"/>
    <n v="-1.4"/>
    <x v="2840"/>
    <n v="2573.14"/>
    <s v="Complete Access"/>
    <x v="104"/>
    <x v="1"/>
    <x v="5"/>
    <d v="1899-12-31T00:00:00"/>
    <n v="14"/>
    <x v="10"/>
    <x v="5"/>
  </r>
  <r>
    <x v="1371"/>
    <n v="-172.3"/>
    <x v="2841"/>
    <n v="2245.86"/>
    <s v="Complete Access"/>
    <x v="76"/>
    <x v="2"/>
    <x v="2"/>
    <d v="1899-12-31T00:00:00"/>
    <n v="14"/>
    <x v="10"/>
    <x v="5"/>
  </r>
  <r>
    <x v="1371"/>
    <n v="-45.48"/>
    <x v="2842"/>
    <n v="2418.16"/>
    <s v="Complete Access"/>
    <x v="34"/>
    <x v="9"/>
    <x v="12"/>
    <d v="1899-12-31T00:00:00"/>
    <n v="14"/>
    <x v="10"/>
    <x v="5"/>
  </r>
  <r>
    <x v="1372"/>
    <n v="-178"/>
    <x v="2843"/>
    <n v="2594.54"/>
    <s v="Complete Access"/>
    <x v="29"/>
    <x v="4"/>
    <x v="19"/>
    <d v="1900-01-30T00:00:00"/>
    <n v="14"/>
    <x v="11"/>
    <x v="5"/>
  </r>
  <r>
    <x v="1372"/>
    <n v="-1"/>
    <x v="2844"/>
    <n v="2772.54"/>
    <s v="Complete Access"/>
    <x v="27"/>
    <x v="1"/>
    <x v="5"/>
    <d v="1900-01-30T00:00:00"/>
    <n v="14"/>
    <x v="11"/>
    <x v="5"/>
  </r>
  <r>
    <x v="1373"/>
    <n v="-43.38"/>
    <x v="2756"/>
    <n v="2773.54"/>
    <s v="Complete Access"/>
    <x v="177"/>
    <x v="1"/>
    <x v="1"/>
    <d v="1900-01-29T00:00:00"/>
    <n v="14"/>
    <x v="11"/>
    <x v="5"/>
  </r>
  <r>
    <x v="1374"/>
    <n v="-15.5"/>
    <x v="2845"/>
    <n v="2868.92"/>
    <s v="Complete Access"/>
    <x v="8"/>
    <x v="1"/>
    <x v="5"/>
    <d v="1900-01-27T00:00:00"/>
    <n v="13"/>
    <x v="11"/>
    <x v="5"/>
  </r>
  <r>
    <x v="1374"/>
    <n v="-100"/>
    <x v="2274"/>
    <n v="2884.42"/>
    <s v="Complete Access"/>
    <x v="552"/>
    <x v="0"/>
    <x v="74"/>
    <d v="1900-01-27T00:00:00"/>
    <n v="13"/>
    <x v="11"/>
    <x v="5"/>
  </r>
  <r>
    <x v="1374"/>
    <n v="-52"/>
    <x v="2846"/>
    <n v="2816.92"/>
    <s v="Complete Access"/>
    <x v="104"/>
    <x v="1"/>
    <x v="5"/>
    <d v="1900-01-27T00:00:00"/>
    <n v="13"/>
    <x v="11"/>
    <x v="5"/>
  </r>
  <r>
    <x v="1375"/>
    <n v="-11.17"/>
    <x v="2847"/>
    <n v="3253.42"/>
    <s v="Complete Access"/>
    <x v="16"/>
    <x v="1"/>
    <x v="5"/>
    <d v="1900-01-26T00:00:00"/>
    <n v="13"/>
    <x v="11"/>
    <x v="5"/>
  </r>
  <r>
    <x v="1375"/>
    <n v="-9.99"/>
    <x v="2848"/>
    <n v="3264.59"/>
    <s v="Complete Access"/>
    <x v="373"/>
    <x v="8"/>
    <x v="7"/>
    <d v="1900-01-26T00:00:00"/>
    <n v="13"/>
    <x v="11"/>
    <x v="5"/>
  </r>
  <r>
    <x v="1375"/>
    <n v="-269"/>
    <x v="2849"/>
    <n v="2984.42"/>
    <s v="Complete Access"/>
    <x v="191"/>
    <x v="10"/>
    <x v="13"/>
    <d v="1900-01-26T00:00:00"/>
    <n v="13"/>
    <x v="11"/>
    <x v="5"/>
  </r>
  <r>
    <x v="1376"/>
    <n v="157.65"/>
    <x v="2850"/>
    <n v="3436.96"/>
    <s v="Complete Access"/>
    <x v="660"/>
    <x v="4"/>
    <x v="52"/>
    <d v="1900-01-25T00:00:00"/>
    <n v="13"/>
    <x v="11"/>
    <x v="5"/>
  </r>
  <r>
    <x v="1376"/>
    <n v="-157.65"/>
    <x v="2851"/>
    <n v="3279.31"/>
    <s v="Complete Access"/>
    <x v="660"/>
    <x v="4"/>
    <x v="52"/>
    <d v="1900-01-25T00:00:00"/>
    <n v="13"/>
    <x v="11"/>
    <x v="5"/>
  </r>
  <r>
    <x v="1376"/>
    <n v="-4.7300000000000004"/>
    <x v="2852"/>
    <n v="3274.58"/>
    <s v="Complete Access"/>
    <x v="10"/>
    <x v="0"/>
    <x v="0"/>
    <d v="1900-01-25T00:00:00"/>
    <n v="13"/>
    <x v="11"/>
    <x v="5"/>
  </r>
  <r>
    <x v="1377"/>
    <n v="-21.89"/>
    <x v="2853"/>
    <n v="3482.7"/>
    <s v="Complete Access"/>
    <x v="8"/>
    <x v="1"/>
    <x v="5"/>
    <d v="1900-01-24T00:00:00"/>
    <n v="13"/>
    <x v="11"/>
    <x v="5"/>
  </r>
  <r>
    <x v="1377"/>
    <n v="-17.420000000000002"/>
    <x v="2854"/>
    <n v="3300.28"/>
    <s v="Complete Access"/>
    <x v="8"/>
    <x v="1"/>
    <x v="5"/>
    <d v="1900-01-24T00:00:00"/>
    <n v="13"/>
    <x v="11"/>
    <x v="5"/>
  </r>
  <r>
    <x v="1377"/>
    <n v="-150"/>
    <x v="2855"/>
    <n v="3317.7"/>
    <s v="Complete Access"/>
    <x v="661"/>
    <x v="4"/>
    <x v="52"/>
    <d v="1900-01-24T00:00:00"/>
    <n v="13"/>
    <x v="11"/>
    <x v="5"/>
  </r>
  <r>
    <x v="1377"/>
    <n v="-11.17"/>
    <x v="2856"/>
    <n v="3289.11"/>
    <s v="Complete Access"/>
    <x v="16"/>
    <x v="1"/>
    <x v="5"/>
    <d v="1900-01-24T00:00:00"/>
    <n v="13"/>
    <x v="11"/>
    <x v="5"/>
  </r>
  <r>
    <x v="1377"/>
    <n v="-15"/>
    <x v="2857"/>
    <n v="3467.7"/>
    <s v="Complete Access"/>
    <x v="104"/>
    <x v="1"/>
    <x v="5"/>
    <d v="1900-01-24T00:00:00"/>
    <n v="13"/>
    <x v="11"/>
    <x v="5"/>
  </r>
  <r>
    <x v="1377"/>
    <n v="-9.8000000000000007"/>
    <x v="2858"/>
    <n v="3279.31"/>
    <s v="Complete Access"/>
    <x v="34"/>
    <x v="9"/>
    <x v="12"/>
    <d v="1900-01-24T00:00:00"/>
    <n v="13"/>
    <x v="11"/>
    <x v="5"/>
  </r>
  <r>
    <x v="1378"/>
    <n v="-3.69"/>
    <x v="2859"/>
    <n v="3519.59"/>
    <s v="Complete Access"/>
    <x v="61"/>
    <x v="1"/>
    <x v="1"/>
    <d v="1900-01-23T00:00:00"/>
    <n v="13"/>
    <x v="11"/>
    <x v="5"/>
  </r>
  <r>
    <x v="1378"/>
    <n v="-40"/>
    <x v="2860"/>
    <n v="3583.45"/>
    <s v="Complete Access"/>
    <x v="12"/>
    <x v="5"/>
    <x v="8"/>
    <d v="1900-01-23T00:00:00"/>
    <n v="13"/>
    <x v="11"/>
    <x v="5"/>
  </r>
  <r>
    <x v="1378"/>
    <n v="-11.17"/>
    <x v="2861"/>
    <n v="3523.28"/>
    <s v="Complete Access"/>
    <x v="16"/>
    <x v="1"/>
    <x v="5"/>
    <d v="1900-01-23T00:00:00"/>
    <n v="13"/>
    <x v="11"/>
    <x v="5"/>
  </r>
  <r>
    <x v="1378"/>
    <n v="-49"/>
    <x v="2862"/>
    <n v="3534.45"/>
    <s v="Complete Access"/>
    <x v="104"/>
    <x v="1"/>
    <x v="5"/>
    <d v="1900-01-23T00:00:00"/>
    <n v="13"/>
    <x v="11"/>
    <x v="5"/>
  </r>
  <r>
    <x v="1378"/>
    <n v="-15"/>
    <x v="2863"/>
    <n v="3504.59"/>
    <s v="Complete Access"/>
    <x v="186"/>
    <x v="1"/>
    <x v="5"/>
    <d v="1900-01-23T00:00:00"/>
    <n v="13"/>
    <x v="11"/>
    <x v="5"/>
  </r>
  <r>
    <x v="1379"/>
    <n v="-27.94"/>
    <x v="2864"/>
    <n v="3735.45"/>
    <s v="Complete Access"/>
    <x v="8"/>
    <x v="1"/>
    <x v="5"/>
    <d v="1900-01-20T00:00:00"/>
    <n v="12"/>
    <x v="11"/>
    <x v="5"/>
  </r>
  <r>
    <x v="1379"/>
    <n v="-100"/>
    <x v="2274"/>
    <n v="3623.45"/>
    <s v="Complete Access"/>
    <x v="552"/>
    <x v="0"/>
    <x v="74"/>
    <d v="1900-01-20T00:00:00"/>
    <n v="12"/>
    <x v="11"/>
    <x v="5"/>
  </r>
  <r>
    <x v="1379"/>
    <n v="-12"/>
    <x v="2865"/>
    <n v="3723.45"/>
    <s v="Complete Access"/>
    <x v="662"/>
    <x v="1"/>
    <x v="5"/>
    <d v="1900-01-20T00:00:00"/>
    <n v="12"/>
    <x v="11"/>
    <x v="5"/>
  </r>
  <r>
    <x v="1380"/>
    <n v="-0.94"/>
    <x v="2859"/>
    <n v="3781.44"/>
    <s v="Complete Access"/>
    <x v="61"/>
    <x v="1"/>
    <x v="1"/>
    <d v="1900-01-19T00:00:00"/>
    <n v="12"/>
    <x v="11"/>
    <x v="5"/>
  </r>
  <r>
    <x v="1380"/>
    <n v="-18.05"/>
    <x v="2762"/>
    <n v="3763.39"/>
    <s v="Complete Access"/>
    <x v="616"/>
    <x v="1"/>
    <x v="1"/>
    <d v="1900-01-19T00:00:00"/>
    <n v="12"/>
    <x v="11"/>
    <x v="5"/>
  </r>
  <r>
    <x v="1381"/>
    <n v="-3"/>
    <x v="2859"/>
    <n v="3782.38"/>
    <s v="Complete Access"/>
    <x v="61"/>
    <x v="1"/>
    <x v="1"/>
    <d v="1900-01-18T00:00:00"/>
    <n v="12"/>
    <x v="11"/>
    <x v="5"/>
  </r>
  <r>
    <x v="1381"/>
    <n v="2053.4899999999998"/>
    <x v="2866"/>
    <n v="4296.55"/>
    <s v="Complete Access"/>
    <x v="14"/>
    <x v="6"/>
    <x v="9"/>
    <d v="1900-01-18T00:00:00"/>
    <n v="12"/>
    <x v="11"/>
    <x v="5"/>
  </r>
  <r>
    <x v="1381"/>
    <n v="-500"/>
    <x v="2294"/>
    <n v="3796.55"/>
    <s v="Complete Access"/>
    <x v="571"/>
    <x v="19"/>
    <x v="61"/>
    <d v="1900-01-18T00:00:00"/>
    <n v="12"/>
    <x v="11"/>
    <x v="5"/>
  </r>
  <r>
    <x v="1381"/>
    <n v="-11.17"/>
    <x v="2867"/>
    <n v="3785.38"/>
    <s v="Complete Access"/>
    <x v="16"/>
    <x v="1"/>
    <x v="5"/>
    <d v="1900-01-18T00:00:00"/>
    <n v="12"/>
    <x v="11"/>
    <x v="5"/>
  </r>
  <r>
    <x v="1382"/>
    <n v="-3.32"/>
    <x v="2859"/>
    <n v="2257.56"/>
    <s v="Complete Access"/>
    <x v="61"/>
    <x v="1"/>
    <x v="1"/>
    <d v="1900-01-17T00:00:00"/>
    <n v="12"/>
    <x v="11"/>
    <x v="5"/>
  </r>
  <r>
    <x v="1382"/>
    <n v="-47.49"/>
    <x v="2868"/>
    <n v="2260.88"/>
    <s v="Complete Access"/>
    <x v="8"/>
    <x v="1"/>
    <x v="5"/>
    <d v="1900-01-17T00:00:00"/>
    <n v="12"/>
    <x v="11"/>
    <x v="5"/>
  </r>
  <r>
    <x v="1382"/>
    <n v="-23.49"/>
    <x v="2869"/>
    <n v="2323.37"/>
    <s v="Complete Access"/>
    <x v="8"/>
    <x v="1"/>
    <x v="5"/>
    <d v="1900-01-17T00:00:00"/>
    <n v="12"/>
    <x v="11"/>
    <x v="5"/>
  </r>
  <r>
    <x v="1382"/>
    <n v="-84.59"/>
    <x v="2870"/>
    <n v="2346.86"/>
    <s v="Complete Access"/>
    <x v="8"/>
    <x v="1"/>
    <x v="5"/>
    <d v="1900-01-17T00:00:00"/>
    <n v="12"/>
    <x v="11"/>
    <x v="5"/>
  </r>
  <r>
    <x v="1382"/>
    <n v="-40"/>
    <x v="2871"/>
    <n v="2431.4499999999998"/>
    <s v="Complete Access"/>
    <x v="12"/>
    <x v="5"/>
    <x v="8"/>
    <d v="1900-01-17T00:00:00"/>
    <n v="12"/>
    <x v="11"/>
    <x v="5"/>
  </r>
  <r>
    <x v="1382"/>
    <n v="-15"/>
    <x v="2872"/>
    <n v="2308.37"/>
    <s v="Complete Access"/>
    <x v="186"/>
    <x v="1"/>
    <x v="5"/>
    <d v="1900-01-17T00:00:00"/>
    <n v="12"/>
    <x v="11"/>
    <x v="5"/>
  </r>
  <r>
    <x v="1382"/>
    <n v="-14.5"/>
    <x v="2863"/>
    <n v="2243.06"/>
    <s v="Complete Access"/>
    <x v="186"/>
    <x v="1"/>
    <x v="5"/>
    <d v="1900-01-17T00:00:00"/>
    <n v="12"/>
    <x v="11"/>
    <x v="5"/>
  </r>
  <r>
    <x v="1383"/>
    <n v="-4"/>
    <x v="2859"/>
    <n v="2500.11"/>
    <s v="Complete Access"/>
    <x v="61"/>
    <x v="1"/>
    <x v="1"/>
    <d v="1900-01-16T00:00:00"/>
    <n v="12"/>
    <x v="11"/>
    <x v="5"/>
  </r>
  <r>
    <x v="1383"/>
    <n v="-1.17"/>
    <x v="2859"/>
    <n v="2504.11"/>
    <s v="Complete Access"/>
    <x v="61"/>
    <x v="1"/>
    <x v="1"/>
    <d v="1900-01-16T00:00:00"/>
    <n v="12"/>
    <x v="11"/>
    <x v="5"/>
  </r>
  <r>
    <x v="1383"/>
    <n v="-11.17"/>
    <x v="2873"/>
    <n v="2505.2800000000002"/>
    <s v="Complete Access"/>
    <x v="16"/>
    <x v="1"/>
    <x v="5"/>
    <d v="1900-01-16T00:00:00"/>
    <n v="12"/>
    <x v="11"/>
    <x v="5"/>
  </r>
  <r>
    <x v="1383"/>
    <n v="-15.61"/>
    <x v="2874"/>
    <n v="2484.5"/>
    <s v="Complete Access"/>
    <x v="663"/>
    <x v="1"/>
    <x v="1"/>
    <d v="1900-01-16T00:00:00"/>
    <n v="12"/>
    <x v="11"/>
    <x v="5"/>
  </r>
  <r>
    <x v="1383"/>
    <n v="-13.05"/>
    <x v="2688"/>
    <n v="2471.4499999999998"/>
    <s v="Complete Access"/>
    <x v="177"/>
    <x v="1"/>
    <x v="1"/>
    <d v="1900-01-16T00:00:00"/>
    <n v="12"/>
    <x v="11"/>
    <x v="5"/>
  </r>
  <r>
    <x v="1383"/>
    <n v="-12"/>
    <x v="2875"/>
    <n v="2516.4499999999998"/>
    <s v="Complete Access"/>
    <x v="664"/>
    <x v="1"/>
    <x v="5"/>
    <d v="1900-01-16T00:00:00"/>
    <n v="12"/>
    <x v="11"/>
    <x v="5"/>
  </r>
  <r>
    <x v="1384"/>
    <n v="-2.02"/>
    <x v="2859"/>
    <n v="2553.36"/>
    <s v="Complete Access"/>
    <x v="61"/>
    <x v="1"/>
    <x v="1"/>
    <d v="1900-01-15T00:00:00"/>
    <n v="12"/>
    <x v="11"/>
    <x v="5"/>
  </r>
  <r>
    <x v="1384"/>
    <n v="-8.35"/>
    <x v="2762"/>
    <n v="2541.02"/>
    <s v="Complete Access"/>
    <x v="616"/>
    <x v="1"/>
    <x v="1"/>
    <d v="1900-01-15T00:00:00"/>
    <n v="12"/>
    <x v="11"/>
    <x v="5"/>
  </r>
  <r>
    <x v="1384"/>
    <n v="-12.57"/>
    <x v="2643"/>
    <n v="2528.4499999999998"/>
    <s v="Complete Access"/>
    <x v="215"/>
    <x v="1"/>
    <x v="1"/>
    <d v="1900-01-15T00:00:00"/>
    <n v="12"/>
    <x v="11"/>
    <x v="5"/>
  </r>
  <r>
    <x v="1384"/>
    <n v="-3.99"/>
    <x v="2688"/>
    <n v="2549.37"/>
    <s v="Complete Access"/>
    <x v="177"/>
    <x v="1"/>
    <x v="1"/>
    <d v="1900-01-15T00:00:00"/>
    <n v="12"/>
    <x v="11"/>
    <x v="5"/>
  </r>
  <r>
    <x v="1385"/>
    <n v="13"/>
    <x v="2876"/>
    <n v="2555.38"/>
    <s v="Complete Access"/>
    <x v="27"/>
    <x v="1"/>
    <x v="5"/>
    <d v="1900-01-14T00:00:00"/>
    <n v="12"/>
    <x v="11"/>
    <x v="5"/>
  </r>
  <r>
    <x v="1386"/>
    <n v="-36"/>
    <x v="2877"/>
    <n v="2576.5500000000002"/>
    <s v="Complete Access"/>
    <x v="665"/>
    <x v="8"/>
    <x v="22"/>
    <d v="1900-01-13T00:00:00"/>
    <n v="11"/>
    <x v="11"/>
    <x v="5"/>
  </r>
  <r>
    <x v="1386"/>
    <n v="-45"/>
    <x v="2878"/>
    <n v="2520.38"/>
    <s v="Complete Access"/>
    <x v="666"/>
    <x v="8"/>
    <x v="22"/>
    <d v="1900-01-13T00:00:00"/>
    <n v="11"/>
    <x v="11"/>
    <x v="5"/>
  </r>
  <r>
    <x v="1386"/>
    <n v="-11.17"/>
    <x v="2879"/>
    <n v="2565.38"/>
    <s v="Complete Access"/>
    <x v="16"/>
    <x v="1"/>
    <x v="5"/>
    <d v="1900-01-13T00:00:00"/>
    <n v="11"/>
    <x v="11"/>
    <x v="5"/>
  </r>
  <r>
    <x v="1386"/>
    <n v="-100"/>
    <x v="2274"/>
    <n v="2612.5500000000002"/>
    <s v="Complete Access"/>
    <x v="552"/>
    <x v="0"/>
    <x v="74"/>
    <d v="1900-01-13T00:00:00"/>
    <n v="11"/>
    <x v="11"/>
    <x v="5"/>
  </r>
  <r>
    <x v="1386"/>
    <n v="48"/>
    <x v="2494"/>
    <n v="2542.38"/>
    <s v="Complete Access"/>
    <x v="27"/>
    <x v="1"/>
    <x v="5"/>
    <d v="1900-01-13T00:00:00"/>
    <n v="11"/>
    <x v="11"/>
    <x v="5"/>
  </r>
  <r>
    <x v="1386"/>
    <n v="-26"/>
    <x v="2880"/>
    <n v="2494.38"/>
    <s v="Complete Access"/>
    <x v="667"/>
    <x v="1"/>
    <x v="23"/>
    <d v="1900-01-13T00:00:00"/>
    <n v="11"/>
    <x v="11"/>
    <x v="5"/>
  </r>
  <r>
    <x v="1387"/>
    <n v="-39.99"/>
    <x v="2881"/>
    <n v="2757.66"/>
    <s v="Complete Access"/>
    <x v="8"/>
    <x v="1"/>
    <x v="5"/>
    <d v="1900-01-12T00:00:00"/>
    <n v="11"/>
    <x v="11"/>
    <x v="5"/>
  </r>
  <r>
    <x v="1387"/>
    <n v="-35.9"/>
    <x v="2882"/>
    <n v="2721.76"/>
    <s v="Complete Access"/>
    <x v="8"/>
    <x v="1"/>
    <x v="5"/>
    <d v="1900-01-12T00:00:00"/>
    <n v="11"/>
    <x v="11"/>
    <x v="5"/>
  </r>
  <r>
    <x v="1387"/>
    <n v="-9.2100000000000009"/>
    <x v="2643"/>
    <n v="2712.55"/>
    <s v="Complete Access"/>
    <x v="215"/>
    <x v="1"/>
    <x v="1"/>
    <d v="1900-01-12T00:00:00"/>
    <n v="11"/>
    <x v="11"/>
    <x v="5"/>
  </r>
  <r>
    <x v="1388"/>
    <n v="-31.5"/>
    <x v="2883"/>
    <n v="2815.71"/>
    <s v="Complete Access"/>
    <x v="668"/>
    <x v="15"/>
    <x v="34"/>
    <d v="1900-01-11T00:00:00"/>
    <n v="11"/>
    <x v="11"/>
    <x v="5"/>
  </r>
  <r>
    <x v="1388"/>
    <n v="-28.35"/>
    <x v="2884"/>
    <n v="2847.21"/>
    <s v="Complete Access"/>
    <x v="668"/>
    <x v="15"/>
    <x v="34"/>
    <d v="1900-01-11T00:00:00"/>
    <n v="11"/>
    <x v="11"/>
    <x v="5"/>
  </r>
  <r>
    <x v="1388"/>
    <n v="-18.059999999999999"/>
    <x v="2885"/>
    <n v="2797.65"/>
    <s v="Complete Access"/>
    <x v="237"/>
    <x v="15"/>
    <x v="34"/>
    <d v="1900-01-11T00:00:00"/>
    <n v="11"/>
    <x v="11"/>
    <x v="5"/>
  </r>
  <r>
    <x v="1389"/>
    <n v="-26.39"/>
    <x v="2886"/>
    <n v="3098.66"/>
    <s v="Complete Access"/>
    <x v="8"/>
    <x v="1"/>
    <x v="5"/>
    <d v="1900-01-10T00:00:00"/>
    <n v="11"/>
    <x v="11"/>
    <x v="5"/>
  </r>
  <r>
    <x v="1389"/>
    <n v="-11.25"/>
    <x v="2887"/>
    <n v="3223.43"/>
    <s v="Complete Access"/>
    <x v="8"/>
    <x v="1"/>
    <x v="5"/>
    <d v="1900-01-10T00:00:00"/>
    <n v="11"/>
    <x v="11"/>
    <x v="5"/>
  </r>
  <r>
    <x v="1389"/>
    <n v="-58.89"/>
    <x v="2888"/>
    <n v="3125.05"/>
    <s v="Complete Access"/>
    <x v="8"/>
    <x v="1"/>
    <x v="5"/>
    <d v="1900-01-10T00:00:00"/>
    <n v="11"/>
    <x v="11"/>
    <x v="5"/>
  </r>
  <r>
    <x v="1389"/>
    <n v="-39.49"/>
    <x v="2888"/>
    <n v="3183.94"/>
    <s v="Complete Access"/>
    <x v="8"/>
    <x v="1"/>
    <x v="5"/>
    <d v="1900-01-10T00:00:00"/>
    <n v="11"/>
    <x v="11"/>
    <x v="5"/>
  </r>
  <r>
    <x v="1389"/>
    <n v="-10.68"/>
    <x v="2889"/>
    <n v="3234.68"/>
    <s v="Complete Access"/>
    <x v="285"/>
    <x v="5"/>
    <x v="8"/>
    <d v="1900-01-10T00:00:00"/>
    <n v="11"/>
    <x v="11"/>
    <x v="5"/>
  </r>
  <r>
    <x v="1389"/>
    <n v="-40"/>
    <x v="2890"/>
    <n v="3245.36"/>
    <s v="Complete Access"/>
    <x v="12"/>
    <x v="5"/>
    <x v="8"/>
    <d v="1900-01-10T00:00:00"/>
    <n v="11"/>
    <x v="11"/>
    <x v="5"/>
  </r>
  <r>
    <x v="1389"/>
    <n v="-7"/>
    <x v="2891"/>
    <n v="3025.66"/>
    <s v="Complete Access"/>
    <x v="669"/>
    <x v="1"/>
    <x v="5"/>
    <d v="1900-01-10T00:00:00"/>
    <n v="11"/>
    <x v="11"/>
    <x v="5"/>
  </r>
  <r>
    <x v="1389"/>
    <n v="-40"/>
    <x v="2892"/>
    <n v="2985.66"/>
    <s v="Complete Access"/>
    <x v="670"/>
    <x v="8"/>
    <x v="29"/>
    <d v="1900-01-10T00:00:00"/>
    <n v="11"/>
    <x v="11"/>
    <x v="5"/>
  </r>
  <r>
    <x v="1389"/>
    <n v="-110.1"/>
    <x v="2543"/>
    <n v="2875.56"/>
    <s v="Complete Access"/>
    <x v="17"/>
    <x v="7"/>
    <x v="11"/>
    <d v="1900-01-10T00:00:00"/>
    <n v="11"/>
    <x v="11"/>
    <x v="5"/>
  </r>
  <r>
    <x v="1389"/>
    <n v="-33.5"/>
    <x v="2893"/>
    <n v="3032.66"/>
    <s v="Complete Access"/>
    <x v="425"/>
    <x v="8"/>
    <x v="29"/>
    <d v="1900-01-10T00:00:00"/>
    <n v="11"/>
    <x v="11"/>
    <x v="5"/>
  </r>
  <r>
    <x v="1389"/>
    <n v="-21"/>
    <x v="2893"/>
    <n v="3066.16"/>
    <s v="Complete Access"/>
    <x v="425"/>
    <x v="8"/>
    <x v="29"/>
    <d v="1900-01-10T00:00:00"/>
    <n v="11"/>
    <x v="11"/>
    <x v="5"/>
  </r>
  <r>
    <x v="1389"/>
    <n v="-11.5"/>
    <x v="2893"/>
    <n v="3087.16"/>
    <s v="Complete Access"/>
    <x v="425"/>
    <x v="8"/>
    <x v="29"/>
    <d v="1900-01-10T00:00:00"/>
    <n v="11"/>
    <x v="11"/>
    <x v="5"/>
  </r>
  <r>
    <x v="1390"/>
    <n v="-21.89"/>
    <x v="2894"/>
    <n v="3429.76"/>
    <s v="Complete Access"/>
    <x v="8"/>
    <x v="1"/>
    <x v="5"/>
    <d v="1900-01-09T00:00:00"/>
    <n v="11"/>
    <x v="11"/>
    <x v="5"/>
  </r>
  <r>
    <x v="1390"/>
    <n v="-26.94"/>
    <x v="2895"/>
    <n v="3451.65"/>
    <s v="Complete Access"/>
    <x v="8"/>
    <x v="1"/>
    <x v="5"/>
    <d v="1900-01-09T00:00:00"/>
    <n v="11"/>
    <x v="11"/>
    <x v="5"/>
  </r>
  <r>
    <x v="1390"/>
    <n v="-9.07"/>
    <x v="2896"/>
    <n v="3478.59"/>
    <s v="Complete Access"/>
    <x v="285"/>
    <x v="5"/>
    <x v="8"/>
    <d v="1900-01-09T00:00:00"/>
    <n v="11"/>
    <x v="11"/>
    <x v="5"/>
  </r>
  <r>
    <x v="1390"/>
    <n v="-31.5"/>
    <x v="2897"/>
    <n v="3285.36"/>
    <s v="Complete Access"/>
    <x v="559"/>
    <x v="20"/>
    <x v="63"/>
    <d v="1900-01-09T00:00:00"/>
    <n v="11"/>
    <x v="11"/>
    <x v="5"/>
  </r>
  <r>
    <x v="1390"/>
    <n v="-15"/>
    <x v="2898"/>
    <n v="3345.85"/>
    <s v="Complete Access"/>
    <x v="562"/>
    <x v="1"/>
    <x v="5"/>
    <d v="1900-01-09T00:00:00"/>
    <n v="11"/>
    <x v="11"/>
    <x v="5"/>
  </r>
  <r>
    <x v="1390"/>
    <n v="-11.17"/>
    <x v="2899"/>
    <n v="3360.85"/>
    <s v="Complete Access"/>
    <x v="16"/>
    <x v="1"/>
    <x v="5"/>
    <d v="1900-01-09T00:00:00"/>
    <n v="11"/>
    <x v="11"/>
    <x v="5"/>
  </r>
  <r>
    <x v="1390"/>
    <n v="-22.75"/>
    <x v="2900"/>
    <n v="3407.01"/>
    <s v="Complete Access"/>
    <x v="177"/>
    <x v="1"/>
    <x v="1"/>
    <d v="1900-01-09T00:00:00"/>
    <n v="11"/>
    <x v="11"/>
    <x v="5"/>
  </r>
  <r>
    <x v="1390"/>
    <n v="-34.99"/>
    <x v="2901"/>
    <n v="3372.02"/>
    <s v="Complete Access"/>
    <x v="587"/>
    <x v="8"/>
    <x v="22"/>
    <d v="1900-01-09T00:00:00"/>
    <n v="11"/>
    <x v="11"/>
    <x v="5"/>
  </r>
  <r>
    <x v="1390"/>
    <n v="-28.99"/>
    <x v="2902"/>
    <n v="3316.86"/>
    <s v="Complete Access"/>
    <x v="44"/>
    <x v="4"/>
    <x v="27"/>
    <d v="1900-01-09T00:00:00"/>
    <n v="11"/>
    <x v="11"/>
    <x v="5"/>
  </r>
  <r>
    <x v="1391"/>
    <n v="-16.600000000000001"/>
    <x v="2903"/>
    <n v="3487.66"/>
    <s v="Complete Access"/>
    <x v="671"/>
    <x v="8"/>
    <x v="29"/>
    <d v="1900-01-08T00:00:00"/>
    <n v="11"/>
    <x v="11"/>
    <x v="5"/>
  </r>
  <r>
    <x v="1391"/>
    <n v="-16.600000000000001"/>
    <x v="2903"/>
    <n v="3504.26"/>
    <s v="Complete Access"/>
    <x v="671"/>
    <x v="8"/>
    <x v="29"/>
    <d v="1900-01-08T00:00:00"/>
    <n v="11"/>
    <x v="11"/>
    <x v="5"/>
  </r>
  <r>
    <x v="1392"/>
    <n v="30"/>
    <x v="2904"/>
    <n v="3520.86"/>
    <s v="Complete Access"/>
    <x v="27"/>
    <x v="1"/>
    <x v="5"/>
    <d v="1900-01-06T00:00:00"/>
    <n v="10"/>
    <x v="11"/>
    <x v="5"/>
  </r>
  <r>
    <x v="1392"/>
    <n v="-100"/>
    <x v="2274"/>
    <n v="3498.46"/>
    <s v="Complete Access"/>
    <x v="552"/>
    <x v="0"/>
    <x v="74"/>
    <d v="1900-01-06T00:00:00"/>
    <n v="10"/>
    <x v="11"/>
    <x v="5"/>
  </r>
  <r>
    <x v="1392"/>
    <n v="-7.6"/>
    <x v="2905"/>
    <n v="3490.86"/>
    <s v="Complete Access"/>
    <x v="580"/>
    <x v="9"/>
    <x v="12"/>
    <d v="1900-01-06T00:00:00"/>
    <n v="10"/>
    <x v="11"/>
    <x v="5"/>
  </r>
  <r>
    <x v="1393"/>
    <n v="57.51"/>
    <x v="2282"/>
    <n v="3713.51"/>
    <s v="Complete Access"/>
    <x v="567"/>
    <x v="0"/>
    <x v="69"/>
    <d v="1900-01-05T00:00:00"/>
    <n v="10"/>
    <x v="11"/>
    <x v="5"/>
  </r>
  <r>
    <x v="1393"/>
    <n v="57.5"/>
    <x v="2556"/>
    <n v="3771.01"/>
    <s v="Complete Access"/>
    <x v="583"/>
    <x v="0"/>
    <x v="69"/>
    <d v="1900-01-05T00:00:00"/>
    <n v="10"/>
    <x v="11"/>
    <x v="5"/>
  </r>
  <r>
    <x v="1393"/>
    <n v="-172.55"/>
    <x v="2906"/>
    <n v="3598.46"/>
    <s v="Complete Access"/>
    <x v="438"/>
    <x v="12"/>
    <x v="21"/>
    <d v="1900-01-05T00:00:00"/>
    <n v="10"/>
    <x v="11"/>
    <x v="5"/>
  </r>
  <r>
    <x v="1393"/>
    <n v="-14"/>
    <x v="2907"/>
    <n v="3656"/>
    <s v="Complete Access"/>
    <x v="277"/>
    <x v="8"/>
    <x v="29"/>
    <d v="1900-01-05T00:00:00"/>
    <n v="10"/>
    <x v="11"/>
    <x v="5"/>
  </r>
  <r>
    <x v="1394"/>
    <n v="2053.4899999999998"/>
    <x v="2293"/>
    <n v="5106"/>
    <s v="Complete Access"/>
    <x v="14"/>
    <x v="6"/>
    <x v="9"/>
    <d v="1900-01-04T00:00:00"/>
    <n v="10"/>
    <x v="11"/>
    <x v="5"/>
  </r>
  <r>
    <x v="1394"/>
    <n v="-500"/>
    <x v="2294"/>
    <n v="4581"/>
    <s v="Complete Access"/>
    <x v="571"/>
    <x v="19"/>
    <x v="61"/>
    <d v="1900-01-04T00:00:00"/>
    <n v="10"/>
    <x v="11"/>
    <x v="5"/>
  </r>
  <r>
    <x v="1394"/>
    <n v="-911"/>
    <x v="2908"/>
    <n v="3670"/>
    <s v="Complete Access"/>
    <x v="0"/>
    <x v="0"/>
    <x v="0"/>
    <d v="1900-01-04T00:00:00"/>
    <n v="10"/>
    <x v="11"/>
    <x v="5"/>
  </r>
  <r>
    <x v="1394"/>
    <n v="-25"/>
    <x v="2909"/>
    <n v="5081"/>
    <s v="Complete Access"/>
    <x v="672"/>
    <x v="8"/>
    <x v="22"/>
    <d v="1900-01-04T00:00:00"/>
    <n v="10"/>
    <x v="11"/>
    <x v="5"/>
  </r>
  <r>
    <x v="1395"/>
    <n v="-4.24"/>
    <x v="2859"/>
    <n v="3057.52"/>
    <s v="Complete Access"/>
    <x v="61"/>
    <x v="1"/>
    <x v="1"/>
    <d v="1900-01-03T00:00:00"/>
    <n v="10"/>
    <x v="11"/>
    <x v="5"/>
  </r>
  <r>
    <x v="1395"/>
    <n v="-51.76"/>
    <x v="2910"/>
    <n v="3061.76"/>
    <s v="Complete Access"/>
    <x v="673"/>
    <x v="8"/>
    <x v="29"/>
    <d v="1900-01-03T00:00:00"/>
    <n v="10"/>
    <x v="11"/>
    <x v="5"/>
  </r>
  <r>
    <x v="1395"/>
    <n v="-18.68"/>
    <x v="2911"/>
    <n v="3158.41"/>
    <s v="Complete Access"/>
    <x v="8"/>
    <x v="1"/>
    <x v="5"/>
    <d v="1900-01-03T00:00:00"/>
    <n v="10"/>
    <x v="11"/>
    <x v="5"/>
  </r>
  <r>
    <x v="1395"/>
    <n v="-44.89"/>
    <x v="2912"/>
    <n v="3113.52"/>
    <s v="Complete Access"/>
    <x v="8"/>
    <x v="1"/>
    <x v="5"/>
    <d v="1900-01-03T00:00:00"/>
    <n v="10"/>
    <x v="11"/>
    <x v="5"/>
  </r>
  <r>
    <x v="1395"/>
    <n v="-11.17"/>
    <x v="2913"/>
    <n v="3177.09"/>
    <s v="Complete Access"/>
    <x v="16"/>
    <x v="1"/>
    <x v="5"/>
    <d v="1900-01-03T00:00:00"/>
    <n v="10"/>
    <x v="11"/>
    <x v="5"/>
  </r>
  <r>
    <x v="1395"/>
    <n v="-5.01"/>
    <x v="2643"/>
    <n v="3052.51"/>
    <s v="Complete Access"/>
    <x v="215"/>
    <x v="1"/>
    <x v="1"/>
    <d v="1900-01-03T00:00:00"/>
    <n v="10"/>
    <x v="11"/>
    <x v="5"/>
  </r>
  <r>
    <x v="1396"/>
    <n v="-1.72"/>
    <x v="2859"/>
    <n v="3225.31"/>
    <s v="Complete Access"/>
    <x v="61"/>
    <x v="1"/>
    <x v="1"/>
    <d v="1900-01-02T00:00:00"/>
    <n v="10"/>
    <x v="11"/>
    <x v="5"/>
  </r>
  <r>
    <x v="1396"/>
    <n v="-21.65"/>
    <x v="2762"/>
    <n v="3188.26"/>
    <s v="Complete Access"/>
    <x v="616"/>
    <x v="1"/>
    <x v="1"/>
    <d v="1900-01-02T00:00:00"/>
    <n v="10"/>
    <x v="11"/>
    <x v="5"/>
  </r>
  <r>
    <x v="1396"/>
    <n v="-15.4"/>
    <x v="2863"/>
    <n v="3209.91"/>
    <s v="Complete Access"/>
    <x v="186"/>
    <x v="1"/>
    <x v="5"/>
    <d v="1900-01-02T00:00:00"/>
    <n v="10"/>
    <x v="11"/>
    <x v="5"/>
  </r>
  <r>
    <x v="1396"/>
    <n v="-29.99"/>
    <x v="2914"/>
    <n v="3227.03"/>
    <s v="Complete Access"/>
    <x v="228"/>
    <x v="4"/>
    <x v="7"/>
    <d v="1900-01-02T00:00:00"/>
    <n v="10"/>
    <x v="11"/>
    <x v="5"/>
  </r>
  <r>
    <x v="1397"/>
    <n v="-10.62"/>
    <x v="2915"/>
    <n v="3429.32"/>
    <s v="Complete Access"/>
    <x v="674"/>
    <x v="8"/>
    <x v="29"/>
    <d v="1900-01-01T00:00:00"/>
    <n v="10"/>
    <x v="11"/>
    <x v="5"/>
  </r>
  <r>
    <x v="1397"/>
    <n v="-6.31"/>
    <x v="2859"/>
    <n v="3447.94"/>
    <s v="Complete Access"/>
    <x v="61"/>
    <x v="1"/>
    <x v="1"/>
    <d v="1900-01-01T00:00:00"/>
    <n v="10"/>
    <x v="11"/>
    <x v="5"/>
  </r>
  <r>
    <x v="1397"/>
    <n v="-8"/>
    <x v="2916"/>
    <n v="3439.94"/>
    <s v="Complete Access"/>
    <x v="675"/>
    <x v="1"/>
    <x v="5"/>
    <d v="1900-01-01T00:00:00"/>
    <n v="10"/>
    <x v="11"/>
    <x v="5"/>
  </r>
  <r>
    <x v="1397"/>
    <n v="-172.3"/>
    <x v="2917"/>
    <n v="3257.02"/>
    <s v="Complete Access"/>
    <x v="76"/>
    <x v="2"/>
    <x v="2"/>
    <d v="1900-01-01T00:00:00"/>
    <n v="10"/>
    <x v="11"/>
    <x v="5"/>
  </r>
  <r>
    <x v="1398"/>
    <n v="-40"/>
    <x v="2918"/>
    <n v="3454.25"/>
    <s v="Complete Access"/>
    <x v="601"/>
    <x v="0"/>
    <x v="0"/>
    <d v="1899-12-31T00:00:00"/>
    <n v="10"/>
    <x v="11"/>
    <x v="5"/>
  </r>
  <r>
    <x v="1398"/>
    <n v="-22"/>
    <x v="2919"/>
    <n v="3494.25"/>
    <s v="Complete Access"/>
    <x v="676"/>
    <x v="1"/>
    <x v="5"/>
    <d v="1899-12-31T00:00:00"/>
    <n v="10"/>
    <x v="11"/>
    <x v="5"/>
  </r>
  <r>
    <x v="1398"/>
    <n v="-20"/>
    <x v="2229"/>
    <n v="3516.25"/>
    <s v="Complete Access"/>
    <x v="557"/>
    <x v="7"/>
    <x v="53"/>
    <d v="1899-12-31T00:00:00"/>
    <n v="10"/>
    <x v="11"/>
    <x v="5"/>
  </r>
  <r>
    <x v="1399"/>
    <n v="-40"/>
    <x v="2920"/>
    <n v="3649.95"/>
    <s v="Complete Access"/>
    <x v="12"/>
    <x v="5"/>
    <x v="8"/>
    <d v="1900-01-28T00:00:00"/>
    <n v="9"/>
    <x v="0"/>
    <x v="5"/>
  </r>
  <r>
    <x v="1399"/>
    <n v="-4.5599999999999996"/>
    <x v="2921"/>
    <n v="3536.25"/>
    <s v="Complete Access"/>
    <x v="677"/>
    <x v="1"/>
    <x v="1"/>
    <d v="1900-01-28T00:00:00"/>
    <n v="9"/>
    <x v="0"/>
    <x v="5"/>
  </r>
  <r>
    <x v="1399"/>
    <n v="-9.14"/>
    <x v="2922"/>
    <n v="3640.81"/>
    <s v="Complete Access"/>
    <x v="16"/>
    <x v="1"/>
    <x v="5"/>
    <d v="1900-01-28T00:00:00"/>
    <n v="9"/>
    <x v="0"/>
    <x v="5"/>
  </r>
  <r>
    <x v="1399"/>
    <n v="-100"/>
    <x v="2274"/>
    <n v="3540.81"/>
    <s v="Complete Access"/>
    <x v="552"/>
    <x v="0"/>
    <x v="74"/>
    <d v="1900-01-28T00:00:00"/>
    <n v="9"/>
    <x v="0"/>
    <x v="5"/>
  </r>
  <r>
    <x v="1400"/>
    <n v="-5.96"/>
    <x v="2859"/>
    <n v="3705.74"/>
    <s v="Complete Access"/>
    <x v="61"/>
    <x v="1"/>
    <x v="1"/>
    <d v="1900-01-27T00:00:00"/>
    <n v="9"/>
    <x v="0"/>
    <x v="5"/>
  </r>
  <r>
    <x v="1400"/>
    <n v="-23.49"/>
    <x v="2923"/>
    <n v="3821.7"/>
    <s v="Complete Access"/>
    <x v="8"/>
    <x v="1"/>
    <x v="5"/>
    <d v="1900-01-27T00:00:00"/>
    <n v="9"/>
    <x v="0"/>
    <x v="5"/>
  </r>
  <r>
    <x v="1400"/>
    <n v="-110"/>
    <x v="2924"/>
    <n v="3711.7"/>
    <s v="Complete Access"/>
    <x v="160"/>
    <x v="17"/>
    <x v="43"/>
    <d v="1900-01-27T00:00:00"/>
    <n v="9"/>
    <x v="0"/>
    <x v="5"/>
  </r>
  <r>
    <x v="1400"/>
    <n v="-7.79"/>
    <x v="2643"/>
    <n v="3689.95"/>
    <s v="Complete Access"/>
    <x v="215"/>
    <x v="1"/>
    <x v="1"/>
    <d v="1900-01-27T00:00:00"/>
    <n v="9"/>
    <x v="0"/>
    <x v="5"/>
  </r>
  <r>
    <x v="1400"/>
    <n v="-8"/>
    <x v="2925"/>
    <n v="3697.74"/>
    <s v="Complete Access"/>
    <x v="678"/>
    <x v="20"/>
    <x v="63"/>
    <d v="1900-01-27T00:00:00"/>
    <n v="9"/>
    <x v="0"/>
    <x v="5"/>
  </r>
  <r>
    <x v="1401"/>
    <n v="-11.17"/>
    <x v="2926"/>
    <n v="4145.1899999999996"/>
    <s v="Complete Access"/>
    <x v="16"/>
    <x v="1"/>
    <x v="5"/>
    <d v="1900-01-26T00:00:00"/>
    <n v="9"/>
    <x v="0"/>
    <x v="5"/>
  </r>
  <r>
    <x v="1401"/>
    <n v="-9.99"/>
    <x v="2927"/>
    <n v="4190.07"/>
    <s v="Complete Access"/>
    <x v="373"/>
    <x v="8"/>
    <x v="7"/>
    <d v="1900-01-26T00:00:00"/>
    <n v="9"/>
    <x v="0"/>
    <x v="5"/>
  </r>
  <r>
    <x v="1401"/>
    <n v="300"/>
    <x v="2928"/>
    <n v="4145.1899999999996"/>
    <s v="Complete Access"/>
    <x v="679"/>
    <x v="0"/>
    <x v="69"/>
    <d v="1900-01-26T00:00:00"/>
    <n v="9"/>
    <x v="0"/>
    <x v="5"/>
  </r>
  <r>
    <x v="1401"/>
    <n v="-300"/>
    <x v="2929"/>
    <n v="3845.19"/>
    <s v="Complete Access"/>
    <x v="645"/>
    <x v="0"/>
    <x v="69"/>
    <d v="1900-01-26T00:00:00"/>
    <n v="9"/>
    <x v="0"/>
    <x v="5"/>
  </r>
  <r>
    <x v="1401"/>
    <n v="-33.71"/>
    <x v="2930"/>
    <n v="4156.3599999999997"/>
    <s v="Complete Access"/>
    <x v="237"/>
    <x v="15"/>
    <x v="34"/>
    <d v="1900-01-26T00:00:00"/>
    <n v="9"/>
    <x v="0"/>
    <x v="5"/>
  </r>
  <r>
    <x v="1401"/>
    <n v="-300"/>
    <x v="2931"/>
    <n v="3845.19"/>
    <s v="Complete Access"/>
    <x v="0"/>
    <x v="0"/>
    <x v="0"/>
    <d v="1900-01-26T00:00:00"/>
    <n v="9"/>
    <x v="0"/>
    <x v="5"/>
  </r>
  <r>
    <x v="1402"/>
    <n v="-75.989999999999995"/>
    <x v="2932"/>
    <n v="4261.3100000000004"/>
    <s v="Complete Access"/>
    <x v="8"/>
    <x v="1"/>
    <x v="5"/>
    <d v="1900-01-25T00:00:00"/>
    <n v="9"/>
    <x v="0"/>
    <x v="5"/>
  </r>
  <r>
    <x v="1402"/>
    <n v="-17.5"/>
    <x v="2933"/>
    <n v="4337.3"/>
    <s v="Complete Access"/>
    <x v="593"/>
    <x v="1"/>
    <x v="5"/>
    <d v="1900-01-25T00:00:00"/>
    <n v="9"/>
    <x v="0"/>
    <x v="5"/>
  </r>
  <r>
    <x v="1402"/>
    <n v="-17.13"/>
    <x v="2688"/>
    <n v="4200.0600000000004"/>
    <s v="Complete Access"/>
    <x v="177"/>
    <x v="1"/>
    <x v="1"/>
    <d v="1900-01-25T00:00:00"/>
    <n v="9"/>
    <x v="0"/>
    <x v="5"/>
  </r>
  <r>
    <x v="1402"/>
    <n v="-9.9"/>
    <x v="2863"/>
    <n v="4217.1899999999996"/>
    <s v="Complete Access"/>
    <x v="186"/>
    <x v="1"/>
    <x v="5"/>
    <d v="1900-01-25T00:00:00"/>
    <n v="9"/>
    <x v="0"/>
    <x v="5"/>
  </r>
  <r>
    <x v="1402"/>
    <n v="-34.22"/>
    <x v="2934"/>
    <n v="4227.09"/>
    <s v="Complete Access"/>
    <x v="34"/>
    <x v="9"/>
    <x v="12"/>
    <d v="1900-01-25T00:00:00"/>
    <n v="9"/>
    <x v="0"/>
    <x v="5"/>
  </r>
  <r>
    <x v="1403"/>
    <n v="-40"/>
    <x v="2935"/>
    <n v="4354.8"/>
    <s v="Complete Access"/>
    <x v="12"/>
    <x v="5"/>
    <x v="8"/>
    <d v="1900-01-24T00:00:00"/>
    <n v="9"/>
    <x v="0"/>
    <x v="5"/>
  </r>
  <r>
    <x v="1404"/>
    <n v="-2.5"/>
    <x v="2859"/>
    <n v="4435.29"/>
    <s v="Complete Access"/>
    <x v="61"/>
    <x v="1"/>
    <x v="1"/>
    <d v="1900-01-23T00:00:00"/>
    <n v="9"/>
    <x v="0"/>
    <x v="5"/>
  </r>
  <r>
    <x v="1404"/>
    <n v="-1.75"/>
    <x v="2859"/>
    <n v="4437.79"/>
    <s v="Complete Access"/>
    <x v="61"/>
    <x v="1"/>
    <x v="1"/>
    <d v="1900-01-23T00:00:00"/>
    <n v="9"/>
    <x v="0"/>
    <x v="5"/>
  </r>
  <r>
    <x v="1404"/>
    <n v="-20.49"/>
    <x v="2643"/>
    <n v="4394.8"/>
    <s v="Complete Access"/>
    <x v="215"/>
    <x v="1"/>
    <x v="1"/>
    <d v="1900-01-23T00:00:00"/>
    <n v="9"/>
    <x v="0"/>
    <x v="5"/>
  </r>
  <r>
    <x v="1404"/>
    <n v="-20"/>
    <x v="2936"/>
    <n v="4415.29"/>
    <s v="Complete Access"/>
    <x v="680"/>
    <x v="1"/>
    <x v="5"/>
    <d v="1900-01-23T00:00:00"/>
    <n v="9"/>
    <x v="0"/>
    <x v="5"/>
  </r>
  <r>
    <x v="1405"/>
    <n v="55"/>
    <x v="2937"/>
    <n v="4439.54"/>
    <s v="Complete Access"/>
    <x v="567"/>
    <x v="0"/>
    <x v="69"/>
    <d v="1900-01-22T00:00:00"/>
    <n v="9"/>
    <x v="0"/>
    <x v="5"/>
  </r>
  <r>
    <x v="1406"/>
    <n v="-6.09"/>
    <x v="2938"/>
    <n v="4692.75"/>
    <s v="Complete Access"/>
    <x v="16"/>
    <x v="1"/>
    <x v="5"/>
    <d v="1900-01-21T00:00:00"/>
    <n v="8"/>
    <x v="0"/>
    <x v="5"/>
  </r>
  <r>
    <x v="1406"/>
    <n v="-6.65"/>
    <x v="2643"/>
    <n v="4384.54"/>
    <s v="Complete Access"/>
    <x v="215"/>
    <x v="1"/>
    <x v="1"/>
    <d v="1900-01-21T00:00:00"/>
    <n v="8"/>
    <x v="0"/>
    <x v="5"/>
  </r>
  <r>
    <x v="1406"/>
    <n v="-19.489999999999998"/>
    <x v="2874"/>
    <n v="4434.2700000000004"/>
    <s v="Complete Access"/>
    <x v="663"/>
    <x v="1"/>
    <x v="1"/>
    <d v="1900-01-21T00:00:00"/>
    <n v="8"/>
    <x v="0"/>
    <x v="5"/>
  </r>
  <r>
    <x v="1406"/>
    <n v="-100"/>
    <x v="2274"/>
    <n v="4536.76"/>
    <s v="Complete Access"/>
    <x v="552"/>
    <x v="0"/>
    <x v="74"/>
    <d v="1900-01-21T00:00:00"/>
    <n v="8"/>
    <x v="0"/>
    <x v="5"/>
  </r>
  <r>
    <x v="1406"/>
    <n v="-43.08"/>
    <x v="2756"/>
    <n v="4391.1899999999996"/>
    <s v="Complete Access"/>
    <x v="177"/>
    <x v="1"/>
    <x v="1"/>
    <d v="1900-01-21T00:00:00"/>
    <n v="8"/>
    <x v="0"/>
    <x v="5"/>
  </r>
  <r>
    <x v="1406"/>
    <n v="-55.99"/>
    <x v="2939"/>
    <n v="4636.76"/>
    <s v="Complete Access"/>
    <x v="222"/>
    <x v="11"/>
    <x v="14"/>
    <d v="1900-01-21T00:00:00"/>
    <n v="8"/>
    <x v="0"/>
    <x v="5"/>
  </r>
  <r>
    <x v="1406"/>
    <n v="-83"/>
    <x v="2700"/>
    <n v="4453.76"/>
    <s v="Complete Access"/>
    <x v="243"/>
    <x v="1"/>
    <x v="23"/>
    <d v="1900-01-21T00:00:00"/>
    <n v="8"/>
    <x v="0"/>
    <x v="5"/>
  </r>
  <r>
    <x v="1407"/>
    <n v="-4"/>
    <x v="2859"/>
    <n v="4667.0200000000004"/>
    <s v="Complete Access"/>
    <x v="61"/>
    <x v="1"/>
    <x v="1"/>
    <d v="1900-01-20T00:00:00"/>
    <n v="8"/>
    <x v="0"/>
    <x v="5"/>
  </r>
  <r>
    <x v="1407"/>
    <n v="50"/>
    <x v="2940"/>
    <n v="4717.0200000000004"/>
    <s v="Complete Access"/>
    <x v="567"/>
    <x v="0"/>
    <x v="69"/>
    <d v="1900-01-20T00:00:00"/>
    <n v="8"/>
    <x v="0"/>
    <x v="5"/>
  </r>
  <r>
    <x v="1407"/>
    <n v="1.35"/>
    <x v="2941"/>
    <n v="4691.3"/>
    <s v="Complete Access"/>
    <x v="6"/>
    <x v="4"/>
    <x v="4"/>
    <d v="1900-01-20T00:00:00"/>
    <n v="8"/>
    <x v="0"/>
    <x v="5"/>
  </r>
  <r>
    <x v="1407"/>
    <n v="7.54"/>
    <x v="2702"/>
    <n v="4698.84"/>
    <s v="Complete Access"/>
    <x v="6"/>
    <x v="4"/>
    <x v="4"/>
    <d v="1900-01-20T00:00:00"/>
    <n v="8"/>
    <x v="0"/>
    <x v="5"/>
  </r>
  <r>
    <x v="1407"/>
    <n v="-18.18"/>
    <x v="2942"/>
    <n v="4689.95"/>
    <s v="Complete Access"/>
    <x v="681"/>
    <x v="1"/>
    <x v="5"/>
    <d v="1900-01-20T00:00:00"/>
    <n v="8"/>
    <x v="0"/>
    <x v="5"/>
  </r>
  <r>
    <x v="1407"/>
    <n v="-8.89"/>
    <x v="2942"/>
    <n v="4708.13"/>
    <s v="Complete Access"/>
    <x v="681"/>
    <x v="1"/>
    <x v="5"/>
    <d v="1900-01-20T00:00:00"/>
    <n v="8"/>
    <x v="0"/>
    <x v="5"/>
  </r>
  <r>
    <x v="1408"/>
    <n v="2053.4899999999998"/>
    <x v="2943"/>
    <n v="5210.04"/>
    <s v="Complete Access"/>
    <x v="14"/>
    <x v="6"/>
    <x v="9"/>
    <d v="1900-01-19T00:00:00"/>
    <n v="8"/>
    <x v="0"/>
    <x v="5"/>
  </r>
  <r>
    <x v="1408"/>
    <n v="-500"/>
    <x v="2294"/>
    <n v="4676.0200000000004"/>
    <s v="Complete Access"/>
    <x v="571"/>
    <x v="19"/>
    <x v="61"/>
    <d v="1900-01-19T00:00:00"/>
    <n v="8"/>
    <x v="0"/>
    <x v="5"/>
  </r>
  <r>
    <x v="1408"/>
    <n v="-6.09"/>
    <x v="2944"/>
    <n v="5176.0200000000004"/>
    <s v="Complete Access"/>
    <x v="16"/>
    <x v="1"/>
    <x v="5"/>
    <d v="1900-01-19T00:00:00"/>
    <n v="8"/>
    <x v="0"/>
    <x v="5"/>
  </r>
  <r>
    <x v="1408"/>
    <n v="-27.93"/>
    <x v="2945"/>
    <n v="5182.1099999999997"/>
    <s v="Complete Access"/>
    <x v="668"/>
    <x v="15"/>
    <x v="34"/>
    <d v="1900-01-19T00:00:00"/>
    <n v="8"/>
    <x v="0"/>
    <x v="5"/>
  </r>
  <r>
    <x v="1408"/>
    <n v="-5"/>
    <x v="2643"/>
    <n v="4671.0200000000004"/>
    <s v="Complete Access"/>
    <x v="215"/>
    <x v="1"/>
    <x v="1"/>
    <d v="1900-01-19T00:00:00"/>
    <n v="8"/>
    <x v="0"/>
    <x v="5"/>
  </r>
  <r>
    <x v="1409"/>
    <n v="-0.93"/>
    <x v="2859"/>
    <n v="3171.55"/>
    <s v="Complete Access"/>
    <x v="61"/>
    <x v="1"/>
    <x v="1"/>
    <d v="1900-01-18T00:00:00"/>
    <n v="8"/>
    <x v="0"/>
    <x v="5"/>
  </r>
  <r>
    <x v="1409"/>
    <n v="-25.15"/>
    <x v="2946"/>
    <n v="3220.55"/>
    <s v="Complete Access"/>
    <x v="106"/>
    <x v="5"/>
    <x v="41"/>
    <d v="1900-01-18T00:00:00"/>
    <n v="8"/>
    <x v="0"/>
    <x v="5"/>
  </r>
  <r>
    <x v="1409"/>
    <n v="-20.99"/>
    <x v="2947"/>
    <n v="3178.57"/>
    <s v="Complete Access"/>
    <x v="8"/>
    <x v="1"/>
    <x v="5"/>
    <d v="1900-01-18T00:00:00"/>
    <n v="8"/>
    <x v="0"/>
    <x v="5"/>
  </r>
  <r>
    <x v="1409"/>
    <n v="-20.99"/>
    <x v="2947"/>
    <n v="3199.56"/>
    <s v="Complete Access"/>
    <x v="8"/>
    <x v="1"/>
    <x v="5"/>
    <d v="1900-01-18T00:00:00"/>
    <n v="8"/>
    <x v="0"/>
    <x v="5"/>
  </r>
  <r>
    <x v="1409"/>
    <n v="-15"/>
    <x v="2948"/>
    <n v="3156.55"/>
    <s v="Complete Access"/>
    <x v="562"/>
    <x v="1"/>
    <x v="5"/>
    <d v="1900-01-18T00:00:00"/>
    <n v="8"/>
    <x v="0"/>
    <x v="5"/>
  </r>
  <r>
    <x v="1409"/>
    <n v="-6.09"/>
    <x v="2949"/>
    <n v="3172.48"/>
    <s v="Complete Access"/>
    <x v="16"/>
    <x v="1"/>
    <x v="5"/>
    <d v="1900-01-18T00:00:00"/>
    <n v="8"/>
    <x v="0"/>
    <x v="5"/>
  </r>
  <r>
    <x v="1410"/>
    <n v="-40"/>
    <x v="2950"/>
    <n v="3537.26"/>
    <s v="Complete Access"/>
    <x v="12"/>
    <x v="5"/>
    <x v="8"/>
    <d v="1900-01-17T00:00:00"/>
    <n v="8"/>
    <x v="0"/>
    <x v="5"/>
  </r>
  <r>
    <x v="1410"/>
    <n v="-11.17"/>
    <x v="2951"/>
    <n v="3526.09"/>
    <s v="Complete Access"/>
    <x v="16"/>
    <x v="1"/>
    <x v="5"/>
    <d v="1900-01-17T00:00:00"/>
    <n v="8"/>
    <x v="0"/>
    <x v="5"/>
  </r>
  <r>
    <x v="1410"/>
    <n v="-30.39"/>
    <x v="2688"/>
    <n v="3245.7"/>
    <s v="Complete Access"/>
    <x v="177"/>
    <x v="1"/>
    <x v="1"/>
    <d v="1900-01-17T00:00:00"/>
    <n v="8"/>
    <x v="0"/>
    <x v="5"/>
  </r>
  <r>
    <x v="1410"/>
    <n v="-250"/>
    <x v="2952"/>
    <n v="3276.09"/>
    <s v="Complete Access"/>
    <x v="0"/>
    <x v="0"/>
    <x v="0"/>
    <d v="1900-01-17T00:00:00"/>
    <n v="8"/>
    <x v="0"/>
    <x v="5"/>
  </r>
  <r>
    <x v="1411"/>
    <n v="-250"/>
    <x v="2953"/>
    <n v="3577.26"/>
    <s v="Complete Access"/>
    <x v="265"/>
    <x v="8"/>
    <x v="22"/>
    <d v="1900-01-16T00:00:00"/>
    <n v="8"/>
    <x v="0"/>
    <x v="5"/>
  </r>
  <r>
    <x v="1411"/>
    <n v="-5.87"/>
    <x v="2859"/>
    <n v="4830.96"/>
    <s v="Complete Access"/>
    <x v="61"/>
    <x v="1"/>
    <x v="1"/>
    <d v="1900-01-16T00:00:00"/>
    <n v="8"/>
    <x v="0"/>
    <x v="5"/>
  </r>
  <r>
    <x v="1411"/>
    <n v="-3.7"/>
    <x v="2916"/>
    <n v="3827.26"/>
    <s v="Complete Access"/>
    <x v="675"/>
    <x v="1"/>
    <x v="5"/>
    <d v="1900-01-16T00:00:00"/>
    <n v="8"/>
    <x v="0"/>
    <x v="5"/>
  </r>
  <r>
    <x v="1411"/>
    <n v="-1000"/>
    <x v="2954"/>
    <n v="3830.96"/>
    <s v="Complete Access"/>
    <x v="504"/>
    <x v="0"/>
    <x v="72"/>
    <d v="1900-01-16T00:00:00"/>
    <n v="8"/>
    <x v="0"/>
    <x v="5"/>
  </r>
  <r>
    <x v="1412"/>
    <n v="300"/>
    <x v="2955"/>
    <n v="4836.83"/>
    <s v="Complete Access"/>
    <x v="645"/>
    <x v="0"/>
    <x v="69"/>
    <d v="1900-01-15T00:00:00"/>
    <n v="8"/>
    <x v="0"/>
    <x v="5"/>
  </r>
  <r>
    <x v="1413"/>
    <n v="-250"/>
    <x v="2956"/>
    <n v="4588.83"/>
    <s v="Complete Access"/>
    <x v="601"/>
    <x v="0"/>
    <x v="0"/>
    <d v="1900-01-14T00:00:00"/>
    <n v="7"/>
    <x v="0"/>
    <x v="5"/>
  </r>
  <r>
    <x v="1413"/>
    <n v="-10.5"/>
    <x v="2957"/>
    <n v="4970.83"/>
    <s v="Complete Access"/>
    <x v="682"/>
    <x v="1"/>
    <x v="5"/>
    <d v="1900-01-14T00:00:00"/>
    <n v="7"/>
    <x v="0"/>
    <x v="5"/>
  </r>
  <r>
    <x v="1413"/>
    <n v="-26.5"/>
    <x v="2958"/>
    <n v="4536.83"/>
    <s v="Complete Access"/>
    <x v="683"/>
    <x v="1"/>
    <x v="5"/>
    <d v="1900-01-14T00:00:00"/>
    <n v="7"/>
    <x v="0"/>
    <x v="5"/>
  </r>
  <r>
    <x v="1413"/>
    <n v="-25.5"/>
    <x v="2958"/>
    <n v="4563.33"/>
    <s v="Complete Access"/>
    <x v="683"/>
    <x v="1"/>
    <x v="5"/>
    <d v="1900-01-14T00:00:00"/>
    <n v="7"/>
    <x v="0"/>
    <x v="5"/>
  </r>
  <r>
    <x v="1413"/>
    <n v="-100"/>
    <x v="2274"/>
    <n v="4870.83"/>
    <s v="Complete Access"/>
    <x v="552"/>
    <x v="0"/>
    <x v="74"/>
    <d v="1900-01-14T00:00:00"/>
    <n v="7"/>
    <x v="0"/>
    <x v="5"/>
  </r>
  <r>
    <x v="1413"/>
    <n v="-32"/>
    <x v="2700"/>
    <n v="4838.83"/>
    <s v="Complete Access"/>
    <x v="243"/>
    <x v="1"/>
    <x v="23"/>
    <d v="1900-01-14T00:00:00"/>
    <n v="7"/>
    <x v="0"/>
    <x v="5"/>
  </r>
  <r>
    <x v="1414"/>
    <n v="-29"/>
    <x v="2959"/>
    <n v="6018.43"/>
    <s v="Complete Access"/>
    <x v="347"/>
    <x v="3"/>
    <x v="62"/>
    <d v="1900-01-13T00:00:00"/>
    <n v="7"/>
    <x v="0"/>
    <x v="5"/>
  </r>
  <r>
    <x v="1414"/>
    <n v="-1000"/>
    <x v="2954"/>
    <n v="4981.33"/>
    <s v="Complete Access"/>
    <x v="504"/>
    <x v="0"/>
    <x v="72"/>
    <d v="1900-01-13T00:00:00"/>
    <n v="7"/>
    <x v="0"/>
    <x v="5"/>
  </r>
  <r>
    <x v="1414"/>
    <n v="-37.1"/>
    <x v="2960"/>
    <n v="5981.33"/>
    <s v="Complete Access"/>
    <x v="34"/>
    <x v="9"/>
    <x v="12"/>
    <d v="1900-01-13T00:00:00"/>
    <n v="7"/>
    <x v="0"/>
    <x v="5"/>
  </r>
  <r>
    <x v="1415"/>
    <n v="-3"/>
    <x v="2961"/>
    <n v="6058.43"/>
    <s v="Complete Access"/>
    <x v="8"/>
    <x v="1"/>
    <x v="5"/>
    <d v="1900-01-12T00:00:00"/>
    <n v="7"/>
    <x v="0"/>
    <x v="5"/>
  </r>
  <r>
    <x v="1415"/>
    <n v="7.9"/>
    <x v="2962"/>
    <n v="6084.42"/>
    <s v="Complete Access"/>
    <x v="8"/>
    <x v="1"/>
    <x v="5"/>
    <d v="1900-01-12T00:00:00"/>
    <n v="7"/>
    <x v="0"/>
    <x v="5"/>
  </r>
  <r>
    <x v="1415"/>
    <n v="-22.99"/>
    <x v="2963"/>
    <n v="6061.43"/>
    <s v="Complete Access"/>
    <x v="684"/>
    <x v="3"/>
    <x v="60"/>
    <d v="1900-01-12T00:00:00"/>
    <n v="7"/>
    <x v="0"/>
    <x v="5"/>
  </r>
  <r>
    <x v="1415"/>
    <n v="-11"/>
    <x v="2964"/>
    <n v="6047.43"/>
    <s v="Complete Access"/>
    <x v="662"/>
    <x v="1"/>
    <x v="5"/>
    <d v="1900-01-12T00:00:00"/>
    <n v="7"/>
    <x v="0"/>
    <x v="5"/>
  </r>
  <r>
    <x v="1416"/>
    <n v="-1.89"/>
    <x v="2859"/>
    <n v="6143.51"/>
    <s v="Complete Access"/>
    <x v="61"/>
    <x v="1"/>
    <x v="1"/>
    <d v="1900-01-11T00:00:00"/>
    <n v="7"/>
    <x v="0"/>
    <x v="5"/>
  </r>
  <r>
    <x v="1416"/>
    <n v="-29"/>
    <x v="2961"/>
    <n v="6154.3"/>
    <s v="Complete Access"/>
    <x v="8"/>
    <x v="1"/>
    <x v="5"/>
    <d v="1900-01-11T00:00:00"/>
    <n v="7"/>
    <x v="0"/>
    <x v="5"/>
  </r>
  <r>
    <x v="1416"/>
    <n v="-45.74"/>
    <x v="2961"/>
    <n v="6183.3"/>
    <s v="Complete Access"/>
    <x v="8"/>
    <x v="1"/>
    <x v="5"/>
    <d v="1900-01-11T00:00:00"/>
    <n v="7"/>
    <x v="0"/>
    <x v="5"/>
  </r>
  <r>
    <x v="1416"/>
    <n v="-40"/>
    <x v="2965"/>
    <n v="6229.04"/>
    <s v="Complete Access"/>
    <x v="12"/>
    <x v="5"/>
    <x v="8"/>
    <d v="1900-01-11T00:00:00"/>
    <n v="7"/>
    <x v="0"/>
    <x v="5"/>
  </r>
  <r>
    <x v="1416"/>
    <n v="-66.989999999999995"/>
    <x v="2756"/>
    <n v="6076.52"/>
    <s v="Complete Access"/>
    <x v="177"/>
    <x v="1"/>
    <x v="1"/>
    <d v="1900-01-11T00:00:00"/>
    <n v="7"/>
    <x v="0"/>
    <x v="5"/>
  </r>
  <r>
    <x v="1416"/>
    <n v="-8.9"/>
    <x v="2966"/>
    <n v="6145.4"/>
    <s v="Complete Access"/>
    <x v="277"/>
    <x v="8"/>
    <x v="29"/>
    <d v="1900-01-11T00:00:00"/>
    <n v="7"/>
    <x v="0"/>
    <x v="5"/>
  </r>
  <r>
    <x v="1417"/>
    <n v="-30.89"/>
    <x v="2967"/>
    <n v="6512.75"/>
    <s v="Complete Access"/>
    <x v="8"/>
    <x v="1"/>
    <x v="5"/>
    <d v="1900-01-10T00:00:00"/>
    <n v="7"/>
    <x v="0"/>
    <x v="5"/>
  </r>
  <r>
    <x v="1417"/>
    <n v="-21"/>
    <x v="2967"/>
    <n v="6543.64"/>
    <s v="Complete Access"/>
    <x v="8"/>
    <x v="1"/>
    <x v="5"/>
    <d v="1900-01-10T00:00:00"/>
    <n v="7"/>
    <x v="0"/>
    <x v="5"/>
  </r>
  <r>
    <x v="1417"/>
    <n v="-8.3000000000000007"/>
    <x v="2968"/>
    <n v="6318.4"/>
    <s v="Complete Access"/>
    <x v="682"/>
    <x v="1"/>
    <x v="5"/>
    <d v="1900-01-10T00:00:00"/>
    <n v="7"/>
    <x v="0"/>
    <x v="5"/>
  </r>
  <r>
    <x v="1417"/>
    <n v="-186.05"/>
    <x v="2969"/>
    <n v="6326.7"/>
    <s v="Complete Access"/>
    <x v="438"/>
    <x v="12"/>
    <x v="21"/>
    <d v="1900-01-10T00:00:00"/>
    <n v="7"/>
    <x v="0"/>
    <x v="5"/>
  </r>
  <r>
    <x v="1417"/>
    <n v="-29.93"/>
    <x v="2643"/>
    <n v="6288.47"/>
    <s v="Complete Access"/>
    <x v="215"/>
    <x v="1"/>
    <x v="1"/>
    <d v="1900-01-10T00:00:00"/>
    <n v="7"/>
    <x v="0"/>
    <x v="5"/>
  </r>
  <r>
    <x v="1417"/>
    <n v="62"/>
    <x v="2282"/>
    <n v="6269.04"/>
    <s v="Complete Access"/>
    <x v="567"/>
    <x v="0"/>
    <x v="69"/>
    <d v="1900-01-10T00:00:00"/>
    <n v="7"/>
    <x v="0"/>
    <x v="5"/>
  </r>
  <r>
    <x v="1417"/>
    <n v="-81.430000000000007"/>
    <x v="2543"/>
    <n v="6207.04"/>
    <s v="Complete Access"/>
    <x v="17"/>
    <x v="7"/>
    <x v="11"/>
    <d v="1900-01-10T00:00:00"/>
    <n v="7"/>
    <x v="0"/>
    <x v="5"/>
  </r>
  <r>
    <x v="1418"/>
    <n v="-4.75"/>
    <x v="2859"/>
    <n v="6580.73"/>
    <s v="Complete Access"/>
    <x v="61"/>
    <x v="1"/>
    <x v="1"/>
    <d v="1900-01-09T00:00:00"/>
    <n v="7"/>
    <x v="0"/>
    <x v="5"/>
  </r>
  <r>
    <x v="1418"/>
    <n v="-16.09"/>
    <x v="2643"/>
    <n v="6564.64"/>
    <s v="Complete Access"/>
    <x v="215"/>
    <x v="1"/>
    <x v="1"/>
    <d v="1900-01-09T00:00:00"/>
    <n v="7"/>
    <x v="0"/>
    <x v="5"/>
  </r>
  <r>
    <x v="1419"/>
    <n v="-100"/>
    <x v="2274"/>
    <n v="6585.48"/>
    <s v="Complete Access"/>
    <x v="552"/>
    <x v="0"/>
    <x v="74"/>
    <d v="1900-01-07T00:00:00"/>
    <n v="6"/>
    <x v="0"/>
    <x v="5"/>
  </r>
  <r>
    <x v="1420"/>
    <n v="-20"/>
    <x v="2970"/>
    <n v="6712.48"/>
    <s v="Complete Access"/>
    <x v="601"/>
    <x v="0"/>
    <x v="0"/>
    <d v="1900-01-06T00:00:00"/>
    <n v="6"/>
    <x v="0"/>
    <x v="5"/>
  </r>
  <r>
    <x v="1420"/>
    <n v="-27"/>
    <x v="2971"/>
    <n v="6685.48"/>
    <s v="Complete Access"/>
    <x v="0"/>
    <x v="0"/>
    <x v="0"/>
    <d v="1900-01-06T00:00:00"/>
    <n v="6"/>
    <x v="0"/>
    <x v="5"/>
  </r>
  <r>
    <x v="1421"/>
    <n v="-40"/>
    <x v="2972"/>
    <n v="8239.4699999999993"/>
    <s v="Complete Access"/>
    <x v="12"/>
    <x v="5"/>
    <x v="8"/>
    <d v="1900-01-05T00:00:00"/>
    <n v="6"/>
    <x v="0"/>
    <x v="5"/>
  </r>
  <r>
    <x v="1421"/>
    <n v="2053.4899999999998"/>
    <x v="2734"/>
    <n v="8779.4699999999993"/>
    <s v="Complete Access"/>
    <x v="14"/>
    <x v="6"/>
    <x v="9"/>
    <d v="1900-01-05T00:00:00"/>
    <n v="6"/>
    <x v="0"/>
    <x v="5"/>
  </r>
  <r>
    <x v="1421"/>
    <n v="-500"/>
    <x v="2294"/>
    <n v="8279.4699999999993"/>
    <s v="Complete Access"/>
    <x v="571"/>
    <x v="19"/>
    <x v="61"/>
    <d v="1900-01-05T00:00:00"/>
    <n v="6"/>
    <x v="0"/>
    <x v="5"/>
  </r>
  <r>
    <x v="1421"/>
    <n v="-1500"/>
    <x v="2954"/>
    <n v="6732.48"/>
    <s v="Complete Access"/>
    <x v="504"/>
    <x v="0"/>
    <x v="72"/>
    <d v="1900-01-05T00:00:00"/>
    <n v="6"/>
    <x v="0"/>
    <x v="5"/>
  </r>
  <r>
    <x v="1421"/>
    <n v="-6.99"/>
    <x v="2973"/>
    <n v="8232.48"/>
    <s v="Complete Access"/>
    <x v="587"/>
    <x v="8"/>
    <x v="22"/>
    <d v="1900-01-05T00:00:00"/>
    <n v="6"/>
    <x v="0"/>
    <x v="5"/>
  </r>
  <r>
    <x v="1422"/>
    <n v="-1.22"/>
    <x v="2859"/>
    <n v="6742.14"/>
    <s v="Complete Access"/>
    <x v="61"/>
    <x v="1"/>
    <x v="1"/>
    <d v="1900-01-04T00:00:00"/>
    <n v="6"/>
    <x v="0"/>
    <x v="5"/>
  </r>
  <r>
    <x v="1422"/>
    <n v="-21.49"/>
    <x v="2974"/>
    <n v="6804.35"/>
    <s v="Complete Access"/>
    <x v="8"/>
    <x v="1"/>
    <x v="5"/>
    <d v="1900-01-04T00:00:00"/>
    <n v="6"/>
    <x v="0"/>
    <x v="5"/>
  </r>
  <r>
    <x v="1422"/>
    <n v="-23.99"/>
    <x v="2975"/>
    <n v="6743.36"/>
    <s v="Complete Access"/>
    <x v="8"/>
    <x v="1"/>
    <x v="5"/>
    <d v="1900-01-04T00:00:00"/>
    <n v="6"/>
    <x v="0"/>
    <x v="5"/>
  </r>
  <r>
    <x v="1422"/>
    <n v="-37"/>
    <x v="2976"/>
    <n v="6767.35"/>
    <s v="Complete Access"/>
    <x v="8"/>
    <x v="1"/>
    <x v="5"/>
    <d v="1900-01-04T00:00:00"/>
    <n v="6"/>
    <x v="0"/>
    <x v="5"/>
  </r>
  <r>
    <x v="1422"/>
    <n v="-16.16"/>
    <x v="2643"/>
    <n v="6725.98"/>
    <s v="Complete Access"/>
    <x v="215"/>
    <x v="1"/>
    <x v="1"/>
    <d v="1900-01-04T00:00:00"/>
    <n v="6"/>
    <x v="0"/>
    <x v="5"/>
  </r>
  <r>
    <x v="1423"/>
    <n v="-4.63"/>
    <x v="2859"/>
    <n v="6595.04"/>
    <s v="Complete Access"/>
    <x v="61"/>
    <x v="1"/>
    <x v="1"/>
    <d v="1900-01-03T00:00:00"/>
    <n v="6"/>
    <x v="0"/>
    <x v="5"/>
  </r>
  <r>
    <x v="1423"/>
    <n v="250"/>
    <x v="2977"/>
    <n v="6828.34"/>
    <s v="Complete Access"/>
    <x v="645"/>
    <x v="0"/>
    <x v="69"/>
    <d v="1900-01-03T00:00:00"/>
    <n v="6"/>
    <x v="0"/>
    <x v="5"/>
  </r>
  <r>
    <x v="1423"/>
    <n v="-8.5"/>
    <x v="2863"/>
    <n v="6578.34"/>
    <s v="Complete Access"/>
    <x v="186"/>
    <x v="1"/>
    <x v="5"/>
    <d v="1900-01-03T00:00:00"/>
    <n v="6"/>
    <x v="0"/>
    <x v="5"/>
  </r>
  <r>
    <x v="1423"/>
    <n v="-8.1999999999999993"/>
    <x v="2978"/>
    <n v="6586.84"/>
    <s v="Complete Access"/>
    <x v="277"/>
    <x v="8"/>
    <x v="29"/>
    <d v="1900-01-03T00:00:00"/>
    <n v="6"/>
    <x v="0"/>
    <x v="5"/>
  </r>
  <r>
    <x v="1423"/>
    <n v="-2.5"/>
    <x v="2979"/>
    <n v="6825.84"/>
    <s v="Complete Access"/>
    <x v="685"/>
    <x v="20"/>
    <x v="63"/>
    <d v="1900-01-03T00:00:00"/>
    <n v="6"/>
    <x v="0"/>
    <x v="5"/>
  </r>
  <r>
    <x v="1424"/>
    <n v="-20"/>
    <x v="2970"/>
    <n v="7786.2"/>
    <s v="Complete Access"/>
    <x v="601"/>
    <x v="0"/>
    <x v="0"/>
    <d v="1900-01-02T00:00:00"/>
    <n v="6"/>
    <x v="0"/>
    <x v="5"/>
  </r>
  <r>
    <x v="1424"/>
    <n v="-14.23"/>
    <x v="2643"/>
    <n v="6771.97"/>
    <s v="Complete Access"/>
    <x v="215"/>
    <x v="1"/>
    <x v="1"/>
    <d v="1900-01-02T00:00:00"/>
    <n v="6"/>
    <x v="0"/>
    <x v="5"/>
  </r>
  <r>
    <x v="1424"/>
    <n v="-172.3"/>
    <x v="2980"/>
    <n v="6599.67"/>
    <s v="Complete Access"/>
    <x v="76"/>
    <x v="2"/>
    <x v="2"/>
    <d v="1900-01-02T00:00:00"/>
    <n v="6"/>
    <x v="0"/>
    <x v="5"/>
  </r>
  <r>
    <x v="1424"/>
    <n v="-1000"/>
    <x v="2954"/>
    <n v="6786.2"/>
    <s v="Complete Access"/>
    <x v="504"/>
    <x v="0"/>
    <x v="72"/>
    <d v="1900-01-02T00:00:00"/>
    <n v="6"/>
    <x v="0"/>
    <x v="5"/>
  </r>
  <r>
    <x v="1425"/>
    <n v="-12.5"/>
    <x v="2981"/>
    <n v="7845.69"/>
    <s v="Complete Access"/>
    <x v="682"/>
    <x v="1"/>
    <x v="5"/>
    <d v="1899-12-31T00:00:00"/>
    <n v="5"/>
    <x v="0"/>
    <x v="5"/>
  </r>
  <r>
    <x v="1425"/>
    <n v="-9.5"/>
    <x v="2982"/>
    <n v="7836.19"/>
    <s v="Complete Access"/>
    <x v="286"/>
    <x v="1"/>
    <x v="5"/>
    <d v="1899-12-31T00:00:00"/>
    <n v="5"/>
    <x v="0"/>
    <x v="5"/>
  </r>
  <r>
    <x v="1425"/>
    <n v="-20"/>
    <x v="2229"/>
    <n v="7858.19"/>
    <s v="Complete Access"/>
    <x v="557"/>
    <x v="7"/>
    <x v="53"/>
    <d v="1899-12-31T00:00:00"/>
    <n v="5"/>
    <x v="0"/>
    <x v="5"/>
  </r>
  <r>
    <x v="1425"/>
    <n v="-100"/>
    <x v="2274"/>
    <n v="7878.19"/>
    <s v="Complete Access"/>
    <x v="552"/>
    <x v="0"/>
    <x v="74"/>
    <d v="1899-12-31T00:00:00"/>
    <n v="5"/>
    <x v="0"/>
    <x v="5"/>
  </r>
  <r>
    <x v="1425"/>
    <n v="-29.99"/>
    <x v="2983"/>
    <n v="7806.2"/>
    <s v="Complete Access"/>
    <x v="228"/>
    <x v="4"/>
    <x v="7"/>
    <d v="1899-12-31T00:00:00"/>
    <n v="5"/>
    <x v="0"/>
    <x v="5"/>
  </r>
  <r>
    <x v="1426"/>
    <n v="-40"/>
    <x v="2984"/>
    <n v="8307.06"/>
    <s v="Complete Access"/>
    <x v="12"/>
    <x v="5"/>
    <x v="8"/>
    <d v="1900-01-30T00:00:00"/>
    <n v="5"/>
    <x v="1"/>
    <x v="5"/>
  </r>
  <r>
    <x v="1426"/>
    <n v="-250"/>
    <x v="2929"/>
    <n v="7978.19"/>
    <s v="Complete Access"/>
    <x v="645"/>
    <x v="0"/>
    <x v="69"/>
    <d v="1900-01-30T00:00:00"/>
    <n v="5"/>
    <x v="1"/>
    <x v="5"/>
  </r>
  <r>
    <x v="1426"/>
    <n v="-49.99"/>
    <x v="2643"/>
    <n v="8228.19"/>
    <s v="Complete Access"/>
    <x v="215"/>
    <x v="1"/>
    <x v="1"/>
    <d v="1900-01-30T00:00:00"/>
    <n v="5"/>
    <x v="1"/>
    <x v="5"/>
  </r>
  <r>
    <x v="1426"/>
    <n v="-28.88"/>
    <x v="2985"/>
    <n v="8278.18"/>
    <s v="Complete Access"/>
    <x v="237"/>
    <x v="15"/>
    <x v="34"/>
    <d v="1900-01-30T00:00:00"/>
    <n v="5"/>
    <x v="1"/>
    <x v="5"/>
  </r>
  <r>
    <x v="1427"/>
    <n v="-1.36"/>
    <x v="2859"/>
    <n v="8385.41"/>
    <s v="Complete Access"/>
    <x v="61"/>
    <x v="1"/>
    <x v="1"/>
    <d v="1900-01-29T00:00:00"/>
    <n v="5"/>
    <x v="1"/>
    <x v="5"/>
  </r>
  <r>
    <x v="1427"/>
    <n v="-24.49"/>
    <x v="2986"/>
    <n v="8386.77"/>
    <s v="Complete Access"/>
    <x v="8"/>
    <x v="1"/>
    <x v="5"/>
    <d v="1900-01-29T00:00:00"/>
    <n v="5"/>
    <x v="1"/>
    <x v="5"/>
  </r>
  <r>
    <x v="1427"/>
    <n v="-38.35"/>
    <x v="2643"/>
    <n v="8347.06"/>
    <s v="Complete Access"/>
    <x v="215"/>
    <x v="1"/>
    <x v="1"/>
    <d v="1900-01-29T00:00:00"/>
    <n v="5"/>
    <x v="1"/>
    <x v="5"/>
  </r>
  <r>
    <x v="1428"/>
    <n v="-20"/>
    <x v="2970"/>
    <n v="8418.01"/>
    <s v="Complete Access"/>
    <x v="601"/>
    <x v="0"/>
    <x v="0"/>
    <d v="1900-01-28T00:00:00"/>
    <n v="5"/>
    <x v="1"/>
    <x v="5"/>
  </r>
  <r>
    <x v="1428"/>
    <n v="-34.89"/>
    <x v="2987"/>
    <n v="8516.75"/>
    <s v="Complete Access"/>
    <x v="8"/>
    <x v="1"/>
    <x v="5"/>
    <d v="1900-01-28T00:00:00"/>
    <n v="5"/>
    <x v="1"/>
    <x v="5"/>
  </r>
  <r>
    <x v="1428"/>
    <n v="-25.16"/>
    <x v="2988"/>
    <n v="8491.59"/>
    <s v="Complete Access"/>
    <x v="8"/>
    <x v="1"/>
    <x v="5"/>
    <d v="1900-01-28T00:00:00"/>
    <n v="5"/>
    <x v="1"/>
    <x v="5"/>
  </r>
  <r>
    <x v="1428"/>
    <n v="-21.51"/>
    <x v="2989"/>
    <n v="8551.64"/>
    <s v="Complete Access"/>
    <x v="8"/>
    <x v="1"/>
    <x v="5"/>
    <d v="1900-01-28T00:00:00"/>
    <n v="5"/>
    <x v="1"/>
    <x v="5"/>
  </r>
  <r>
    <x v="1428"/>
    <n v="-22.99"/>
    <x v="2990"/>
    <n v="8468.6"/>
    <s v="Complete Access"/>
    <x v="8"/>
    <x v="1"/>
    <x v="5"/>
    <d v="1900-01-28T00:00:00"/>
    <n v="5"/>
    <x v="1"/>
    <x v="5"/>
  </r>
  <r>
    <x v="1428"/>
    <n v="-9.99"/>
    <x v="2991"/>
    <n v="8458.61"/>
    <s v="Complete Access"/>
    <x v="373"/>
    <x v="8"/>
    <x v="7"/>
    <d v="1900-01-28T00:00:00"/>
    <n v="5"/>
    <x v="1"/>
    <x v="5"/>
  </r>
  <r>
    <x v="1428"/>
    <n v="-6.75"/>
    <x v="2643"/>
    <n v="8411.26"/>
    <s v="Complete Access"/>
    <x v="215"/>
    <x v="1"/>
    <x v="1"/>
    <d v="1900-01-28T00:00:00"/>
    <n v="5"/>
    <x v="1"/>
    <x v="5"/>
  </r>
  <r>
    <x v="1428"/>
    <n v="-20.6"/>
    <x v="2992"/>
    <n v="8438.01"/>
    <s v="Complete Access"/>
    <x v="237"/>
    <x v="15"/>
    <x v="34"/>
    <d v="1900-01-28T00:00:00"/>
    <n v="5"/>
    <x v="1"/>
    <x v="5"/>
  </r>
  <r>
    <x v="1429"/>
    <n v="-17.8"/>
    <x v="2688"/>
    <n v="8573.15"/>
    <s v="Complete Access"/>
    <x v="177"/>
    <x v="1"/>
    <x v="1"/>
    <d v="1900-01-27T00:00:00"/>
    <n v="5"/>
    <x v="1"/>
    <x v="5"/>
  </r>
  <r>
    <x v="1430"/>
    <n v="-30"/>
    <x v="2971"/>
    <n v="8618.9500000000007"/>
    <s v="Complete Access"/>
    <x v="0"/>
    <x v="0"/>
    <x v="0"/>
    <d v="1900-01-25T00:00:00"/>
    <n v="5"/>
    <x v="1"/>
    <x v="5"/>
  </r>
  <r>
    <x v="1430"/>
    <n v="-10"/>
    <x v="2971"/>
    <n v="8648.9500000000007"/>
    <s v="Complete Access"/>
    <x v="0"/>
    <x v="0"/>
    <x v="0"/>
    <d v="1900-01-25T00:00:00"/>
    <n v="5"/>
    <x v="1"/>
    <x v="5"/>
  </r>
  <r>
    <x v="1430"/>
    <n v="-12"/>
    <x v="2971"/>
    <n v="8658.9500000000007"/>
    <s v="Complete Access"/>
    <x v="0"/>
    <x v="0"/>
    <x v="0"/>
    <d v="1900-01-25T00:00:00"/>
    <n v="5"/>
    <x v="1"/>
    <x v="5"/>
  </r>
  <r>
    <x v="1430"/>
    <n v="-28"/>
    <x v="2993"/>
    <n v="8590.9500000000007"/>
    <s v="Complete Access"/>
    <x v="91"/>
    <x v="9"/>
    <x v="12"/>
    <d v="1900-01-25T00:00:00"/>
    <n v="5"/>
    <x v="1"/>
    <x v="5"/>
  </r>
  <r>
    <x v="1430"/>
    <n v="-22.5"/>
    <x v="2994"/>
    <n v="8670.9500000000007"/>
    <s v="Complete Access"/>
    <x v="294"/>
    <x v="8"/>
    <x v="29"/>
    <d v="1900-01-25T00:00:00"/>
    <n v="5"/>
    <x v="1"/>
    <x v="5"/>
  </r>
  <r>
    <x v="1431"/>
    <n v="-7.95"/>
    <x v="2995"/>
    <n v="8793.4500000000007"/>
    <s v="Complete Access"/>
    <x v="686"/>
    <x v="15"/>
    <x v="34"/>
    <d v="1900-01-24T00:00:00"/>
    <n v="4"/>
    <x v="1"/>
    <x v="5"/>
  </r>
  <r>
    <x v="1431"/>
    <n v="-11.69"/>
    <x v="2996"/>
    <n v="8801.4"/>
    <s v="Complete Access"/>
    <x v="56"/>
    <x v="9"/>
    <x v="31"/>
    <d v="1900-01-24T00:00:00"/>
    <n v="4"/>
    <x v="1"/>
    <x v="5"/>
  </r>
  <r>
    <x v="1431"/>
    <n v="-100"/>
    <x v="2274"/>
    <n v="8693.4500000000007"/>
    <s v="Complete Access"/>
    <x v="552"/>
    <x v="0"/>
    <x v="74"/>
    <d v="1900-01-24T00:00:00"/>
    <n v="4"/>
    <x v="1"/>
    <x v="5"/>
  </r>
  <r>
    <x v="1432"/>
    <n v="-11.01"/>
    <x v="2859"/>
    <n v="8995.59"/>
    <s v="Complete Access"/>
    <x v="61"/>
    <x v="1"/>
    <x v="1"/>
    <d v="1900-01-23T00:00:00"/>
    <n v="4"/>
    <x v="1"/>
    <x v="5"/>
  </r>
  <r>
    <x v="1432"/>
    <n v="-40"/>
    <x v="2997"/>
    <n v="9020.6"/>
    <s v="Complete Access"/>
    <x v="12"/>
    <x v="5"/>
    <x v="8"/>
    <d v="1900-01-23T00:00:00"/>
    <n v="4"/>
    <x v="1"/>
    <x v="5"/>
  </r>
  <r>
    <x v="1432"/>
    <n v="-14"/>
    <x v="2998"/>
    <n v="9006.6"/>
    <s v="Complete Access"/>
    <x v="286"/>
    <x v="1"/>
    <x v="5"/>
    <d v="1900-01-23T00:00:00"/>
    <n v="4"/>
    <x v="1"/>
    <x v="5"/>
  </r>
  <r>
    <x v="1432"/>
    <n v="-175"/>
    <x v="2999"/>
    <n v="8813.09"/>
    <s v="Complete Access"/>
    <x v="0"/>
    <x v="0"/>
    <x v="0"/>
    <d v="1900-01-23T00:00:00"/>
    <n v="4"/>
    <x v="1"/>
    <x v="5"/>
  </r>
  <r>
    <x v="1432"/>
    <n v="-7.5"/>
    <x v="3000"/>
    <n v="8988.09"/>
    <s v="Complete Access"/>
    <x v="687"/>
    <x v="1"/>
    <x v="5"/>
    <d v="1900-01-23T00:00:00"/>
    <n v="4"/>
    <x v="1"/>
    <x v="5"/>
  </r>
  <r>
    <x v="1433"/>
    <n v="-180.11"/>
    <x v="3001"/>
    <n v="9661.1"/>
    <s v="Complete Access"/>
    <x v="438"/>
    <x v="12"/>
    <x v="21"/>
    <d v="1900-01-22T00:00:00"/>
    <n v="4"/>
    <x v="1"/>
    <x v="5"/>
  </r>
  <r>
    <x v="1433"/>
    <n v="1752.39"/>
    <x v="3002"/>
    <n v="9841.2099999999991"/>
    <s v="Complete Access"/>
    <x v="14"/>
    <x v="6"/>
    <x v="9"/>
    <d v="1900-01-22T00:00:00"/>
    <n v="4"/>
    <x v="1"/>
    <x v="5"/>
  </r>
  <r>
    <x v="1433"/>
    <n v="-500"/>
    <x v="2294"/>
    <n v="9161.1"/>
    <s v="Complete Access"/>
    <x v="571"/>
    <x v="19"/>
    <x v="61"/>
    <d v="1900-01-22T00:00:00"/>
    <n v="4"/>
    <x v="1"/>
    <x v="5"/>
  </r>
  <r>
    <x v="1433"/>
    <n v="-100.5"/>
    <x v="3003"/>
    <n v="9060.6"/>
    <s v="Complete Access"/>
    <x v="215"/>
    <x v="1"/>
    <x v="1"/>
    <d v="1900-01-22T00:00:00"/>
    <n v="4"/>
    <x v="1"/>
    <x v="5"/>
  </r>
  <r>
    <x v="1434"/>
    <n v="-11.13"/>
    <x v="2859"/>
    <n v="8093.57"/>
    <s v="Complete Access"/>
    <x v="61"/>
    <x v="1"/>
    <x v="1"/>
    <d v="1900-01-21T00:00:00"/>
    <n v="4"/>
    <x v="1"/>
    <x v="5"/>
  </r>
  <r>
    <x v="1434"/>
    <n v="-88.99"/>
    <x v="3004"/>
    <n v="8113.28"/>
    <s v="Complete Access"/>
    <x v="8"/>
    <x v="1"/>
    <x v="5"/>
    <d v="1900-01-21T00:00:00"/>
    <n v="4"/>
    <x v="1"/>
    <x v="5"/>
  </r>
  <r>
    <x v="1434"/>
    <n v="-35.49"/>
    <x v="3005"/>
    <n v="8202.27"/>
    <s v="Complete Access"/>
    <x v="8"/>
    <x v="1"/>
    <x v="5"/>
    <d v="1900-01-21T00:00:00"/>
    <n v="4"/>
    <x v="1"/>
    <x v="5"/>
  </r>
  <r>
    <x v="1434"/>
    <n v="-4.75"/>
    <x v="2643"/>
    <n v="8088.82"/>
    <s v="Complete Access"/>
    <x v="215"/>
    <x v="1"/>
    <x v="1"/>
    <d v="1900-01-21T00:00:00"/>
    <n v="4"/>
    <x v="1"/>
    <x v="5"/>
  </r>
  <r>
    <x v="1434"/>
    <n v="-4.29"/>
    <x v="3006"/>
    <n v="8104.7"/>
    <s v="Complete Access"/>
    <x v="574"/>
    <x v="8"/>
    <x v="29"/>
    <d v="1900-01-21T00:00:00"/>
    <n v="4"/>
    <x v="1"/>
    <x v="5"/>
  </r>
  <r>
    <x v="1434"/>
    <n v="-4.29"/>
    <x v="3006"/>
    <n v="8108.99"/>
    <s v="Complete Access"/>
    <x v="574"/>
    <x v="8"/>
    <x v="29"/>
    <d v="1900-01-21T00:00:00"/>
    <n v="4"/>
    <x v="1"/>
    <x v="5"/>
  </r>
  <r>
    <x v="1435"/>
    <n v="-8"/>
    <x v="2859"/>
    <n v="8487.76"/>
    <s v="Complete Access"/>
    <x v="61"/>
    <x v="1"/>
    <x v="1"/>
    <d v="1900-01-20T00:00:00"/>
    <n v="4"/>
    <x v="1"/>
    <x v="5"/>
  </r>
  <r>
    <x v="1435"/>
    <n v="-2.5"/>
    <x v="2859"/>
    <n v="8495.76"/>
    <s v="Complete Access"/>
    <x v="61"/>
    <x v="1"/>
    <x v="1"/>
    <d v="1900-01-20T00:00:00"/>
    <n v="4"/>
    <x v="1"/>
    <x v="5"/>
  </r>
  <r>
    <x v="1435"/>
    <n v="-9.8000000000000007"/>
    <x v="3007"/>
    <n v="8516.26"/>
    <s v="Complete Access"/>
    <x v="682"/>
    <x v="1"/>
    <x v="5"/>
    <d v="1900-01-20T00:00:00"/>
    <n v="4"/>
    <x v="1"/>
    <x v="5"/>
  </r>
  <r>
    <x v="1435"/>
    <n v="-9"/>
    <x v="3008"/>
    <n v="8507.26"/>
    <s v="Complete Access"/>
    <x v="682"/>
    <x v="1"/>
    <x v="5"/>
    <d v="1900-01-20T00:00:00"/>
    <n v="4"/>
    <x v="1"/>
    <x v="5"/>
  </r>
  <r>
    <x v="1435"/>
    <n v="-250"/>
    <x v="3009"/>
    <n v="8237.76"/>
    <s v="Complete Access"/>
    <x v="688"/>
    <x v="3"/>
    <x v="3"/>
    <d v="1900-01-20T00:00:00"/>
    <n v="4"/>
    <x v="1"/>
    <x v="5"/>
  </r>
  <r>
    <x v="1435"/>
    <n v="-9"/>
    <x v="3010"/>
    <n v="8498.26"/>
    <s v="Complete Access"/>
    <x v="662"/>
    <x v="1"/>
    <x v="5"/>
    <d v="1900-01-20T00:00:00"/>
    <n v="4"/>
    <x v="1"/>
    <x v="5"/>
  </r>
  <r>
    <x v="1436"/>
    <n v="-10"/>
    <x v="2859"/>
    <n v="8499.9699999999993"/>
    <s v="Complete Access"/>
    <x v="61"/>
    <x v="1"/>
    <x v="1"/>
    <d v="1900-01-19T00:00:00"/>
    <n v="4"/>
    <x v="1"/>
    <x v="5"/>
  </r>
  <r>
    <x v="1436"/>
    <n v="-19.739999999999998"/>
    <x v="2643"/>
    <n v="8466.06"/>
    <s v="Complete Access"/>
    <x v="215"/>
    <x v="1"/>
    <x v="1"/>
    <d v="1900-01-19T00:00:00"/>
    <n v="4"/>
    <x v="1"/>
    <x v="5"/>
  </r>
  <r>
    <x v="1436"/>
    <n v="-14.17"/>
    <x v="2688"/>
    <n v="8485.7999999999993"/>
    <s v="Complete Access"/>
    <x v="177"/>
    <x v="1"/>
    <x v="1"/>
    <d v="1900-01-19T00:00:00"/>
    <n v="4"/>
    <x v="1"/>
    <x v="5"/>
  </r>
  <r>
    <x v="1436"/>
    <n v="60"/>
    <x v="2556"/>
    <n v="8526.06"/>
    <s v="Complete Access"/>
    <x v="583"/>
    <x v="0"/>
    <x v="69"/>
    <d v="1900-01-19T00:00:00"/>
    <n v="4"/>
    <x v="1"/>
    <x v="5"/>
  </r>
  <r>
    <x v="1437"/>
    <n v="-18.600000000000001"/>
    <x v="3011"/>
    <n v="8509.9699999999993"/>
    <s v="Complete Access"/>
    <x v="613"/>
    <x v="10"/>
    <x v="79"/>
    <d v="1900-01-18T00:00:00"/>
    <n v="4"/>
    <x v="1"/>
    <x v="5"/>
  </r>
  <r>
    <x v="1437"/>
    <n v="-26"/>
    <x v="3011"/>
    <n v="8528.57"/>
    <s v="Complete Access"/>
    <x v="613"/>
    <x v="10"/>
    <x v="79"/>
    <d v="1900-01-18T00:00:00"/>
    <n v="4"/>
    <x v="1"/>
    <x v="5"/>
  </r>
  <r>
    <x v="1437"/>
    <n v="-12.4"/>
    <x v="3011"/>
    <n v="8494.57"/>
    <s v="Complete Access"/>
    <x v="613"/>
    <x v="10"/>
    <x v="79"/>
    <d v="1900-01-18T00:00:00"/>
    <n v="4"/>
    <x v="1"/>
    <x v="5"/>
  </r>
  <r>
    <x v="1437"/>
    <n v="60"/>
    <x v="2282"/>
    <n v="8554.57"/>
    <s v="Complete Access"/>
    <x v="567"/>
    <x v="0"/>
    <x v="69"/>
    <d v="1900-01-18T00:00:00"/>
    <n v="4"/>
    <x v="1"/>
    <x v="5"/>
  </r>
  <r>
    <x v="1438"/>
    <n v="-40"/>
    <x v="3012"/>
    <n v="8506.9699999999993"/>
    <s v="Complete Access"/>
    <x v="12"/>
    <x v="5"/>
    <x v="8"/>
    <d v="1900-01-17T00:00:00"/>
    <n v="3"/>
    <x v="1"/>
    <x v="5"/>
  </r>
  <r>
    <x v="1438"/>
    <n v="-100"/>
    <x v="2274"/>
    <n v="8546.9699999999993"/>
    <s v="Complete Access"/>
    <x v="552"/>
    <x v="0"/>
    <x v="74"/>
    <d v="1900-01-17T00:00:00"/>
    <n v="3"/>
    <x v="1"/>
    <x v="5"/>
  </r>
  <r>
    <x v="1439"/>
    <n v="-26.26"/>
    <x v="2643"/>
    <n v="8671.9699999999993"/>
    <s v="Complete Access"/>
    <x v="215"/>
    <x v="1"/>
    <x v="1"/>
    <d v="1900-01-16T00:00:00"/>
    <n v="3"/>
    <x v="1"/>
    <x v="5"/>
  </r>
  <r>
    <x v="1439"/>
    <n v="-25"/>
    <x v="2494"/>
    <n v="8646.9699999999993"/>
    <s v="Complete Access"/>
    <x v="27"/>
    <x v="1"/>
    <x v="5"/>
    <d v="1900-01-16T00:00:00"/>
    <n v="3"/>
    <x v="1"/>
    <x v="5"/>
  </r>
  <r>
    <x v="1440"/>
    <n v="-5.61"/>
    <x v="2859"/>
    <n v="8698.23"/>
    <s v="Complete Access"/>
    <x v="61"/>
    <x v="1"/>
    <x v="1"/>
    <d v="1900-01-15T00:00:00"/>
    <n v="3"/>
    <x v="1"/>
    <x v="5"/>
  </r>
  <r>
    <x v="1441"/>
    <n v="-4.93"/>
    <x v="2859"/>
    <n v="8716.58"/>
    <s v="Complete Access"/>
    <x v="61"/>
    <x v="1"/>
    <x v="1"/>
    <d v="1900-01-14T00:00:00"/>
    <n v="3"/>
    <x v="1"/>
    <x v="5"/>
  </r>
  <r>
    <x v="1441"/>
    <n v="-25.5"/>
    <x v="3013"/>
    <n v="8754.31"/>
    <s v="Complete Access"/>
    <x v="8"/>
    <x v="1"/>
    <x v="5"/>
    <d v="1900-01-14T00:00:00"/>
    <n v="3"/>
    <x v="1"/>
    <x v="5"/>
  </r>
  <r>
    <x v="1441"/>
    <n v="-32.799999999999997"/>
    <x v="3014"/>
    <n v="8721.51"/>
    <s v="Complete Access"/>
    <x v="8"/>
    <x v="1"/>
    <x v="5"/>
    <d v="1900-01-14T00:00:00"/>
    <n v="3"/>
    <x v="1"/>
    <x v="5"/>
  </r>
  <r>
    <x v="1441"/>
    <n v="-40"/>
    <x v="3015"/>
    <n v="8779.81"/>
    <s v="Complete Access"/>
    <x v="12"/>
    <x v="5"/>
    <x v="8"/>
    <d v="1900-01-14T00:00:00"/>
    <n v="3"/>
    <x v="1"/>
    <x v="5"/>
  </r>
  <r>
    <x v="1441"/>
    <n v="-12.74"/>
    <x v="2688"/>
    <n v="8703.84"/>
    <s v="Complete Access"/>
    <x v="177"/>
    <x v="1"/>
    <x v="1"/>
    <d v="1900-01-14T00:00:00"/>
    <n v="3"/>
    <x v="1"/>
    <x v="5"/>
  </r>
  <r>
    <x v="1442"/>
    <n v="-1.91"/>
    <x v="2859"/>
    <n v="8833.81"/>
    <s v="Complete Access"/>
    <x v="61"/>
    <x v="1"/>
    <x v="1"/>
    <d v="1900-01-13T00:00:00"/>
    <n v="3"/>
    <x v="1"/>
    <x v="5"/>
  </r>
  <r>
    <x v="1442"/>
    <n v="-73.59"/>
    <x v="3016"/>
    <n v="8835.7199999999993"/>
    <s v="Complete Access"/>
    <x v="8"/>
    <x v="1"/>
    <x v="5"/>
    <d v="1900-01-13T00:00:00"/>
    <n v="3"/>
    <x v="1"/>
    <x v="5"/>
  </r>
  <r>
    <x v="1442"/>
    <n v="-80.25"/>
    <x v="3017"/>
    <n v="9183.17"/>
    <s v="Complete Access"/>
    <x v="8"/>
    <x v="1"/>
    <x v="5"/>
    <d v="1900-01-13T00:00:00"/>
    <n v="3"/>
    <x v="1"/>
    <x v="5"/>
  </r>
  <r>
    <x v="1442"/>
    <n v="-37"/>
    <x v="3018"/>
    <n v="9146.17"/>
    <s v="Complete Access"/>
    <x v="8"/>
    <x v="1"/>
    <x v="5"/>
    <d v="1900-01-13T00:00:00"/>
    <n v="3"/>
    <x v="1"/>
    <x v="5"/>
  </r>
  <r>
    <x v="1442"/>
    <n v="-52.93"/>
    <x v="3019"/>
    <n v="9265.01"/>
    <s v="Complete Access"/>
    <x v="689"/>
    <x v="20"/>
    <x v="63"/>
    <d v="1900-01-13T00:00:00"/>
    <n v="3"/>
    <x v="1"/>
    <x v="5"/>
  </r>
  <r>
    <x v="1442"/>
    <n v="-50.63"/>
    <x v="3020"/>
    <n v="9319.4599999999991"/>
    <s v="Complete Access"/>
    <x v="689"/>
    <x v="20"/>
    <x v="63"/>
    <d v="1900-01-13T00:00:00"/>
    <n v="3"/>
    <x v="1"/>
    <x v="5"/>
  </r>
  <r>
    <x v="1442"/>
    <n v="-46.38"/>
    <x v="3021"/>
    <n v="8910.7000000000007"/>
    <s v="Complete Access"/>
    <x v="690"/>
    <x v="1"/>
    <x v="5"/>
    <d v="1900-01-13T00:00:00"/>
    <n v="3"/>
    <x v="1"/>
    <x v="5"/>
  </r>
  <r>
    <x v="1442"/>
    <n v="-183.58"/>
    <x v="3022"/>
    <n v="8962.59"/>
    <s v="Complete Access"/>
    <x v="690"/>
    <x v="1"/>
    <x v="5"/>
    <d v="1900-01-13T00:00:00"/>
    <n v="3"/>
    <x v="1"/>
    <x v="5"/>
  </r>
  <r>
    <x v="1442"/>
    <n v="-1.39"/>
    <x v="3023"/>
    <n v="8909.31"/>
    <s v="Complete Access"/>
    <x v="10"/>
    <x v="0"/>
    <x v="0"/>
    <d v="1900-01-13T00:00:00"/>
    <n v="3"/>
    <x v="1"/>
    <x v="5"/>
  </r>
  <r>
    <x v="1442"/>
    <n v="-5.51"/>
    <x v="3023"/>
    <n v="8957.08"/>
    <s v="Complete Access"/>
    <x v="10"/>
    <x v="0"/>
    <x v="0"/>
    <d v="1900-01-13T00:00:00"/>
    <n v="3"/>
    <x v="1"/>
    <x v="5"/>
  </r>
  <r>
    <x v="1442"/>
    <n v="-1.59"/>
    <x v="3023"/>
    <n v="9263.42"/>
    <s v="Complete Access"/>
    <x v="10"/>
    <x v="0"/>
    <x v="0"/>
    <d v="1900-01-13T00:00:00"/>
    <n v="3"/>
    <x v="1"/>
    <x v="5"/>
  </r>
  <r>
    <x v="1442"/>
    <n v="-1.52"/>
    <x v="3023"/>
    <n v="9317.94"/>
    <s v="Complete Access"/>
    <x v="10"/>
    <x v="0"/>
    <x v="0"/>
    <d v="1900-01-13T00:00:00"/>
    <n v="3"/>
    <x v="1"/>
    <x v="5"/>
  </r>
  <r>
    <x v="1442"/>
    <n v="-14"/>
    <x v="2863"/>
    <n v="8819.81"/>
    <s v="Complete Access"/>
    <x v="186"/>
    <x v="1"/>
    <x v="5"/>
    <d v="1900-01-13T00:00:00"/>
    <n v="3"/>
    <x v="1"/>
    <x v="5"/>
  </r>
  <r>
    <x v="1443"/>
    <n v="-17.739999999999998"/>
    <x v="2643"/>
    <n v="9443.09"/>
    <s v="Complete Access"/>
    <x v="215"/>
    <x v="1"/>
    <x v="1"/>
    <d v="1900-01-12T00:00:00"/>
    <n v="3"/>
    <x v="1"/>
    <x v="5"/>
  </r>
  <r>
    <x v="1443"/>
    <n v="-73"/>
    <x v="2543"/>
    <n v="9370.09"/>
    <s v="Complete Access"/>
    <x v="17"/>
    <x v="7"/>
    <x v="11"/>
    <d v="1900-01-12T00:00:00"/>
    <n v="3"/>
    <x v="1"/>
    <x v="5"/>
  </r>
  <r>
    <x v="1443"/>
    <n v="-14"/>
    <x v="3000"/>
    <n v="9460.83"/>
    <s v="Complete Access"/>
    <x v="687"/>
    <x v="1"/>
    <x v="5"/>
    <d v="1900-01-12T00:00:00"/>
    <n v="3"/>
    <x v="1"/>
    <x v="5"/>
  </r>
  <r>
    <x v="1444"/>
    <n v="-20"/>
    <x v="2494"/>
    <n v="9474.83"/>
    <s v="Complete Access"/>
    <x v="27"/>
    <x v="1"/>
    <x v="5"/>
    <d v="1900-01-11T00:00:00"/>
    <n v="3"/>
    <x v="1"/>
    <x v="5"/>
  </r>
  <r>
    <x v="1445"/>
    <n v="-100"/>
    <x v="2274"/>
    <n v="9468.83"/>
    <s v="Complete Access"/>
    <x v="552"/>
    <x v="0"/>
    <x v="74"/>
    <d v="1900-01-10T00:00:00"/>
    <n v="2"/>
    <x v="1"/>
    <x v="5"/>
  </r>
  <r>
    <x v="1445"/>
    <n v="26"/>
    <x v="3024"/>
    <n v="9494.83"/>
    <s v="Complete Access"/>
    <x v="27"/>
    <x v="1"/>
    <x v="5"/>
    <d v="1900-01-10T00:00:00"/>
    <n v="2"/>
    <x v="1"/>
    <x v="5"/>
  </r>
  <r>
    <x v="1446"/>
    <n v="40"/>
    <x v="2937"/>
    <n v="9597.83"/>
    <s v="Complete Access"/>
    <x v="567"/>
    <x v="0"/>
    <x v="69"/>
    <d v="1900-01-09T00:00:00"/>
    <n v="2"/>
    <x v="1"/>
    <x v="5"/>
  </r>
  <r>
    <x v="1446"/>
    <n v="-29"/>
    <x v="2494"/>
    <n v="9568.83"/>
    <s v="Complete Access"/>
    <x v="27"/>
    <x v="1"/>
    <x v="5"/>
    <d v="1900-01-09T00:00:00"/>
    <n v="2"/>
    <x v="1"/>
    <x v="5"/>
  </r>
  <r>
    <x v="1447"/>
    <n v="2053.5"/>
    <x v="3025"/>
    <n v="9857.83"/>
    <s v="Complete Access"/>
    <x v="14"/>
    <x v="6"/>
    <x v="9"/>
    <d v="1900-01-08T00:00:00"/>
    <n v="2"/>
    <x v="1"/>
    <x v="5"/>
  </r>
  <r>
    <x v="1447"/>
    <n v="-500"/>
    <x v="2294"/>
    <n v="9357.83"/>
    <s v="Complete Access"/>
    <x v="571"/>
    <x v="19"/>
    <x v="61"/>
    <d v="1900-01-08T00:00:00"/>
    <n v="2"/>
    <x v="1"/>
    <x v="5"/>
  </r>
  <r>
    <x v="1447"/>
    <n v="200"/>
    <x v="3026"/>
    <n v="9557.83"/>
    <s v="Complete Access"/>
    <x v="567"/>
    <x v="0"/>
    <x v="69"/>
    <d v="1900-01-08T00:00:00"/>
    <n v="2"/>
    <x v="1"/>
    <x v="5"/>
  </r>
  <r>
    <x v="1448"/>
    <n v="-162.91999999999999"/>
    <x v="3027"/>
    <n v="7814.22"/>
    <s v="Complete Access"/>
    <x v="601"/>
    <x v="0"/>
    <x v="0"/>
    <d v="1900-01-07T00:00:00"/>
    <n v="2"/>
    <x v="1"/>
    <x v="5"/>
  </r>
  <r>
    <x v="1448"/>
    <n v="-9.89"/>
    <x v="306"/>
    <n v="7804.33"/>
    <s v="Complete Access"/>
    <x v="129"/>
    <x v="0"/>
    <x v="42"/>
    <d v="1900-01-07T00:00:00"/>
    <n v="2"/>
    <x v="1"/>
    <x v="5"/>
  </r>
  <r>
    <x v="1449"/>
    <n v="-20.18"/>
    <x v="3028"/>
    <n v="7977.14"/>
    <s v="Complete Access"/>
    <x v="691"/>
    <x v="15"/>
    <x v="71"/>
    <d v="1900-01-06T00:00:00"/>
    <n v="2"/>
    <x v="1"/>
    <x v="5"/>
  </r>
  <r>
    <x v="1450"/>
    <n v="-15.23"/>
    <x v="3029"/>
    <n v="7997.32"/>
    <s v="Complete Access"/>
    <x v="8"/>
    <x v="1"/>
    <x v="5"/>
    <d v="1900-01-03T00:00:00"/>
    <n v="1"/>
    <x v="1"/>
    <x v="5"/>
  </r>
  <r>
    <x v="1450"/>
    <n v="-100"/>
    <x v="2274"/>
    <n v="8012.55"/>
    <s v="Complete Access"/>
    <x v="552"/>
    <x v="0"/>
    <x v="74"/>
    <d v="1900-01-03T00:00:00"/>
    <n v="1"/>
    <x v="1"/>
    <x v="5"/>
  </r>
  <r>
    <x v="1451"/>
    <n v="-26.53"/>
    <x v="3029"/>
    <n v="8214.35"/>
    <s v="Complete Access"/>
    <x v="8"/>
    <x v="1"/>
    <x v="5"/>
    <d v="1900-01-02T00:00:00"/>
    <n v="1"/>
    <x v="1"/>
    <x v="5"/>
  </r>
  <r>
    <x v="1451"/>
    <n v="-24.95"/>
    <x v="3030"/>
    <n v="8240.8799999999992"/>
    <s v="Complete Access"/>
    <x v="692"/>
    <x v="3"/>
    <x v="15"/>
    <d v="1900-01-02T00:00:00"/>
    <n v="1"/>
    <x v="1"/>
    <x v="5"/>
  </r>
  <r>
    <x v="1451"/>
    <n v="-18.3"/>
    <x v="3031"/>
    <n v="8196.0499999999993"/>
    <s v="Complete Access"/>
    <x v="693"/>
    <x v="1"/>
    <x v="5"/>
    <d v="1900-01-02T00:00:00"/>
    <n v="1"/>
    <x v="1"/>
    <x v="5"/>
  </r>
  <r>
    <x v="1451"/>
    <n v="-65"/>
    <x v="2999"/>
    <n v="8121.55"/>
    <s v="Complete Access"/>
    <x v="0"/>
    <x v="0"/>
    <x v="0"/>
    <d v="1900-01-02T00:00:00"/>
    <n v="1"/>
    <x v="1"/>
    <x v="5"/>
  </r>
  <r>
    <x v="1451"/>
    <n v="-9"/>
    <x v="3032"/>
    <n v="8112.55"/>
    <s v="Complete Access"/>
    <x v="694"/>
    <x v="1"/>
    <x v="5"/>
    <d v="1900-01-02T00:00:00"/>
    <n v="1"/>
    <x v="1"/>
    <x v="5"/>
  </r>
  <r>
    <x v="1451"/>
    <n v="-9.5"/>
    <x v="3033"/>
    <n v="8186.55"/>
    <s v="Complete Access"/>
    <x v="695"/>
    <x v="15"/>
    <x v="71"/>
    <d v="1900-01-02T00:00:00"/>
    <n v="1"/>
    <x v="1"/>
    <x v="5"/>
  </r>
  <r>
    <x v="1452"/>
    <n v="-19"/>
    <x v="2929"/>
    <n v="8438.1299999999992"/>
    <s v="Complete Access"/>
    <x v="645"/>
    <x v="0"/>
    <x v="69"/>
    <d v="1900-01-01T00:00:00"/>
    <n v="1"/>
    <x v="1"/>
    <x v="5"/>
  </r>
  <r>
    <x v="1452"/>
    <n v="-50"/>
    <x v="2929"/>
    <n v="8457.1299999999992"/>
    <s v="Complete Access"/>
    <x v="645"/>
    <x v="0"/>
    <x v="69"/>
    <d v="1900-01-01T00:00:00"/>
    <n v="1"/>
    <x v="1"/>
    <x v="5"/>
  </r>
  <r>
    <x v="1452"/>
    <n v="-172.3"/>
    <x v="3034"/>
    <n v="8265.83"/>
    <s v="Complete Access"/>
    <x v="76"/>
    <x v="2"/>
    <x v="2"/>
    <d v="1900-01-01T00:00:00"/>
    <n v="1"/>
    <x v="1"/>
    <x v="5"/>
  </r>
  <r>
    <x v="1452"/>
    <n v="-21"/>
    <x v="2999"/>
    <n v="8507.1299999999992"/>
    <s v="Complete Access"/>
    <x v="0"/>
    <x v="0"/>
    <x v="0"/>
    <d v="1900-01-01T00:00:00"/>
    <n v="1"/>
    <x v="1"/>
    <x v="5"/>
  </r>
  <r>
    <x v="1453"/>
    <n v="-67.489999999999995"/>
    <x v="3035"/>
    <n v="8592.1"/>
    <s v="Complete Access"/>
    <x v="8"/>
    <x v="1"/>
    <x v="5"/>
    <d v="1899-12-31T00:00:00"/>
    <n v="1"/>
    <x v="1"/>
    <x v="5"/>
  </r>
  <r>
    <x v="1453"/>
    <n v="-20"/>
    <x v="2229"/>
    <n v="8659.59"/>
    <s v="Complete Access"/>
    <x v="557"/>
    <x v="7"/>
    <x v="53"/>
    <d v="1899-12-31T00:00:00"/>
    <n v="1"/>
    <x v="1"/>
    <x v="5"/>
  </r>
  <r>
    <x v="1453"/>
    <n v="-34.6"/>
    <x v="3036"/>
    <n v="8528.1299999999992"/>
    <s v="Complete Access"/>
    <x v="696"/>
    <x v="8"/>
    <x v="29"/>
    <d v="1899-12-31T00:00:00"/>
    <n v="1"/>
    <x v="1"/>
    <x v="5"/>
  </r>
  <r>
    <x v="1453"/>
    <n v="-8.6"/>
    <x v="3036"/>
    <n v="8562.73"/>
    <s v="Complete Access"/>
    <x v="696"/>
    <x v="8"/>
    <x v="29"/>
    <d v="1899-12-31T00:00:00"/>
    <n v="1"/>
    <x v="1"/>
    <x v="5"/>
  </r>
  <r>
    <x v="1453"/>
    <n v="-7.9"/>
    <x v="3036"/>
    <n v="8571.33"/>
    <s v="Complete Access"/>
    <x v="696"/>
    <x v="8"/>
    <x v="29"/>
    <d v="1899-12-31T00:00:00"/>
    <n v="1"/>
    <x v="1"/>
    <x v="5"/>
  </r>
  <r>
    <x v="1453"/>
    <n v="-4.29"/>
    <x v="3037"/>
    <n v="8579.23"/>
    <s v="Complete Access"/>
    <x v="574"/>
    <x v="8"/>
    <x v="29"/>
    <d v="1899-12-31T00:00:00"/>
    <n v="1"/>
    <x v="1"/>
    <x v="5"/>
  </r>
  <r>
    <x v="1453"/>
    <n v="-4.29"/>
    <x v="3038"/>
    <n v="8583.52"/>
    <s v="Complete Access"/>
    <x v="574"/>
    <x v="8"/>
    <x v="29"/>
    <d v="1899-12-31T00:00:00"/>
    <n v="1"/>
    <x v="1"/>
    <x v="5"/>
  </r>
  <r>
    <x v="1453"/>
    <n v="-4.29"/>
    <x v="3038"/>
    <n v="8587.81"/>
    <s v="Complete Access"/>
    <x v="574"/>
    <x v="8"/>
    <x v="29"/>
    <d v="1899-12-31T00:00:00"/>
    <n v="1"/>
    <x v="1"/>
    <x v="5"/>
  </r>
  <r>
    <x v="1454"/>
    <n v="-31.94"/>
    <x v="3039"/>
    <n v="9571.31"/>
    <s v="Complete Access"/>
    <x v="8"/>
    <x v="1"/>
    <x v="5"/>
    <d v="1900-01-30T00:00:00"/>
    <n v="53"/>
    <x v="2"/>
    <x v="6"/>
  </r>
  <r>
    <x v="1454"/>
    <n v="-50.49"/>
    <x v="3040"/>
    <n v="9508.67"/>
    <s v="Complete Access"/>
    <x v="8"/>
    <x v="1"/>
    <x v="5"/>
    <d v="1900-01-30T00:00:00"/>
    <n v="53"/>
    <x v="2"/>
    <x v="6"/>
  </r>
  <r>
    <x v="1454"/>
    <n v="-12.15"/>
    <x v="3041"/>
    <n v="9559.16"/>
    <s v="Complete Access"/>
    <x v="8"/>
    <x v="1"/>
    <x v="5"/>
    <d v="1900-01-30T00:00:00"/>
    <n v="53"/>
    <x v="2"/>
    <x v="6"/>
  </r>
  <r>
    <x v="1454"/>
    <n v="-229"/>
    <x v="3042"/>
    <n v="9279.67"/>
    <s v="Complete Access"/>
    <x v="347"/>
    <x v="3"/>
    <x v="62"/>
    <d v="1900-01-30T00:00:00"/>
    <n v="53"/>
    <x v="2"/>
    <x v="6"/>
  </r>
  <r>
    <x v="1454"/>
    <n v="-16.63"/>
    <x v="2874"/>
    <n v="8662.0400000000009"/>
    <s v="Complete Access"/>
    <x v="663"/>
    <x v="1"/>
    <x v="1"/>
    <d v="1900-01-30T00:00:00"/>
    <n v="53"/>
    <x v="2"/>
    <x v="6"/>
  </r>
  <r>
    <x v="1454"/>
    <n v="-42.45"/>
    <x v="2756"/>
    <n v="8619.59"/>
    <s v="Complete Access"/>
    <x v="177"/>
    <x v="1"/>
    <x v="1"/>
    <d v="1900-01-30T00:00:00"/>
    <n v="53"/>
    <x v="2"/>
    <x v="6"/>
  </r>
  <r>
    <x v="1454"/>
    <n v="60"/>
    <x v="2556"/>
    <n v="8679.59"/>
    <s v="Complete Access"/>
    <x v="583"/>
    <x v="0"/>
    <x v="69"/>
    <d v="1900-01-30T00:00:00"/>
    <n v="53"/>
    <x v="2"/>
    <x v="6"/>
  </r>
  <r>
    <x v="1454"/>
    <n v="-77"/>
    <x v="3043"/>
    <n v="9603.25"/>
    <s v="Complete Access"/>
    <x v="697"/>
    <x v="8"/>
    <x v="22"/>
    <d v="1900-01-30T00:00:00"/>
    <n v="53"/>
    <x v="2"/>
    <x v="6"/>
  </r>
  <r>
    <x v="1454"/>
    <n v="-550"/>
    <x v="2999"/>
    <n v="8729.67"/>
    <s v="Complete Access"/>
    <x v="0"/>
    <x v="0"/>
    <x v="0"/>
    <d v="1900-01-30T00:00:00"/>
    <n v="53"/>
    <x v="2"/>
    <x v="6"/>
  </r>
  <r>
    <x v="1454"/>
    <n v="-51"/>
    <x v="2700"/>
    <n v="8678.67"/>
    <s v="Complete Access"/>
    <x v="243"/>
    <x v="1"/>
    <x v="23"/>
    <d v="1900-01-30T00:00:00"/>
    <n v="53"/>
    <x v="2"/>
    <x v="6"/>
  </r>
  <r>
    <x v="1455"/>
    <n v="-56"/>
    <x v="3044"/>
    <n v="9829.25"/>
    <s v="Complete Access"/>
    <x v="698"/>
    <x v="3"/>
    <x v="15"/>
    <d v="1900-01-29T00:00:00"/>
    <n v="53"/>
    <x v="2"/>
    <x v="6"/>
  </r>
  <r>
    <x v="1455"/>
    <n v="-89"/>
    <x v="3045"/>
    <n v="9740.25"/>
    <s v="Complete Access"/>
    <x v="699"/>
    <x v="3"/>
    <x v="60"/>
    <d v="1900-01-29T00:00:00"/>
    <n v="53"/>
    <x v="2"/>
    <x v="6"/>
  </r>
  <r>
    <x v="1455"/>
    <n v="-15.61"/>
    <x v="2874"/>
    <n v="9929.1"/>
    <s v="Complete Access"/>
    <x v="663"/>
    <x v="1"/>
    <x v="1"/>
    <d v="1900-01-29T00:00:00"/>
    <n v="53"/>
    <x v="2"/>
    <x v="6"/>
  </r>
  <r>
    <x v="1455"/>
    <n v="-43.85"/>
    <x v="2756"/>
    <n v="9885.25"/>
    <s v="Complete Access"/>
    <x v="177"/>
    <x v="1"/>
    <x v="1"/>
    <d v="1900-01-29T00:00:00"/>
    <n v="53"/>
    <x v="2"/>
    <x v="6"/>
  </r>
  <r>
    <x v="1455"/>
    <n v="-60"/>
    <x v="3046"/>
    <n v="9680.25"/>
    <s v="Complete Access"/>
    <x v="700"/>
    <x v="8"/>
    <x v="69"/>
    <d v="1900-01-29T00:00:00"/>
    <n v="53"/>
    <x v="2"/>
    <x v="6"/>
  </r>
  <r>
    <x v="1456"/>
    <n v="-20"/>
    <x v="3047"/>
    <n v="9947.51"/>
    <s v="Complete Access"/>
    <x v="601"/>
    <x v="0"/>
    <x v="0"/>
    <d v="1900-01-28T00:00:00"/>
    <n v="53"/>
    <x v="2"/>
    <x v="6"/>
  </r>
  <r>
    <x v="1456"/>
    <n v="-2.8"/>
    <x v="72"/>
    <n v="9944.7099999999991"/>
    <s v="Complete Access"/>
    <x v="37"/>
    <x v="0"/>
    <x v="0"/>
    <d v="1900-01-28T00:00:00"/>
    <n v="53"/>
    <x v="2"/>
    <x v="6"/>
  </r>
  <r>
    <x v="1457"/>
    <n v="-2.99"/>
    <x v="3048"/>
    <n v="10090.15"/>
    <s v="Complete Access"/>
    <x v="199"/>
    <x v="14"/>
    <x v="46"/>
    <d v="1900-01-27T00:00:00"/>
    <n v="52"/>
    <x v="2"/>
    <x v="6"/>
  </r>
  <r>
    <x v="1457"/>
    <n v="-9.99"/>
    <x v="3049"/>
    <n v="10093.14"/>
    <s v="Complete Access"/>
    <x v="373"/>
    <x v="8"/>
    <x v="7"/>
    <d v="1900-01-27T00:00:00"/>
    <n v="52"/>
    <x v="2"/>
    <x v="6"/>
  </r>
  <r>
    <x v="1457"/>
    <n v="-15.64"/>
    <x v="3050"/>
    <n v="10074.51"/>
    <s v="Complete Access"/>
    <x v="668"/>
    <x v="15"/>
    <x v="34"/>
    <d v="1900-01-27T00:00:00"/>
    <n v="52"/>
    <x v="2"/>
    <x v="6"/>
  </r>
  <r>
    <x v="1457"/>
    <n v="-18.579999999999998"/>
    <x v="2874"/>
    <n v="9995.93"/>
    <s v="Complete Access"/>
    <x v="663"/>
    <x v="1"/>
    <x v="1"/>
    <d v="1900-01-27T00:00:00"/>
    <n v="52"/>
    <x v="2"/>
    <x v="6"/>
  </r>
  <r>
    <x v="1457"/>
    <n v="-100"/>
    <x v="2274"/>
    <n v="10103.129999999999"/>
    <s v="Complete Access"/>
    <x v="552"/>
    <x v="0"/>
    <x v="74"/>
    <d v="1900-01-27T00:00:00"/>
    <n v="52"/>
    <x v="2"/>
    <x v="6"/>
  </r>
  <r>
    <x v="1457"/>
    <n v="-28.42"/>
    <x v="2688"/>
    <n v="9967.51"/>
    <s v="Complete Access"/>
    <x v="177"/>
    <x v="1"/>
    <x v="1"/>
    <d v="1900-01-27T00:00:00"/>
    <n v="52"/>
    <x v="2"/>
    <x v="6"/>
  </r>
  <r>
    <x v="1457"/>
    <n v="-25"/>
    <x v="3051"/>
    <n v="10014.51"/>
    <s v="Complete Access"/>
    <x v="701"/>
    <x v="16"/>
    <x v="35"/>
    <d v="1900-01-27T00:00:00"/>
    <n v="52"/>
    <x v="2"/>
    <x v="6"/>
  </r>
  <r>
    <x v="1457"/>
    <n v="-35"/>
    <x v="3051"/>
    <n v="10039.51"/>
    <s v="Complete Access"/>
    <x v="701"/>
    <x v="16"/>
    <x v="35"/>
    <d v="1900-01-27T00:00:00"/>
    <n v="52"/>
    <x v="2"/>
    <x v="6"/>
  </r>
  <r>
    <x v="1458"/>
    <n v="-12.5"/>
    <x v="3052"/>
    <n v="10203.129999999999"/>
    <s v="Complete Access"/>
    <x v="351"/>
    <x v="1"/>
    <x v="5"/>
    <d v="1900-01-26T00:00:00"/>
    <n v="52"/>
    <x v="2"/>
    <x v="6"/>
  </r>
  <r>
    <x v="1459"/>
    <n v="-500"/>
    <x v="2294"/>
    <n v="10315.629999999999"/>
    <s v="Complete Access"/>
    <x v="571"/>
    <x v="19"/>
    <x v="61"/>
    <d v="1900-01-25T00:00:00"/>
    <n v="52"/>
    <x v="2"/>
    <x v="6"/>
  </r>
  <r>
    <x v="1459"/>
    <n v="-100"/>
    <x v="2999"/>
    <n v="10215.629999999999"/>
    <s v="Complete Access"/>
    <x v="0"/>
    <x v="0"/>
    <x v="0"/>
    <d v="1900-01-25T00:00:00"/>
    <n v="52"/>
    <x v="2"/>
    <x v="6"/>
  </r>
  <r>
    <x v="1460"/>
    <n v="-92.49"/>
    <x v="3053"/>
    <n v="10822.63"/>
    <s v="Complete Access"/>
    <x v="8"/>
    <x v="1"/>
    <x v="5"/>
    <d v="1900-01-24T00:00:00"/>
    <n v="52"/>
    <x v="2"/>
    <x v="6"/>
  </r>
  <r>
    <x v="1460"/>
    <n v="-44.24"/>
    <x v="3054"/>
    <n v="11010.61"/>
    <s v="Complete Access"/>
    <x v="8"/>
    <x v="1"/>
    <x v="5"/>
    <d v="1900-01-24T00:00:00"/>
    <n v="52"/>
    <x v="2"/>
    <x v="6"/>
  </r>
  <r>
    <x v="1460"/>
    <n v="-20.16"/>
    <x v="3055"/>
    <n v="11054.85"/>
    <s v="Complete Access"/>
    <x v="8"/>
    <x v="1"/>
    <x v="5"/>
    <d v="1900-01-24T00:00:00"/>
    <n v="52"/>
    <x v="2"/>
    <x v="6"/>
  </r>
  <r>
    <x v="1460"/>
    <n v="-10"/>
    <x v="3055"/>
    <n v="11075.01"/>
    <s v="Complete Access"/>
    <x v="8"/>
    <x v="1"/>
    <x v="5"/>
    <d v="1900-01-24T00:00:00"/>
    <n v="52"/>
    <x v="2"/>
    <x v="6"/>
  </r>
  <r>
    <x v="1460"/>
    <n v="-95.49"/>
    <x v="3056"/>
    <n v="10915.12"/>
    <s v="Complete Access"/>
    <x v="8"/>
    <x v="1"/>
    <x v="5"/>
    <d v="1900-01-24T00:00:00"/>
    <n v="52"/>
    <x v="2"/>
    <x v="6"/>
  </r>
  <r>
    <x v="1460"/>
    <n v="-7"/>
    <x v="3057"/>
    <n v="10815.63"/>
    <s v="Complete Access"/>
    <x v="620"/>
    <x v="3"/>
    <x v="15"/>
    <d v="1900-01-24T00:00:00"/>
    <n v="52"/>
    <x v="2"/>
    <x v="6"/>
  </r>
  <r>
    <x v="1461"/>
    <n v="-15.93"/>
    <x v="3055"/>
    <n v="11020.01"/>
    <s v="Complete Access"/>
    <x v="8"/>
    <x v="1"/>
    <x v="5"/>
    <d v="1900-01-23T00:00:00"/>
    <n v="52"/>
    <x v="2"/>
    <x v="6"/>
  </r>
  <r>
    <x v="1461"/>
    <n v="-10.5"/>
    <x v="3058"/>
    <n v="10985.01"/>
    <s v="Complete Access"/>
    <x v="682"/>
    <x v="1"/>
    <x v="5"/>
    <d v="1900-01-23T00:00:00"/>
    <n v="52"/>
    <x v="2"/>
    <x v="6"/>
  </r>
  <r>
    <x v="1461"/>
    <n v="2053.4899999999998"/>
    <x v="3059"/>
    <n v="11035.94"/>
    <s v="Complete Access"/>
    <x v="14"/>
    <x v="6"/>
    <x v="9"/>
    <d v="1900-01-23T00:00:00"/>
    <n v="52"/>
    <x v="2"/>
    <x v="6"/>
  </r>
  <r>
    <x v="1461"/>
    <n v="115"/>
    <x v="3060"/>
    <n v="11100.01"/>
    <s v="Complete Access"/>
    <x v="567"/>
    <x v="0"/>
    <x v="69"/>
    <d v="1900-01-23T00:00:00"/>
    <n v="52"/>
    <x v="2"/>
    <x v="6"/>
  </r>
  <r>
    <x v="1461"/>
    <n v="-15"/>
    <x v="3061"/>
    <n v="11085.01"/>
    <s v="Complete Access"/>
    <x v="27"/>
    <x v="1"/>
    <x v="5"/>
    <d v="1900-01-23T00:00:00"/>
    <n v="52"/>
    <x v="2"/>
    <x v="6"/>
  </r>
  <r>
    <x v="1461"/>
    <n v="-15.5"/>
    <x v="3062"/>
    <n v="10995.51"/>
    <s v="Complete Access"/>
    <x v="702"/>
    <x v="8"/>
    <x v="29"/>
    <d v="1900-01-23T00:00:00"/>
    <n v="52"/>
    <x v="2"/>
    <x v="6"/>
  </r>
  <r>
    <x v="1461"/>
    <n v="-9"/>
    <x v="3062"/>
    <n v="11011.01"/>
    <s v="Complete Access"/>
    <x v="702"/>
    <x v="8"/>
    <x v="29"/>
    <d v="1900-01-23T00:00:00"/>
    <n v="52"/>
    <x v="2"/>
    <x v="6"/>
  </r>
  <r>
    <x v="1462"/>
    <n v="-0.59"/>
    <x v="2859"/>
    <n v="9012.4500000000007"/>
    <s v="Complete Access"/>
    <x v="61"/>
    <x v="1"/>
    <x v="1"/>
    <d v="1900-01-22T00:00:00"/>
    <n v="52"/>
    <x v="2"/>
    <x v="6"/>
  </r>
  <r>
    <x v="1462"/>
    <n v="-20"/>
    <x v="2494"/>
    <n v="8982.4500000000007"/>
    <s v="Complete Access"/>
    <x v="27"/>
    <x v="1"/>
    <x v="5"/>
    <d v="1900-01-22T00:00:00"/>
    <n v="52"/>
    <x v="2"/>
    <x v="6"/>
  </r>
  <r>
    <x v="1462"/>
    <n v="-10"/>
    <x v="2925"/>
    <n v="9002.4500000000007"/>
    <s v="Complete Access"/>
    <x v="678"/>
    <x v="20"/>
    <x v="63"/>
    <d v="1900-01-22T00:00:00"/>
    <n v="52"/>
    <x v="2"/>
    <x v="6"/>
  </r>
  <r>
    <x v="1463"/>
    <n v="18.5"/>
    <x v="3024"/>
    <n v="9013.0400000000009"/>
    <s v="Complete Access"/>
    <x v="27"/>
    <x v="1"/>
    <x v="5"/>
    <d v="1900-01-21T00:00:00"/>
    <n v="52"/>
    <x v="2"/>
    <x v="6"/>
  </r>
  <r>
    <x v="1463"/>
    <n v="20.5"/>
    <x v="2876"/>
    <n v="8994.5400000000009"/>
    <s v="Complete Access"/>
    <x v="27"/>
    <x v="1"/>
    <x v="5"/>
    <d v="1900-01-21T00:00:00"/>
    <n v="52"/>
    <x v="2"/>
    <x v="6"/>
  </r>
  <r>
    <x v="1464"/>
    <n v="-79.989999999999995"/>
    <x v="3063"/>
    <n v="8974.0400000000009"/>
    <s v="Complete Access"/>
    <x v="703"/>
    <x v="3"/>
    <x v="15"/>
    <d v="1900-01-20T00:00:00"/>
    <n v="51"/>
    <x v="2"/>
    <x v="6"/>
  </r>
  <r>
    <x v="1464"/>
    <n v="-100"/>
    <x v="2274"/>
    <n v="9104.02"/>
    <s v="Complete Access"/>
    <x v="552"/>
    <x v="0"/>
    <x v="74"/>
    <d v="1900-01-20T00:00:00"/>
    <n v="51"/>
    <x v="2"/>
    <x v="6"/>
  </r>
  <r>
    <x v="1464"/>
    <n v="-49.99"/>
    <x v="3064"/>
    <n v="9054.0300000000007"/>
    <s v="Complete Access"/>
    <x v="704"/>
    <x v="3"/>
    <x v="15"/>
    <d v="1900-01-20T00:00:00"/>
    <n v="51"/>
    <x v="2"/>
    <x v="6"/>
  </r>
  <r>
    <x v="1464"/>
    <n v="-7"/>
    <x v="2971"/>
    <n v="9204.02"/>
    <s v="Complete Access"/>
    <x v="0"/>
    <x v="0"/>
    <x v="0"/>
    <d v="1900-01-20T00:00:00"/>
    <n v="51"/>
    <x v="2"/>
    <x v="6"/>
  </r>
  <r>
    <x v="1465"/>
    <n v="-3"/>
    <x v="2859"/>
    <n v="9211.02"/>
    <s v="Complete Access"/>
    <x v="61"/>
    <x v="1"/>
    <x v="1"/>
    <d v="1900-01-19T00:00:00"/>
    <n v="51"/>
    <x v="2"/>
    <x v="6"/>
  </r>
  <r>
    <x v="1466"/>
    <n v="-16.350000000000001"/>
    <x v="3065"/>
    <n v="9214.02"/>
    <s v="Complete Access"/>
    <x v="705"/>
    <x v="8"/>
    <x v="29"/>
    <d v="1900-01-18T00:00:00"/>
    <n v="51"/>
    <x v="2"/>
    <x v="6"/>
  </r>
  <r>
    <x v="1466"/>
    <n v="-29.99"/>
    <x v="3066"/>
    <n v="9244.42"/>
    <s v="Complete Access"/>
    <x v="706"/>
    <x v="11"/>
    <x v="14"/>
    <d v="1900-01-18T00:00:00"/>
    <n v="51"/>
    <x v="2"/>
    <x v="6"/>
  </r>
  <r>
    <x v="1466"/>
    <n v="-14.05"/>
    <x v="3067"/>
    <n v="9230.3700000000008"/>
    <s v="Complete Access"/>
    <x v="47"/>
    <x v="1"/>
    <x v="5"/>
    <d v="1900-01-18T00:00:00"/>
    <n v="51"/>
    <x v="2"/>
    <x v="6"/>
  </r>
  <r>
    <x v="1466"/>
    <n v="-39"/>
    <x v="3068"/>
    <n v="9274.41"/>
    <s v="Complete Access"/>
    <x v="644"/>
    <x v="1"/>
    <x v="23"/>
    <d v="1900-01-18T00:00:00"/>
    <n v="51"/>
    <x v="2"/>
    <x v="6"/>
  </r>
  <r>
    <x v="1467"/>
    <n v="-3"/>
    <x v="2859"/>
    <n v="9338.8700000000008"/>
    <s v="Complete Access"/>
    <x v="61"/>
    <x v="1"/>
    <x v="1"/>
    <d v="1900-01-17T00:00:00"/>
    <n v="51"/>
    <x v="2"/>
    <x v="6"/>
  </r>
  <r>
    <x v="1467"/>
    <n v="-29.54"/>
    <x v="3069"/>
    <n v="9352.7900000000009"/>
    <s v="Complete Access"/>
    <x v="8"/>
    <x v="1"/>
    <x v="5"/>
    <d v="1900-01-17T00:00:00"/>
    <n v="51"/>
    <x v="2"/>
    <x v="6"/>
  </r>
  <r>
    <x v="1467"/>
    <n v="-40"/>
    <x v="3070"/>
    <n v="9382.33"/>
    <s v="Complete Access"/>
    <x v="12"/>
    <x v="5"/>
    <x v="8"/>
    <d v="1900-01-17T00:00:00"/>
    <n v="51"/>
    <x v="2"/>
    <x v="6"/>
  </r>
  <r>
    <x v="1467"/>
    <n v="-10.92"/>
    <x v="3071"/>
    <n v="9341.8700000000008"/>
    <s v="Complete Access"/>
    <x v="556"/>
    <x v="15"/>
    <x v="34"/>
    <d v="1900-01-17T00:00:00"/>
    <n v="51"/>
    <x v="2"/>
    <x v="6"/>
  </r>
  <r>
    <x v="1467"/>
    <n v="-25.46"/>
    <x v="2688"/>
    <n v="9313.41"/>
    <s v="Complete Access"/>
    <x v="177"/>
    <x v="1"/>
    <x v="1"/>
    <d v="1900-01-17T00:00:00"/>
    <n v="51"/>
    <x v="2"/>
    <x v="6"/>
  </r>
  <r>
    <x v="1468"/>
    <n v="-7.8"/>
    <x v="2859"/>
    <n v="9717.25"/>
    <s v="Complete Access"/>
    <x v="61"/>
    <x v="1"/>
    <x v="1"/>
    <d v="1900-01-16T00:00:00"/>
    <n v="51"/>
    <x v="2"/>
    <x v="6"/>
  </r>
  <r>
    <x v="1468"/>
    <n v="-52.99"/>
    <x v="3072"/>
    <n v="9704.84"/>
    <s v="Complete Access"/>
    <x v="8"/>
    <x v="1"/>
    <x v="5"/>
    <d v="1900-01-16T00:00:00"/>
    <n v="51"/>
    <x v="2"/>
    <x v="6"/>
  </r>
  <r>
    <x v="1468"/>
    <n v="-179.79"/>
    <x v="3073"/>
    <n v="9525.0499999999993"/>
    <s v="Complete Access"/>
    <x v="438"/>
    <x v="12"/>
    <x v="21"/>
    <d v="1900-01-16T00:00:00"/>
    <n v="51"/>
    <x v="2"/>
    <x v="6"/>
  </r>
  <r>
    <x v="1468"/>
    <n v="-31"/>
    <x v="2948"/>
    <n v="9686.25"/>
    <s v="Complete Access"/>
    <x v="562"/>
    <x v="1"/>
    <x v="5"/>
    <d v="1900-01-16T00:00:00"/>
    <n v="51"/>
    <x v="2"/>
    <x v="6"/>
  </r>
  <r>
    <x v="1468"/>
    <n v="-250"/>
    <x v="2929"/>
    <n v="9422.33"/>
    <s v="Complete Access"/>
    <x v="645"/>
    <x v="0"/>
    <x v="69"/>
    <d v="1900-01-16T00:00:00"/>
    <n v="51"/>
    <x v="2"/>
    <x v="6"/>
  </r>
  <r>
    <x v="1468"/>
    <n v="-13.92"/>
    <x v="2643"/>
    <n v="9672.33"/>
    <s v="Complete Access"/>
    <x v="215"/>
    <x v="1"/>
    <x v="1"/>
    <d v="1900-01-16T00:00:00"/>
    <n v="51"/>
    <x v="2"/>
    <x v="6"/>
  </r>
  <r>
    <x v="1468"/>
    <n v="200"/>
    <x v="3074"/>
    <n v="9725.0499999999993"/>
    <s v="Complete Access"/>
    <x v="657"/>
    <x v="0"/>
    <x v="69"/>
    <d v="1900-01-16T00:00:00"/>
    <n v="51"/>
    <x v="2"/>
    <x v="6"/>
  </r>
  <r>
    <x v="1469"/>
    <n v="-200"/>
    <x v="2929"/>
    <n v="9797.41"/>
    <s v="Complete Access"/>
    <x v="645"/>
    <x v="0"/>
    <x v="69"/>
    <d v="1900-01-15T00:00:00"/>
    <n v="51"/>
    <x v="2"/>
    <x v="6"/>
  </r>
  <r>
    <x v="1469"/>
    <n v="-11.68"/>
    <x v="2643"/>
    <n v="9767.73"/>
    <s v="Complete Access"/>
    <x v="215"/>
    <x v="1"/>
    <x v="1"/>
    <d v="1900-01-15T00:00:00"/>
    <n v="51"/>
    <x v="2"/>
    <x v="6"/>
  </r>
  <r>
    <x v="1469"/>
    <n v="-9.9"/>
    <x v="2688"/>
    <n v="9757.83"/>
    <s v="Complete Access"/>
    <x v="177"/>
    <x v="1"/>
    <x v="1"/>
    <d v="1900-01-15T00:00:00"/>
    <n v="51"/>
    <x v="2"/>
    <x v="6"/>
  </r>
  <r>
    <x v="1469"/>
    <n v="-4"/>
    <x v="2863"/>
    <n v="9779.41"/>
    <s v="Complete Access"/>
    <x v="186"/>
    <x v="1"/>
    <x v="5"/>
    <d v="1900-01-15T00:00:00"/>
    <n v="51"/>
    <x v="2"/>
    <x v="6"/>
  </r>
  <r>
    <x v="1469"/>
    <n v="-14"/>
    <x v="3000"/>
    <n v="9783.41"/>
    <s v="Complete Access"/>
    <x v="687"/>
    <x v="1"/>
    <x v="5"/>
    <d v="1900-01-15T00:00:00"/>
    <n v="51"/>
    <x v="2"/>
    <x v="6"/>
  </r>
  <r>
    <x v="1470"/>
    <n v="-12"/>
    <x v="2494"/>
    <n v="9997.41"/>
    <s v="Complete Access"/>
    <x v="27"/>
    <x v="1"/>
    <x v="5"/>
    <d v="1900-01-14T00:00:00"/>
    <n v="51"/>
    <x v="2"/>
    <x v="6"/>
  </r>
  <r>
    <x v="1471"/>
    <n v="-24"/>
    <x v="3075"/>
    <n v="10009.41"/>
    <s v="Complete Access"/>
    <x v="707"/>
    <x v="20"/>
    <x v="63"/>
    <d v="1900-01-13T00:00:00"/>
    <n v="50"/>
    <x v="2"/>
    <x v="6"/>
  </r>
  <r>
    <x v="1471"/>
    <n v="-9"/>
    <x v="3076"/>
    <n v="10033.41"/>
    <s v="Complete Access"/>
    <x v="708"/>
    <x v="1"/>
    <x v="5"/>
    <d v="1900-01-13T00:00:00"/>
    <n v="50"/>
    <x v="2"/>
    <x v="6"/>
  </r>
  <r>
    <x v="1471"/>
    <n v="-100"/>
    <x v="2274"/>
    <n v="10042.41"/>
    <s v="Complete Access"/>
    <x v="552"/>
    <x v="0"/>
    <x v="74"/>
    <d v="1900-01-13T00:00:00"/>
    <n v="50"/>
    <x v="2"/>
    <x v="6"/>
  </r>
  <r>
    <x v="1472"/>
    <n v="-1.01"/>
    <x v="2859"/>
    <n v="10150.41"/>
    <s v="Complete Access"/>
    <x v="61"/>
    <x v="1"/>
    <x v="1"/>
    <d v="1900-01-12T00:00:00"/>
    <n v="50"/>
    <x v="2"/>
    <x v="6"/>
  </r>
  <r>
    <x v="1472"/>
    <n v="-8"/>
    <x v="3000"/>
    <n v="10142.41"/>
    <s v="Complete Access"/>
    <x v="687"/>
    <x v="1"/>
    <x v="5"/>
    <d v="1900-01-12T00:00:00"/>
    <n v="50"/>
    <x v="2"/>
    <x v="6"/>
  </r>
  <r>
    <x v="1473"/>
    <n v="-4.8099999999999996"/>
    <x v="2859"/>
    <n v="10254.92"/>
    <s v="Complete Access"/>
    <x v="61"/>
    <x v="1"/>
    <x v="1"/>
    <d v="1900-01-11T00:00:00"/>
    <n v="50"/>
    <x v="2"/>
    <x v="6"/>
  </r>
  <r>
    <x v="1473"/>
    <n v="-38.29"/>
    <x v="3077"/>
    <n v="10259.73"/>
    <s v="Complete Access"/>
    <x v="8"/>
    <x v="1"/>
    <x v="5"/>
    <d v="1900-01-11T00:00:00"/>
    <n v="50"/>
    <x v="2"/>
    <x v="6"/>
  </r>
  <r>
    <x v="1473"/>
    <n v="-40"/>
    <x v="3078"/>
    <n v="10312.82"/>
    <s v="Complete Access"/>
    <x v="12"/>
    <x v="5"/>
    <x v="8"/>
    <d v="1900-01-11T00:00:00"/>
    <n v="50"/>
    <x v="2"/>
    <x v="6"/>
  </r>
  <r>
    <x v="1473"/>
    <n v="-14.8"/>
    <x v="3079"/>
    <n v="10298.02"/>
    <s v="Complete Access"/>
    <x v="709"/>
    <x v="8"/>
    <x v="29"/>
    <d v="1900-01-11T00:00:00"/>
    <n v="50"/>
    <x v="2"/>
    <x v="6"/>
  </r>
  <r>
    <x v="1473"/>
    <n v="2053.4899999999998"/>
    <x v="3080"/>
    <n v="10852.82"/>
    <s v="Complete Access"/>
    <x v="14"/>
    <x v="6"/>
    <x v="9"/>
    <d v="1900-01-11T00:00:00"/>
    <n v="50"/>
    <x v="2"/>
    <x v="6"/>
  </r>
  <r>
    <x v="1473"/>
    <n v="-500"/>
    <x v="2294"/>
    <n v="10352.82"/>
    <s v="Complete Access"/>
    <x v="571"/>
    <x v="19"/>
    <x v="61"/>
    <d v="1900-01-11T00:00:00"/>
    <n v="50"/>
    <x v="2"/>
    <x v="6"/>
  </r>
  <r>
    <x v="1473"/>
    <n v="-73.5"/>
    <x v="2543"/>
    <n v="10151.42"/>
    <s v="Complete Access"/>
    <x v="17"/>
    <x v="7"/>
    <x v="11"/>
    <d v="1900-01-11T00:00:00"/>
    <n v="50"/>
    <x v="2"/>
    <x v="6"/>
  </r>
  <r>
    <x v="1473"/>
    <n v="-30"/>
    <x v="3081"/>
    <n v="10224.92"/>
    <s v="Complete Access"/>
    <x v="710"/>
    <x v="18"/>
    <x v="69"/>
    <d v="1900-01-11T00:00:00"/>
    <n v="50"/>
    <x v="2"/>
    <x v="6"/>
  </r>
  <r>
    <x v="1474"/>
    <n v="-1.9"/>
    <x v="2859"/>
    <n v="8950.9"/>
    <s v="Complete Access"/>
    <x v="61"/>
    <x v="1"/>
    <x v="1"/>
    <d v="1900-01-10T00:00:00"/>
    <n v="50"/>
    <x v="2"/>
    <x v="6"/>
  </r>
  <r>
    <x v="1474"/>
    <n v="-21.49"/>
    <x v="3082"/>
    <n v="8977.7999999999993"/>
    <s v="Complete Access"/>
    <x v="8"/>
    <x v="1"/>
    <x v="5"/>
    <d v="1900-01-10T00:00:00"/>
    <n v="50"/>
    <x v="2"/>
    <x v="6"/>
  </r>
  <r>
    <x v="1474"/>
    <n v="-100"/>
    <x v="3083"/>
    <n v="8799.33"/>
    <s v="Complete Access"/>
    <x v="711"/>
    <x v="18"/>
    <x v="80"/>
    <d v="1900-01-10T00:00:00"/>
    <n v="50"/>
    <x v="2"/>
    <x v="6"/>
  </r>
  <r>
    <x v="1474"/>
    <n v="20.5"/>
    <x v="3024"/>
    <n v="8901.4"/>
    <s v="Complete Access"/>
    <x v="27"/>
    <x v="1"/>
    <x v="5"/>
    <d v="1900-01-10T00:00:00"/>
    <n v="50"/>
    <x v="2"/>
    <x v="6"/>
  </r>
  <r>
    <x v="1474"/>
    <n v="59.93"/>
    <x v="2282"/>
    <n v="8961.33"/>
    <s v="Complete Access"/>
    <x v="567"/>
    <x v="0"/>
    <x v="69"/>
    <d v="1900-01-10T00:00:00"/>
    <n v="50"/>
    <x v="2"/>
    <x v="6"/>
  </r>
  <r>
    <x v="1474"/>
    <n v="-62"/>
    <x v="3061"/>
    <n v="8899.33"/>
    <s v="Complete Access"/>
    <x v="27"/>
    <x v="1"/>
    <x v="5"/>
    <d v="1900-01-10T00:00:00"/>
    <n v="50"/>
    <x v="2"/>
    <x v="6"/>
  </r>
  <r>
    <x v="1474"/>
    <n v="-55"/>
    <x v="3084"/>
    <n v="8880.9"/>
    <s v="Complete Access"/>
    <x v="712"/>
    <x v="4"/>
    <x v="73"/>
    <d v="1900-01-10T00:00:00"/>
    <n v="50"/>
    <x v="2"/>
    <x v="6"/>
  </r>
  <r>
    <x v="1474"/>
    <n v="-15"/>
    <x v="3000"/>
    <n v="8935.9"/>
    <s v="Complete Access"/>
    <x v="687"/>
    <x v="1"/>
    <x v="5"/>
    <d v="1900-01-10T00:00:00"/>
    <n v="50"/>
    <x v="2"/>
    <x v="6"/>
  </r>
  <r>
    <x v="1474"/>
    <n v="-25"/>
    <x v="3085"/>
    <n v="8952.7999999999993"/>
    <s v="Complete Access"/>
    <x v="713"/>
    <x v="8"/>
    <x v="29"/>
    <d v="1900-01-10T00:00:00"/>
    <n v="50"/>
    <x v="2"/>
    <x v="6"/>
  </r>
  <r>
    <x v="1475"/>
    <n v="-1.53"/>
    <x v="2859"/>
    <n v="9059.98"/>
    <s v="Complete Access"/>
    <x v="61"/>
    <x v="1"/>
    <x v="1"/>
    <d v="1900-01-09T00:00:00"/>
    <n v="50"/>
    <x v="2"/>
    <x v="6"/>
  </r>
  <r>
    <x v="1475"/>
    <n v="-401.61"/>
    <x v="3086"/>
    <n v="9073.56"/>
    <s v="Complete Access"/>
    <x v="256"/>
    <x v="4"/>
    <x v="47"/>
    <d v="1900-01-09T00:00:00"/>
    <n v="50"/>
    <x v="2"/>
    <x v="6"/>
  </r>
  <r>
    <x v="1475"/>
    <n v="-45.89"/>
    <x v="3087"/>
    <n v="9475.17"/>
    <s v="Complete Access"/>
    <x v="8"/>
    <x v="1"/>
    <x v="5"/>
    <d v="1900-01-09T00:00:00"/>
    <n v="50"/>
    <x v="2"/>
    <x v="6"/>
  </r>
  <r>
    <x v="1475"/>
    <n v="-49.49"/>
    <x v="3088"/>
    <n v="9521.06"/>
    <s v="Complete Access"/>
    <x v="8"/>
    <x v="1"/>
    <x v="5"/>
    <d v="1900-01-09T00:00:00"/>
    <n v="50"/>
    <x v="2"/>
    <x v="6"/>
  </r>
  <r>
    <x v="1475"/>
    <n v="-12.05"/>
    <x v="3089"/>
    <n v="9061.51"/>
    <s v="Complete Access"/>
    <x v="10"/>
    <x v="0"/>
    <x v="0"/>
    <d v="1900-01-09T00:00:00"/>
    <n v="50"/>
    <x v="2"/>
    <x v="6"/>
  </r>
  <r>
    <x v="1475"/>
    <n v="-11.9"/>
    <x v="2874"/>
    <n v="9039.18"/>
    <s v="Complete Access"/>
    <x v="663"/>
    <x v="1"/>
    <x v="1"/>
    <d v="1900-01-09T00:00:00"/>
    <n v="50"/>
    <x v="2"/>
    <x v="6"/>
  </r>
  <r>
    <x v="1475"/>
    <n v="-6.99"/>
    <x v="2688"/>
    <n v="9032.19"/>
    <s v="Complete Access"/>
    <x v="177"/>
    <x v="1"/>
    <x v="1"/>
    <d v="1900-01-09T00:00:00"/>
    <n v="50"/>
    <x v="2"/>
    <x v="6"/>
  </r>
  <r>
    <x v="1475"/>
    <n v="-8.9"/>
    <x v="2863"/>
    <n v="9051.08"/>
    <s v="Complete Access"/>
    <x v="186"/>
    <x v="1"/>
    <x v="5"/>
    <d v="1900-01-09T00:00:00"/>
    <n v="50"/>
    <x v="2"/>
    <x v="6"/>
  </r>
  <r>
    <x v="1475"/>
    <n v="-32.9"/>
    <x v="3090"/>
    <n v="8999.2900000000009"/>
    <s v="Complete Access"/>
    <x v="580"/>
    <x v="9"/>
    <x v="12"/>
    <d v="1900-01-09T00:00:00"/>
    <n v="50"/>
    <x v="2"/>
    <x v="6"/>
  </r>
  <r>
    <x v="1476"/>
    <n v="230"/>
    <x v="3091"/>
    <n v="9570.5499999999993"/>
    <s v="Complete Access"/>
    <x v="584"/>
    <x v="0"/>
    <x v="69"/>
    <d v="1900-01-08T00:00:00"/>
    <n v="50"/>
    <x v="2"/>
    <x v="6"/>
  </r>
  <r>
    <x v="1477"/>
    <n v="-100"/>
    <x v="2274"/>
    <n v="9320.5499999999993"/>
    <s v="Complete Access"/>
    <x v="552"/>
    <x v="0"/>
    <x v="74"/>
    <d v="1900-01-06T00:00:00"/>
    <n v="49"/>
    <x v="2"/>
    <x v="6"/>
  </r>
  <r>
    <x v="1477"/>
    <n v="20"/>
    <x v="2876"/>
    <n v="9340.5499999999993"/>
    <s v="Complete Access"/>
    <x v="27"/>
    <x v="1"/>
    <x v="5"/>
    <d v="1900-01-06T00:00:00"/>
    <n v="49"/>
    <x v="2"/>
    <x v="6"/>
  </r>
  <r>
    <x v="1478"/>
    <n v="-0.99"/>
    <x v="2859"/>
    <n v="9400.0499999999993"/>
    <s v="Complete Access"/>
    <x v="61"/>
    <x v="1"/>
    <x v="1"/>
    <d v="1900-01-05T00:00:00"/>
    <n v="49"/>
    <x v="2"/>
    <x v="6"/>
  </r>
  <r>
    <x v="1478"/>
    <n v="-40"/>
    <x v="3092"/>
    <n v="9401.0400000000009"/>
    <s v="Complete Access"/>
    <x v="12"/>
    <x v="5"/>
    <x v="8"/>
    <d v="1900-01-05T00:00:00"/>
    <n v="49"/>
    <x v="2"/>
    <x v="6"/>
  </r>
  <r>
    <x v="1478"/>
    <n v="20.5"/>
    <x v="3024"/>
    <n v="9420.5499999999993"/>
    <s v="Complete Access"/>
    <x v="27"/>
    <x v="1"/>
    <x v="5"/>
    <d v="1900-01-05T00:00:00"/>
    <n v="49"/>
    <x v="2"/>
    <x v="6"/>
  </r>
  <r>
    <x v="1479"/>
    <n v="-8.9"/>
    <x v="2863"/>
    <n v="9441.0400000000009"/>
    <s v="Complete Access"/>
    <x v="186"/>
    <x v="1"/>
    <x v="5"/>
    <d v="1900-01-04T00:00:00"/>
    <n v="49"/>
    <x v="2"/>
    <x v="6"/>
  </r>
  <r>
    <x v="1480"/>
    <n v="-0.91"/>
    <x v="2859"/>
    <n v="9180.43"/>
    <s v="Complete Access"/>
    <x v="61"/>
    <x v="1"/>
    <x v="1"/>
    <d v="1900-01-03T00:00:00"/>
    <n v="49"/>
    <x v="2"/>
    <x v="6"/>
  </r>
  <r>
    <x v="1480"/>
    <n v="-20"/>
    <x v="2948"/>
    <n v="9460.43"/>
    <s v="Complete Access"/>
    <x v="562"/>
    <x v="1"/>
    <x v="5"/>
    <d v="1900-01-03T00:00:00"/>
    <n v="49"/>
    <x v="2"/>
    <x v="6"/>
  </r>
  <r>
    <x v="1480"/>
    <n v="-10.49"/>
    <x v="2643"/>
    <n v="9449.94"/>
    <s v="Complete Access"/>
    <x v="215"/>
    <x v="1"/>
    <x v="1"/>
    <d v="1900-01-03T00:00:00"/>
    <n v="49"/>
    <x v="2"/>
    <x v="6"/>
  </r>
  <r>
    <x v="1480"/>
    <n v="300"/>
    <x v="3093"/>
    <n v="9480.43"/>
    <s v="Complete Access"/>
    <x v="657"/>
    <x v="0"/>
    <x v="69"/>
    <d v="1900-01-03T00:00:00"/>
    <n v="49"/>
    <x v="2"/>
    <x v="6"/>
  </r>
  <r>
    <x v="1481"/>
    <n v="-4.75"/>
    <x v="2859"/>
    <n v="9207.64"/>
    <s v="Complete Access"/>
    <x v="61"/>
    <x v="1"/>
    <x v="1"/>
    <d v="1900-01-02T00:00:00"/>
    <n v="49"/>
    <x v="2"/>
    <x v="6"/>
  </r>
  <r>
    <x v="1481"/>
    <n v="-8.9"/>
    <x v="3094"/>
    <n v="9212.39"/>
    <s v="Complete Access"/>
    <x v="682"/>
    <x v="1"/>
    <x v="5"/>
    <d v="1900-01-02T00:00:00"/>
    <n v="49"/>
    <x v="2"/>
    <x v="6"/>
  </r>
  <r>
    <x v="1481"/>
    <n v="-26.3"/>
    <x v="2688"/>
    <n v="9181.34"/>
    <s v="Complete Access"/>
    <x v="177"/>
    <x v="1"/>
    <x v="1"/>
    <d v="1900-01-02T00:00:00"/>
    <n v="49"/>
    <x v="2"/>
    <x v="6"/>
  </r>
  <r>
    <x v="1482"/>
    <n v="-8.68"/>
    <x v="2859"/>
    <n v="9306.99"/>
    <s v="Complete Access"/>
    <x v="61"/>
    <x v="1"/>
    <x v="1"/>
    <d v="1900-01-01T00:00:00"/>
    <n v="49"/>
    <x v="2"/>
    <x v="6"/>
  </r>
  <r>
    <x v="1482"/>
    <n v="-13.4"/>
    <x v="3095"/>
    <n v="9293.59"/>
    <s v="Complete Access"/>
    <x v="714"/>
    <x v="1"/>
    <x v="5"/>
    <d v="1900-01-01T00:00:00"/>
    <n v="49"/>
    <x v="2"/>
    <x v="6"/>
  </r>
  <r>
    <x v="1482"/>
    <n v="100"/>
    <x v="3096"/>
    <n v="9221.2900000000009"/>
    <s v="Complete Access"/>
    <x v="584"/>
    <x v="0"/>
    <x v="69"/>
    <d v="1900-01-01T00:00:00"/>
    <n v="49"/>
    <x v="2"/>
    <x v="6"/>
  </r>
  <r>
    <x v="1482"/>
    <n v="-172.3"/>
    <x v="3097"/>
    <n v="9121.2900000000009"/>
    <s v="Complete Access"/>
    <x v="76"/>
    <x v="2"/>
    <x v="2"/>
    <d v="1900-01-01T00:00:00"/>
    <n v="49"/>
    <x v="2"/>
    <x v="6"/>
  </r>
  <r>
    <x v="1483"/>
    <n v="-20"/>
    <x v="2229"/>
    <n v="9315.67"/>
    <s v="Complete Access"/>
    <x v="557"/>
    <x v="7"/>
    <x v="53"/>
    <d v="1899-12-31T00:00:00"/>
    <n v="49"/>
    <x v="2"/>
    <x v="6"/>
  </r>
  <r>
    <x v="1484"/>
    <n v="-100"/>
    <x v="2274"/>
    <n v="9335.67"/>
    <s v="Complete Access"/>
    <x v="552"/>
    <x v="0"/>
    <x v="74"/>
    <d v="1900-01-29T00:00:00"/>
    <n v="48"/>
    <x v="3"/>
    <x v="6"/>
  </r>
  <r>
    <x v="1485"/>
    <n v="-40"/>
    <x v="3098"/>
    <n v="9456.34"/>
    <s v="Complete Access"/>
    <x v="12"/>
    <x v="5"/>
    <x v="8"/>
    <d v="1900-01-28T00:00:00"/>
    <n v="48"/>
    <x v="3"/>
    <x v="6"/>
  </r>
  <r>
    <x v="1485"/>
    <n v="-14"/>
    <x v="3000"/>
    <n v="9442.34"/>
    <s v="Complete Access"/>
    <x v="687"/>
    <x v="1"/>
    <x v="5"/>
    <d v="1900-01-28T00:00:00"/>
    <n v="48"/>
    <x v="3"/>
    <x v="6"/>
  </r>
  <r>
    <x v="1485"/>
    <n v="-6.67"/>
    <x v="2942"/>
    <n v="9435.67"/>
    <s v="Complete Access"/>
    <x v="681"/>
    <x v="1"/>
    <x v="5"/>
    <d v="1900-01-28T00:00:00"/>
    <n v="48"/>
    <x v="3"/>
    <x v="6"/>
  </r>
  <r>
    <x v="1486"/>
    <n v="-1.74"/>
    <x v="2859"/>
    <n v="9496.34"/>
    <s v="Complete Access"/>
    <x v="61"/>
    <x v="1"/>
    <x v="1"/>
    <d v="1900-01-27T00:00:00"/>
    <n v="48"/>
    <x v="3"/>
    <x v="6"/>
  </r>
  <r>
    <x v="1486"/>
    <n v="2053.4899999999998"/>
    <x v="3099"/>
    <n v="9998.08"/>
    <s v="Complete Access"/>
    <x v="14"/>
    <x v="6"/>
    <x v="9"/>
    <d v="1900-01-27T00:00:00"/>
    <n v="48"/>
    <x v="3"/>
    <x v="6"/>
  </r>
  <r>
    <x v="1486"/>
    <n v="-500"/>
    <x v="2294"/>
    <n v="9498.08"/>
    <s v="Complete Access"/>
    <x v="571"/>
    <x v="19"/>
    <x v="61"/>
    <d v="1900-01-27T00:00:00"/>
    <n v="48"/>
    <x v="3"/>
    <x v="6"/>
  </r>
  <r>
    <x v="1487"/>
    <n v="-8.1300000000000008"/>
    <x v="2859"/>
    <n v="7977.97"/>
    <s v="Complete Access"/>
    <x v="61"/>
    <x v="1"/>
    <x v="1"/>
    <d v="1900-01-26T00:00:00"/>
    <n v="48"/>
    <x v="3"/>
    <x v="6"/>
  </r>
  <r>
    <x v="1487"/>
    <n v="-65"/>
    <x v="3100"/>
    <n v="8071.47"/>
    <s v="Complete Access"/>
    <x v="8"/>
    <x v="1"/>
    <x v="5"/>
    <d v="1900-01-26T00:00:00"/>
    <n v="48"/>
    <x v="3"/>
    <x v="6"/>
  </r>
  <r>
    <x v="1487"/>
    <n v="-23.5"/>
    <x v="3101"/>
    <n v="8146.46"/>
    <s v="Complete Access"/>
    <x v="8"/>
    <x v="1"/>
    <x v="5"/>
    <d v="1900-01-26T00:00:00"/>
    <n v="48"/>
    <x v="3"/>
    <x v="6"/>
  </r>
  <r>
    <x v="1487"/>
    <n v="-41"/>
    <x v="3101"/>
    <n v="8169.96"/>
    <s v="Complete Access"/>
    <x v="8"/>
    <x v="1"/>
    <x v="5"/>
    <d v="1900-01-26T00:00:00"/>
    <n v="48"/>
    <x v="3"/>
    <x v="6"/>
  </r>
  <r>
    <x v="1487"/>
    <n v="-9.99"/>
    <x v="3102"/>
    <n v="8136.47"/>
    <s v="Complete Access"/>
    <x v="373"/>
    <x v="8"/>
    <x v="7"/>
    <d v="1900-01-26T00:00:00"/>
    <n v="48"/>
    <x v="3"/>
    <x v="6"/>
  </r>
  <r>
    <x v="1487"/>
    <n v="-50"/>
    <x v="2929"/>
    <n v="8210.9599999999991"/>
    <s v="Complete Access"/>
    <x v="645"/>
    <x v="0"/>
    <x v="69"/>
    <d v="1900-01-26T00:00:00"/>
    <n v="48"/>
    <x v="3"/>
    <x v="6"/>
  </r>
  <r>
    <x v="1487"/>
    <n v="-25.38"/>
    <x v="2643"/>
    <n v="7944.59"/>
    <s v="Complete Access"/>
    <x v="215"/>
    <x v="1"/>
    <x v="1"/>
    <d v="1900-01-26T00:00:00"/>
    <n v="48"/>
    <x v="3"/>
    <x v="6"/>
  </r>
  <r>
    <x v="1487"/>
    <n v="-61.4"/>
    <x v="3103"/>
    <n v="7986.1"/>
    <s v="Complete Access"/>
    <x v="1"/>
    <x v="1"/>
    <x v="1"/>
    <d v="1900-01-26T00:00:00"/>
    <n v="48"/>
    <x v="3"/>
    <x v="6"/>
  </r>
  <r>
    <x v="1487"/>
    <n v="-23.97"/>
    <x v="3104"/>
    <n v="8047.5"/>
    <s v="Complete Access"/>
    <x v="1"/>
    <x v="1"/>
    <x v="1"/>
    <d v="1900-01-26T00:00:00"/>
    <n v="48"/>
    <x v="3"/>
    <x v="6"/>
  </r>
  <r>
    <x v="1487"/>
    <n v="-8"/>
    <x v="3000"/>
    <n v="7969.97"/>
    <s v="Complete Access"/>
    <x v="687"/>
    <x v="1"/>
    <x v="5"/>
    <d v="1900-01-26T00:00:00"/>
    <n v="48"/>
    <x v="3"/>
    <x v="6"/>
  </r>
  <r>
    <x v="1488"/>
    <n v="-7"/>
    <x v="2891"/>
    <n v="8282.11"/>
    <s v="Complete Access"/>
    <x v="669"/>
    <x v="1"/>
    <x v="5"/>
    <d v="1900-01-25T00:00:00"/>
    <n v="48"/>
    <x v="3"/>
    <x v="6"/>
  </r>
  <r>
    <x v="1488"/>
    <n v="-11"/>
    <x v="3105"/>
    <n v="8289.11"/>
    <s v="Complete Access"/>
    <x v="682"/>
    <x v="1"/>
    <x v="5"/>
    <d v="1900-01-25T00:00:00"/>
    <n v="48"/>
    <x v="3"/>
    <x v="6"/>
  </r>
  <r>
    <x v="1488"/>
    <n v="-13.19"/>
    <x v="2874"/>
    <n v="8268.92"/>
    <s v="Complete Access"/>
    <x v="663"/>
    <x v="1"/>
    <x v="1"/>
    <d v="1900-01-25T00:00:00"/>
    <n v="48"/>
    <x v="3"/>
    <x v="6"/>
  </r>
  <r>
    <x v="1488"/>
    <n v="-7.96"/>
    <x v="2688"/>
    <n v="8260.9599999999991"/>
    <s v="Complete Access"/>
    <x v="177"/>
    <x v="1"/>
    <x v="1"/>
    <d v="1900-01-25T00:00:00"/>
    <n v="48"/>
    <x v="3"/>
    <x v="6"/>
  </r>
  <r>
    <x v="1489"/>
    <n v="-4.84"/>
    <x v="2859"/>
    <n v="8268.61"/>
    <s v="Complete Access"/>
    <x v="61"/>
    <x v="1"/>
    <x v="1"/>
    <d v="1900-01-24T00:00:00"/>
    <n v="48"/>
    <x v="3"/>
    <x v="6"/>
  </r>
  <r>
    <x v="1489"/>
    <n v="33.5"/>
    <x v="3024"/>
    <n v="8288.11"/>
    <s v="Complete Access"/>
    <x v="27"/>
    <x v="1"/>
    <x v="5"/>
    <d v="1900-01-24T00:00:00"/>
    <n v="48"/>
    <x v="3"/>
    <x v="6"/>
  </r>
  <r>
    <x v="1489"/>
    <n v="12"/>
    <x v="2876"/>
    <n v="8300.11"/>
    <s v="Complete Access"/>
    <x v="27"/>
    <x v="1"/>
    <x v="5"/>
    <d v="1900-01-24T00:00:00"/>
    <n v="48"/>
    <x v="3"/>
    <x v="6"/>
  </r>
  <r>
    <x v="1489"/>
    <n v="-14"/>
    <x v="3000"/>
    <n v="8254.61"/>
    <s v="Complete Access"/>
    <x v="687"/>
    <x v="1"/>
    <x v="5"/>
    <d v="1900-01-24T00:00:00"/>
    <n v="48"/>
    <x v="3"/>
    <x v="6"/>
  </r>
  <r>
    <x v="1490"/>
    <n v="-20"/>
    <x v="2971"/>
    <n v="8273.4500000000007"/>
    <s v="Complete Access"/>
    <x v="0"/>
    <x v="0"/>
    <x v="0"/>
    <d v="1900-01-23T00:00:00"/>
    <n v="48"/>
    <x v="3"/>
    <x v="6"/>
  </r>
  <r>
    <x v="1491"/>
    <n v="-40"/>
    <x v="3106"/>
    <n v="8293.4500000000007"/>
    <s v="Complete Access"/>
    <x v="12"/>
    <x v="5"/>
    <x v="8"/>
    <d v="1900-01-22T00:00:00"/>
    <n v="47"/>
    <x v="3"/>
    <x v="6"/>
  </r>
  <r>
    <x v="1491"/>
    <n v="-100"/>
    <x v="2274"/>
    <n v="8333.4500000000007"/>
    <s v="Complete Access"/>
    <x v="552"/>
    <x v="0"/>
    <x v="74"/>
    <d v="1900-01-22T00:00:00"/>
    <n v="47"/>
    <x v="3"/>
    <x v="6"/>
  </r>
  <r>
    <x v="1492"/>
    <n v="-3.5"/>
    <x v="2859"/>
    <n v="8447.4500000000007"/>
    <s v="Complete Access"/>
    <x v="61"/>
    <x v="1"/>
    <x v="1"/>
    <d v="1900-01-21T00:00:00"/>
    <n v="47"/>
    <x v="3"/>
    <x v="6"/>
  </r>
  <r>
    <x v="1492"/>
    <n v="-14"/>
    <x v="2863"/>
    <n v="8433.4500000000007"/>
    <s v="Complete Access"/>
    <x v="186"/>
    <x v="1"/>
    <x v="5"/>
    <d v="1900-01-21T00:00:00"/>
    <n v="47"/>
    <x v="3"/>
    <x v="6"/>
  </r>
  <r>
    <x v="1493"/>
    <n v="-4.25"/>
    <x v="2859"/>
    <n v="8450.9500000000007"/>
    <s v="Complete Access"/>
    <x v="61"/>
    <x v="1"/>
    <x v="1"/>
    <d v="1900-01-20T00:00:00"/>
    <n v="47"/>
    <x v="3"/>
    <x v="6"/>
  </r>
  <r>
    <x v="1493"/>
    <n v="-196.71"/>
    <x v="3107"/>
    <n v="8455.2000000000007"/>
    <s v="Complete Access"/>
    <x v="0"/>
    <x v="0"/>
    <x v="0"/>
    <d v="1900-01-20T00:00:00"/>
    <n v="47"/>
    <x v="3"/>
    <x v="6"/>
  </r>
  <r>
    <x v="1494"/>
    <n v="-24"/>
    <x v="3108"/>
    <n v="8688.83"/>
    <s v="Complete Access"/>
    <x v="8"/>
    <x v="1"/>
    <x v="5"/>
    <d v="1900-01-19T00:00:00"/>
    <n v="47"/>
    <x v="3"/>
    <x v="6"/>
  </r>
  <r>
    <x v="1494"/>
    <n v="-20.52"/>
    <x v="2643"/>
    <n v="8651.91"/>
    <s v="Complete Access"/>
    <x v="215"/>
    <x v="1"/>
    <x v="1"/>
    <d v="1900-01-19T00:00:00"/>
    <n v="47"/>
    <x v="3"/>
    <x v="6"/>
  </r>
  <r>
    <x v="1494"/>
    <n v="-16.399999999999999"/>
    <x v="2863"/>
    <n v="8672.43"/>
    <s v="Complete Access"/>
    <x v="186"/>
    <x v="1"/>
    <x v="5"/>
    <d v="1900-01-19T00:00:00"/>
    <n v="47"/>
    <x v="3"/>
    <x v="6"/>
  </r>
  <r>
    <x v="1495"/>
    <n v="-8.9"/>
    <x v="3109"/>
    <n v="8756.83"/>
    <s v="Complete Access"/>
    <x v="682"/>
    <x v="1"/>
    <x v="5"/>
    <d v="1900-01-18T00:00:00"/>
    <n v="47"/>
    <x v="3"/>
    <x v="6"/>
  </r>
  <r>
    <x v="1495"/>
    <n v="-11"/>
    <x v="2762"/>
    <n v="8712.83"/>
    <s v="Complete Access"/>
    <x v="616"/>
    <x v="1"/>
    <x v="1"/>
    <d v="1900-01-18T00:00:00"/>
    <n v="47"/>
    <x v="3"/>
    <x v="6"/>
  </r>
  <r>
    <x v="1495"/>
    <n v="-7"/>
    <x v="3110"/>
    <n v="8723.83"/>
    <s v="Complete Access"/>
    <x v="715"/>
    <x v="8"/>
    <x v="29"/>
    <d v="1900-01-18T00:00:00"/>
    <n v="47"/>
    <x v="3"/>
    <x v="6"/>
  </r>
  <r>
    <x v="1495"/>
    <n v="-22"/>
    <x v="3110"/>
    <n v="8730.83"/>
    <s v="Complete Access"/>
    <x v="715"/>
    <x v="8"/>
    <x v="29"/>
    <d v="1900-01-18T00:00:00"/>
    <n v="47"/>
    <x v="3"/>
    <x v="6"/>
  </r>
  <r>
    <x v="1495"/>
    <n v="-4"/>
    <x v="3111"/>
    <n v="8752.83"/>
    <s v="Complete Access"/>
    <x v="277"/>
    <x v="8"/>
    <x v="29"/>
    <d v="1900-01-18T00:00:00"/>
    <n v="47"/>
    <x v="3"/>
    <x v="6"/>
  </r>
  <r>
    <x v="1496"/>
    <n v="-1.1499999999999999"/>
    <x v="2643"/>
    <n v="8765.73"/>
    <s v="Complete Access"/>
    <x v="215"/>
    <x v="1"/>
    <x v="1"/>
    <d v="1900-01-17T00:00:00"/>
    <n v="47"/>
    <x v="3"/>
    <x v="6"/>
  </r>
  <r>
    <x v="1496"/>
    <n v="-10.39"/>
    <x v="2874"/>
    <n v="8776.8700000000008"/>
    <s v="Complete Access"/>
    <x v="663"/>
    <x v="1"/>
    <x v="1"/>
    <d v="1900-01-17T00:00:00"/>
    <n v="47"/>
    <x v="3"/>
    <x v="6"/>
  </r>
  <r>
    <x v="1496"/>
    <n v="-9.99"/>
    <x v="2688"/>
    <n v="8766.8799999999992"/>
    <s v="Complete Access"/>
    <x v="177"/>
    <x v="1"/>
    <x v="1"/>
    <d v="1900-01-17T00:00:00"/>
    <n v="47"/>
    <x v="3"/>
    <x v="6"/>
  </r>
  <r>
    <x v="1496"/>
    <n v="-14.5"/>
    <x v="2494"/>
    <n v="8770.26"/>
    <s v="Complete Access"/>
    <x v="27"/>
    <x v="1"/>
    <x v="5"/>
    <d v="1900-01-17T00:00:00"/>
    <n v="47"/>
    <x v="3"/>
    <x v="6"/>
  </r>
  <r>
    <x v="1496"/>
    <n v="17"/>
    <x v="3112"/>
    <n v="8787.26"/>
    <s v="Complete Access"/>
    <x v="76"/>
    <x v="2"/>
    <x v="2"/>
    <d v="1900-01-17T00:00:00"/>
    <n v="47"/>
    <x v="3"/>
    <x v="6"/>
  </r>
  <r>
    <x v="1497"/>
    <n v="-8.9"/>
    <x v="3113"/>
    <n v="8801.66"/>
    <s v="Complete Access"/>
    <x v="682"/>
    <x v="1"/>
    <x v="5"/>
    <d v="1900-01-15T00:00:00"/>
    <n v="46"/>
    <x v="3"/>
    <x v="6"/>
  </r>
  <r>
    <x v="1497"/>
    <n v="-100"/>
    <x v="2274"/>
    <n v="8810.56"/>
    <s v="Complete Access"/>
    <x v="552"/>
    <x v="0"/>
    <x v="74"/>
    <d v="1900-01-15T00:00:00"/>
    <n v="46"/>
    <x v="3"/>
    <x v="6"/>
  </r>
  <r>
    <x v="1497"/>
    <n v="-16.899999999999999"/>
    <x v="2638"/>
    <n v="8784.76"/>
    <s v="Complete Access"/>
    <x v="304"/>
    <x v="1"/>
    <x v="5"/>
    <d v="1900-01-15T00:00:00"/>
    <n v="46"/>
    <x v="3"/>
    <x v="6"/>
  </r>
  <r>
    <x v="1498"/>
    <n v="-2.5"/>
    <x v="2859"/>
    <n v="8916.64"/>
    <s v="Complete Access"/>
    <x v="61"/>
    <x v="1"/>
    <x v="1"/>
    <d v="1900-01-14T00:00:00"/>
    <n v="46"/>
    <x v="3"/>
    <x v="6"/>
  </r>
  <r>
    <x v="1498"/>
    <n v="-40"/>
    <x v="3114"/>
    <n v="8928.64"/>
    <s v="Complete Access"/>
    <x v="12"/>
    <x v="5"/>
    <x v="8"/>
    <d v="1900-01-14T00:00:00"/>
    <n v="46"/>
    <x v="3"/>
    <x v="6"/>
  </r>
  <r>
    <x v="1498"/>
    <n v="-6.08"/>
    <x v="2643"/>
    <n v="8910.56"/>
    <s v="Complete Access"/>
    <x v="215"/>
    <x v="1"/>
    <x v="1"/>
    <d v="1900-01-14T00:00:00"/>
    <n v="46"/>
    <x v="3"/>
    <x v="6"/>
  </r>
  <r>
    <x v="1498"/>
    <n v="-9.5"/>
    <x v="3115"/>
    <n v="8919.14"/>
    <s v="Complete Access"/>
    <x v="277"/>
    <x v="8"/>
    <x v="29"/>
    <d v="1900-01-14T00:00:00"/>
    <n v="46"/>
    <x v="3"/>
    <x v="6"/>
  </r>
  <r>
    <x v="1499"/>
    <n v="-3.18"/>
    <x v="2859"/>
    <n v="8968.64"/>
    <s v="Complete Access"/>
    <x v="61"/>
    <x v="1"/>
    <x v="1"/>
    <d v="1900-01-13T00:00:00"/>
    <n v="46"/>
    <x v="3"/>
    <x v="6"/>
  </r>
  <r>
    <x v="1499"/>
    <n v="-46.5"/>
    <x v="3116"/>
    <n v="8971.82"/>
    <s v="Complete Access"/>
    <x v="8"/>
    <x v="1"/>
    <x v="5"/>
    <d v="1900-01-13T00:00:00"/>
    <n v="46"/>
    <x v="3"/>
    <x v="6"/>
  </r>
  <r>
    <x v="1499"/>
    <n v="2053.4899999999998"/>
    <x v="3117"/>
    <n v="9518.32"/>
    <s v="Complete Access"/>
    <x v="14"/>
    <x v="6"/>
    <x v="9"/>
    <d v="1900-01-13T00:00:00"/>
    <n v="46"/>
    <x v="3"/>
    <x v="6"/>
  </r>
  <r>
    <x v="1499"/>
    <n v="-500"/>
    <x v="2294"/>
    <n v="9018.32"/>
    <s v="Complete Access"/>
    <x v="571"/>
    <x v="19"/>
    <x v="61"/>
    <d v="1900-01-13T00:00:00"/>
    <n v="46"/>
    <x v="3"/>
    <x v="6"/>
  </r>
  <r>
    <x v="1500"/>
    <n v="-1.62"/>
    <x v="2859"/>
    <n v="7476.23"/>
    <s v="Complete Access"/>
    <x v="61"/>
    <x v="1"/>
    <x v="1"/>
    <d v="1900-01-12T00:00:00"/>
    <n v="46"/>
    <x v="3"/>
    <x v="6"/>
  </r>
  <r>
    <x v="1500"/>
    <n v="-37.5"/>
    <x v="3118"/>
    <n v="7477.85"/>
    <s v="Complete Access"/>
    <x v="8"/>
    <x v="1"/>
    <x v="5"/>
    <d v="1900-01-12T00:00:00"/>
    <n v="46"/>
    <x v="3"/>
    <x v="6"/>
  </r>
  <r>
    <x v="1500"/>
    <n v="-11.4"/>
    <x v="2762"/>
    <n v="7464.83"/>
    <s v="Complete Access"/>
    <x v="616"/>
    <x v="1"/>
    <x v="1"/>
    <d v="1900-01-12T00:00:00"/>
    <n v="46"/>
    <x v="3"/>
    <x v="6"/>
  </r>
  <r>
    <x v="1501"/>
    <n v="-23.5"/>
    <x v="3119"/>
    <n v="7595.35"/>
    <s v="Complete Access"/>
    <x v="8"/>
    <x v="1"/>
    <x v="5"/>
    <d v="1900-01-11T00:00:00"/>
    <n v="46"/>
    <x v="3"/>
    <x v="6"/>
  </r>
  <r>
    <x v="1501"/>
    <n v="-25"/>
    <x v="3120"/>
    <n v="7618.85"/>
    <s v="Complete Access"/>
    <x v="192"/>
    <x v="4"/>
    <x v="20"/>
    <d v="1900-01-11T00:00:00"/>
    <n v="46"/>
    <x v="3"/>
    <x v="6"/>
  </r>
  <r>
    <x v="1501"/>
    <n v="-80"/>
    <x v="3121"/>
    <n v="7515.35"/>
    <s v="Complete Access"/>
    <x v="716"/>
    <x v="11"/>
    <x v="49"/>
    <d v="1900-01-11T00:00:00"/>
    <n v="46"/>
    <x v="3"/>
    <x v="6"/>
  </r>
  <r>
    <x v="1502"/>
    <n v="-1.1100000000000001"/>
    <x v="2859"/>
    <n v="7822.12"/>
    <s v="Complete Access"/>
    <x v="61"/>
    <x v="1"/>
    <x v="1"/>
    <d v="1900-01-10T00:00:00"/>
    <n v="46"/>
    <x v="3"/>
    <x v="6"/>
  </r>
  <r>
    <x v="1502"/>
    <n v="-52"/>
    <x v="2929"/>
    <n v="7716.85"/>
    <s v="Complete Access"/>
    <x v="645"/>
    <x v="0"/>
    <x v="69"/>
    <d v="1900-01-10T00:00:00"/>
    <n v="46"/>
    <x v="3"/>
    <x v="6"/>
  </r>
  <r>
    <x v="1502"/>
    <n v="-39.270000000000003"/>
    <x v="2688"/>
    <n v="7768.85"/>
    <s v="Complete Access"/>
    <x v="177"/>
    <x v="1"/>
    <x v="1"/>
    <d v="1900-01-10T00:00:00"/>
    <n v="46"/>
    <x v="3"/>
    <x v="6"/>
  </r>
  <r>
    <x v="1502"/>
    <n v="-73"/>
    <x v="2543"/>
    <n v="7643.85"/>
    <s v="Complete Access"/>
    <x v="17"/>
    <x v="7"/>
    <x v="11"/>
    <d v="1900-01-10T00:00:00"/>
    <n v="46"/>
    <x v="3"/>
    <x v="6"/>
  </r>
  <r>
    <x v="1502"/>
    <n v="-14"/>
    <x v="3000"/>
    <n v="7808.12"/>
    <s v="Complete Access"/>
    <x v="687"/>
    <x v="1"/>
    <x v="5"/>
    <d v="1900-01-10T00:00:00"/>
    <n v="46"/>
    <x v="3"/>
    <x v="6"/>
  </r>
  <r>
    <x v="1503"/>
    <n v="-362.07"/>
    <x v="3122"/>
    <n v="7934.09"/>
    <s v="Complete Access"/>
    <x v="256"/>
    <x v="4"/>
    <x v="47"/>
    <d v="1900-01-08T00:00:00"/>
    <n v="45"/>
    <x v="3"/>
    <x v="6"/>
  </r>
  <r>
    <x v="1503"/>
    <n v="-40"/>
    <x v="3123"/>
    <n v="8388.66"/>
    <s v="Complete Access"/>
    <x v="12"/>
    <x v="5"/>
    <x v="8"/>
    <d v="1900-01-08T00:00:00"/>
    <n v="45"/>
    <x v="3"/>
    <x v="6"/>
  </r>
  <r>
    <x v="1503"/>
    <n v="-58.31"/>
    <x v="3124"/>
    <n v="8330.35"/>
    <s v="Complete Access"/>
    <x v="717"/>
    <x v="1"/>
    <x v="5"/>
    <d v="1900-01-08T00:00:00"/>
    <n v="45"/>
    <x v="3"/>
    <x v="6"/>
  </r>
  <r>
    <x v="1503"/>
    <n v="-10.86"/>
    <x v="3125"/>
    <n v="7923.23"/>
    <s v="Complete Access"/>
    <x v="10"/>
    <x v="0"/>
    <x v="0"/>
    <d v="1900-01-08T00:00:00"/>
    <n v="45"/>
    <x v="3"/>
    <x v="6"/>
  </r>
  <r>
    <x v="1503"/>
    <n v="-100"/>
    <x v="2274"/>
    <n v="7823.23"/>
    <s v="Complete Access"/>
    <x v="552"/>
    <x v="0"/>
    <x v="74"/>
    <d v="1900-01-08T00:00:00"/>
    <n v="45"/>
    <x v="3"/>
    <x v="6"/>
  </r>
  <r>
    <x v="1503"/>
    <n v="-34.19"/>
    <x v="3126"/>
    <n v="8296.16"/>
    <s v="Complete Access"/>
    <x v="718"/>
    <x v="4"/>
    <x v="30"/>
    <d v="1900-01-08T00:00:00"/>
    <n v="45"/>
    <x v="3"/>
    <x v="6"/>
  </r>
  <r>
    <x v="1504"/>
    <n v="-5"/>
    <x v="2859"/>
    <n v="8464.66"/>
    <s v="Complete Access"/>
    <x v="61"/>
    <x v="1"/>
    <x v="1"/>
    <d v="1900-01-07T00:00:00"/>
    <n v="45"/>
    <x v="3"/>
    <x v="6"/>
  </r>
  <r>
    <x v="1504"/>
    <n v="-12.5"/>
    <x v="3127"/>
    <n v="8497.7999999999993"/>
    <s v="Complete Access"/>
    <x v="682"/>
    <x v="1"/>
    <x v="5"/>
    <d v="1900-01-07T00:00:00"/>
    <n v="45"/>
    <x v="3"/>
    <x v="6"/>
  </r>
  <r>
    <x v="1504"/>
    <n v="-17.5"/>
    <x v="3128"/>
    <n v="8447.16"/>
    <s v="Complete Access"/>
    <x v="719"/>
    <x v="1"/>
    <x v="5"/>
    <d v="1900-01-07T00:00:00"/>
    <n v="45"/>
    <x v="3"/>
    <x v="6"/>
  </r>
  <r>
    <x v="1504"/>
    <n v="-28.14"/>
    <x v="3129"/>
    <n v="8469.66"/>
    <s v="Complete Access"/>
    <x v="237"/>
    <x v="15"/>
    <x v="34"/>
    <d v="1900-01-07T00:00:00"/>
    <n v="45"/>
    <x v="3"/>
    <x v="6"/>
  </r>
  <r>
    <x v="1504"/>
    <n v="-18.5"/>
    <x v="2700"/>
    <n v="8428.66"/>
    <s v="Complete Access"/>
    <x v="243"/>
    <x v="1"/>
    <x v="23"/>
    <d v="1900-01-07T00:00:00"/>
    <n v="45"/>
    <x v="3"/>
    <x v="6"/>
  </r>
  <r>
    <x v="1505"/>
    <n v="-28.79"/>
    <x v="3130"/>
    <n v="8524.2999999999993"/>
    <s v="Complete Access"/>
    <x v="720"/>
    <x v="8"/>
    <x v="29"/>
    <d v="1900-01-06T00:00:00"/>
    <n v="45"/>
    <x v="3"/>
    <x v="6"/>
  </r>
  <r>
    <x v="1505"/>
    <n v="-19.190000000000001"/>
    <x v="3130"/>
    <n v="8553.09"/>
    <s v="Complete Access"/>
    <x v="720"/>
    <x v="8"/>
    <x v="29"/>
    <d v="1900-01-06T00:00:00"/>
    <n v="45"/>
    <x v="3"/>
    <x v="6"/>
  </r>
  <r>
    <x v="1505"/>
    <n v="-38.380000000000003"/>
    <x v="3130"/>
    <n v="8572.2800000000007"/>
    <s v="Complete Access"/>
    <x v="720"/>
    <x v="8"/>
    <x v="29"/>
    <d v="1900-01-06T00:00:00"/>
    <n v="45"/>
    <x v="3"/>
    <x v="6"/>
  </r>
  <r>
    <x v="1505"/>
    <n v="-33.08"/>
    <x v="3131"/>
    <n v="8610.66"/>
    <s v="Complete Access"/>
    <x v="668"/>
    <x v="15"/>
    <x v="34"/>
    <d v="1900-01-06T00:00:00"/>
    <n v="45"/>
    <x v="3"/>
    <x v="6"/>
  </r>
  <r>
    <x v="1505"/>
    <n v="-14"/>
    <x v="3000"/>
    <n v="8510.2999999999993"/>
    <s v="Complete Access"/>
    <x v="687"/>
    <x v="1"/>
    <x v="5"/>
    <d v="1900-01-06T00:00:00"/>
    <n v="45"/>
    <x v="3"/>
    <x v="6"/>
  </r>
  <r>
    <x v="1506"/>
    <n v="-42"/>
    <x v="3132"/>
    <n v="8673.11"/>
    <s v="Complete Access"/>
    <x v="8"/>
    <x v="1"/>
    <x v="5"/>
    <d v="1900-01-05T00:00:00"/>
    <n v="45"/>
    <x v="3"/>
    <x v="6"/>
  </r>
  <r>
    <x v="1506"/>
    <n v="-15"/>
    <x v="2948"/>
    <n v="8658.11"/>
    <s v="Complete Access"/>
    <x v="562"/>
    <x v="1"/>
    <x v="5"/>
    <d v="1900-01-05T00:00:00"/>
    <n v="45"/>
    <x v="3"/>
    <x v="6"/>
  </r>
  <r>
    <x v="1506"/>
    <n v="-14.37"/>
    <x v="2688"/>
    <n v="8643.74"/>
    <s v="Complete Access"/>
    <x v="177"/>
    <x v="1"/>
    <x v="1"/>
    <d v="1900-01-05T00:00:00"/>
    <n v="45"/>
    <x v="3"/>
    <x v="6"/>
  </r>
  <r>
    <x v="1507"/>
    <n v="-2.16"/>
    <x v="2859"/>
    <n v="8715.11"/>
    <s v="Complete Access"/>
    <x v="61"/>
    <x v="1"/>
    <x v="1"/>
    <d v="1900-01-04T00:00:00"/>
    <n v="45"/>
    <x v="3"/>
    <x v="6"/>
  </r>
  <r>
    <x v="1507"/>
    <n v="-40"/>
    <x v="3133"/>
    <n v="8756.7199999999993"/>
    <s v="Complete Access"/>
    <x v="12"/>
    <x v="5"/>
    <x v="8"/>
    <d v="1900-01-04T00:00:00"/>
    <n v="45"/>
    <x v="3"/>
    <x v="6"/>
  </r>
  <r>
    <x v="1507"/>
    <n v="-9"/>
    <x v="3134"/>
    <n v="8747.7199999999993"/>
    <s v="Complete Access"/>
    <x v="512"/>
    <x v="1"/>
    <x v="5"/>
    <d v="1900-01-04T00:00:00"/>
    <n v="45"/>
    <x v="3"/>
    <x v="6"/>
  </r>
  <r>
    <x v="1507"/>
    <n v="-30.45"/>
    <x v="3135"/>
    <n v="8717.27"/>
    <s v="Complete Access"/>
    <x v="237"/>
    <x v="15"/>
    <x v="34"/>
    <d v="1900-01-04T00:00:00"/>
    <n v="45"/>
    <x v="3"/>
    <x v="6"/>
  </r>
  <r>
    <x v="1508"/>
    <n v="-2.4300000000000002"/>
    <x v="2859"/>
    <n v="8823.6200000000008"/>
    <s v="Complete Access"/>
    <x v="61"/>
    <x v="1"/>
    <x v="1"/>
    <d v="1900-01-03T00:00:00"/>
    <n v="45"/>
    <x v="3"/>
    <x v="6"/>
  </r>
  <r>
    <x v="1508"/>
    <n v="-26.9"/>
    <x v="2688"/>
    <n v="8796.7199999999993"/>
    <s v="Complete Access"/>
    <x v="177"/>
    <x v="1"/>
    <x v="1"/>
    <d v="1900-01-03T00:00:00"/>
    <n v="45"/>
    <x v="3"/>
    <x v="6"/>
  </r>
  <r>
    <x v="1509"/>
    <n v="18.5"/>
    <x v="3136"/>
    <n v="8839.5499999999993"/>
    <s v="Complete Access"/>
    <x v="27"/>
    <x v="1"/>
    <x v="5"/>
    <d v="1900-01-02T00:00:00"/>
    <n v="45"/>
    <x v="3"/>
    <x v="6"/>
  </r>
  <r>
    <x v="1509"/>
    <n v="-13.5"/>
    <x v="2971"/>
    <n v="8826.0499999999993"/>
    <s v="Complete Access"/>
    <x v="0"/>
    <x v="0"/>
    <x v="0"/>
    <d v="1900-01-02T00:00:00"/>
    <n v="45"/>
    <x v="3"/>
    <x v="6"/>
  </r>
  <r>
    <x v="1510"/>
    <n v="-8.9"/>
    <x v="3137"/>
    <n v="8849.0499999999993"/>
    <s v="Complete Access"/>
    <x v="682"/>
    <x v="1"/>
    <x v="5"/>
    <d v="1900-01-01T00:00:00"/>
    <n v="44"/>
    <x v="3"/>
    <x v="6"/>
  </r>
  <r>
    <x v="1510"/>
    <n v="-100"/>
    <x v="2274"/>
    <n v="8857.9500000000007"/>
    <s v="Complete Access"/>
    <x v="552"/>
    <x v="0"/>
    <x v="74"/>
    <d v="1900-01-01T00:00:00"/>
    <n v="44"/>
    <x v="3"/>
    <x v="6"/>
  </r>
  <r>
    <x v="1510"/>
    <n v="-28"/>
    <x v="3061"/>
    <n v="8821.0499999999993"/>
    <s v="Complete Access"/>
    <x v="27"/>
    <x v="1"/>
    <x v="5"/>
    <d v="1900-01-01T00:00:00"/>
    <n v="44"/>
    <x v="3"/>
    <x v="6"/>
  </r>
  <r>
    <x v="1511"/>
    <n v="-80"/>
    <x v="3138"/>
    <n v="8960.75"/>
    <s v="Complete Access"/>
    <x v="601"/>
    <x v="0"/>
    <x v="0"/>
    <d v="1899-12-31T00:00:00"/>
    <n v="44"/>
    <x v="3"/>
    <x v="6"/>
  </r>
  <r>
    <x v="1511"/>
    <n v="-32"/>
    <x v="3139"/>
    <n v="9213.0499999999993"/>
    <s v="Complete Access"/>
    <x v="721"/>
    <x v="8"/>
    <x v="29"/>
    <d v="1899-12-31T00:00:00"/>
    <n v="44"/>
    <x v="3"/>
    <x v="6"/>
  </r>
  <r>
    <x v="1511"/>
    <n v="-10"/>
    <x v="3128"/>
    <n v="9245.0499999999993"/>
    <s v="Complete Access"/>
    <x v="719"/>
    <x v="1"/>
    <x v="5"/>
    <d v="1899-12-31T00:00:00"/>
    <n v="44"/>
    <x v="3"/>
    <x v="6"/>
  </r>
  <r>
    <x v="1511"/>
    <n v="-2.8"/>
    <x v="3140"/>
    <n v="8957.9500000000007"/>
    <s v="Complete Access"/>
    <x v="37"/>
    <x v="0"/>
    <x v="0"/>
    <d v="1899-12-31T00:00:00"/>
    <n v="44"/>
    <x v="3"/>
    <x v="6"/>
  </r>
  <r>
    <x v="1511"/>
    <n v="-20"/>
    <x v="2229"/>
    <n v="9255.0499999999993"/>
    <s v="Complete Access"/>
    <x v="557"/>
    <x v="7"/>
    <x v="53"/>
    <d v="1899-12-31T00:00:00"/>
    <n v="44"/>
    <x v="3"/>
    <x v="6"/>
  </r>
  <r>
    <x v="1511"/>
    <n v="-24.5"/>
    <x v="3141"/>
    <n v="9275.0499999999993"/>
    <s v="Complete Access"/>
    <x v="460"/>
    <x v="8"/>
    <x v="29"/>
    <d v="1899-12-31T00:00:00"/>
    <n v="44"/>
    <x v="3"/>
    <x v="6"/>
  </r>
  <r>
    <x v="1511"/>
    <n v="-172.3"/>
    <x v="3142"/>
    <n v="9040.75"/>
    <s v="Complete Access"/>
    <x v="76"/>
    <x v="2"/>
    <x v="2"/>
    <d v="1899-12-31T00:00:00"/>
    <n v="44"/>
    <x v="3"/>
    <x v="6"/>
  </r>
  <r>
    <x v="1512"/>
    <n v="-4"/>
    <x v="2859"/>
    <n v="9514.35"/>
    <s v="Complete Access"/>
    <x v="61"/>
    <x v="1"/>
    <x v="1"/>
    <d v="1900-01-30T00:00:00"/>
    <n v="44"/>
    <x v="4"/>
    <x v="6"/>
  </r>
  <r>
    <x v="1512"/>
    <n v="2053.4899999999998"/>
    <x v="3143"/>
    <n v="10018.35"/>
    <s v="Complete Access"/>
    <x v="14"/>
    <x v="6"/>
    <x v="9"/>
    <d v="1900-01-30T00:00:00"/>
    <n v="44"/>
    <x v="4"/>
    <x v="6"/>
  </r>
  <r>
    <x v="1512"/>
    <n v="-500"/>
    <x v="2294"/>
    <n v="9518.35"/>
    <s v="Complete Access"/>
    <x v="571"/>
    <x v="19"/>
    <x v="61"/>
    <d v="1900-01-30T00:00:00"/>
    <n v="44"/>
    <x v="4"/>
    <x v="6"/>
  </r>
  <r>
    <x v="1512"/>
    <n v="-200"/>
    <x v="2999"/>
    <n v="9299.5499999999993"/>
    <s v="Complete Access"/>
    <x v="0"/>
    <x v="0"/>
    <x v="0"/>
    <d v="1900-01-30T00:00:00"/>
    <n v="44"/>
    <x v="4"/>
    <x v="6"/>
  </r>
  <r>
    <x v="1512"/>
    <n v="-4.9000000000000004"/>
    <x v="2863"/>
    <n v="9499.5499999999993"/>
    <s v="Complete Access"/>
    <x v="186"/>
    <x v="1"/>
    <x v="5"/>
    <d v="1900-01-30T00:00:00"/>
    <n v="44"/>
    <x v="4"/>
    <x v="6"/>
  </r>
  <r>
    <x v="1512"/>
    <n v="-9.9"/>
    <x v="2863"/>
    <n v="9504.4500000000007"/>
    <s v="Complete Access"/>
    <x v="186"/>
    <x v="1"/>
    <x v="5"/>
    <d v="1900-01-30T00:00:00"/>
    <n v="44"/>
    <x v="4"/>
    <x v="6"/>
  </r>
  <r>
    <x v="1513"/>
    <n v="-7.2"/>
    <x v="2859"/>
    <n v="7986.74"/>
    <s v="Complete Access"/>
    <x v="61"/>
    <x v="1"/>
    <x v="1"/>
    <d v="1900-01-29T00:00:00"/>
    <n v="44"/>
    <x v="4"/>
    <x v="6"/>
  </r>
  <r>
    <x v="1513"/>
    <n v="-33.5"/>
    <x v="3144"/>
    <n v="7993.94"/>
    <s v="Complete Access"/>
    <x v="8"/>
    <x v="1"/>
    <x v="5"/>
    <d v="1900-01-29T00:00:00"/>
    <n v="44"/>
    <x v="4"/>
    <x v="6"/>
  </r>
  <r>
    <x v="1513"/>
    <n v="-3.73"/>
    <x v="3145"/>
    <n v="8027.44"/>
    <s v="Complete Access"/>
    <x v="285"/>
    <x v="5"/>
    <x v="8"/>
    <d v="1900-01-29T00:00:00"/>
    <n v="44"/>
    <x v="4"/>
    <x v="6"/>
  </r>
  <r>
    <x v="1513"/>
    <n v="-21.88"/>
    <x v="2688"/>
    <n v="7964.86"/>
    <s v="Complete Access"/>
    <x v="177"/>
    <x v="1"/>
    <x v="1"/>
    <d v="1900-01-29T00:00:00"/>
    <n v="44"/>
    <x v="4"/>
    <x v="6"/>
  </r>
  <r>
    <x v="1514"/>
    <n v="-2.33"/>
    <x v="2859"/>
    <n v="8042.81"/>
    <s v="Complete Access"/>
    <x v="61"/>
    <x v="1"/>
    <x v="1"/>
    <d v="1900-01-28T00:00:00"/>
    <n v="44"/>
    <x v="4"/>
    <x v="6"/>
  </r>
  <r>
    <x v="1514"/>
    <n v="-10.14"/>
    <x v="3146"/>
    <n v="8057.34"/>
    <s v="Complete Access"/>
    <x v="285"/>
    <x v="5"/>
    <x v="8"/>
    <d v="1900-01-28T00:00:00"/>
    <n v="44"/>
    <x v="4"/>
    <x v="6"/>
  </r>
  <r>
    <x v="1514"/>
    <n v="-40"/>
    <x v="3147"/>
    <n v="8067.48"/>
    <s v="Complete Access"/>
    <x v="12"/>
    <x v="5"/>
    <x v="8"/>
    <d v="1900-01-28T00:00:00"/>
    <n v="44"/>
    <x v="4"/>
    <x v="6"/>
  </r>
  <r>
    <x v="1514"/>
    <n v="-8.4499999999999993"/>
    <x v="2762"/>
    <n v="8034.36"/>
    <s v="Complete Access"/>
    <x v="616"/>
    <x v="1"/>
    <x v="1"/>
    <d v="1900-01-28T00:00:00"/>
    <n v="44"/>
    <x v="4"/>
    <x v="6"/>
  </r>
  <r>
    <x v="1514"/>
    <n v="-12.2"/>
    <x v="3148"/>
    <n v="8045.14"/>
    <s v="Complete Access"/>
    <x v="213"/>
    <x v="1"/>
    <x v="23"/>
    <d v="1900-01-28T00:00:00"/>
    <n v="44"/>
    <x v="4"/>
    <x v="6"/>
  </r>
  <r>
    <x v="1514"/>
    <n v="-3.19"/>
    <x v="2643"/>
    <n v="8031.17"/>
    <s v="Complete Access"/>
    <x v="215"/>
    <x v="1"/>
    <x v="1"/>
    <d v="1900-01-28T00:00:00"/>
    <n v="44"/>
    <x v="4"/>
    <x v="6"/>
  </r>
  <r>
    <x v="1515"/>
    <n v="-15.03"/>
    <x v="2915"/>
    <n v="8107.48"/>
    <s v="Complete Access"/>
    <x v="674"/>
    <x v="8"/>
    <x v="29"/>
    <d v="1900-01-27T00:00:00"/>
    <n v="44"/>
    <x v="4"/>
    <x v="6"/>
  </r>
  <r>
    <x v="1515"/>
    <n v="-3.5"/>
    <x v="2859"/>
    <n v="7003.41"/>
    <s v="Complete Access"/>
    <x v="61"/>
    <x v="1"/>
    <x v="1"/>
    <d v="1900-01-27T00:00:00"/>
    <n v="44"/>
    <x v="4"/>
    <x v="6"/>
  </r>
  <r>
    <x v="1515"/>
    <n v="1130"/>
    <x v="3149"/>
    <n v="8133.41"/>
    <s v="Complete Access"/>
    <x v="722"/>
    <x v="0"/>
    <x v="0"/>
    <d v="1900-01-27T00:00:00"/>
    <n v="44"/>
    <x v="4"/>
    <x v="6"/>
  </r>
  <r>
    <x v="1515"/>
    <n v="-10.9"/>
    <x v="2863"/>
    <n v="8122.51"/>
    <s v="Complete Access"/>
    <x v="186"/>
    <x v="1"/>
    <x v="5"/>
    <d v="1900-01-27T00:00:00"/>
    <n v="44"/>
    <x v="4"/>
    <x v="6"/>
  </r>
  <r>
    <x v="1516"/>
    <n v="-100"/>
    <x v="2274"/>
    <n v="7027.31"/>
    <s v="Complete Access"/>
    <x v="552"/>
    <x v="0"/>
    <x v="74"/>
    <d v="1900-01-25T00:00:00"/>
    <n v="43"/>
    <x v="4"/>
    <x v="6"/>
  </r>
  <r>
    <x v="1516"/>
    <n v="-7.5"/>
    <x v="3061"/>
    <n v="7006.91"/>
    <s v="Complete Access"/>
    <x v="27"/>
    <x v="1"/>
    <x v="5"/>
    <d v="1900-01-25T00:00:00"/>
    <n v="43"/>
    <x v="4"/>
    <x v="6"/>
  </r>
  <r>
    <x v="1516"/>
    <n v="-12.9"/>
    <x v="3150"/>
    <n v="7014.41"/>
    <s v="Complete Access"/>
    <x v="186"/>
    <x v="1"/>
    <x v="5"/>
    <d v="1900-01-25T00:00:00"/>
    <n v="43"/>
    <x v="4"/>
    <x v="6"/>
  </r>
  <r>
    <x v="1517"/>
    <n v="1300"/>
    <x v="3151"/>
    <n v="7129.81"/>
    <s v="Complete Access"/>
    <x v="723"/>
    <x v="0"/>
    <x v="69"/>
    <d v="1900-01-24T00:00:00"/>
    <n v="43"/>
    <x v="4"/>
    <x v="6"/>
  </r>
  <r>
    <x v="1517"/>
    <n v="-8.9"/>
    <x v="3152"/>
    <n v="5857.81"/>
    <s v="Complete Access"/>
    <x v="682"/>
    <x v="1"/>
    <x v="5"/>
    <d v="1900-01-24T00:00:00"/>
    <n v="43"/>
    <x v="4"/>
    <x v="6"/>
  </r>
  <r>
    <x v="1517"/>
    <n v="-28"/>
    <x v="3128"/>
    <n v="5829.81"/>
    <s v="Complete Access"/>
    <x v="719"/>
    <x v="1"/>
    <x v="5"/>
    <d v="1900-01-24T00:00:00"/>
    <n v="43"/>
    <x v="4"/>
    <x v="6"/>
  </r>
  <r>
    <x v="1517"/>
    <n v="-2.5"/>
    <x v="2979"/>
    <n v="7127.31"/>
    <s v="Complete Access"/>
    <x v="685"/>
    <x v="20"/>
    <x v="63"/>
    <d v="1900-01-24T00:00:00"/>
    <n v="43"/>
    <x v="4"/>
    <x v="6"/>
  </r>
  <r>
    <x v="1518"/>
    <n v="-8.9"/>
    <x v="3153"/>
    <n v="5886.73"/>
    <s v="Complete Access"/>
    <x v="682"/>
    <x v="1"/>
    <x v="5"/>
    <d v="1900-01-23T00:00:00"/>
    <n v="43"/>
    <x v="4"/>
    <x v="6"/>
  </r>
  <r>
    <x v="1518"/>
    <n v="-20.02"/>
    <x v="3090"/>
    <n v="5866.71"/>
    <s v="Complete Access"/>
    <x v="580"/>
    <x v="9"/>
    <x v="12"/>
    <d v="1900-01-23T00:00:00"/>
    <n v="43"/>
    <x v="4"/>
    <x v="6"/>
  </r>
  <r>
    <x v="1519"/>
    <n v="-4.8099999999999996"/>
    <x v="2859"/>
    <n v="7325.63"/>
    <s v="Complete Access"/>
    <x v="61"/>
    <x v="1"/>
    <x v="1"/>
    <d v="1900-01-22T00:00:00"/>
    <n v="43"/>
    <x v="4"/>
    <x v="6"/>
  </r>
  <r>
    <x v="1519"/>
    <n v="-1300"/>
    <x v="3154"/>
    <n v="6025.63"/>
    <s v="Complete Access"/>
    <x v="724"/>
    <x v="8"/>
    <x v="40"/>
    <d v="1900-01-22T00:00:00"/>
    <n v="43"/>
    <x v="4"/>
    <x v="6"/>
  </r>
  <r>
    <x v="1519"/>
    <n v="-62"/>
    <x v="3155"/>
    <n v="7335.09"/>
    <s v="Complete Access"/>
    <x v="8"/>
    <x v="1"/>
    <x v="5"/>
    <d v="1900-01-22T00:00:00"/>
    <n v="43"/>
    <x v="4"/>
    <x v="6"/>
  </r>
  <r>
    <x v="1519"/>
    <n v="-9.99"/>
    <x v="3156"/>
    <n v="7397.09"/>
    <s v="Complete Access"/>
    <x v="373"/>
    <x v="8"/>
    <x v="7"/>
    <d v="1900-01-22T00:00:00"/>
    <n v="43"/>
    <x v="4"/>
    <x v="6"/>
  </r>
  <r>
    <x v="1519"/>
    <n v="-130"/>
    <x v="2929"/>
    <n v="5895.63"/>
    <s v="Complete Access"/>
    <x v="645"/>
    <x v="0"/>
    <x v="69"/>
    <d v="1900-01-22T00:00:00"/>
    <n v="43"/>
    <x v="4"/>
    <x v="6"/>
  </r>
  <r>
    <x v="1519"/>
    <n v="-4.6500000000000004"/>
    <x v="3157"/>
    <n v="7330.44"/>
    <s v="Complete Access"/>
    <x v="34"/>
    <x v="9"/>
    <x v="12"/>
    <d v="1900-01-22T00:00:00"/>
    <n v="43"/>
    <x v="4"/>
    <x v="6"/>
  </r>
  <r>
    <x v="1520"/>
    <n v="-40"/>
    <x v="3158"/>
    <n v="7447.08"/>
    <s v="Complete Access"/>
    <x v="12"/>
    <x v="5"/>
    <x v="8"/>
    <d v="1900-01-21T00:00:00"/>
    <n v="43"/>
    <x v="4"/>
    <x v="6"/>
  </r>
  <r>
    <x v="1520"/>
    <n v="-14"/>
    <x v="3159"/>
    <n v="7433.08"/>
    <s v="Complete Access"/>
    <x v="687"/>
    <x v="1"/>
    <x v="5"/>
    <d v="1900-01-21T00:00:00"/>
    <n v="43"/>
    <x v="4"/>
    <x v="6"/>
  </r>
  <r>
    <x v="1520"/>
    <n v="-26"/>
    <x v="3000"/>
    <n v="7407.08"/>
    <s v="Complete Access"/>
    <x v="687"/>
    <x v="1"/>
    <x v="5"/>
    <d v="1900-01-21T00:00:00"/>
    <n v="43"/>
    <x v="4"/>
    <x v="6"/>
  </r>
  <r>
    <x v="1521"/>
    <n v="-3.92"/>
    <x v="2859"/>
    <n v="7496.98"/>
    <s v="Complete Access"/>
    <x v="61"/>
    <x v="1"/>
    <x v="1"/>
    <d v="1900-01-20T00:00:00"/>
    <n v="43"/>
    <x v="4"/>
    <x v="6"/>
  </r>
  <r>
    <x v="1521"/>
    <n v="-9.9"/>
    <x v="2688"/>
    <n v="7487.08"/>
    <s v="Complete Access"/>
    <x v="177"/>
    <x v="1"/>
    <x v="1"/>
    <d v="1900-01-20T00:00:00"/>
    <n v="43"/>
    <x v="4"/>
    <x v="6"/>
  </r>
  <r>
    <x v="1522"/>
    <n v="-41.19"/>
    <x v="2643"/>
    <n v="7500.9"/>
    <s v="Complete Access"/>
    <x v="215"/>
    <x v="1"/>
    <x v="1"/>
    <d v="1900-01-19T00:00:00"/>
    <n v="43"/>
    <x v="4"/>
    <x v="6"/>
  </r>
  <r>
    <x v="1522"/>
    <n v="-40.79"/>
    <x v="2688"/>
    <n v="7542.09"/>
    <s v="Complete Access"/>
    <x v="177"/>
    <x v="1"/>
    <x v="1"/>
    <d v="1900-01-19T00:00:00"/>
    <n v="43"/>
    <x v="4"/>
    <x v="6"/>
  </r>
  <r>
    <x v="1523"/>
    <n v="-8.9"/>
    <x v="3160"/>
    <n v="7702.47"/>
    <s v="Complete Access"/>
    <x v="682"/>
    <x v="1"/>
    <x v="5"/>
    <d v="1900-01-18T00:00:00"/>
    <n v="42"/>
    <x v="4"/>
    <x v="6"/>
  </r>
  <r>
    <x v="1523"/>
    <n v="-60.71"/>
    <x v="2643"/>
    <n v="7611.96"/>
    <s v="Complete Access"/>
    <x v="215"/>
    <x v="1"/>
    <x v="1"/>
    <d v="1900-01-18T00:00:00"/>
    <n v="42"/>
    <x v="4"/>
    <x v="6"/>
  </r>
  <r>
    <x v="1523"/>
    <n v="-100"/>
    <x v="2274"/>
    <n v="7711.37"/>
    <s v="Complete Access"/>
    <x v="552"/>
    <x v="0"/>
    <x v="74"/>
    <d v="1900-01-18T00:00:00"/>
    <n v="42"/>
    <x v="4"/>
    <x v="6"/>
  </r>
  <r>
    <x v="1523"/>
    <n v="-29.08"/>
    <x v="2688"/>
    <n v="7582.88"/>
    <s v="Complete Access"/>
    <x v="177"/>
    <x v="1"/>
    <x v="1"/>
    <d v="1900-01-18T00:00:00"/>
    <n v="42"/>
    <x v="4"/>
    <x v="6"/>
  </r>
  <r>
    <x v="1523"/>
    <n v="-29.8"/>
    <x v="3061"/>
    <n v="7672.67"/>
    <s v="Complete Access"/>
    <x v="27"/>
    <x v="1"/>
    <x v="5"/>
    <d v="1900-01-18T00:00:00"/>
    <n v="42"/>
    <x v="4"/>
    <x v="6"/>
  </r>
  <r>
    <x v="1524"/>
    <n v="-50"/>
    <x v="2956"/>
    <n v="7811.37"/>
    <s v="Complete Access"/>
    <x v="601"/>
    <x v="0"/>
    <x v="0"/>
    <d v="1900-01-17T00:00:00"/>
    <n v="42"/>
    <x v="4"/>
    <x v="6"/>
  </r>
  <r>
    <x v="1524"/>
    <n v="-42"/>
    <x v="3161"/>
    <n v="7988.24"/>
    <s v="Complete Access"/>
    <x v="8"/>
    <x v="1"/>
    <x v="5"/>
    <d v="1900-01-17T00:00:00"/>
    <n v="42"/>
    <x v="4"/>
    <x v="6"/>
  </r>
  <r>
    <x v="1524"/>
    <n v="-26.09"/>
    <x v="3162"/>
    <n v="7962.15"/>
    <s v="Complete Access"/>
    <x v="725"/>
    <x v="4"/>
    <x v="73"/>
    <d v="1900-01-17T00:00:00"/>
    <n v="42"/>
    <x v="4"/>
    <x v="6"/>
  </r>
  <r>
    <x v="1524"/>
    <n v="-100"/>
    <x v="2929"/>
    <n v="7861.37"/>
    <s v="Complete Access"/>
    <x v="645"/>
    <x v="0"/>
    <x v="69"/>
    <d v="1900-01-17T00:00:00"/>
    <n v="42"/>
    <x v="4"/>
    <x v="6"/>
  </r>
  <r>
    <x v="1524"/>
    <n v="-0.78"/>
    <x v="3163"/>
    <n v="7961.37"/>
    <s v="Complete Access"/>
    <x v="10"/>
    <x v="0"/>
    <x v="0"/>
    <d v="1900-01-17T00:00:00"/>
    <n v="42"/>
    <x v="4"/>
    <x v="6"/>
  </r>
  <r>
    <x v="1525"/>
    <n v="-1.69"/>
    <x v="2859"/>
    <n v="8030.24"/>
    <s v="Complete Access"/>
    <x v="61"/>
    <x v="1"/>
    <x v="1"/>
    <d v="1900-01-16T00:00:00"/>
    <n v="42"/>
    <x v="4"/>
    <x v="6"/>
  </r>
  <r>
    <x v="1525"/>
    <n v="2620.59"/>
    <x v="3164"/>
    <n v="8531.93"/>
    <s v="Complete Access"/>
    <x v="14"/>
    <x v="6"/>
    <x v="9"/>
    <d v="1900-01-16T00:00:00"/>
    <n v="42"/>
    <x v="4"/>
    <x v="6"/>
  </r>
  <r>
    <x v="1525"/>
    <n v="-500"/>
    <x v="2294"/>
    <n v="8031.93"/>
    <s v="Complete Access"/>
    <x v="571"/>
    <x v="19"/>
    <x v="61"/>
    <d v="1900-01-16T00:00:00"/>
    <n v="42"/>
    <x v="4"/>
    <x v="6"/>
  </r>
  <r>
    <x v="1526"/>
    <n v="-27.9"/>
    <x v="3165"/>
    <n v="6545.14"/>
    <s v="Complete Access"/>
    <x v="8"/>
    <x v="1"/>
    <x v="5"/>
    <d v="1900-01-15T00:00:00"/>
    <n v="42"/>
    <x v="4"/>
    <x v="6"/>
  </r>
  <r>
    <x v="1526"/>
    <n v="-40"/>
    <x v="3166"/>
    <n v="6573.04"/>
    <s v="Complete Access"/>
    <x v="12"/>
    <x v="5"/>
    <x v="8"/>
    <d v="1900-01-15T00:00:00"/>
    <n v="42"/>
    <x v="4"/>
    <x v="6"/>
  </r>
  <r>
    <x v="1526"/>
    <n v="-6.2"/>
    <x v="2762"/>
    <n v="5911.34"/>
    <s v="Complete Access"/>
    <x v="616"/>
    <x v="1"/>
    <x v="1"/>
    <d v="1900-01-15T00:00:00"/>
    <n v="42"/>
    <x v="4"/>
    <x v="6"/>
  </r>
  <r>
    <x v="1526"/>
    <n v="-599"/>
    <x v="3167"/>
    <n v="5933.94"/>
    <s v="Complete Access"/>
    <x v="347"/>
    <x v="3"/>
    <x v="62"/>
    <d v="1900-01-15T00:00:00"/>
    <n v="42"/>
    <x v="4"/>
    <x v="6"/>
  </r>
  <r>
    <x v="1526"/>
    <n v="-16.399999999999999"/>
    <x v="2863"/>
    <n v="5917.54"/>
    <s v="Complete Access"/>
    <x v="186"/>
    <x v="1"/>
    <x v="5"/>
    <d v="1900-01-15T00:00:00"/>
    <n v="42"/>
    <x v="4"/>
    <x v="6"/>
  </r>
  <r>
    <x v="1526"/>
    <n v="-12.2"/>
    <x v="3168"/>
    <n v="6532.94"/>
    <s v="Complete Access"/>
    <x v="34"/>
    <x v="9"/>
    <x v="12"/>
    <d v="1900-01-15T00:00:00"/>
    <n v="42"/>
    <x v="4"/>
    <x v="6"/>
  </r>
  <r>
    <x v="1527"/>
    <n v="-8.9"/>
    <x v="3169"/>
    <n v="6613.04"/>
    <s v="Complete Access"/>
    <x v="682"/>
    <x v="1"/>
    <x v="5"/>
    <d v="1900-01-14T00:00:00"/>
    <n v="42"/>
    <x v="4"/>
    <x v="6"/>
  </r>
  <r>
    <x v="1528"/>
    <n v="-1.78"/>
    <x v="2859"/>
    <n v="6643.29"/>
    <s v="Complete Access"/>
    <x v="61"/>
    <x v="1"/>
    <x v="1"/>
    <d v="1900-01-13T00:00:00"/>
    <n v="42"/>
    <x v="4"/>
    <x v="6"/>
  </r>
  <r>
    <x v="1528"/>
    <n v="-7.35"/>
    <x v="2762"/>
    <n v="6621.94"/>
    <s v="Complete Access"/>
    <x v="616"/>
    <x v="1"/>
    <x v="1"/>
    <d v="1900-01-13T00:00:00"/>
    <n v="42"/>
    <x v="4"/>
    <x v="6"/>
  </r>
  <r>
    <x v="1528"/>
    <n v="-14"/>
    <x v="3000"/>
    <n v="6629.29"/>
    <s v="Complete Access"/>
    <x v="687"/>
    <x v="1"/>
    <x v="5"/>
    <d v="1900-01-13T00:00:00"/>
    <n v="42"/>
    <x v="4"/>
    <x v="6"/>
  </r>
  <r>
    <x v="1529"/>
    <n v="-33.61"/>
    <x v="2643"/>
    <n v="6645.07"/>
    <s v="Complete Access"/>
    <x v="215"/>
    <x v="1"/>
    <x v="1"/>
    <d v="1900-01-12T00:00:00"/>
    <n v="42"/>
    <x v="4"/>
    <x v="6"/>
  </r>
  <r>
    <x v="1530"/>
    <n v="-25"/>
    <x v="3170"/>
    <n v="6523.68"/>
    <s v="Complete Access"/>
    <x v="8"/>
    <x v="1"/>
    <x v="5"/>
    <d v="1900-01-11T00:00:00"/>
    <n v="41"/>
    <x v="4"/>
    <x v="6"/>
  </r>
  <r>
    <x v="1530"/>
    <n v="-100"/>
    <x v="2274"/>
    <n v="6548.68"/>
    <s v="Complete Access"/>
    <x v="552"/>
    <x v="0"/>
    <x v="74"/>
    <d v="1900-01-11T00:00:00"/>
    <n v="41"/>
    <x v="4"/>
    <x v="6"/>
  </r>
  <r>
    <x v="1530"/>
    <n v="155"/>
    <x v="3171"/>
    <n v="6678.68"/>
    <s v="Complete Access"/>
    <x v="567"/>
    <x v="0"/>
    <x v="69"/>
    <d v="1900-01-11T00:00:00"/>
    <n v="41"/>
    <x v="4"/>
    <x v="6"/>
  </r>
  <r>
    <x v="1531"/>
    <n v="-0.64"/>
    <x v="2859"/>
    <n v="6673.53"/>
    <s v="Complete Access"/>
    <x v="61"/>
    <x v="1"/>
    <x v="1"/>
    <d v="1900-01-10T00:00:00"/>
    <n v="41"/>
    <x v="4"/>
    <x v="6"/>
  </r>
  <r>
    <x v="1531"/>
    <n v="-40"/>
    <x v="3172"/>
    <n v="6683.07"/>
    <s v="Complete Access"/>
    <x v="12"/>
    <x v="5"/>
    <x v="8"/>
    <d v="1900-01-10T00:00:00"/>
    <n v="41"/>
    <x v="4"/>
    <x v="6"/>
  </r>
  <r>
    <x v="1531"/>
    <n v="-8.9"/>
    <x v="3173"/>
    <n v="6674.17"/>
    <s v="Complete Access"/>
    <x v="682"/>
    <x v="1"/>
    <x v="5"/>
    <d v="1900-01-10T00:00:00"/>
    <n v="41"/>
    <x v="4"/>
    <x v="6"/>
  </r>
  <r>
    <x v="1531"/>
    <n v="-9.4499999999999993"/>
    <x v="2762"/>
    <n v="6648.68"/>
    <s v="Complete Access"/>
    <x v="616"/>
    <x v="1"/>
    <x v="1"/>
    <d v="1900-01-10T00:00:00"/>
    <n v="41"/>
    <x v="4"/>
    <x v="6"/>
  </r>
  <r>
    <x v="1531"/>
    <n v="-15.4"/>
    <x v="2863"/>
    <n v="6658.13"/>
    <s v="Complete Access"/>
    <x v="186"/>
    <x v="1"/>
    <x v="5"/>
    <d v="1900-01-10T00:00:00"/>
    <n v="41"/>
    <x v="4"/>
    <x v="6"/>
  </r>
  <r>
    <x v="1532"/>
    <n v="-36.869999999999997"/>
    <x v="3174"/>
    <n v="6796.07"/>
    <s v="Complete Access"/>
    <x v="726"/>
    <x v="20"/>
    <x v="63"/>
    <d v="1900-01-09T00:00:00"/>
    <n v="41"/>
    <x v="4"/>
    <x v="6"/>
  </r>
  <r>
    <x v="1532"/>
    <n v="-73"/>
    <x v="2543"/>
    <n v="6723.07"/>
    <s v="Complete Access"/>
    <x v="17"/>
    <x v="7"/>
    <x v="11"/>
    <d v="1900-01-09T00:00:00"/>
    <n v="41"/>
    <x v="4"/>
    <x v="6"/>
  </r>
  <r>
    <x v="1533"/>
    <n v="-4.01"/>
    <x v="2859"/>
    <n v="6848.34"/>
    <s v="Complete Access"/>
    <x v="61"/>
    <x v="1"/>
    <x v="1"/>
    <d v="1900-01-08T00:00:00"/>
    <n v="41"/>
    <x v="4"/>
    <x v="6"/>
  </r>
  <r>
    <x v="1533"/>
    <n v="-28.5"/>
    <x v="3175"/>
    <n v="6852.35"/>
    <s v="Complete Access"/>
    <x v="8"/>
    <x v="1"/>
    <x v="5"/>
    <d v="1900-01-08T00:00:00"/>
    <n v="41"/>
    <x v="4"/>
    <x v="6"/>
  </r>
  <r>
    <x v="1533"/>
    <n v="-20"/>
    <x v="3176"/>
    <n v="6917.21"/>
    <s v="Complete Access"/>
    <x v="8"/>
    <x v="1"/>
    <x v="5"/>
    <d v="1900-01-08T00:00:00"/>
    <n v="41"/>
    <x v="4"/>
    <x v="6"/>
  </r>
  <r>
    <x v="1533"/>
    <n v="-11"/>
    <x v="3177"/>
    <n v="6937.21"/>
    <s v="Complete Access"/>
    <x v="727"/>
    <x v="1"/>
    <x v="5"/>
    <d v="1900-01-08T00:00:00"/>
    <n v="41"/>
    <x v="4"/>
    <x v="6"/>
  </r>
  <r>
    <x v="1533"/>
    <n v="-36.36"/>
    <x v="3178"/>
    <n v="6880.85"/>
    <s v="Complete Access"/>
    <x v="728"/>
    <x v="3"/>
    <x v="26"/>
    <d v="1900-01-08T00:00:00"/>
    <n v="41"/>
    <x v="4"/>
    <x v="6"/>
  </r>
  <r>
    <x v="1533"/>
    <n v="-15.4"/>
    <x v="2863"/>
    <n v="6832.94"/>
    <s v="Complete Access"/>
    <x v="186"/>
    <x v="1"/>
    <x v="5"/>
    <d v="1900-01-08T00:00:00"/>
    <n v="41"/>
    <x v="4"/>
    <x v="6"/>
  </r>
  <r>
    <x v="1533"/>
    <n v="-10.15"/>
    <x v="3179"/>
    <n v="6948.21"/>
    <s v="Complete Access"/>
    <x v="729"/>
    <x v="8"/>
    <x v="29"/>
    <d v="1900-01-08T00:00:00"/>
    <n v="41"/>
    <x v="4"/>
    <x v="6"/>
  </r>
  <r>
    <x v="1534"/>
    <n v="-40"/>
    <x v="3176"/>
    <n v="7037.02"/>
    <s v="Complete Access"/>
    <x v="8"/>
    <x v="1"/>
    <x v="5"/>
    <d v="1900-01-07T00:00:00"/>
    <n v="41"/>
    <x v="4"/>
    <x v="6"/>
  </r>
  <r>
    <x v="1534"/>
    <n v="-46"/>
    <x v="3180"/>
    <n v="7077.02"/>
    <s v="Complete Access"/>
    <x v="8"/>
    <x v="1"/>
    <x v="5"/>
    <d v="1900-01-07T00:00:00"/>
    <n v="41"/>
    <x v="4"/>
    <x v="6"/>
  </r>
  <r>
    <x v="1534"/>
    <n v="-38"/>
    <x v="3181"/>
    <n v="6990.12"/>
    <s v="Complete Access"/>
    <x v="8"/>
    <x v="1"/>
    <x v="5"/>
    <d v="1900-01-07T00:00:00"/>
    <n v="41"/>
    <x v="4"/>
    <x v="6"/>
  </r>
  <r>
    <x v="1534"/>
    <n v="-8.9"/>
    <x v="3182"/>
    <n v="7028.12"/>
    <s v="Complete Access"/>
    <x v="682"/>
    <x v="1"/>
    <x v="5"/>
    <d v="1900-01-07T00:00:00"/>
    <n v="41"/>
    <x v="4"/>
    <x v="6"/>
  </r>
  <r>
    <x v="1534"/>
    <n v="-10.5"/>
    <x v="2762"/>
    <n v="6979.62"/>
    <s v="Complete Access"/>
    <x v="616"/>
    <x v="1"/>
    <x v="1"/>
    <d v="1900-01-07T00:00:00"/>
    <n v="41"/>
    <x v="4"/>
    <x v="6"/>
  </r>
  <r>
    <x v="1534"/>
    <n v="-21.26"/>
    <x v="2643"/>
    <n v="6958.36"/>
    <s v="Complete Access"/>
    <x v="215"/>
    <x v="1"/>
    <x v="1"/>
    <d v="1900-01-07T00:00:00"/>
    <n v="41"/>
    <x v="4"/>
    <x v="6"/>
  </r>
  <r>
    <x v="1535"/>
    <n v="-140"/>
    <x v="3183"/>
    <n v="7125.92"/>
    <s v="Complete Access"/>
    <x v="601"/>
    <x v="0"/>
    <x v="0"/>
    <d v="1900-01-05T00:00:00"/>
    <n v="41"/>
    <x v="4"/>
    <x v="6"/>
  </r>
  <r>
    <x v="1535"/>
    <n v="-17"/>
    <x v="3184"/>
    <n v="7265.92"/>
    <s v="Complete Access"/>
    <x v="730"/>
    <x v="8"/>
    <x v="29"/>
    <d v="1900-01-05T00:00:00"/>
    <n v="41"/>
    <x v="4"/>
    <x v="6"/>
  </r>
  <r>
    <x v="1535"/>
    <n v="-2.9"/>
    <x v="72"/>
    <n v="7123.02"/>
    <s v="Complete Access"/>
    <x v="37"/>
    <x v="0"/>
    <x v="0"/>
    <d v="1900-01-05T00:00:00"/>
    <n v="41"/>
    <x v="4"/>
    <x v="6"/>
  </r>
  <r>
    <x v="1536"/>
    <n v="-15"/>
    <x v="3185"/>
    <n v="7282.92"/>
    <s v="Complete Access"/>
    <x v="254"/>
    <x v="16"/>
    <x v="35"/>
    <d v="1900-01-04T00:00:00"/>
    <n v="40"/>
    <x v="4"/>
    <x v="6"/>
  </r>
  <r>
    <x v="1536"/>
    <n v="-100"/>
    <x v="2274"/>
    <n v="7297.92"/>
    <s v="Complete Access"/>
    <x v="552"/>
    <x v="0"/>
    <x v="74"/>
    <d v="1900-01-04T00:00:00"/>
    <n v="40"/>
    <x v="4"/>
    <x v="6"/>
  </r>
  <r>
    <x v="1537"/>
    <n v="-51.6"/>
    <x v="3186"/>
    <n v="6368.14"/>
    <s v="Complete Access"/>
    <x v="8"/>
    <x v="1"/>
    <x v="5"/>
    <d v="1900-01-03T00:00:00"/>
    <n v="40"/>
    <x v="4"/>
    <x v="6"/>
  </r>
  <r>
    <x v="1537"/>
    <n v="-9.5"/>
    <x v="3187"/>
    <n v="6419.74"/>
    <s v="Complete Access"/>
    <x v="682"/>
    <x v="1"/>
    <x v="5"/>
    <d v="1900-01-03T00:00:00"/>
    <n v="40"/>
    <x v="4"/>
    <x v="6"/>
  </r>
  <r>
    <x v="1537"/>
    <n v="1044.94"/>
    <x v="3188"/>
    <n v="7397.92"/>
    <s v="Complete Access"/>
    <x v="14"/>
    <x v="6"/>
    <x v="9"/>
    <d v="1900-01-03T00:00:00"/>
    <n v="40"/>
    <x v="4"/>
    <x v="6"/>
  </r>
  <r>
    <x v="1537"/>
    <n v="-15.16"/>
    <x v="3189"/>
    <n v="6352.98"/>
    <s v="Complete Access"/>
    <x v="731"/>
    <x v="8"/>
    <x v="29"/>
    <d v="1900-01-03T00:00:00"/>
    <n v="40"/>
    <x v="4"/>
    <x v="6"/>
  </r>
  <r>
    <x v="1538"/>
    <n v="-40"/>
    <x v="3190"/>
    <n v="6454.24"/>
    <s v="Complete Access"/>
    <x v="12"/>
    <x v="5"/>
    <x v="8"/>
    <d v="1900-01-02T00:00:00"/>
    <n v="40"/>
    <x v="4"/>
    <x v="6"/>
  </r>
  <r>
    <x v="1538"/>
    <n v="-500"/>
    <x v="2294"/>
    <n v="6494.24"/>
    <s v="Complete Access"/>
    <x v="571"/>
    <x v="19"/>
    <x v="61"/>
    <d v="1900-01-02T00:00:00"/>
    <n v="40"/>
    <x v="4"/>
    <x v="6"/>
  </r>
  <r>
    <x v="1538"/>
    <n v="-25"/>
    <x v="3191"/>
    <n v="6429.24"/>
    <s v="Complete Access"/>
    <x v="732"/>
    <x v="8"/>
    <x v="29"/>
    <d v="1900-01-02T00:00:00"/>
    <n v="40"/>
    <x v="4"/>
    <x v="6"/>
  </r>
  <r>
    <x v="1539"/>
    <n v="-44.5"/>
    <x v="3192"/>
    <n v="7071.26"/>
    <s v="Complete Access"/>
    <x v="8"/>
    <x v="1"/>
    <x v="5"/>
    <d v="1900-01-01T00:00:00"/>
    <n v="40"/>
    <x v="4"/>
    <x v="6"/>
  </r>
  <r>
    <x v="1539"/>
    <n v="-23.3"/>
    <x v="3193"/>
    <n v="7047.96"/>
    <s v="Complete Access"/>
    <x v="8"/>
    <x v="1"/>
    <x v="5"/>
    <d v="1900-01-01T00:00:00"/>
    <n v="40"/>
    <x v="4"/>
    <x v="6"/>
  </r>
  <r>
    <x v="1539"/>
    <n v="-10"/>
    <x v="2929"/>
    <n v="6994.24"/>
    <s v="Complete Access"/>
    <x v="645"/>
    <x v="0"/>
    <x v="69"/>
    <d v="1900-01-01T00:00:00"/>
    <n v="40"/>
    <x v="4"/>
    <x v="6"/>
  </r>
  <r>
    <x v="1539"/>
    <n v="-30"/>
    <x v="2929"/>
    <n v="7004.24"/>
    <s v="Complete Access"/>
    <x v="645"/>
    <x v="0"/>
    <x v="69"/>
    <d v="1900-01-01T00:00:00"/>
    <n v="40"/>
    <x v="4"/>
    <x v="6"/>
  </r>
  <r>
    <x v="1539"/>
    <n v="-13.72"/>
    <x v="2688"/>
    <n v="7034.24"/>
    <s v="Complete Access"/>
    <x v="177"/>
    <x v="1"/>
    <x v="1"/>
    <d v="1900-01-01T00:00:00"/>
    <n v="40"/>
    <x v="4"/>
    <x v="6"/>
  </r>
  <r>
    <x v="1540"/>
    <n v="-53"/>
    <x v="3194"/>
    <n v="7298.96"/>
    <s v="Complete Access"/>
    <x v="8"/>
    <x v="1"/>
    <x v="5"/>
    <d v="1899-12-31T00:00:00"/>
    <n v="40"/>
    <x v="4"/>
    <x v="6"/>
  </r>
  <r>
    <x v="1540"/>
    <n v="-23"/>
    <x v="3195"/>
    <n v="7351.96"/>
    <s v="Complete Access"/>
    <x v="8"/>
    <x v="1"/>
    <x v="5"/>
    <d v="1899-12-31T00:00:00"/>
    <n v="40"/>
    <x v="4"/>
    <x v="6"/>
  </r>
  <r>
    <x v="1540"/>
    <n v="-9"/>
    <x v="3196"/>
    <n v="7374.96"/>
    <s v="Complete Access"/>
    <x v="682"/>
    <x v="1"/>
    <x v="5"/>
    <d v="1899-12-31T00:00:00"/>
    <n v="40"/>
    <x v="4"/>
    <x v="6"/>
  </r>
  <r>
    <x v="1540"/>
    <n v="-20"/>
    <x v="2229"/>
    <n v="7383.96"/>
    <s v="Complete Access"/>
    <x v="557"/>
    <x v="7"/>
    <x v="53"/>
    <d v="1899-12-31T00:00:00"/>
    <n v="40"/>
    <x v="4"/>
    <x v="6"/>
  </r>
  <r>
    <x v="1540"/>
    <n v="-172.3"/>
    <x v="3197"/>
    <n v="7115.76"/>
    <s v="Complete Access"/>
    <x v="76"/>
    <x v="2"/>
    <x v="2"/>
    <d v="1899-12-31T00:00:00"/>
    <n v="40"/>
    <x v="4"/>
    <x v="6"/>
  </r>
  <r>
    <x v="1540"/>
    <n v="-10.9"/>
    <x v="2863"/>
    <n v="7288.06"/>
    <s v="Complete Access"/>
    <x v="186"/>
    <x v="1"/>
    <x v="5"/>
    <d v="1899-12-31T00:00:00"/>
    <n v="40"/>
    <x v="4"/>
    <x v="6"/>
  </r>
  <r>
    <x v="1541"/>
    <n v="-0.93"/>
    <x v="2859"/>
    <n v="7443.03"/>
    <s v="Complete Access"/>
    <x v="61"/>
    <x v="1"/>
    <x v="1"/>
    <d v="1900-01-29T00:00:00"/>
    <n v="40"/>
    <x v="5"/>
    <x v="6"/>
  </r>
  <r>
    <x v="1541"/>
    <n v="-29.1"/>
    <x v="2762"/>
    <n v="7413.93"/>
    <s v="Complete Access"/>
    <x v="616"/>
    <x v="1"/>
    <x v="1"/>
    <d v="1900-01-29T00:00:00"/>
    <n v="40"/>
    <x v="5"/>
    <x v="6"/>
  </r>
  <r>
    <x v="1541"/>
    <n v="-9.9700000000000006"/>
    <x v="2643"/>
    <n v="7403.96"/>
    <s v="Complete Access"/>
    <x v="215"/>
    <x v="1"/>
    <x v="1"/>
    <d v="1900-01-29T00:00:00"/>
    <n v="40"/>
    <x v="5"/>
    <x v="6"/>
  </r>
  <r>
    <x v="1542"/>
    <n v="-25"/>
    <x v="2929"/>
    <n v="7443.96"/>
    <s v="Complete Access"/>
    <x v="645"/>
    <x v="0"/>
    <x v="69"/>
    <d v="1900-01-27T00:00:00"/>
    <n v="39"/>
    <x v="5"/>
    <x v="6"/>
  </r>
  <r>
    <x v="1542"/>
    <n v="-100"/>
    <x v="2274"/>
    <n v="7468.96"/>
    <s v="Complete Access"/>
    <x v="552"/>
    <x v="0"/>
    <x v="74"/>
    <d v="1900-01-27T00:00:00"/>
    <n v="39"/>
    <x v="5"/>
    <x v="6"/>
  </r>
  <r>
    <x v="1543"/>
    <n v="-0.99"/>
    <x v="2859"/>
    <n v="7568.96"/>
    <s v="Complete Access"/>
    <x v="61"/>
    <x v="1"/>
    <x v="1"/>
    <d v="1900-01-25T00:00:00"/>
    <n v="39"/>
    <x v="5"/>
    <x v="6"/>
  </r>
  <r>
    <x v="1543"/>
    <n v="-40"/>
    <x v="3198"/>
    <n v="7587.28"/>
    <s v="Complete Access"/>
    <x v="12"/>
    <x v="5"/>
    <x v="8"/>
    <d v="1900-01-25T00:00:00"/>
    <n v="39"/>
    <x v="5"/>
    <x v="6"/>
  </r>
  <r>
    <x v="1543"/>
    <n v="-17.329999999999998"/>
    <x v="3199"/>
    <n v="7569.95"/>
    <s v="Complete Access"/>
    <x v="237"/>
    <x v="15"/>
    <x v="34"/>
    <d v="1900-01-25T00:00:00"/>
    <n v="39"/>
    <x v="5"/>
    <x v="6"/>
  </r>
  <r>
    <x v="1544"/>
    <n v="-3.8"/>
    <x v="2859"/>
    <n v="5294.36"/>
    <s v="Complete Access"/>
    <x v="61"/>
    <x v="1"/>
    <x v="1"/>
    <d v="1900-01-24T00:00:00"/>
    <n v="39"/>
    <x v="5"/>
    <x v="6"/>
  </r>
  <r>
    <x v="1544"/>
    <n v="-15.2"/>
    <x v="3200"/>
    <n v="5298.16"/>
    <s v="Complete Access"/>
    <x v="8"/>
    <x v="1"/>
    <x v="5"/>
    <d v="1900-01-24T00:00:00"/>
    <n v="39"/>
    <x v="5"/>
    <x v="6"/>
  </r>
  <r>
    <x v="1544"/>
    <n v="-47"/>
    <x v="3200"/>
    <n v="5313.36"/>
    <s v="Complete Access"/>
    <x v="8"/>
    <x v="1"/>
    <x v="5"/>
    <d v="1900-01-24T00:00:00"/>
    <n v="39"/>
    <x v="5"/>
    <x v="6"/>
  </r>
  <r>
    <x v="1544"/>
    <n v="2366.8000000000002"/>
    <x v="3188"/>
    <n v="7627.28"/>
    <s v="Complete Access"/>
    <x v="14"/>
    <x v="6"/>
    <x v="9"/>
    <d v="1900-01-24T00:00:00"/>
    <n v="39"/>
    <x v="5"/>
    <x v="6"/>
  </r>
  <r>
    <x v="1544"/>
    <n v="-14.98"/>
    <x v="2643"/>
    <n v="5260.48"/>
    <s v="Complete Access"/>
    <x v="215"/>
    <x v="1"/>
    <x v="1"/>
    <d v="1900-01-24T00:00:00"/>
    <n v="39"/>
    <x v="5"/>
    <x v="6"/>
  </r>
  <r>
    <x v="1544"/>
    <n v="-18.899999999999999"/>
    <x v="2863"/>
    <n v="5275.46"/>
    <s v="Complete Access"/>
    <x v="186"/>
    <x v="1"/>
    <x v="5"/>
    <d v="1900-01-24T00:00:00"/>
    <n v="39"/>
    <x v="5"/>
    <x v="6"/>
  </r>
  <r>
    <x v="1544"/>
    <n v="-15.5"/>
    <x v="3201"/>
    <n v="5360.36"/>
    <s v="Complete Access"/>
    <x v="702"/>
    <x v="8"/>
    <x v="29"/>
    <d v="1900-01-24T00:00:00"/>
    <n v="39"/>
    <x v="5"/>
    <x v="6"/>
  </r>
  <r>
    <x v="1544"/>
    <n v="-14"/>
    <x v="3201"/>
    <n v="5375.86"/>
    <s v="Complete Access"/>
    <x v="702"/>
    <x v="8"/>
    <x v="29"/>
    <d v="1900-01-24T00:00:00"/>
    <n v="39"/>
    <x v="5"/>
    <x v="6"/>
  </r>
  <r>
    <x v="1545"/>
    <n v="-6.55"/>
    <x v="2762"/>
    <n v="5389.86"/>
    <s v="Complete Access"/>
    <x v="616"/>
    <x v="1"/>
    <x v="1"/>
    <d v="1900-01-23T00:00:00"/>
    <n v="39"/>
    <x v="5"/>
    <x v="6"/>
  </r>
  <r>
    <x v="1546"/>
    <n v="-1.1599999999999999"/>
    <x v="2859"/>
    <n v="5421.55"/>
    <s v="Complete Access"/>
    <x v="61"/>
    <x v="1"/>
    <x v="1"/>
    <d v="1900-01-22T00:00:00"/>
    <n v="39"/>
    <x v="5"/>
    <x v="6"/>
  </r>
  <r>
    <x v="1546"/>
    <n v="-20"/>
    <x v="3202"/>
    <n v="5401.55"/>
    <s v="Complete Access"/>
    <x v="601"/>
    <x v="0"/>
    <x v="0"/>
    <d v="1900-01-22T00:00:00"/>
    <n v="39"/>
    <x v="5"/>
    <x v="6"/>
  </r>
  <r>
    <x v="1546"/>
    <n v="-5.14"/>
    <x v="2643"/>
    <n v="5396.41"/>
    <s v="Complete Access"/>
    <x v="215"/>
    <x v="1"/>
    <x v="1"/>
    <d v="1900-01-22T00:00:00"/>
    <n v="39"/>
    <x v="5"/>
    <x v="6"/>
  </r>
  <r>
    <x v="1547"/>
    <n v="-100"/>
    <x v="2274"/>
    <n v="5422.71"/>
    <s v="Complete Access"/>
    <x v="552"/>
    <x v="0"/>
    <x v="74"/>
    <d v="1900-01-20T00:00:00"/>
    <n v="38"/>
    <x v="5"/>
    <x v="6"/>
  </r>
  <r>
    <x v="1548"/>
    <n v="-0.3"/>
    <x v="3203"/>
    <n v="5522.71"/>
    <s v="Complete Access"/>
    <x v="188"/>
    <x v="1"/>
    <x v="1"/>
    <d v="1900-01-19T00:00:00"/>
    <n v="38"/>
    <x v="5"/>
    <x v="6"/>
  </r>
  <r>
    <x v="1548"/>
    <n v="-1.37"/>
    <x v="2859"/>
    <n v="5523.01"/>
    <s v="Complete Access"/>
    <x v="61"/>
    <x v="1"/>
    <x v="1"/>
    <d v="1900-01-19T00:00:00"/>
    <n v="38"/>
    <x v="5"/>
    <x v="6"/>
  </r>
  <r>
    <x v="1548"/>
    <n v="-40"/>
    <x v="3204"/>
    <n v="5533.38"/>
    <s v="Complete Access"/>
    <x v="12"/>
    <x v="5"/>
    <x v="8"/>
    <d v="1900-01-19T00:00:00"/>
    <n v="38"/>
    <x v="5"/>
    <x v="6"/>
  </r>
  <r>
    <x v="1548"/>
    <n v="-9"/>
    <x v="3205"/>
    <n v="5524.38"/>
    <s v="Complete Access"/>
    <x v="682"/>
    <x v="1"/>
    <x v="5"/>
    <d v="1900-01-19T00:00:00"/>
    <n v="38"/>
    <x v="5"/>
    <x v="6"/>
  </r>
  <r>
    <x v="1549"/>
    <n v="-16.899999999999999"/>
    <x v="3206"/>
    <n v="5573.38"/>
    <s v="Complete Access"/>
    <x v="733"/>
    <x v="8"/>
    <x v="29"/>
    <d v="1900-01-18T00:00:00"/>
    <n v="38"/>
    <x v="5"/>
    <x v="6"/>
  </r>
  <r>
    <x v="1549"/>
    <n v="-500"/>
    <x v="2294"/>
    <n v="5590.28"/>
    <s v="Complete Access"/>
    <x v="571"/>
    <x v="19"/>
    <x v="61"/>
    <d v="1900-01-18T00:00:00"/>
    <n v="38"/>
    <x v="5"/>
    <x v="6"/>
  </r>
  <r>
    <x v="1550"/>
    <n v="-0.96"/>
    <x v="2859"/>
    <n v="6124.28"/>
    <s v="Complete Access"/>
    <x v="61"/>
    <x v="1"/>
    <x v="1"/>
    <d v="1900-01-17T00:00:00"/>
    <n v="38"/>
    <x v="5"/>
    <x v="6"/>
  </r>
  <r>
    <x v="1550"/>
    <n v="-23"/>
    <x v="3207"/>
    <n v="6160.24"/>
    <s v="Complete Access"/>
    <x v="8"/>
    <x v="1"/>
    <x v="5"/>
    <d v="1900-01-17T00:00:00"/>
    <n v="38"/>
    <x v="5"/>
    <x v="6"/>
  </r>
  <r>
    <x v="1550"/>
    <n v="-7"/>
    <x v="3208"/>
    <n v="6125.24"/>
    <s v="Complete Access"/>
    <x v="561"/>
    <x v="8"/>
    <x v="22"/>
    <d v="1900-01-17T00:00:00"/>
    <n v="38"/>
    <x v="5"/>
    <x v="6"/>
  </r>
  <r>
    <x v="1550"/>
    <n v="-3"/>
    <x v="3208"/>
    <n v="6132.24"/>
    <s v="Complete Access"/>
    <x v="561"/>
    <x v="8"/>
    <x v="22"/>
    <d v="1900-01-17T00:00:00"/>
    <n v="38"/>
    <x v="5"/>
    <x v="6"/>
  </r>
  <r>
    <x v="1550"/>
    <n v="-8.6999999999999993"/>
    <x v="2762"/>
    <n v="6090.28"/>
    <s v="Complete Access"/>
    <x v="616"/>
    <x v="1"/>
    <x v="1"/>
    <d v="1900-01-17T00:00:00"/>
    <n v="38"/>
    <x v="5"/>
    <x v="6"/>
  </r>
  <r>
    <x v="1550"/>
    <n v="-32.22"/>
    <x v="3209"/>
    <n v="6183.24"/>
    <s v="Complete Access"/>
    <x v="734"/>
    <x v="1"/>
    <x v="5"/>
    <d v="1900-01-17T00:00:00"/>
    <n v="38"/>
    <x v="5"/>
    <x v="6"/>
  </r>
  <r>
    <x v="1550"/>
    <n v="-25"/>
    <x v="3210"/>
    <n v="6135.24"/>
    <s v="Complete Access"/>
    <x v="735"/>
    <x v="8"/>
    <x v="22"/>
    <d v="1900-01-17T00:00:00"/>
    <n v="38"/>
    <x v="5"/>
    <x v="6"/>
  </r>
  <r>
    <x v="1550"/>
    <n v="-25.3"/>
    <x v="2863"/>
    <n v="6098.98"/>
    <s v="Complete Access"/>
    <x v="186"/>
    <x v="1"/>
    <x v="5"/>
    <d v="1900-01-17T00:00:00"/>
    <n v="38"/>
    <x v="5"/>
    <x v="6"/>
  </r>
  <r>
    <x v="1551"/>
    <n v="-2.56"/>
    <x v="2859"/>
    <n v="6254.86"/>
    <s v="Complete Access"/>
    <x v="61"/>
    <x v="1"/>
    <x v="1"/>
    <d v="1900-01-16T00:00:00"/>
    <n v="38"/>
    <x v="5"/>
    <x v="6"/>
  </r>
  <r>
    <x v="1551"/>
    <n v="-18.2"/>
    <x v="3211"/>
    <n v="6257.42"/>
    <s v="Complete Access"/>
    <x v="333"/>
    <x v="1"/>
    <x v="5"/>
    <d v="1900-01-16T00:00:00"/>
    <n v="38"/>
    <x v="5"/>
    <x v="6"/>
  </r>
  <r>
    <x v="1551"/>
    <n v="-26.5"/>
    <x v="3061"/>
    <n v="6215.46"/>
    <s v="Complete Access"/>
    <x v="27"/>
    <x v="1"/>
    <x v="5"/>
    <d v="1900-01-16T00:00:00"/>
    <n v="38"/>
    <x v="5"/>
    <x v="6"/>
  </r>
  <r>
    <x v="1551"/>
    <n v="-12.9"/>
    <x v="2863"/>
    <n v="6241.96"/>
    <s v="Complete Access"/>
    <x v="186"/>
    <x v="1"/>
    <x v="5"/>
    <d v="1900-01-16T00:00:00"/>
    <n v="38"/>
    <x v="5"/>
    <x v="6"/>
  </r>
  <r>
    <x v="1552"/>
    <n v="-23.15"/>
    <x v="2762"/>
    <n v="6237.92"/>
    <s v="Complete Access"/>
    <x v="616"/>
    <x v="1"/>
    <x v="1"/>
    <d v="1900-01-15T00:00:00"/>
    <n v="38"/>
    <x v="5"/>
    <x v="6"/>
  </r>
  <r>
    <x v="1552"/>
    <n v="-28.3"/>
    <x v="2643"/>
    <n v="6209.62"/>
    <s v="Complete Access"/>
    <x v="215"/>
    <x v="1"/>
    <x v="1"/>
    <d v="1900-01-15T00:00:00"/>
    <n v="38"/>
    <x v="5"/>
    <x v="6"/>
  </r>
  <r>
    <x v="1552"/>
    <n v="66"/>
    <x v="3024"/>
    <n v="6275.62"/>
    <s v="Complete Access"/>
    <x v="27"/>
    <x v="1"/>
    <x v="5"/>
    <d v="1900-01-15T00:00:00"/>
    <n v="38"/>
    <x v="5"/>
    <x v="6"/>
  </r>
  <r>
    <x v="1553"/>
    <n v="-39"/>
    <x v="3212"/>
    <n v="6370.07"/>
    <s v="Complete Access"/>
    <x v="8"/>
    <x v="1"/>
    <x v="5"/>
    <d v="1900-01-13T00:00:00"/>
    <n v="37"/>
    <x v="5"/>
    <x v="6"/>
  </r>
  <r>
    <x v="1553"/>
    <n v="-9"/>
    <x v="3213"/>
    <n v="6361.07"/>
    <s v="Complete Access"/>
    <x v="682"/>
    <x v="1"/>
    <x v="5"/>
    <d v="1900-01-13T00:00:00"/>
    <n v="37"/>
    <x v="5"/>
    <x v="6"/>
  </r>
  <r>
    <x v="1553"/>
    <n v="-100"/>
    <x v="2274"/>
    <n v="6261.07"/>
    <s v="Complete Access"/>
    <x v="552"/>
    <x v="0"/>
    <x v="74"/>
    <d v="1900-01-13T00:00:00"/>
    <n v="37"/>
    <x v="5"/>
    <x v="6"/>
  </r>
  <r>
    <x v="1554"/>
    <n v="-7.05"/>
    <x v="2859"/>
    <n v="4561.1099999999997"/>
    <s v="Complete Access"/>
    <x v="61"/>
    <x v="1"/>
    <x v="1"/>
    <d v="1900-01-12T00:00:00"/>
    <n v="37"/>
    <x v="5"/>
    <x v="6"/>
  </r>
  <r>
    <x v="1554"/>
    <n v="-100"/>
    <x v="3214"/>
    <n v="6411.57"/>
    <s v="Complete Access"/>
    <x v="601"/>
    <x v="0"/>
    <x v="0"/>
    <d v="1900-01-12T00:00:00"/>
    <n v="37"/>
    <x v="5"/>
    <x v="6"/>
  </r>
  <r>
    <x v="1554"/>
    <n v="-40"/>
    <x v="3215"/>
    <n v="4568.16"/>
    <s v="Complete Access"/>
    <x v="12"/>
    <x v="5"/>
    <x v="8"/>
    <d v="1900-01-12T00:00:00"/>
    <n v="37"/>
    <x v="5"/>
    <x v="6"/>
  </r>
  <r>
    <x v="1554"/>
    <n v="-23.1"/>
    <x v="2762"/>
    <n v="6526.11"/>
    <s v="Complete Access"/>
    <x v="616"/>
    <x v="1"/>
    <x v="1"/>
    <d v="1900-01-12T00:00:00"/>
    <n v="37"/>
    <x v="5"/>
    <x v="6"/>
  </r>
  <r>
    <x v="1554"/>
    <n v="-2.5"/>
    <x v="72"/>
    <n v="6409.07"/>
    <s v="Complete Access"/>
    <x v="37"/>
    <x v="0"/>
    <x v="0"/>
    <d v="1900-01-12T00:00:00"/>
    <n v="37"/>
    <x v="5"/>
    <x v="6"/>
  </r>
  <r>
    <x v="1554"/>
    <n v="-14.54"/>
    <x v="2643"/>
    <n v="6511.57"/>
    <s v="Complete Access"/>
    <x v="215"/>
    <x v="1"/>
    <x v="1"/>
    <d v="1900-01-12T00:00:00"/>
    <n v="37"/>
    <x v="5"/>
    <x v="6"/>
  </r>
  <r>
    <x v="1554"/>
    <n v="2000"/>
    <x v="3216"/>
    <n v="6549.21"/>
    <s v="Complete Access"/>
    <x v="736"/>
    <x v="4"/>
    <x v="27"/>
    <d v="1900-01-12T00:00:00"/>
    <n v="37"/>
    <x v="5"/>
    <x v="6"/>
  </r>
  <r>
    <x v="1554"/>
    <n v="-11.9"/>
    <x v="2863"/>
    <n v="4549.21"/>
    <s v="Complete Access"/>
    <x v="186"/>
    <x v="1"/>
    <x v="5"/>
    <d v="1900-01-12T00:00:00"/>
    <n v="37"/>
    <x v="5"/>
    <x v="6"/>
  </r>
  <r>
    <x v="1555"/>
    <n v="-1.19"/>
    <x v="2859"/>
    <n v="4608.16"/>
    <s v="Complete Access"/>
    <x v="61"/>
    <x v="1"/>
    <x v="1"/>
    <d v="1900-01-11T00:00:00"/>
    <n v="37"/>
    <x v="5"/>
    <x v="6"/>
  </r>
  <r>
    <x v="1556"/>
    <n v="-1.1599999999999999"/>
    <x v="2859"/>
    <n v="3505.5"/>
    <s v="Complete Access"/>
    <x v="61"/>
    <x v="1"/>
    <x v="1"/>
    <d v="1900-01-10T00:00:00"/>
    <n v="37"/>
    <x v="5"/>
    <x v="6"/>
  </r>
  <r>
    <x v="1556"/>
    <n v="-63.5"/>
    <x v="3217"/>
    <n v="3442"/>
    <s v="Complete Access"/>
    <x v="8"/>
    <x v="1"/>
    <x v="5"/>
    <d v="1900-01-10T00:00:00"/>
    <n v="37"/>
    <x v="5"/>
    <x v="6"/>
  </r>
  <r>
    <x v="1556"/>
    <n v="1182.25"/>
    <x v="3188"/>
    <n v="4609.3500000000004"/>
    <s v="Complete Access"/>
    <x v="14"/>
    <x v="6"/>
    <x v="9"/>
    <d v="1900-01-10T00:00:00"/>
    <n v="37"/>
    <x v="5"/>
    <x v="6"/>
  </r>
  <r>
    <x v="1556"/>
    <n v="-14.9"/>
    <x v="2863"/>
    <n v="3427.1"/>
    <s v="Complete Access"/>
    <x v="186"/>
    <x v="1"/>
    <x v="5"/>
    <d v="1900-01-10T00:00:00"/>
    <n v="37"/>
    <x v="5"/>
    <x v="6"/>
  </r>
  <r>
    <x v="1557"/>
    <n v="-2.09"/>
    <x v="2859"/>
    <n v="3518.96"/>
    <s v="Complete Access"/>
    <x v="61"/>
    <x v="1"/>
    <x v="1"/>
    <d v="1900-01-09T00:00:00"/>
    <n v="37"/>
    <x v="5"/>
    <x v="6"/>
  </r>
  <r>
    <x v="1557"/>
    <n v="-48.5"/>
    <x v="3218"/>
    <n v="3521.05"/>
    <s v="Complete Access"/>
    <x v="8"/>
    <x v="1"/>
    <x v="5"/>
    <d v="1900-01-09T00:00:00"/>
    <n v="37"/>
    <x v="5"/>
    <x v="6"/>
  </r>
  <r>
    <x v="1557"/>
    <n v="-12.3"/>
    <x v="2762"/>
    <n v="3506.66"/>
    <s v="Complete Access"/>
    <x v="616"/>
    <x v="1"/>
    <x v="1"/>
    <d v="1900-01-09T00:00:00"/>
    <n v="37"/>
    <x v="5"/>
    <x v="6"/>
  </r>
  <r>
    <x v="1557"/>
    <n v="-47"/>
    <x v="3219"/>
    <n v="3569.55"/>
    <s v="Complete Access"/>
    <x v="737"/>
    <x v="9"/>
    <x v="39"/>
    <d v="1900-01-09T00:00:00"/>
    <n v="37"/>
    <x v="5"/>
    <x v="6"/>
  </r>
  <r>
    <x v="1558"/>
    <n v="-0.99"/>
    <x v="2859"/>
    <n v="3703.55"/>
    <s v="Complete Access"/>
    <x v="61"/>
    <x v="1"/>
    <x v="1"/>
    <d v="1900-01-08T00:00:00"/>
    <n v="37"/>
    <x v="5"/>
    <x v="6"/>
  </r>
  <r>
    <x v="1558"/>
    <n v="-73"/>
    <x v="2543"/>
    <n v="3616.55"/>
    <s v="Complete Access"/>
    <x v="17"/>
    <x v="7"/>
    <x v="11"/>
    <d v="1900-01-08T00:00:00"/>
    <n v="37"/>
    <x v="5"/>
    <x v="6"/>
  </r>
  <r>
    <x v="1558"/>
    <n v="-14"/>
    <x v="3000"/>
    <n v="3689.55"/>
    <s v="Complete Access"/>
    <x v="687"/>
    <x v="1"/>
    <x v="5"/>
    <d v="1900-01-08T00:00:00"/>
    <n v="37"/>
    <x v="5"/>
    <x v="6"/>
  </r>
  <r>
    <x v="1559"/>
    <n v="31"/>
    <x v="3220"/>
    <n v="3704.54"/>
    <s v="Complete Access"/>
    <x v="583"/>
    <x v="0"/>
    <x v="69"/>
    <d v="1900-01-07T00:00:00"/>
    <n v="37"/>
    <x v="5"/>
    <x v="6"/>
  </r>
  <r>
    <x v="1560"/>
    <n v="-300"/>
    <x v="2956"/>
    <n v="3697.54"/>
    <s v="Complete Access"/>
    <x v="601"/>
    <x v="0"/>
    <x v="0"/>
    <d v="1900-01-06T00:00:00"/>
    <n v="36"/>
    <x v="5"/>
    <x v="6"/>
  </r>
  <r>
    <x v="1560"/>
    <n v="-10"/>
    <x v="3221"/>
    <n v="3673.54"/>
    <s v="Complete Access"/>
    <x v="738"/>
    <x v="8"/>
    <x v="29"/>
    <d v="1900-01-06T00:00:00"/>
    <n v="36"/>
    <x v="5"/>
    <x v="6"/>
  </r>
  <r>
    <x v="1560"/>
    <n v="-7"/>
    <x v="3221"/>
    <n v="3683.54"/>
    <s v="Complete Access"/>
    <x v="738"/>
    <x v="8"/>
    <x v="29"/>
    <d v="1900-01-06T00:00:00"/>
    <n v="36"/>
    <x v="5"/>
    <x v="6"/>
  </r>
  <r>
    <x v="1560"/>
    <n v="-7"/>
    <x v="3221"/>
    <n v="3690.54"/>
    <s v="Complete Access"/>
    <x v="738"/>
    <x v="8"/>
    <x v="29"/>
    <d v="1900-01-06T00:00:00"/>
    <n v="36"/>
    <x v="5"/>
    <x v="6"/>
  </r>
  <r>
    <x v="1560"/>
    <n v="-40"/>
    <x v="3222"/>
    <n v="3855.5"/>
    <s v="Complete Access"/>
    <x v="12"/>
    <x v="5"/>
    <x v="8"/>
    <d v="1900-01-06T00:00:00"/>
    <n v="36"/>
    <x v="5"/>
    <x v="6"/>
  </r>
  <r>
    <x v="1560"/>
    <n v="-9"/>
    <x v="3223"/>
    <n v="4116.49"/>
    <s v="Complete Access"/>
    <x v="682"/>
    <x v="1"/>
    <x v="5"/>
    <d v="1900-01-06T00:00:00"/>
    <n v="36"/>
    <x v="5"/>
    <x v="6"/>
  </r>
  <r>
    <x v="1560"/>
    <n v="-130"/>
    <x v="3224"/>
    <m/>
    <s v="Complete Access"/>
    <x v="739"/>
    <x v="4"/>
    <x v="20"/>
    <d v="1900-01-06T00:00:00"/>
    <n v="36"/>
    <x v="5"/>
    <x v="6"/>
  </r>
  <r>
    <x v="1560"/>
    <n v="269.99"/>
    <x v="3225"/>
    <n v="4125.49"/>
    <s v="Complete Access"/>
    <x v="703"/>
    <x v="3"/>
    <x v="15"/>
    <d v="1900-01-06T00:00:00"/>
    <n v="36"/>
    <x v="5"/>
    <x v="6"/>
  </r>
  <r>
    <x v="1560"/>
    <n v="-18.95"/>
    <x v="2643"/>
    <n v="3997.54"/>
    <s v="Complete Access"/>
    <x v="215"/>
    <x v="1"/>
    <x v="1"/>
    <d v="1900-01-06T00:00:00"/>
    <n v="36"/>
    <x v="5"/>
    <x v="6"/>
  </r>
  <r>
    <x v="1560"/>
    <n v="-100"/>
    <x v="2274"/>
    <n v="4016.49"/>
    <s v="Complete Access"/>
    <x v="552"/>
    <x v="0"/>
    <x v="74"/>
    <d v="1900-01-06T00:00:00"/>
    <n v="36"/>
    <x v="5"/>
    <x v="6"/>
  </r>
  <r>
    <x v="1561"/>
    <n v="-28.75"/>
    <x v="3226"/>
    <n v="3895.5"/>
    <s v="Complete Access"/>
    <x v="740"/>
    <x v="18"/>
    <x v="59"/>
    <d v="1900-01-05T00:00:00"/>
    <n v="36"/>
    <x v="5"/>
    <x v="6"/>
  </r>
  <r>
    <x v="1561"/>
    <n v="-21.95"/>
    <x v="3227"/>
    <n v="3924.25"/>
    <s v="Complete Access"/>
    <x v="617"/>
    <x v="4"/>
    <x v="73"/>
    <d v="1900-01-05T00:00:00"/>
    <n v="36"/>
    <x v="5"/>
    <x v="6"/>
  </r>
  <r>
    <x v="1562"/>
    <n v="-500"/>
    <x v="2294"/>
    <n v="4044.65"/>
    <s v="Complete Access"/>
    <x v="571"/>
    <x v="19"/>
    <x v="61"/>
    <d v="1900-01-04T00:00:00"/>
    <n v="36"/>
    <x v="5"/>
    <x v="6"/>
  </r>
  <r>
    <x v="1562"/>
    <n v="-82.55"/>
    <x v="3228"/>
    <n v="3946.2"/>
    <s v="Complete Access"/>
    <x v="512"/>
    <x v="1"/>
    <x v="5"/>
    <d v="1900-01-04T00:00:00"/>
    <n v="36"/>
    <x v="5"/>
    <x v="6"/>
  </r>
  <r>
    <x v="1562"/>
    <n v="-15.9"/>
    <x v="2863"/>
    <n v="4028.75"/>
    <s v="Complete Access"/>
    <x v="186"/>
    <x v="1"/>
    <x v="5"/>
    <d v="1900-01-04T00:00:00"/>
    <n v="36"/>
    <x v="5"/>
    <x v="6"/>
  </r>
  <r>
    <x v="1563"/>
    <n v="-8.98"/>
    <x v="2859"/>
    <n v="3511.21"/>
    <s v="Complete Access"/>
    <x v="61"/>
    <x v="1"/>
    <x v="1"/>
    <d v="1900-01-03T00:00:00"/>
    <n v="36"/>
    <x v="5"/>
    <x v="6"/>
  </r>
  <r>
    <x v="1563"/>
    <n v="-67.7"/>
    <x v="3229"/>
    <n v="3520.19"/>
    <s v="Complete Access"/>
    <x v="8"/>
    <x v="1"/>
    <x v="5"/>
    <d v="1900-01-03T00:00:00"/>
    <n v="36"/>
    <x v="5"/>
    <x v="6"/>
  </r>
  <r>
    <x v="1563"/>
    <n v="1048.94"/>
    <x v="3188"/>
    <n v="4544.6499999999996"/>
    <s v="Complete Access"/>
    <x v="14"/>
    <x v="6"/>
    <x v="9"/>
    <d v="1900-01-03T00:00:00"/>
    <n v="36"/>
    <x v="5"/>
    <x v="6"/>
  </r>
  <r>
    <x v="1563"/>
    <n v="-15.5"/>
    <x v="2863"/>
    <n v="3495.71"/>
    <s v="Complete Access"/>
    <x v="186"/>
    <x v="1"/>
    <x v="5"/>
    <d v="1900-01-03T00:00:00"/>
    <n v="36"/>
    <x v="5"/>
    <x v="6"/>
  </r>
  <r>
    <x v="1564"/>
    <n v="-18.899999999999999"/>
    <x v="3230"/>
    <n v="3602.64"/>
    <s v="Complete Access"/>
    <x v="8"/>
    <x v="1"/>
    <x v="5"/>
    <d v="1900-01-02T00:00:00"/>
    <n v="36"/>
    <x v="5"/>
    <x v="6"/>
  </r>
  <r>
    <x v="1564"/>
    <n v="-82"/>
    <x v="3231"/>
    <n v="3621.54"/>
    <s v="Complete Access"/>
    <x v="8"/>
    <x v="1"/>
    <x v="5"/>
    <d v="1900-01-02T00:00:00"/>
    <n v="36"/>
    <x v="5"/>
    <x v="6"/>
  </r>
  <r>
    <x v="1564"/>
    <n v="-0.49"/>
    <x v="3232"/>
    <n v="3703.54"/>
    <s v="Complete Access"/>
    <x v="10"/>
    <x v="0"/>
    <x v="0"/>
    <d v="1900-01-02T00:00:00"/>
    <n v="36"/>
    <x v="5"/>
    <x v="6"/>
  </r>
  <r>
    <x v="1564"/>
    <n v="-0.49"/>
    <x v="3232"/>
    <n v="3720.36"/>
    <s v="Complete Access"/>
    <x v="10"/>
    <x v="0"/>
    <x v="0"/>
    <d v="1900-01-02T00:00:00"/>
    <n v="36"/>
    <x v="5"/>
    <x v="6"/>
  </r>
  <r>
    <x v="1564"/>
    <n v="-14.75"/>
    <x v="2874"/>
    <n v="3587.89"/>
    <s v="Complete Access"/>
    <x v="663"/>
    <x v="1"/>
    <x v="1"/>
    <d v="1900-01-02T00:00:00"/>
    <n v="36"/>
    <x v="5"/>
    <x v="6"/>
  </r>
  <r>
    <x v="1564"/>
    <n v="-26.67"/>
    <x v="3233"/>
    <n v="3737.18"/>
    <s v="Complete Access"/>
    <x v="237"/>
    <x v="15"/>
    <x v="34"/>
    <d v="1900-01-02T00:00:00"/>
    <n v="36"/>
    <x v="5"/>
    <x v="6"/>
  </r>
  <r>
    <x v="1564"/>
    <n v="-16.329999999999998"/>
    <x v="3234"/>
    <n v="3704.03"/>
    <s v="Complete Access"/>
    <x v="327"/>
    <x v="4"/>
    <x v="27"/>
    <d v="1900-01-02T00:00:00"/>
    <n v="36"/>
    <x v="5"/>
    <x v="6"/>
  </r>
  <r>
    <x v="1564"/>
    <n v="-16.329999999999998"/>
    <x v="3235"/>
    <n v="3720.85"/>
    <s v="Complete Access"/>
    <x v="327"/>
    <x v="4"/>
    <x v="27"/>
    <d v="1900-01-02T00:00:00"/>
    <n v="36"/>
    <x v="5"/>
    <x v="6"/>
  </r>
  <r>
    <x v="1565"/>
    <n v="-4.51"/>
    <x v="2859"/>
    <n v="3922.82"/>
    <s v="Complete Access"/>
    <x v="61"/>
    <x v="1"/>
    <x v="1"/>
    <d v="1900-01-01T00:00:00"/>
    <n v="36"/>
    <x v="5"/>
    <x v="6"/>
  </r>
  <r>
    <x v="1565"/>
    <n v="-15.15"/>
    <x v="2916"/>
    <n v="3907.67"/>
    <s v="Complete Access"/>
    <x v="675"/>
    <x v="1"/>
    <x v="5"/>
    <d v="1900-01-01T00:00:00"/>
    <n v="36"/>
    <x v="5"/>
    <x v="6"/>
  </r>
  <r>
    <x v="1565"/>
    <n v="-21.52"/>
    <x v="2688"/>
    <n v="3886.15"/>
    <s v="Complete Access"/>
    <x v="177"/>
    <x v="1"/>
    <x v="1"/>
    <d v="1900-01-01T00:00:00"/>
    <n v="36"/>
    <x v="5"/>
    <x v="6"/>
  </r>
  <r>
    <x v="1565"/>
    <n v="50"/>
    <x v="3024"/>
    <n v="3936.15"/>
    <s v="Complete Access"/>
    <x v="27"/>
    <x v="1"/>
    <x v="5"/>
    <d v="1900-01-01T00:00:00"/>
    <n v="36"/>
    <x v="5"/>
    <x v="6"/>
  </r>
  <r>
    <x v="1565"/>
    <n v="-172.3"/>
    <x v="3236"/>
    <n v="3763.85"/>
    <s v="Complete Access"/>
    <x v="76"/>
    <x v="2"/>
    <x v="2"/>
    <d v="1900-01-01T00:00:00"/>
    <n v="36"/>
    <x v="5"/>
    <x v="6"/>
  </r>
  <r>
    <x v="1566"/>
    <n v="-20"/>
    <x v="2229"/>
    <n v="3927.33"/>
    <s v="Complete Access"/>
    <x v="557"/>
    <x v="7"/>
    <x v="53"/>
    <d v="1899-12-31T00:00:00"/>
    <n v="36"/>
    <x v="5"/>
    <x v="6"/>
  </r>
  <r>
    <x v="1567"/>
    <n v="-40"/>
    <x v="3237"/>
    <n v="3991.08"/>
    <s v="Complete Access"/>
    <x v="12"/>
    <x v="5"/>
    <x v="8"/>
    <d v="1900-01-30T00:00:00"/>
    <n v="35"/>
    <x v="6"/>
    <x v="6"/>
  </r>
  <r>
    <x v="1567"/>
    <n v="-22.05"/>
    <x v="3238"/>
    <n v="3969.03"/>
    <s v="Complete Access"/>
    <x v="47"/>
    <x v="1"/>
    <x v="5"/>
    <d v="1900-01-30T00:00:00"/>
    <n v="35"/>
    <x v="6"/>
    <x v="6"/>
  </r>
  <r>
    <x v="1567"/>
    <n v="-100"/>
    <x v="2274"/>
    <n v="4031.08"/>
    <s v="Complete Access"/>
    <x v="552"/>
    <x v="0"/>
    <x v="74"/>
    <d v="1900-01-30T00:00:00"/>
    <n v="35"/>
    <x v="6"/>
    <x v="6"/>
  </r>
  <r>
    <x v="1567"/>
    <n v="-21.7"/>
    <x v="3239"/>
    <n v="3947.33"/>
    <s v="Complete Access"/>
    <x v="460"/>
    <x v="8"/>
    <x v="29"/>
    <d v="1900-01-30T00:00:00"/>
    <n v="35"/>
    <x v="6"/>
    <x v="6"/>
  </r>
  <r>
    <x v="1568"/>
    <n v="-29.4"/>
    <x v="3240"/>
    <n v="4145.9799999999996"/>
    <s v="Complete Access"/>
    <x v="237"/>
    <x v="15"/>
    <x v="34"/>
    <d v="1900-01-29T00:00:00"/>
    <n v="35"/>
    <x v="6"/>
    <x v="6"/>
  </r>
  <r>
    <x v="1568"/>
    <n v="-14.9"/>
    <x v="2863"/>
    <n v="4131.08"/>
    <s v="Complete Access"/>
    <x v="186"/>
    <x v="1"/>
    <x v="5"/>
    <d v="1900-01-29T00:00:00"/>
    <n v="35"/>
    <x v="6"/>
    <x v="6"/>
  </r>
  <r>
    <x v="1569"/>
    <n v="-1.42"/>
    <x v="3241"/>
    <n v="4282.6099999999997"/>
    <s v="Complete Access"/>
    <x v="61"/>
    <x v="1"/>
    <x v="1"/>
    <d v="1900-01-28T00:00:00"/>
    <n v="35"/>
    <x v="6"/>
    <x v="6"/>
  </r>
  <r>
    <x v="1569"/>
    <n v="-51"/>
    <x v="3242"/>
    <n v="4385.2299999999996"/>
    <s v="Complete Access"/>
    <x v="8"/>
    <x v="1"/>
    <x v="5"/>
    <d v="1900-01-28T00:00:00"/>
    <n v="35"/>
    <x v="6"/>
    <x v="6"/>
  </r>
  <r>
    <x v="1569"/>
    <n v="-8.9"/>
    <x v="3243"/>
    <n v="4284.03"/>
    <s v="Complete Access"/>
    <x v="682"/>
    <x v="1"/>
    <x v="5"/>
    <d v="1900-01-28T00:00:00"/>
    <n v="35"/>
    <x v="6"/>
    <x v="6"/>
  </r>
  <r>
    <x v="1569"/>
    <n v="-27.83"/>
    <x v="2897"/>
    <n v="4175.38"/>
    <s v="Complete Access"/>
    <x v="559"/>
    <x v="20"/>
    <x v="63"/>
    <d v="1900-01-28T00:00:00"/>
    <n v="35"/>
    <x v="6"/>
    <x v="6"/>
  </r>
  <r>
    <x v="1569"/>
    <n v="-30.45"/>
    <x v="3244"/>
    <n v="4292.93"/>
    <s v="Complete Access"/>
    <x v="237"/>
    <x v="15"/>
    <x v="34"/>
    <d v="1900-01-28T00:00:00"/>
    <n v="35"/>
    <x v="6"/>
    <x v="6"/>
  </r>
  <r>
    <x v="1569"/>
    <n v="-12.29"/>
    <x v="3244"/>
    <n v="4323.38"/>
    <s v="Complete Access"/>
    <x v="237"/>
    <x v="15"/>
    <x v="34"/>
    <d v="1900-01-28T00:00:00"/>
    <n v="35"/>
    <x v="6"/>
    <x v="6"/>
  </r>
  <r>
    <x v="1569"/>
    <n v="-15.75"/>
    <x v="3244"/>
    <n v="4335.67"/>
    <s v="Complete Access"/>
    <x v="237"/>
    <x v="15"/>
    <x v="34"/>
    <d v="1900-01-28T00:00:00"/>
    <n v="35"/>
    <x v="6"/>
    <x v="6"/>
  </r>
  <r>
    <x v="1569"/>
    <n v="-33.81"/>
    <x v="3245"/>
    <n v="4351.42"/>
    <s v="Complete Access"/>
    <x v="237"/>
    <x v="15"/>
    <x v="34"/>
    <d v="1900-01-28T00:00:00"/>
    <n v="35"/>
    <x v="6"/>
    <x v="6"/>
  </r>
  <r>
    <x v="1569"/>
    <n v="-45.4"/>
    <x v="3246"/>
    <n v="4203.21"/>
    <s v="Complete Access"/>
    <x v="741"/>
    <x v="16"/>
    <x v="81"/>
    <d v="1900-01-28T00:00:00"/>
    <n v="35"/>
    <x v="6"/>
    <x v="6"/>
  </r>
  <r>
    <x v="1569"/>
    <n v="-14"/>
    <x v="3000"/>
    <n v="4248.6099999999997"/>
    <s v="Complete Access"/>
    <x v="687"/>
    <x v="1"/>
    <x v="5"/>
    <d v="1900-01-28T00:00:00"/>
    <n v="35"/>
    <x v="6"/>
    <x v="6"/>
  </r>
  <r>
    <x v="1569"/>
    <n v="-20"/>
    <x v="3247"/>
    <n v="4262.6099999999997"/>
    <s v="Complete Access"/>
    <x v="34"/>
    <x v="9"/>
    <x v="12"/>
    <d v="1900-01-28T00:00:00"/>
    <n v="35"/>
    <x v="6"/>
    <x v="6"/>
  </r>
  <r>
    <x v="1570"/>
    <n v="-36.5"/>
    <x v="3248"/>
    <n v="3280.15"/>
    <s v="Complete Access"/>
    <x v="8"/>
    <x v="1"/>
    <x v="5"/>
    <d v="1900-01-27T00:00:00"/>
    <n v="35"/>
    <x v="6"/>
    <x v="6"/>
  </r>
  <r>
    <x v="1570"/>
    <n v="1178.48"/>
    <x v="3188"/>
    <n v="4436.2299999999996"/>
    <s v="Complete Access"/>
    <x v="14"/>
    <x v="6"/>
    <x v="9"/>
    <d v="1900-01-27T00:00:00"/>
    <n v="35"/>
    <x v="6"/>
    <x v="6"/>
  </r>
  <r>
    <x v="1570"/>
    <n v="-16.899999999999999"/>
    <x v="2863"/>
    <n v="3257.75"/>
    <s v="Complete Access"/>
    <x v="186"/>
    <x v="1"/>
    <x v="5"/>
    <d v="1900-01-27T00:00:00"/>
    <n v="35"/>
    <x v="6"/>
    <x v="6"/>
  </r>
  <r>
    <x v="1570"/>
    <n v="-5.5"/>
    <x v="3249"/>
    <n v="3274.65"/>
    <s v="Complete Access"/>
    <x v="34"/>
    <x v="9"/>
    <x v="12"/>
    <d v="1900-01-27T00:00:00"/>
    <n v="35"/>
    <x v="6"/>
    <x v="6"/>
  </r>
  <r>
    <x v="1571"/>
    <n v="-18.14"/>
    <x v="3250"/>
    <n v="3316.65"/>
    <s v="Complete Access"/>
    <x v="8"/>
    <x v="1"/>
    <x v="5"/>
    <d v="1900-01-26T00:00:00"/>
    <n v="35"/>
    <x v="6"/>
    <x v="6"/>
  </r>
  <r>
    <x v="1571"/>
    <n v="-9.18"/>
    <x v="3251"/>
    <n v="3350.79"/>
    <s v="Complete Access"/>
    <x v="742"/>
    <x v="8"/>
    <x v="29"/>
    <d v="1900-01-26T00:00:00"/>
    <n v="35"/>
    <x v="6"/>
    <x v="6"/>
  </r>
  <r>
    <x v="1571"/>
    <n v="-16"/>
    <x v="3252"/>
    <n v="3334.79"/>
    <s v="Complete Access"/>
    <x v="743"/>
    <x v="1"/>
    <x v="5"/>
    <d v="1900-01-26T00:00:00"/>
    <n v="35"/>
    <x v="6"/>
    <x v="6"/>
  </r>
  <r>
    <x v="1572"/>
    <n v="-26"/>
    <x v="3253"/>
    <n v="3359.97"/>
    <s v="Complete Access"/>
    <x v="27"/>
    <x v="1"/>
    <x v="5"/>
    <d v="1900-01-24T00:00:00"/>
    <n v="35"/>
    <x v="6"/>
    <x v="6"/>
  </r>
  <r>
    <x v="1573"/>
    <n v="-22.15"/>
    <x v="2762"/>
    <n v="3471.97"/>
    <s v="Complete Access"/>
    <x v="616"/>
    <x v="1"/>
    <x v="1"/>
    <d v="1900-01-23T00:00:00"/>
    <n v="34"/>
    <x v="6"/>
    <x v="6"/>
  </r>
  <r>
    <x v="1573"/>
    <n v="-12.95"/>
    <x v="3254"/>
    <n v="3531.59"/>
    <s v="Complete Access"/>
    <x v="744"/>
    <x v="3"/>
    <x v="15"/>
    <d v="1900-01-23T00:00:00"/>
    <n v="34"/>
    <x v="6"/>
    <x v="6"/>
  </r>
  <r>
    <x v="1573"/>
    <n v="-269.99"/>
    <x v="3255"/>
    <n v="3544.54"/>
    <s v="Complete Access"/>
    <x v="703"/>
    <x v="3"/>
    <x v="15"/>
    <d v="1900-01-23T00:00:00"/>
    <n v="34"/>
    <x v="6"/>
    <x v="6"/>
  </r>
  <r>
    <x v="1573"/>
    <n v="-10.19"/>
    <x v="2874"/>
    <n v="3521.4"/>
    <s v="Complete Access"/>
    <x v="663"/>
    <x v="1"/>
    <x v="1"/>
    <d v="1900-01-23T00:00:00"/>
    <n v="34"/>
    <x v="6"/>
    <x v="6"/>
  </r>
  <r>
    <x v="1573"/>
    <n v="-100"/>
    <x v="2274"/>
    <n v="3814.53"/>
    <s v="Complete Access"/>
    <x v="552"/>
    <x v="0"/>
    <x v="74"/>
    <d v="1900-01-23T00:00:00"/>
    <n v="34"/>
    <x v="6"/>
    <x v="6"/>
  </r>
  <r>
    <x v="1573"/>
    <n v="-27.28"/>
    <x v="2688"/>
    <n v="3494.12"/>
    <s v="Complete Access"/>
    <x v="177"/>
    <x v="1"/>
    <x v="1"/>
    <d v="1900-01-23T00:00:00"/>
    <n v="34"/>
    <x v="6"/>
    <x v="6"/>
  </r>
  <r>
    <x v="1573"/>
    <n v="-86"/>
    <x v="2700"/>
    <n v="3385.97"/>
    <s v="Complete Access"/>
    <x v="243"/>
    <x v="1"/>
    <x v="23"/>
    <d v="1900-01-23T00:00:00"/>
    <n v="34"/>
    <x v="6"/>
    <x v="6"/>
  </r>
  <r>
    <x v="1574"/>
    <n v="-2.97"/>
    <x v="2859"/>
    <n v="3951.03"/>
    <s v="Complete Access"/>
    <x v="61"/>
    <x v="1"/>
    <x v="1"/>
    <d v="1900-01-22T00:00:00"/>
    <n v="34"/>
    <x v="6"/>
    <x v="6"/>
  </r>
  <r>
    <x v="1574"/>
    <n v="-21.5"/>
    <x v="3256"/>
    <n v="3914.53"/>
    <s v="Complete Access"/>
    <x v="745"/>
    <x v="8"/>
    <x v="22"/>
    <d v="1900-01-22T00:00:00"/>
    <n v="34"/>
    <x v="6"/>
    <x v="6"/>
  </r>
  <r>
    <x v="1574"/>
    <n v="-15"/>
    <x v="3256"/>
    <n v="3936.03"/>
    <s v="Complete Access"/>
    <x v="745"/>
    <x v="8"/>
    <x v="22"/>
    <d v="1900-01-22T00:00:00"/>
    <n v="34"/>
    <x v="6"/>
    <x v="6"/>
  </r>
  <r>
    <x v="1575"/>
    <n v="-500"/>
    <x v="2294"/>
    <n v="3969"/>
    <s v="Complete Access"/>
    <x v="571"/>
    <x v="19"/>
    <x v="61"/>
    <d v="1900-01-21T00:00:00"/>
    <n v="34"/>
    <x v="6"/>
    <x v="6"/>
  </r>
  <r>
    <x v="1575"/>
    <n v="-15"/>
    <x v="3257"/>
    <n v="3954"/>
    <s v="Complete Access"/>
    <x v="254"/>
    <x v="16"/>
    <x v="35"/>
    <d v="1900-01-21T00:00:00"/>
    <n v="34"/>
    <x v="6"/>
    <x v="6"/>
  </r>
  <r>
    <x v="1576"/>
    <n v="-84"/>
    <x v="3258"/>
    <n v="918.32"/>
    <s v="Complete Access"/>
    <x v="8"/>
    <x v="1"/>
    <x v="5"/>
    <d v="1900-01-20T00:00:00"/>
    <n v="34"/>
    <x v="6"/>
    <x v="6"/>
  </r>
  <r>
    <x v="1576"/>
    <n v="-40"/>
    <x v="3259"/>
    <n v="1002.32"/>
    <s v="Complete Access"/>
    <x v="12"/>
    <x v="5"/>
    <x v="8"/>
    <d v="1900-01-20T00:00:00"/>
    <n v="34"/>
    <x v="6"/>
    <x v="6"/>
  </r>
  <r>
    <x v="1576"/>
    <n v="3550.68"/>
    <x v="3188"/>
    <n v="4469"/>
    <s v="Complete Access"/>
    <x v="14"/>
    <x v="6"/>
    <x v="9"/>
    <d v="1900-01-20T00:00:00"/>
    <n v="34"/>
    <x v="6"/>
    <x v="6"/>
  </r>
  <r>
    <x v="1577"/>
    <n v="-57.3"/>
    <x v="3260"/>
    <n v="1241.92"/>
    <s v="Complete Access"/>
    <x v="8"/>
    <x v="1"/>
    <x v="5"/>
    <d v="1900-01-19T00:00:00"/>
    <n v="34"/>
    <x v="6"/>
    <x v="6"/>
  </r>
  <r>
    <x v="1577"/>
    <n v="-12.5"/>
    <x v="3261"/>
    <n v="1229.42"/>
    <s v="Complete Access"/>
    <x v="682"/>
    <x v="1"/>
    <x v="5"/>
    <d v="1900-01-19T00:00:00"/>
    <n v="34"/>
    <x v="6"/>
    <x v="6"/>
  </r>
  <r>
    <x v="1577"/>
    <n v="-16"/>
    <x v="3191"/>
    <n v="1213.42"/>
    <s v="Complete Access"/>
    <x v="732"/>
    <x v="8"/>
    <x v="29"/>
    <d v="1900-01-19T00:00:00"/>
    <n v="34"/>
    <x v="6"/>
    <x v="6"/>
  </r>
  <r>
    <x v="1577"/>
    <n v="-171.1"/>
    <x v="3262"/>
    <n v="1042.32"/>
    <s v="Complete Access"/>
    <x v="746"/>
    <x v="12"/>
    <x v="21"/>
    <d v="1900-01-19T00:00:00"/>
    <n v="34"/>
    <x v="6"/>
    <x v="6"/>
  </r>
  <r>
    <x v="1578"/>
    <n v="-16"/>
    <x v="2863"/>
    <n v="1299.22"/>
    <s v="Complete Access"/>
    <x v="186"/>
    <x v="1"/>
    <x v="5"/>
    <d v="1900-01-18T00:00:00"/>
    <n v="34"/>
    <x v="6"/>
    <x v="6"/>
  </r>
  <r>
    <x v="1579"/>
    <n v="20"/>
    <x v="3136"/>
    <n v="1265.22"/>
    <s v="Complete Access"/>
    <x v="27"/>
    <x v="1"/>
    <x v="5"/>
    <d v="1900-01-17T00:00:00"/>
    <n v="34"/>
    <x v="6"/>
    <x v="6"/>
  </r>
  <r>
    <x v="1579"/>
    <n v="50"/>
    <x v="3024"/>
    <n v="1315.22"/>
    <s v="Complete Access"/>
    <x v="27"/>
    <x v="1"/>
    <x v="5"/>
    <d v="1900-01-17T00:00:00"/>
    <n v="34"/>
    <x v="6"/>
    <x v="6"/>
  </r>
  <r>
    <x v="1579"/>
    <n v="12"/>
    <x v="2876"/>
    <n v="1245.22"/>
    <s v="Complete Access"/>
    <x v="27"/>
    <x v="1"/>
    <x v="5"/>
    <d v="1900-01-17T00:00:00"/>
    <n v="34"/>
    <x v="6"/>
    <x v="6"/>
  </r>
  <r>
    <x v="1580"/>
    <n v="-100"/>
    <x v="2274"/>
    <n v="1233.22"/>
    <s v="Complete Access"/>
    <x v="552"/>
    <x v="0"/>
    <x v="74"/>
    <d v="1900-01-16T00:00:00"/>
    <n v="33"/>
    <x v="6"/>
    <x v="6"/>
  </r>
  <r>
    <x v="1581"/>
    <n v="1.59"/>
    <x v="2702"/>
    <n v="1333.22"/>
    <s v="Complete Access"/>
    <x v="6"/>
    <x v="4"/>
    <x v="4"/>
    <d v="1900-01-15T00:00:00"/>
    <n v="33"/>
    <x v="6"/>
    <x v="6"/>
  </r>
  <r>
    <x v="1582"/>
    <n v="-12.81"/>
    <x v="3263"/>
    <n v="1433.01"/>
    <s v="Complete Access"/>
    <x v="556"/>
    <x v="15"/>
    <x v="34"/>
    <d v="1900-01-14T00:00:00"/>
    <n v="33"/>
    <x v="6"/>
    <x v="6"/>
  </r>
  <r>
    <x v="1582"/>
    <n v="-10.3"/>
    <x v="3264"/>
    <n v="1422.71"/>
    <s v="Complete Access"/>
    <x v="682"/>
    <x v="1"/>
    <x v="5"/>
    <d v="1900-01-14T00:00:00"/>
    <n v="33"/>
    <x v="6"/>
    <x v="6"/>
  </r>
  <r>
    <x v="1582"/>
    <n v="-12.5"/>
    <x v="3265"/>
    <n v="1377.03"/>
    <s v="Complete Access"/>
    <x v="747"/>
    <x v="1"/>
    <x v="5"/>
    <d v="1900-01-14T00:00:00"/>
    <n v="33"/>
    <x v="6"/>
    <x v="6"/>
  </r>
  <r>
    <x v="1582"/>
    <n v="-33.18"/>
    <x v="3266"/>
    <n v="1389.53"/>
    <s v="Complete Access"/>
    <x v="237"/>
    <x v="15"/>
    <x v="34"/>
    <d v="1900-01-14T00:00:00"/>
    <n v="33"/>
    <x v="6"/>
    <x v="6"/>
  </r>
  <r>
    <x v="1582"/>
    <n v="-45.4"/>
    <x v="3267"/>
    <n v="1331.63"/>
    <s v="Complete Access"/>
    <x v="741"/>
    <x v="16"/>
    <x v="81"/>
    <d v="1900-01-14T00:00:00"/>
    <n v="33"/>
    <x v="6"/>
    <x v="6"/>
  </r>
  <r>
    <x v="1583"/>
    <n v="-0.5"/>
    <x v="2859"/>
    <n v="1495.82"/>
    <s v="Complete Access"/>
    <x v="61"/>
    <x v="1"/>
    <x v="1"/>
    <d v="1900-01-13T00:00:00"/>
    <n v="33"/>
    <x v="6"/>
    <x v="6"/>
  </r>
  <r>
    <x v="1583"/>
    <n v="-23.79"/>
    <x v="3268"/>
    <n v="1591.62"/>
    <s v="Complete Access"/>
    <x v="8"/>
    <x v="1"/>
    <x v="5"/>
    <d v="1900-01-13T00:00:00"/>
    <n v="33"/>
    <x v="6"/>
    <x v="6"/>
  </r>
  <r>
    <x v="1583"/>
    <n v="-59.5"/>
    <x v="3269"/>
    <n v="1532.12"/>
    <s v="Complete Access"/>
    <x v="8"/>
    <x v="1"/>
    <x v="5"/>
    <d v="1900-01-13T00:00:00"/>
    <n v="33"/>
    <x v="6"/>
    <x v="6"/>
  </r>
  <r>
    <x v="1583"/>
    <n v="-40"/>
    <x v="3270"/>
    <n v="1719.08"/>
    <s v="Complete Access"/>
    <x v="12"/>
    <x v="5"/>
    <x v="8"/>
    <d v="1900-01-13T00:00:00"/>
    <n v="33"/>
    <x v="6"/>
    <x v="6"/>
  </r>
  <r>
    <x v="1583"/>
    <n v="-103.67"/>
    <x v="3271"/>
    <n v="1615.41"/>
    <s v="Complete Access"/>
    <x v="343"/>
    <x v="1"/>
    <x v="5"/>
    <d v="1900-01-13T00:00:00"/>
    <n v="33"/>
    <x v="6"/>
    <x v="6"/>
  </r>
  <r>
    <x v="1583"/>
    <n v="-50"/>
    <x v="2929"/>
    <n v="1445.82"/>
    <s v="Complete Access"/>
    <x v="645"/>
    <x v="0"/>
    <x v="69"/>
    <d v="1900-01-13T00:00:00"/>
    <n v="33"/>
    <x v="6"/>
    <x v="6"/>
  </r>
  <r>
    <x v="1583"/>
    <n v="-29.3"/>
    <x v="3272"/>
    <n v="1502.82"/>
    <s v="Complete Access"/>
    <x v="460"/>
    <x v="8"/>
    <x v="29"/>
    <d v="1900-01-13T00:00:00"/>
    <n v="33"/>
    <x v="6"/>
    <x v="6"/>
  </r>
  <r>
    <x v="1583"/>
    <n v="-6.5"/>
    <x v="3273"/>
    <n v="1496.32"/>
    <s v="Complete Access"/>
    <x v="34"/>
    <x v="9"/>
    <x v="12"/>
    <d v="1900-01-13T00:00:00"/>
    <n v="33"/>
    <x v="6"/>
    <x v="6"/>
  </r>
  <r>
    <x v="1584"/>
    <n v="-1.58"/>
    <x v="2859"/>
    <n v="1795.87"/>
    <s v="Complete Access"/>
    <x v="61"/>
    <x v="1"/>
    <x v="1"/>
    <d v="1900-01-12T00:00:00"/>
    <n v="33"/>
    <x v="6"/>
    <x v="6"/>
  </r>
  <r>
    <x v="1584"/>
    <n v="-51.5"/>
    <x v="3274"/>
    <n v="1808.45"/>
    <s v="Complete Access"/>
    <x v="8"/>
    <x v="1"/>
    <x v="5"/>
    <d v="1900-01-12T00:00:00"/>
    <n v="33"/>
    <x v="6"/>
    <x v="6"/>
  </r>
  <r>
    <x v="1584"/>
    <n v="-20.399999999999999"/>
    <x v="3275"/>
    <n v="1759.08"/>
    <s v="Complete Access"/>
    <x v="27"/>
    <x v="1"/>
    <x v="5"/>
    <d v="1900-01-12T00:00:00"/>
    <n v="33"/>
    <x v="6"/>
    <x v="6"/>
  </r>
  <r>
    <x v="1584"/>
    <n v="-11"/>
    <x v="3276"/>
    <n v="1797.45"/>
    <s v="Complete Access"/>
    <x v="682"/>
    <x v="1"/>
    <x v="5"/>
    <d v="1900-01-12T00:00:00"/>
    <n v="33"/>
    <x v="6"/>
    <x v="6"/>
  </r>
  <r>
    <x v="1584"/>
    <n v="-14.5"/>
    <x v="3277"/>
    <n v="1867.39"/>
    <s v="Complete Access"/>
    <x v="10"/>
    <x v="0"/>
    <x v="0"/>
    <d v="1900-01-12T00:00:00"/>
    <n v="33"/>
    <x v="6"/>
    <x v="6"/>
  </r>
  <r>
    <x v="1584"/>
    <n v="-4.59"/>
    <x v="2643"/>
    <n v="1779.48"/>
    <s v="Complete Access"/>
    <x v="215"/>
    <x v="1"/>
    <x v="1"/>
    <d v="1900-01-12T00:00:00"/>
    <n v="33"/>
    <x v="6"/>
    <x v="6"/>
  </r>
  <r>
    <x v="1584"/>
    <n v="-3.8"/>
    <x v="2863"/>
    <n v="1792.07"/>
    <s v="Complete Access"/>
    <x v="186"/>
    <x v="1"/>
    <x v="5"/>
    <d v="1900-01-12T00:00:00"/>
    <n v="33"/>
    <x v="6"/>
    <x v="6"/>
  </r>
  <r>
    <x v="1584"/>
    <n v="-7.44"/>
    <x v="3278"/>
    <n v="1859.95"/>
    <s v="Complete Access"/>
    <x v="44"/>
    <x v="4"/>
    <x v="27"/>
    <d v="1900-01-12T00:00:00"/>
    <n v="33"/>
    <x v="6"/>
    <x v="6"/>
  </r>
  <r>
    <x v="1584"/>
    <n v="-8"/>
    <x v="2925"/>
    <n v="1784.07"/>
    <s v="Complete Access"/>
    <x v="678"/>
    <x v="20"/>
    <x v="63"/>
    <d v="1900-01-12T00:00:00"/>
    <n v="33"/>
    <x v="6"/>
    <x v="6"/>
  </r>
  <r>
    <x v="1584"/>
    <n v="-483.32"/>
    <x v="3279"/>
    <n v="1881.89"/>
    <s v="Complete Access"/>
    <x v="748"/>
    <x v="18"/>
    <x v="3"/>
    <d v="1900-01-12T00:00:00"/>
    <n v="33"/>
    <x v="6"/>
    <x v="6"/>
  </r>
  <r>
    <x v="1585"/>
    <n v="-13.5"/>
    <x v="3280"/>
    <n v="2365.21"/>
    <s v="Complete Access"/>
    <x v="749"/>
    <x v="1"/>
    <x v="5"/>
    <d v="1900-01-11T00:00:00"/>
    <n v="33"/>
    <x v="6"/>
    <x v="6"/>
  </r>
  <r>
    <x v="1585"/>
    <n v="-20"/>
    <x v="3281"/>
    <n v="2378.71"/>
    <s v="Complete Access"/>
    <x v="750"/>
    <x v="1"/>
    <x v="5"/>
    <d v="1900-01-11T00:00:00"/>
    <n v="33"/>
    <x v="6"/>
    <x v="6"/>
  </r>
  <r>
    <x v="1586"/>
    <n v="-23.7"/>
    <x v="3282"/>
    <n v="2398.71"/>
    <s v="Complete Access"/>
    <x v="751"/>
    <x v="1"/>
    <x v="5"/>
    <d v="1900-01-10T00:00:00"/>
    <n v="33"/>
    <x v="6"/>
    <x v="6"/>
  </r>
  <r>
    <x v="1587"/>
    <n v="-100"/>
    <x v="3283"/>
    <n v="2424.91"/>
    <s v="Complete Access"/>
    <x v="601"/>
    <x v="0"/>
    <x v="0"/>
    <d v="1900-01-09T00:00:00"/>
    <n v="32"/>
    <x v="6"/>
    <x v="6"/>
  </r>
  <r>
    <x v="1587"/>
    <n v="-9"/>
    <x v="3284"/>
    <n v="2624.91"/>
    <s v="Complete Access"/>
    <x v="682"/>
    <x v="1"/>
    <x v="5"/>
    <d v="1900-01-09T00:00:00"/>
    <n v="32"/>
    <x v="6"/>
    <x v="6"/>
  </r>
  <r>
    <x v="1587"/>
    <n v="-2.5"/>
    <x v="72"/>
    <n v="2422.41"/>
    <s v="Complete Access"/>
    <x v="37"/>
    <x v="0"/>
    <x v="0"/>
    <d v="1900-01-09T00:00:00"/>
    <n v="32"/>
    <x v="6"/>
    <x v="6"/>
  </r>
  <r>
    <x v="1587"/>
    <n v="-100"/>
    <x v="2274"/>
    <n v="2524.91"/>
    <s v="Complete Access"/>
    <x v="552"/>
    <x v="0"/>
    <x v="74"/>
    <d v="1900-01-09T00:00:00"/>
    <n v="32"/>
    <x v="6"/>
    <x v="6"/>
  </r>
  <r>
    <x v="1588"/>
    <n v="-1.76"/>
    <x v="2859"/>
    <n v="2706.91"/>
    <s v="Complete Access"/>
    <x v="61"/>
    <x v="1"/>
    <x v="1"/>
    <d v="1900-01-08T00:00:00"/>
    <n v="32"/>
    <x v="6"/>
    <x v="6"/>
  </r>
  <r>
    <x v="1588"/>
    <n v="-73"/>
    <x v="2543"/>
    <n v="2633.91"/>
    <s v="Complete Access"/>
    <x v="17"/>
    <x v="7"/>
    <x v="11"/>
    <d v="1900-01-08T00:00:00"/>
    <n v="32"/>
    <x v="6"/>
    <x v="6"/>
  </r>
  <r>
    <x v="1589"/>
    <n v="-0.5"/>
    <x v="2859"/>
    <n v="2724.07"/>
    <s v="Complete Access"/>
    <x v="61"/>
    <x v="1"/>
    <x v="1"/>
    <d v="1900-01-07T00:00:00"/>
    <n v="32"/>
    <x v="6"/>
    <x v="6"/>
  </r>
  <r>
    <x v="1589"/>
    <n v="-55.5"/>
    <x v="3285"/>
    <n v="2724.57"/>
    <s v="Complete Access"/>
    <x v="8"/>
    <x v="1"/>
    <x v="5"/>
    <d v="1900-01-07T00:00:00"/>
    <n v="32"/>
    <x v="6"/>
    <x v="6"/>
  </r>
  <r>
    <x v="1589"/>
    <n v="-40"/>
    <x v="3286"/>
    <n v="2780.07"/>
    <s v="Complete Access"/>
    <x v="12"/>
    <x v="5"/>
    <x v="8"/>
    <d v="1900-01-07T00:00:00"/>
    <n v="32"/>
    <x v="6"/>
    <x v="6"/>
  </r>
  <r>
    <x v="1589"/>
    <n v="-500"/>
    <x v="2294"/>
    <n v="2820.07"/>
    <s v="Complete Access"/>
    <x v="571"/>
    <x v="19"/>
    <x v="61"/>
    <d v="1900-01-07T00:00:00"/>
    <n v="32"/>
    <x v="6"/>
    <x v="6"/>
  </r>
  <r>
    <x v="1589"/>
    <n v="-15.4"/>
    <x v="2863"/>
    <n v="2708.67"/>
    <s v="Complete Access"/>
    <x v="186"/>
    <x v="1"/>
    <x v="5"/>
    <d v="1900-01-07T00:00:00"/>
    <n v="32"/>
    <x v="6"/>
    <x v="6"/>
  </r>
  <r>
    <x v="1590"/>
    <n v="-5.9"/>
    <x v="2915"/>
    <n v="3320.07"/>
    <s v="Complete Access"/>
    <x v="674"/>
    <x v="8"/>
    <x v="29"/>
    <d v="1900-01-06T00:00:00"/>
    <n v="32"/>
    <x v="6"/>
    <x v="6"/>
  </r>
  <r>
    <x v="1591"/>
    <n v="-35"/>
    <x v="3287"/>
    <n v="3330.72"/>
    <s v="Complete Access"/>
    <x v="8"/>
    <x v="1"/>
    <x v="5"/>
    <d v="1900-01-05T00:00:00"/>
    <n v="32"/>
    <x v="6"/>
    <x v="6"/>
  </r>
  <r>
    <x v="1591"/>
    <n v="-12.5"/>
    <x v="3288"/>
    <n v="3365.72"/>
    <s v="Complete Access"/>
    <x v="682"/>
    <x v="1"/>
    <x v="5"/>
    <d v="1900-01-05T00:00:00"/>
    <n v="32"/>
    <x v="6"/>
    <x v="6"/>
  </r>
  <r>
    <x v="1591"/>
    <n v="-4.75"/>
    <x v="2643"/>
    <n v="3325.97"/>
    <s v="Complete Access"/>
    <x v="215"/>
    <x v="1"/>
    <x v="1"/>
    <d v="1900-01-05T00:00:00"/>
    <n v="32"/>
    <x v="6"/>
    <x v="6"/>
  </r>
  <r>
    <x v="1592"/>
    <n v="-0.51"/>
    <x v="2859"/>
    <n v="3401.11"/>
    <s v="Complete Access"/>
    <x v="61"/>
    <x v="1"/>
    <x v="1"/>
    <d v="1900-01-04T00:00:00"/>
    <n v="32"/>
    <x v="6"/>
    <x v="6"/>
  </r>
  <r>
    <x v="1592"/>
    <n v="-4.99"/>
    <x v="2643"/>
    <n v="3378.22"/>
    <s v="Complete Access"/>
    <x v="215"/>
    <x v="1"/>
    <x v="1"/>
    <d v="1900-01-04T00:00:00"/>
    <n v="32"/>
    <x v="6"/>
    <x v="6"/>
  </r>
  <r>
    <x v="1592"/>
    <n v="-17.899999999999999"/>
    <x v="2863"/>
    <n v="3383.21"/>
    <s v="Complete Access"/>
    <x v="186"/>
    <x v="1"/>
    <x v="5"/>
    <d v="1900-01-04T00:00:00"/>
    <n v="32"/>
    <x v="6"/>
    <x v="6"/>
  </r>
  <r>
    <x v="1593"/>
    <n v="-12.5"/>
    <x v="3289"/>
    <n v="3478.23"/>
    <s v="Complete Access"/>
    <x v="682"/>
    <x v="1"/>
    <x v="5"/>
    <d v="1900-01-02T00:00:00"/>
    <n v="31"/>
    <x v="6"/>
    <x v="6"/>
  </r>
  <r>
    <x v="1593"/>
    <n v="-100"/>
    <x v="2274"/>
    <n v="3490.73"/>
    <s v="Complete Access"/>
    <x v="552"/>
    <x v="0"/>
    <x v="74"/>
    <d v="1900-01-02T00:00:00"/>
    <n v="31"/>
    <x v="6"/>
    <x v="6"/>
  </r>
  <r>
    <x v="1593"/>
    <n v="-76.61"/>
    <x v="2688"/>
    <n v="3401.62"/>
    <s v="Complete Access"/>
    <x v="177"/>
    <x v="1"/>
    <x v="1"/>
    <d v="1900-01-02T00:00:00"/>
    <n v="31"/>
    <x v="6"/>
    <x v="6"/>
  </r>
  <r>
    <x v="1594"/>
    <n v="-40"/>
    <x v="3290"/>
    <n v="3606.73"/>
    <s v="Complete Access"/>
    <x v="12"/>
    <x v="5"/>
    <x v="8"/>
    <d v="1900-01-01T00:00:00"/>
    <n v="31"/>
    <x v="6"/>
    <x v="6"/>
  </r>
  <r>
    <x v="1594"/>
    <n v="-16"/>
    <x v="2863"/>
    <n v="3590.73"/>
    <s v="Complete Access"/>
    <x v="186"/>
    <x v="1"/>
    <x v="5"/>
    <d v="1900-01-01T00:00:00"/>
    <n v="31"/>
    <x v="6"/>
    <x v="6"/>
  </r>
  <r>
    <x v="1595"/>
    <n v="-0.69"/>
    <x v="2859"/>
    <n v="3864.43"/>
    <s v="Complete Access"/>
    <x v="61"/>
    <x v="1"/>
    <x v="1"/>
    <d v="1899-12-31T00:00:00"/>
    <n v="31"/>
    <x v="6"/>
    <x v="6"/>
  </r>
  <r>
    <x v="1595"/>
    <n v="-26"/>
    <x v="3291"/>
    <n v="3865.12"/>
    <s v="Complete Access"/>
    <x v="752"/>
    <x v="1"/>
    <x v="5"/>
    <d v="1899-12-31T00:00:00"/>
    <n v="31"/>
    <x v="6"/>
    <x v="6"/>
  </r>
  <r>
    <x v="1595"/>
    <n v="-20"/>
    <x v="2229"/>
    <n v="3922.83"/>
    <s v="Complete Access"/>
    <x v="557"/>
    <x v="7"/>
    <x v="53"/>
    <d v="1899-12-31T00:00:00"/>
    <n v="31"/>
    <x v="6"/>
    <x v="6"/>
  </r>
  <r>
    <x v="1595"/>
    <n v="-10.5"/>
    <x v="3292"/>
    <n v="3912.33"/>
    <s v="Complete Access"/>
    <x v="237"/>
    <x v="15"/>
    <x v="34"/>
    <d v="1899-12-31T00:00:00"/>
    <n v="31"/>
    <x v="6"/>
    <x v="6"/>
  </r>
  <r>
    <x v="1595"/>
    <n v="-45.4"/>
    <x v="3293"/>
    <n v="3646.73"/>
    <s v="Complete Access"/>
    <x v="741"/>
    <x v="16"/>
    <x v="81"/>
    <d v="1899-12-31T00:00:00"/>
    <n v="31"/>
    <x v="6"/>
    <x v="6"/>
  </r>
  <r>
    <x v="1595"/>
    <n v="-172.3"/>
    <x v="3294"/>
    <n v="3692.13"/>
    <s v="Complete Access"/>
    <x v="76"/>
    <x v="2"/>
    <x v="2"/>
    <d v="1899-12-31T00:00:00"/>
    <n v="31"/>
    <x v="6"/>
    <x v="6"/>
  </r>
  <r>
    <x v="1595"/>
    <n v="-21.21"/>
    <x v="3295"/>
    <n v="3891.12"/>
    <s v="Complete Access"/>
    <x v="753"/>
    <x v="1"/>
    <x v="5"/>
    <d v="1899-12-31T00:00:00"/>
    <n v="31"/>
    <x v="6"/>
    <x v="6"/>
  </r>
  <r>
    <x v="1596"/>
    <n v="-9"/>
    <x v="2859"/>
    <n v="2815.05"/>
    <s v="Complete Access"/>
    <x v="61"/>
    <x v="1"/>
    <x v="1"/>
    <d v="1900-01-30T00:00:00"/>
    <n v="31"/>
    <x v="7"/>
    <x v="6"/>
  </r>
  <r>
    <x v="1596"/>
    <n v="-26.82"/>
    <x v="3296"/>
    <n v="2824.05"/>
    <s v="Complete Access"/>
    <x v="8"/>
    <x v="1"/>
    <x v="5"/>
    <d v="1900-01-30T00:00:00"/>
    <n v="31"/>
    <x v="7"/>
    <x v="6"/>
  </r>
  <r>
    <x v="1596"/>
    <n v="1182.02"/>
    <x v="3188"/>
    <n v="3942.83"/>
    <s v="Complete Access"/>
    <x v="14"/>
    <x v="6"/>
    <x v="9"/>
    <d v="1900-01-30T00:00:00"/>
    <n v="31"/>
    <x v="7"/>
    <x v="6"/>
  </r>
  <r>
    <x v="1596"/>
    <n v="-3.19"/>
    <x v="2643"/>
    <n v="2760.81"/>
    <s v="Complete Access"/>
    <x v="215"/>
    <x v="1"/>
    <x v="1"/>
    <d v="1900-01-30T00:00:00"/>
    <n v="31"/>
    <x v="7"/>
    <x v="6"/>
  </r>
  <r>
    <x v="1596"/>
    <n v="-24.75"/>
    <x v="2688"/>
    <n v="2764"/>
    <s v="Complete Access"/>
    <x v="177"/>
    <x v="1"/>
    <x v="1"/>
    <d v="1900-01-30T00:00:00"/>
    <n v="31"/>
    <x v="7"/>
    <x v="6"/>
  </r>
  <r>
    <x v="1596"/>
    <n v="-12.3"/>
    <x v="2863"/>
    <n v="2802.75"/>
    <s v="Complete Access"/>
    <x v="186"/>
    <x v="1"/>
    <x v="5"/>
    <d v="1900-01-30T00:00:00"/>
    <n v="31"/>
    <x v="7"/>
    <x v="6"/>
  </r>
  <r>
    <x v="1596"/>
    <n v="-14"/>
    <x v="3000"/>
    <n v="2788.75"/>
    <s v="Complete Access"/>
    <x v="687"/>
    <x v="1"/>
    <x v="5"/>
    <d v="1900-01-30T00:00:00"/>
    <n v="31"/>
    <x v="7"/>
    <x v="6"/>
  </r>
  <r>
    <x v="1597"/>
    <n v="-0.55000000000000004"/>
    <x v="2859"/>
    <n v="2870.87"/>
    <s v="Complete Access"/>
    <x v="61"/>
    <x v="1"/>
    <x v="1"/>
    <d v="1900-01-29T00:00:00"/>
    <n v="31"/>
    <x v="7"/>
    <x v="6"/>
  </r>
  <r>
    <x v="1597"/>
    <n v="-15"/>
    <x v="3297"/>
    <n v="2871.42"/>
    <s v="Complete Access"/>
    <x v="754"/>
    <x v="8"/>
    <x v="29"/>
    <d v="1900-01-29T00:00:00"/>
    <n v="31"/>
    <x v="7"/>
    <x v="6"/>
  </r>
  <r>
    <x v="1597"/>
    <n v="-37.4"/>
    <x v="3298"/>
    <n v="2889.62"/>
    <s v="Complete Access"/>
    <x v="755"/>
    <x v="8"/>
    <x v="29"/>
    <d v="1900-01-29T00:00:00"/>
    <n v="31"/>
    <x v="7"/>
    <x v="6"/>
  </r>
  <r>
    <x v="1597"/>
    <n v="-10.5"/>
    <x v="3299"/>
    <n v="2927.02"/>
    <s v="Complete Access"/>
    <x v="682"/>
    <x v="1"/>
    <x v="5"/>
    <d v="1900-01-29T00:00:00"/>
    <n v="31"/>
    <x v="7"/>
    <x v="6"/>
  </r>
  <r>
    <x v="1597"/>
    <n v="-20"/>
    <x v="3300"/>
    <n v="2850.87"/>
    <s v="Complete Access"/>
    <x v="756"/>
    <x v="0"/>
    <x v="69"/>
    <d v="1900-01-29T00:00:00"/>
    <n v="31"/>
    <x v="7"/>
    <x v="6"/>
  </r>
  <r>
    <x v="1597"/>
    <n v="-3.2"/>
    <x v="3301"/>
    <n v="2886.42"/>
    <s v="Complete Access"/>
    <x v="757"/>
    <x v="8"/>
    <x v="29"/>
    <d v="1900-01-29T00:00:00"/>
    <n v="31"/>
    <x v="7"/>
    <x v="6"/>
  </r>
  <r>
    <x v="1598"/>
    <n v="-26.14"/>
    <x v="2874"/>
    <n v="2943.7"/>
    <s v="Complete Access"/>
    <x v="663"/>
    <x v="1"/>
    <x v="1"/>
    <d v="1900-01-28T00:00:00"/>
    <n v="31"/>
    <x v="7"/>
    <x v="6"/>
  </r>
  <r>
    <x v="1598"/>
    <n v="-6.18"/>
    <x v="2688"/>
    <n v="2937.52"/>
    <s v="Complete Access"/>
    <x v="177"/>
    <x v="1"/>
    <x v="1"/>
    <d v="1900-01-28T00:00:00"/>
    <n v="31"/>
    <x v="7"/>
    <x v="6"/>
  </r>
  <r>
    <x v="1599"/>
    <n v="-76.95"/>
    <x v="3302"/>
    <n v="2969.84"/>
    <s v="Complete Access"/>
    <x v="758"/>
    <x v="3"/>
    <x v="26"/>
    <d v="1900-01-27T00:00:00"/>
    <n v="31"/>
    <x v="7"/>
    <x v="6"/>
  </r>
  <r>
    <x v="1600"/>
    <n v="-8.9"/>
    <x v="3303"/>
    <n v="3144.78"/>
    <s v="Complete Access"/>
    <x v="682"/>
    <x v="1"/>
    <x v="5"/>
    <d v="1900-01-26T00:00:00"/>
    <n v="30"/>
    <x v="7"/>
    <x v="6"/>
  </r>
  <r>
    <x v="1600"/>
    <n v="-20"/>
    <x v="3304"/>
    <n v="3046.79"/>
    <s v="Complete Access"/>
    <x v="759"/>
    <x v="8"/>
    <x v="29"/>
    <d v="1900-01-26T00:00:00"/>
    <n v="30"/>
    <x v="7"/>
    <x v="6"/>
  </r>
  <r>
    <x v="1600"/>
    <n v="-75"/>
    <x v="2929"/>
    <n v="3066.79"/>
    <s v="Complete Access"/>
    <x v="645"/>
    <x v="0"/>
    <x v="69"/>
    <d v="1900-01-26T00:00:00"/>
    <n v="30"/>
    <x v="7"/>
    <x v="6"/>
  </r>
  <r>
    <x v="1600"/>
    <n v="-100"/>
    <x v="2274"/>
    <n v="3153.68"/>
    <s v="Complete Access"/>
    <x v="552"/>
    <x v="0"/>
    <x v="74"/>
    <d v="1900-01-26T00:00:00"/>
    <n v="30"/>
    <x v="7"/>
    <x v="6"/>
  </r>
  <r>
    <x v="1600"/>
    <n v="-2.99"/>
    <x v="3305"/>
    <n v="3141.79"/>
    <s v="Complete Access"/>
    <x v="587"/>
    <x v="8"/>
    <x v="22"/>
    <d v="1900-01-26T00:00:00"/>
    <n v="30"/>
    <x v="7"/>
    <x v="6"/>
  </r>
  <r>
    <x v="1601"/>
    <n v="-1.35"/>
    <x v="2859"/>
    <n v="3325.05"/>
    <s v="Complete Access"/>
    <x v="61"/>
    <x v="1"/>
    <x v="1"/>
    <d v="1900-01-25T00:00:00"/>
    <n v="30"/>
    <x v="7"/>
    <x v="6"/>
  </r>
  <r>
    <x v="1601"/>
    <n v="-40"/>
    <x v="3306"/>
    <n v="3338.9"/>
    <s v="Complete Access"/>
    <x v="12"/>
    <x v="5"/>
    <x v="8"/>
    <d v="1900-01-25T00:00:00"/>
    <n v="30"/>
    <x v="7"/>
    <x v="6"/>
  </r>
  <r>
    <x v="1601"/>
    <n v="-12.5"/>
    <x v="3307"/>
    <n v="3326.4"/>
    <s v="Complete Access"/>
    <x v="682"/>
    <x v="1"/>
    <x v="5"/>
    <d v="1900-01-25T00:00:00"/>
    <n v="30"/>
    <x v="7"/>
    <x v="6"/>
  </r>
  <r>
    <x v="1601"/>
    <n v="-37.07"/>
    <x v="3308"/>
    <n v="3253.68"/>
    <s v="Complete Access"/>
    <x v="77"/>
    <x v="4"/>
    <x v="27"/>
    <d v="1900-01-25T00:00:00"/>
    <n v="30"/>
    <x v="7"/>
    <x v="6"/>
  </r>
  <r>
    <x v="1601"/>
    <n v="-13.8"/>
    <x v="3256"/>
    <n v="3290.75"/>
    <s v="Complete Access"/>
    <x v="745"/>
    <x v="8"/>
    <x v="22"/>
    <d v="1900-01-25T00:00:00"/>
    <n v="30"/>
    <x v="7"/>
    <x v="6"/>
  </r>
  <r>
    <x v="1601"/>
    <n v="-6"/>
    <x v="3256"/>
    <n v="3304.55"/>
    <s v="Complete Access"/>
    <x v="745"/>
    <x v="8"/>
    <x v="22"/>
    <d v="1900-01-25T00:00:00"/>
    <n v="30"/>
    <x v="7"/>
    <x v="6"/>
  </r>
  <r>
    <x v="1601"/>
    <n v="-14.5"/>
    <x v="2863"/>
    <n v="3310.55"/>
    <s v="Complete Access"/>
    <x v="186"/>
    <x v="1"/>
    <x v="5"/>
    <d v="1900-01-25T00:00:00"/>
    <n v="30"/>
    <x v="7"/>
    <x v="6"/>
  </r>
  <r>
    <x v="1602"/>
    <n v="-500"/>
    <x v="2294"/>
    <n v="3400.95"/>
    <s v="Complete Access"/>
    <x v="571"/>
    <x v="19"/>
    <x v="61"/>
    <d v="1900-01-24T00:00:00"/>
    <n v="30"/>
    <x v="7"/>
    <x v="6"/>
  </r>
  <r>
    <x v="1602"/>
    <n v="-22.05"/>
    <x v="3309"/>
    <n v="3378.9"/>
    <s v="Complete Access"/>
    <x v="237"/>
    <x v="15"/>
    <x v="34"/>
    <d v="1900-01-24T00:00:00"/>
    <n v="30"/>
    <x v="7"/>
    <x v="6"/>
  </r>
  <r>
    <x v="1603"/>
    <n v="-23.5"/>
    <x v="2915"/>
    <n v="2718.7"/>
    <s v="Complete Access"/>
    <x v="674"/>
    <x v="8"/>
    <x v="29"/>
    <d v="1900-01-23T00:00:00"/>
    <n v="30"/>
    <x v="7"/>
    <x v="6"/>
  </r>
  <r>
    <x v="1603"/>
    <n v="-1.64"/>
    <x v="2859"/>
    <n v="2757.2"/>
    <s v="Complete Access"/>
    <x v="61"/>
    <x v="1"/>
    <x v="1"/>
    <d v="1900-01-23T00:00:00"/>
    <n v="30"/>
    <x v="7"/>
    <x v="6"/>
  </r>
  <r>
    <x v="1603"/>
    <n v="-16.2"/>
    <x v="3310"/>
    <n v="2774.33"/>
    <s v="Complete Access"/>
    <x v="106"/>
    <x v="5"/>
    <x v="41"/>
    <d v="1900-01-23T00:00:00"/>
    <n v="30"/>
    <x v="7"/>
    <x v="6"/>
  </r>
  <r>
    <x v="1603"/>
    <n v="-3"/>
    <x v="3311"/>
    <n v="2790.53"/>
    <s v="Complete Access"/>
    <x v="106"/>
    <x v="5"/>
    <x v="41"/>
    <d v="1900-01-23T00:00:00"/>
    <n v="30"/>
    <x v="7"/>
    <x v="6"/>
  </r>
  <r>
    <x v="1603"/>
    <n v="-15.49"/>
    <x v="3312"/>
    <n v="2758.84"/>
    <s v="Complete Access"/>
    <x v="8"/>
    <x v="1"/>
    <x v="5"/>
    <d v="1900-01-23T00:00:00"/>
    <n v="30"/>
    <x v="7"/>
    <x v="6"/>
  </r>
  <r>
    <x v="1603"/>
    <n v="1182.25"/>
    <x v="3188"/>
    <n v="3900.95"/>
    <s v="Complete Access"/>
    <x v="14"/>
    <x v="6"/>
    <x v="9"/>
    <d v="1900-01-23T00:00:00"/>
    <n v="30"/>
    <x v="7"/>
    <x v="6"/>
  </r>
  <r>
    <x v="1603"/>
    <n v="-15"/>
    <x v="2863"/>
    <n v="2742.2"/>
    <s v="Complete Access"/>
    <x v="186"/>
    <x v="1"/>
    <x v="5"/>
    <d v="1900-01-23T00:00:00"/>
    <n v="30"/>
    <x v="7"/>
    <x v="6"/>
  </r>
  <r>
    <x v="1604"/>
    <n v="-11.15"/>
    <x v="2915"/>
    <n v="2833.53"/>
    <s v="Complete Access"/>
    <x v="674"/>
    <x v="8"/>
    <x v="29"/>
    <d v="1900-01-22T00:00:00"/>
    <n v="30"/>
    <x v="7"/>
    <x v="6"/>
  </r>
  <r>
    <x v="1604"/>
    <n v="-0.38"/>
    <x v="2859"/>
    <n v="2844.68"/>
    <s v="Complete Access"/>
    <x v="61"/>
    <x v="1"/>
    <x v="1"/>
    <d v="1900-01-22T00:00:00"/>
    <n v="30"/>
    <x v="7"/>
    <x v="6"/>
  </r>
  <r>
    <x v="1604"/>
    <n v="-15.82"/>
    <x v="3313"/>
    <n v="2845.06"/>
    <s v="Complete Access"/>
    <x v="106"/>
    <x v="5"/>
    <x v="41"/>
    <d v="1900-01-22T00:00:00"/>
    <n v="30"/>
    <x v="7"/>
    <x v="6"/>
  </r>
  <r>
    <x v="1604"/>
    <n v="-8.9"/>
    <x v="3314"/>
    <n v="2860.88"/>
    <s v="Complete Access"/>
    <x v="682"/>
    <x v="1"/>
    <x v="5"/>
    <d v="1900-01-22T00:00:00"/>
    <n v="30"/>
    <x v="7"/>
    <x v="6"/>
  </r>
  <r>
    <x v="1604"/>
    <n v="-40"/>
    <x v="3315"/>
    <n v="2793.53"/>
    <s v="Complete Access"/>
    <x v="557"/>
    <x v="7"/>
    <x v="53"/>
    <d v="1900-01-22T00:00:00"/>
    <n v="30"/>
    <x v="7"/>
    <x v="6"/>
  </r>
  <r>
    <x v="1604"/>
    <n v="-9.14"/>
    <x v="3316"/>
    <n v="2869.78"/>
    <s v="Complete Access"/>
    <x v="760"/>
    <x v="8"/>
    <x v="29"/>
    <d v="1900-01-22T00:00:00"/>
    <n v="30"/>
    <x v="7"/>
    <x v="6"/>
  </r>
  <r>
    <x v="1604"/>
    <n v="-27.43"/>
    <x v="3316"/>
    <n v="2878.92"/>
    <s v="Complete Access"/>
    <x v="760"/>
    <x v="8"/>
    <x v="29"/>
    <d v="1900-01-22T00:00:00"/>
    <n v="30"/>
    <x v="7"/>
    <x v="6"/>
  </r>
  <r>
    <x v="1604"/>
    <n v="-9.14"/>
    <x v="3316"/>
    <n v="2906.35"/>
    <s v="Complete Access"/>
    <x v="760"/>
    <x v="8"/>
    <x v="29"/>
    <d v="1900-01-22T00:00:00"/>
    <n v="30"/>
    <x v="7"/>
    <x v="6"/>
  </r>
  <r>
    <x v="1604"/>
    <n v="-9.14"/>
    <x v="3316"/>
    <n v="2915.49"/>
    <s v="Complete Access"/>
    <x v="760"/>
    <x v="8"/>
    <x v="29"/>
    <d v="1900-01-22T00:00:00"/>
    <n v="30"/>
    <x v="7"/>
    <x v="6"/>
  </r>
  <r>
    <x v="1605"/>
    <n v="-15.8"/>
    <x v="2915"/>
    <n v="2924.63"/>
    <s v="Complete Access"/>
    <x v="674"/>
    <x v="8"/>
    <x v="29"/>
    <d v="1900-01-21T00:00:00"/>
    <n v="30"/>
    <x v="7"/>
    <x v="6"/>
  </r>
  <r>
    <x v="1605"/>
    <n v="-1"/>
    <x v="2859"/>
    <n v="2940.43"/>
    <s v="Complete Access"/>
    <x v="61"/>
    <x v="1"/>
    <x v="1"/>
    <d v="1900-01-21T00:00:00"/>
    <n v="30"/>
    <x v="7"/>
    <x v="6"/>
  </r>
  <r>
    <x v="1606"/>
    <n v="-18.27"/>
    <x v="3317"/>
    <n v="3004.23"/>
    <s v="Complete Access"/>
    <x v="761"/>
    <x v="15"/>
    <x v="34"/>
    <d v="1900-01-20T00:00:00"/>
    <n v="30"/>
    <x v="7"/>
    <x v="6"/>
  </r>
  <r>
    <x v="1606"/>
    <n v="-43"/>
    <x v="2929"/>
    <n v="2961.23"/>
    <s v="Complete Access"/>
    <x v="645"/>
    <x v="0"/>
    <x v="69"/>
    <d v="1900-01-20T00:00:00"/>
    <n v="30"/>
    <x v="7"/>
    <x v="6"/>
  </r>
  <r>
    <x v="1606"/>
    <n v="-19.8"/>
    <x v="3061"/>
    <n v="2941.43"/>
    <s v="Complete Access"/>
    <x v="27"/>
    <x v="1"/>
    <x v="5"/>
    <d v="1900-01-20T00:00:00"/>
    <n v="30"/>
    <x v="7"/>
    <x v="6"/>
  </r>
  <r>
    <x v="1607"/>
    <n v="-100"/>
    <x v="2274"/>
    <n v="3037.7"/>
    <s v="Complete Access"/>
    <x v="552"/>
    <x v="0"/>
    <x v="74"/>
    <d v="1900-01-19T00:00:00"/>
    <n v="29"/>
    <x v="7"/>
    <x v="6"/>
  </r>
  <r>
    <x v="1607"/>
    <n v="-15.2"/>
    <x v="3318"/>
    <n v="3022.5"/>
    <s v="Complete Access"/>
    <x v="91"/>
    <x v="9"/>
    <x v="12"/>
    <d v="1900-01-19T00:00:00"/>
    <n v="29"/>
    <x v="7"/>
    <x v="6"/>
  </r>
  <r>
    <x v="1608"/>
    <n v="-0.88"/>
    <x v="2859"/>
    <n v="2064.4499999999998"/>
    <s v="Complete Access"/>
    <x v="61"/>
    <x v="1"/>
    <x v="1"/>
    <d v="1900-01-18T00:00:00"/>
    <n v="29"/>
    <x v="7"/>
    <x v="6"/>
  </r>
  <r>
    <x v="1608"/>
    <n v="-40"/>
    <x v="3319"/>
    <n v="2093.5500000000002"/>
    <s v="Complete Access"/>
    <x v="12"/>
    <x v="5"/>
    <x v="8"/>
    <d v="1900-01-18T00:00:00"/>
    <n v="29"/>
    <x v="7"/>
    <x v="6"/>
  </r>
  <r>
    <x v="1608"/>
    <n v="1182.25"/>
    <x v="3188"/>
    <n v="3137.7"/>
    <s v="Complete Access"/>
    <x v="14"/>
    <x v="6"/>
    <x v="9"/>
    <d v="1900-01-18T00:00:00"/>
    <n v="29"/>
    <x v="7"/>
    <x v="6"/>
  </r>
  <r>
    <x v="1608"/>
    <n v="-28.22"/>
    <x v="3320"/>
    <n v="2065.33"/>
    <s v="Complete Access"/>
    <x v="56"/>
    <x v="9"/>
    <x v="31"/>
    <d v="1900-01-18T00:00:00"/>
    <n v="29"/>
    <x v="7"/>
    <x v="6"/>
  </r>
  <r>
    <x v="1608"/>
    <n v="-100"/>
    <x v="2929"/>
    <n v="1964.45"/>
    <s v="Complete Access"/>
    <x v="645"/>
    <x v="0"/>
    <x v="69"/>
    <d v="1900-01-18T00:00:00"/>
    <n v="29"/>
    <x v="7"/>
    <x v="6"/>
  </r>
  <r>
    <x v="1608"/>
    <n v="-9"/>
    <x v="2863"/>
    <n v="1955.45"/>
    <s v="Complete Access"/>
    <x v="186"/>
    <x v="1"/>
    <x v="5"/>
    <d v="1900-01-18T00:00:00"/>
    <n v="29"/>
    <x v="7"/>
    <x v="6"/>
  </r>
  <r>
    <x v="1609"/>
    <n v="-22.5"/>
    <x v="3061"/>
    <n v="2178.9499999999998"/>
    <s v="Complete Access"/>
    <x v="27"/>
    <x v="1"/>
    <x v="5"/>
    <d v="1900-01-17T00:00:00"/>
    <n v="29"/>
    <x v="7"/>
    <x v="6"/>
  </r>
  <r>
    <x v="1609"/>
    <n v="-45.4"/>
    <x v="3321"/>
    <n v="2133.5500000000002"/>
    <s v="Complete Access"/>
    <x v="741"/>
    <x v="16"/>
    <x v="81"/>
    <d v="1900-01-17T00:00:00"/>
    <n v="29"/>
    <x v="7"/>
    <x v="6"/>
  </r>
  <r>
    <x v="1610"/>
    <n v="-1.43"/>
    <x v="2859"/>
    <n v="2201.4499999999998"/>
    <s v="Complete Access"/>
    <x v="61"/>
    <x v="1"/>
    <x v="1"/>
    <d v="1900-01-16T00:00:00"/>
    <n v="29"/>
    <x v="7"/>
    <x v="6"/>
  </r>
  <r>
    <x v="1610"/>
    <n v="-69"/>
    <x v="3322"/>
    <n v="2306.38"/>
    <s v="Complete Access"/>
    <x v="8"/>
    <x v="1"/>
    <x v="5"/>
    <d v="1900-01-16T00:00:00"/>
    <n v="29"/>
    <x v="7"/>
    <x v="6"/>
  </r>
  <r>
    <x v="1610"/>
    <n v="-65"/>
    <x v="3323"/>
    <n v="2235.38"/>
    <s v="Complete Access"/>
    <x v="8"/>
    <x v="1"/>
    <x v="5"/>
    <d v="1900-01-16T00:00:00"/>
    <n v="29"/>
    <x v="7"/>
    <x v="6"/>
  </r>
  <r>
    <x v="1610"/>
    <n v="-6"/>
    <x v="3324"/>
    <n v="2300.38"/>
    <s v="Complete Access"/>
    <x v="752"/>
    <x v="1"/>
    <x v="5"/>
    <d v="1900-01-16T00:00:00"/>
    <n v="29"/>
    <x v="7"/>
    <x v="6"/>
  </r>
  <r>
    <x v="1610"/>
    <n v="-23"/>
    <x v="3325"/>
    <n v="2212.38"/>
    <s v="Complete Access"/>
    <x v="716"/>
    <x v="11"/>
    <x v="49"/>
    <d v="1900-01-16T00:00:00"/>
    <n v="29"/>
    <x v="7"/>
    <x v="6"/>
  </r>
  <r>
    <x v="1610"/>
    <n v="-9.5"/>
    <x v="3326"/>
    <n v="2202.88"/>
    <s v="Complete Access"/>
    <x v="34"/>
    <x v="9"/>
    <x v="12"/>
    <d v="1900-01-16T00:00:00"/>
    <n v="29"/>
    <x v="7"/>
    <x v="6"/>
  </r>
  <r>
    <x v="1611"/>
    <n v="-6.51"/>
    <x v="2859"/>
    <n v="2384.2800000000002"/>
    <s v="Complete Access"/>
    <x v="61"/>
    <x v="1"/>
    <x v="1"/>
    <d v="1900-01-15T00:00:00"/>
    <n v="29"/>
    <x v="7"/>
    <x v="6"/>
  </r>
  <r>
    <x v="1611"/>
    <n v="-3.5"/>
    <x v="3327"/>
    <n v="2390.79"/>
    <s v="Complete Access"/>
    <x v="277"/>
    <x v="8"/>
    <x v="29"/>
    <d v="1900-01-15T00:00:00"/>
    <n v="29"/>
    <x v="7"/>
    <x v="6"/>
  </r>
  <r>
    <x v="1611"/>
    <n v="-8.9"/>
    <x v="2863"/>
    <n v="2375.38"/>
    <s v="Complete Access"/>
    <x v="186"/>
    <x v="1"/>
    <x v="5"/>
    <d v="1900-01-15T00:00:00"/>
    <n v="29"/>
    <x v="7"/>
    <x v="6"/>
  </r>
  <r>
    <x v="1612"/>
    <n v="-1.21"/>
    <x v="2859"/>
    <n v="2403.19"/>
    <s v="Complete Access"/>
    <x v="61"/>
    <x v="1"/>
    <x v="1"/>
    <d v="1900-01-14T00:00:00"/>
    <n v="29"/>
    <x v="7"/>
    <x v="6"/>
  </r>
  <r>
    <x v="1612"/>
    <n v="-8.9"/>
    <x v="2863"/>
    <n v="2394.29"/>
    <s v="Complete Access"/>
    <x v="186"/>
    <x v="1"/>
    <x v="5"/>
    <d v="1900-01-14T00:00:00"/>
    <n v="29"/>
    <x v="7"/>
    <x v="6"/>
  </r>
  <r>
    <x v="1613"/>
    <n v="20"/>
    <x v="3136"/>
    <n v="2378.4"/>
    <s v="Complete Access"/>
    <x v="27"/>
    <x v="1"/>
    <x v="5"/>
    <d v="1900-01-13T00:00:00"/>
    <n v="29"/>
    <x v="7"/>
    <x v="6"/>
  </r>
  <r>
    <x v="1613"/>
    <n v="26"/>
    <x v="3024"/>
    <n v="2404.4"/>
    <s v="Complete Access"/>
    <x v="27"/>
    <x v="1"/>
    <x v="5"/>
    <d v="1900-01-13T00:00:00"/>
    <n v="29"/>
    <x v="7"/>
    <x v="6"/>
  </r>
  <r>
    <x v="1613"/>
    <n v="-17.8"/>
    <x v="3061"/>
    <n v="2358.4"/>
    <s v="Complete Access"/>
    <x v="27"/>
    <x v="1"/>
    <x v="5"/>
    <d v="1900-01-13T00:00:00"/>
    <n v="29"/>
    <x v="7"/>
    <x v="6"/>
  </r>
  <r>
    <x v="1614"/>
    <n v="-50"/>
    <x v="3214"/>
    <n v="2378.6999999999998"/>
    <s v="Complete Access"/>
    <x v="601"/>
    <x v="0"/>
    <x v="0"/>
    <d v="1900-01-12T00:00:00"/>
    <n v="28"/>
    <x v="7"/>
    <x v="6"/>
  </r>
  <r>
    <x v="1614"/>
    <n v="-40"/>
    <x v="3328"/>
    <n v="2477.71"/>
    <s v="Complete Access"/>
    <x v="12"/>
    <x v="5"/>
    <x v="8"/>
    <d v="1900-01-12T00:00:00"/>
    <n v="28"/>
    <x v="7"/>
    <x v="6"/>
  </r>
  <r>
    <x v="1614"/>
    <n v="-3.5"/>
    <x v="3329"/>
    <n v="2466.21"/>
    <s v="Complete Access"/>
    <x v="277"/>
    <x v="8"/>
    <x v="29"/>
    <d v="1900-01-12T00:00:00"/>
    <n v="28"/>
    <x v="7"/>
    <x v="6"/>
  </r>
  <r>
    <x v="1614"/>
    <n v="-2.5"/>
    <x v="72"/>
    <n v="2376.1999999999998"/>
    <s v="Complete Access"/>
    <x v="37"/>
    <x v="0"/>
    <x v="0"/>
    <d v="1900-01-12T00:00:00"/>
    <n v="28"/>
    <x v="7"/>
    <x v="6"/>
  </r>
  <r>
    <x v="1614"/>
    <n v="-15.52"/>
    <x v="2643"/>
    <n v="2428.6999999999998"/>
    <s v="Complete Access"/>
    <x v="215"/>
    <x v="1"/>
    <x v="1"/>
    <d v="1900-01-12T00:00:00"/>
    <n v="28"/>
    <x v="7"/>
    <x v="6"/>
  </r>
  <r>
    <x v="1614"/>
    <n v="-10"/>
    <x v="2874"/>
    <n v="2456.21"/>
    <s v="Complete Access"/>
    <x v="663"/>
    <x v="1"/>
    <x v="1"/>
    <d v="1900-01-12T00:00:00"/>
    <n v="28"/>
    <x v="7"/>
    <x v="6"/>
  </r>
  <r>
    <x v="1614"/>
    <n v="-100"/>
    <x v="2274"/>
    <n v="2517.71"/>
    <s v="Complete Access"/>
    <x v="552"/>
    <x v="0"/>
    <x v="74"/>
    <d v="1900-01-12T00:00:00"/>
    <n v="28"/>
    <x v="7"/>
    <x v="6"/>
  </r>
  <r>
    <x v="1614"/>
    <n v="-11.99"/>
    <x v="2688"/>
    <n v="2444.2199999999998"/>
    <s v="Complete Access"/>
    <x v="177"/>
    <x v="1"/>
    <x v="1"/>
    <d v="1900-01-12T00:00:00"/>
    <n v="28"/>
    <x v="7"/>
    <x v="6"/>
  </r>
  <r>
    <x v="1614"/>
    <n v="-8"/>
    <x v="3330"/>
    <n v="2469.71"/>
    <s v="Complete Access"/>
    <x v="762"/>
    <x v="1"/>
    <x v="5"/>
    <d v="1900-01-12T00:00:00"/>
    <n v="28"/>
    <x v="7"/>
    <x v="6"/>
  </r>
  <r>
    <x v="1615"/>
    <n v="-1.48"/>
    <x v="2859"/>
    <n v="2606.61"/>
    <s v="Complete Access"/>
    <x v="61"/>
    <x v="1"/>
    <x v="1"/>
    <d v="1900-01-11T00:00:00"/>
    <n v="28"/>
    <x v="7"/>
    <x v="6"/>
  </r>
  <r>
    <x v="1615"/>
    <n v="20"/>
    <x v="2876"/>
    <n v="2617.71"/>
    <s v="Complete Access"/>
    <x v="27"/>
    <x v="1"/>
    <x v="5"/>
    <d v="1900-01-11T00:00:00"/>
    <n v="28"/>
    <x v="7"/>
    <x v="6"/>
  </r>
  <r>
    <x v="1615"/>
    <n v="-8.9"/>
    <x v="2863"/>
    <n v="2597.71"/>
    <s v="Complete Access"/>
    <x v="186"/>
    <x v="1"/>
    <x v="5"/>
    <d v="1900-01-11T00:00:00"/>
    <n v="28"/>
    <x v="7"/>
    <x v="6"/>
  </r>
  <r>
    <x v="1616"/>
    <n v="-1.59"/>
    <x v="2859"/>
    <n v="5200.09"/>
    <s v="Complete Access"/>
    <x v="61"/>
    <x v="1"/>
    <x v="1"/>
    <d v="1900-01-10T00:00:00"/>
    <n v="28"/>
    <x v="7"/>
    <x v="6"/>
  </r>
  <r>
    <x v="1616"/>
    <n v="-20"/>
    <x v="3331"/>
    <n v="5135.59"/>
    <s v="Complete Access"/>
    <x v="680"/>
    <x v="1"/>
    <x v="5"/>
    <d v="1900-01-10T00:00:00"/>
    <n v="28"/>
    <x v="7"/>
    <x v="6"/>
  </r>
  <r>
    <x v="1616"/>
    <n v="-500"/>
    <x v="2294"/>
    <n v="5201.68"/>
    <s v="Complete Access"/>
    <x v="571"/>
    <x v="19"/>
    <x v="61"/>
    <d v="1900-01-10T00:00:00"/>
    <n v="28"/>
    <x v="7"/>
    <x v="6"/>
  </r>
  <r>
    <x v="1616"/>
    <n v="-2.5"/>
    <x v="72"/>
    <n v="5133.09"/>
    <s v="Complete Access"/>
    <x v="37"/>
    <x v="0"/>
    <x v="0"/>
    <d v="1900-01-10T00:00:00"/>
    <n v="28"/>
    <x v="7"/>
    <x v="6"/>
  </r>
  <r>
    <x v="1616"/>
    <n v="-5"/>
    <x v="3281"/>
    <n v="5108.09"/>
    <s v="Complete Access"/>
    <x v="750"/>
    <x v="1"/>
    <x v="5"/>
    <d v="1900-01-10T00:00:00"/>
    <n v="28"/>
    <x v="7"/>
    <x v="6"/>
  </r>
  <r>
    <x v="1616"/>
    <n v="1500"/>
    <x v="2274"/>
    <n v="2608.09"/>
    <s v="Complete Access"/>
    <x v="552"/>
    <x v="0"/>
    <x v="74"/>
    <d v="1900-01-10T00:00:00"/>
    <n v="28"/>
    <x v="7"/>
    <x v="6"/>
  </r>
  <r>
    <x v="1616"/>
    <n v="-20"/>
    <x v="3191"/>
    <n v="5113.09"/>
    <s v="Complete Access"/>
    <x v="732"/>
    <x v="8"/>
    <x v="29"/>
    <d v="1900-01-10T00:00:00"/>
    <n v="28"/>
    <x v="7"/>
    <x v="6"/>
  </r>
  <r>
    <x v="1616"/>
    <n v="-20"/>
    <x v="3191"/>
    <n v="5155.59"/>
    <s v="Complete Access"/>
    <x v="732"/>
    <x v="8"/>
    <x v="29"/>
    <d v="1900-01-10T00:00:00"/>
    <n v="28"/>
    <x v="7"/>
    <x v="6"/>
  </r>
  <r>
    <x v="1616"/>
    <n v="-4.5"/>
    <x v="3191"/>
    <n v="5175.59"/>
    <s v="Complete Access"/>
    <x v="732"/>
    <x v="8"/>
    <x v="29"/>
    <d v="1900-01-10T00:00:00"/>
    <n v="28"/>
    <x v="7"/>
    <x v="6"/>
  </r>
  <r>
    <x v="1616"/>
    <n v="-20"/>
    <x v="3191"/>
    <n v="5180.09"/>
    <s v="Complete Access"/>
    <x v="732"/>
    <x v="8"/>
    <x v="29"/>
    <d v="1900-01-10T00:00:00"/>
    <n v="28"/>
    <x v="7"/>
    <x v="6"/>
  </r>
  <r>
    <x v="1616"/>
    <n v="-4000"/>
    <x v="2954"/>
    <n v="1108.0899999999999"/>
    <s v="Complete Access"/>
    <x v="504"/>
    <x v="0"/>
    <x v="72"/>
    <d v="1900-01-10T00:00:00"/>
    <n v="28"/>
    <x v="7"/>
    <x v="6"/>
  </r>
  <r>
    <x v="1617"/>
    <n v="-1.49"/>
    <x v="2859"/>
    <n v="4591.7299999999996"/>
    <s v="Complete Access"/>
    <x v="61"/>
    <x v="1"/>
    <x v="1"/>
    <d v="1900-01-09T00:00:00"/>
    <n v="28"/>
    <x v="7"/>
    <x v="6"/>
  </r>
  <r>
    <x v="1617"/>
    <n v="-68.5"/>
    <x v="3332"/>
    <n v="4593.22"/>
    <s v="Complete Access"/>
    <x v="8"/>
    <x v="1"/>
    <x v="5"/>
    <d v="1900-01-09T00:00:00"/>
    <n v="28"/>
    <x v="7"/>
    <x v="6"/>
  </r>
  <r>
    <x v="1617"/>
    <n v="1219.07"/>
    <x v="3188"/>
    <n v="5701.68"/>
    <s v="Complete Access"/>
    <x v="14"/>
    <x v="6"/>
    <x v="9"/>
    <d v="1900-01-09T00:00:00"/>
    <n v="28"/>
    <x v="7"/>
    <x v="6"/>
  </r>
  <r>
    <x v="1617"/>
    <n v="-25.72"/>
    <x v="2688"/>
    <n v="4557.1099999999997"/>
    <s v="Complete Access"/>
    <x v="177"/>
    <x v="1"/>
    <x v="1"/>
    <d v="1900-01-09T00:00:00"/>
    <n v="28"/>
    <x v="7"/>
    <x v="6"/>
  </r>
  <r>
    <x v="1617"/>
    <n v="-74.5"/>
    <x v="2543"/>
    <n v="4482.6099999999997"/>
    <s v="Complete Access"/>
    <x v="17"/>
    <x v="7"/>
    <x v="11"/>
    <d v="1900-01-09T00:00:00"/>
    <n v="28"/>
    <x v="7"/>
    <x v="6"/>
  </r>
  <r>
    <x v="1617"/>
    <n v="-8.9"/>
    <x v="2863"/>
    <n v="4582.83"/>
    <s v="Complete Access"/>
    <x v="186"/>
    <x v="1"/>
    <x v="5"/>
    <d v="1900-01-09T00:00:00"/>
    <n v="28"/>
    <x v="7"/>
    <x v="6"/>
  </r>
  <r>
    <x v="1618"/>
    <n v="-40"/>
    <x v="3333"/>
    <n v="4691.3100000000004"/>
    <s v="Complete Access"/>
    <x v="12"/>
    <x v="5"/>
    <x v="8"/>
    <d v="1900-01-08T00:00:00"/>
    <n v="28"/>
    <x v="7"/>
    <x v="6"/>
  </r>
  <r>
    <x v="1618"/>
    <n v="-12.5"/>
    <x v="3334"/>
    <n v="4678.8100000000004"/>
    <s v="Complete Access"/>
    <x v="682"/>
    <x v="1"/>
    <x v="5"/>
    <d v="1900-01-08T00:00:00"/>
    <n v="28"/>
    <x v="7"/>
    <x v="6"/>
  </r>
  <r>
    <x v="1618"/>
    <n v="-9.5"/>
    <x v="3335"/>
    <n v="4669.3100000000004"/>
    <s v="Complete Access"/>
    <x v="682"/>
    <x v="1"/>
    <x v="5"/>
    <d v="1900-01-08T00:00:00"/>
    <n v="28"/>
    <x v="7"/>
    <x v="6"/>
  </r>
  <r>
    <x v="1618"/>
    <n v="-7.59"/>
    <x v="2643"/>
    <n v="4661.72"/>
    <s v="Complete Access"/>
    <x v="215"/>
    <x v="1"/>
    <x v="1"/>
    <d v="1900-01-08T00:00:00"/>
    <n v="28"/>
    <x v="7"/>
    <x v="6"/>
  </r>
  <r>
    <x v="1619"/>
    <n v="-8.5"/>
    <x v="2915"/>
    <n v="4731.3100000000004"/>
    <s v="Complete Access"/>
    <x v="674"/>
    <x v="8"/>
    <x v="29"/>
    <d v="1900-01-07T00:00:00"/>
    <n v="28"/>
    <x v="7"/>
    <x v="6"/>
  </r>
  <r>
    <x v="1619"/>
    <n v="-0.75"/>
    <x v="2859"/>
    <n v="4748.71"/>
    <s v="Complete Access"/>
    <x v="61"/>
    <x v="1"/>
    <x v="1"/>
    <d v="1900-01-07T00:00:00"/>
    <n v="28"/>
    <x v="7"/>
    <x v="6"/>
  </r>
  <r>
    <x v="1619"/>
    <n v="-8.9"/>
    <x v="2863"/>
    <n v="4739.8100000000004"/>
    <s v="Complete Access"/>
    <x v="186"/>
    <x v="1"/>
    <x v="5"/>
    <d v="1900-01-07T00:00:00"/>
    <n v="28"/>
    <x v="7"/>
    <x v="6"/>
  </r>
  <r>
    <x v="1620"/>
    <n v="16"/>
    <x v="2876"/>
    <n v="4749.46"/>
    <s v="Complete Access"/>
    <x v="27"/>
    <x v="1"/>
    <x v="5"/>
    <d v="1900-01-06T00:00:00"/>
    <n v="28"/>
    <x v="7"/>
    <x v="6"/>
  </r>
  <r>
    <x v="1621"/>
    <n v="-28.3"/>
    <x v="3336"/>
    <n v="4733.46"/>
    <s v="Complete Access"/>
    <x v="8"/>
    <x v="1"/>
    <x v="5"/>
    <d v="1900-01-05T00:00:00"/>
    <n v="27"/>
    <x v="7"/>
    <x v="6"/>
  </r>
  <r>
    <x v="1621"/>
    <n v="-100"/>
    <x v="2274"/>
    <n v="4761.76"/>
    <s v="Complete Access"/>
    <x v="552"/>
    <x v="0"/>
    <x v="74"/>
    <d v="1900-01-05T00:00:00"/>
    <n v="27"/>
    <x v="7"/>
    <x v="6"/>
  </r>
  <r>
    <x v="1622"/>
    <n v="-33.590000000000003"/>
    <x v="2915"/>
    <n v="4929.6099999999997"/>
    <s v="Complete Access"/>
    <x v="674"/>
    <x v="8"/>
    <x v="29"/>
    <d v="1900-01-04T00:00:00"/>
    <n v="27"/>
    <x v="7"/>
    <x v="6"/>
  </r>
  <r>
    <x v="1622"/>
    <n v="-1"/>
    <x v="2859"/>
    <n v="4963.2"/>
    <s v="Complete Access"/>
    <x v="61"/>
    <x v="1"/>
    <x v="1"/>
    <d v="1900-01-04T00:00:00"/>
    <n v="27"/>
    <x v="7"/>
    <x v="6"/>
  </r>
  <r>
    <x v="1622"/>
    <n v="-17.850000000000001"/>
    <x v="3337"/>
    <n v="4861.76"/>
    <s v="Complete Access"/>
    <x v="763"/>
    <x v="1"/>
    <x v="5"/>
    <d v="1900-01-04T00:00:00"/>
    <n v="27"/>
    <x v="7"/>
    <x v="6"/>
  </r>
  <r>
    <x v="1622"/>
    <n v="-25"/>
    <x v="2929"/>
    <n v="4879.6099999999997"/>
    <s v="Complete Access"/>
    <x v="645"/>
    <x v="0"/>
    <x v="69"/>
    <d v="1900-01-04T00:00:00"/>
    <n v="27"/>
    <x v="7"/>
    <x v="6"/>
  </r>
  <r>
    <x v="1622"/>
    <n v="-25"/>
    <x v="2929"/>
    <n v="4904.6099999999997"/>
    <s v="Complete Access"/>
    <x v="645"/>
    <x v="0"/>
    <x v="69"/>
    <d v="1900-01-04T00:00:00"/>
    <n v="27"/>
    <x v="7"/>
    <x v="6"/>
  </r>
  <r>
    <x v="1623"/>
    <n v="-6"/>
    <x v="2859"/>
    <n v="5022.6000000000004"/>
    <s v="Complete Access"/>
    <x v="61"/>
    <x v="1"/>
    <x v="1"/>
    <d v="1900-01-03T00:00:00"/>
    <n v="27"/>
    <x v="7"/>
    <x v="6"/>
  </r>
  <r>
    <x v="1623"/>
    <n v="-13"/>
    <x v="2929"/>
    <n v="5009.6000000000004"/>
    <s v="Complete Access"/>
    <x v="645"/>
    <x v="0"/>
    <x v="69"/>
    <d v="1900-01-03T00:00:00"/>
    <n v="27"/>
    <x v="7"/>
    <x v="6"/>
  </r>
  <r>
    <x v="1623"/>
    <n v="-33.18"/>
    <x v="3338"/>
    <n v="5028.6000000000004"/>
    <s v="Complete Access"/>
    <x v="237"/>
    <x v="15"/>
    <x v="34"/>
    <d v="1900-01-03T00:00:00"/>
    <n v="27"/>
    <x v="7"/>
    <x v="6"/>
  </r>
  <r>
    <x v="1623"/>
    <n v="-45.4"/>
    <x v="3339"/>
    <n v="4964.2"/>
    <s v="Complete Access"/>
    <x v="741"/>
    <x v="16"/>
    <x v="81"/>
    <d v="1900-01-03T00:00:00"/>
    <n v="27"/>
    <x v="7"/>
    <x v="6"/>
  </r>
  <r>
    <x v="1624"/>
    <n v="-0.87"/>
    <x v="2859"/>
    <n v="3805.1"/>
    <s v="Complete Access"/>
    <x v="61"/>
    <x v="1"/>
    <x v="1"/>
    <d v="1900-01-02T00:00:00"/>
    <n v="27"/>
    <x v="7"/>
    <x v="6"/>
  </r>
  <r>
    <x v="1624"/>
    <n v="-9"/>
    <x v="3340"/>
    <n v="3805.97"/>
    <s v="Complete Access"/>
    <x v="764"/>
    <x v="4"/>
    <x v="82"/>
    <d v="1900-01-02T00:00:00"/>
    <n v="27"/>
    <x v="7"/>
    <x v="6"/>
  </r>
  <r>
    <x v="1624"/>
    <n v="-9"/>
    <x v="3340"/>
    <n v="3814.97"/>
    <s v="Complete Access"/>
    <x v="764"/>
    <x v="4"/>
    <x v="82"/>
    <d v="1900-01-02T00:00:00"/>
    <n v="27"/>
    <x v="7"/>
    <x v="6"/>
  </r>
  <r>
    <x v="1624"/>
    <n v="1265.58"/>
    <x v="3188"/>
    <n v="5061.78"/>
    <s v="Complete Access"/>
    <x v="14"/>
    <x v="6"/>
    <x v="9"/>
    <d v="1900-01-02T00:00:00"/>
    <n v="27"/>
    <x v="7"/>
    <x v="6"/>
  </r>
  <r>
    <x v="1624"/>
    <n v="-8.9"/>
    <x v="2863"/>
    <n v="3796.2"/>
    <s v="Complete Access"/>
    <x v="186"/>
    <x v="1"/>
    <x v="5"/>
    <d v="1900-01-02T00:00:00"/>
    <n v="27"/>
    <x v="7"/>
    <x v="6"/>
  </r>
  <r>
    <x v="1625"/>
    <n v="-0.57999999999999996"/>
    <x v="2859"/>
    <n v="3832.87"/>
    <s v="Complete Access"/>
    <x v="61"/>
    <x v="1"/>
    <x v="1"/>
    <d v="1900-01-01T00:00:00"/>
    <n v="27"/>
    <x v="7"/>
    <x v="6"/>
  </r>
  <r>
    <x v="1625"/>
    <n v="-10.33"/>
    <x v="3341"/>
    <n v="4061.14"/>
    <s v="Complete Access"/>
    <x v="106"/>
    <x v="5"/>
    <x v="41"/>
    <d v="1900-01-01T00:00:00"/>
    <n v="27"/>
    <x v="7"/>
    <x v="6"/>
  </r>
  <r>
    <x v="1625"/>
    <n v="-40"/>
    <x v="3342"/>
    <n v="4071.47"/>
    <s v="Complete Access"/>
    <x v="12"/>
    <x v="5"/>
    <x v="8"/>
    <d v="1900-01-01T00:00:00"/>
    <n v="27"/>
    <x v="7"/>
    <x v="6"/>
  </r>
  <r>
    <x v="1625"/>
    <n v="-12.5"/>
    <x v="3343"/>
    <n v="3833.45"/>
    <s v="Complete Access"/>
    <x v="682"/>
    <x v="1"/>
    <x v="5"/>
    <d v="1900-01-01T00:00:00"/>
    <n v="27"/>
    <x v="7"/>
    <x v="6"/>
  </r>
  <r>
    <x v="1625"/>
    <n v="-203.23"/>
    <x v="3344"/>
    <n v="3845.95"/>
    <s v="Complete Access"/>
    <x v="765"/>
    <x v="12"/>
    <x v="21"/>
    <d v="1900-01-01T00:00:00"/>
    <n v="27"/>
    <x v="7"/>
    <x v="6"/>
  </r>
  <r>
    <x v="1625"/>
    <n v="-8.9"/>
    <x v="2863"/>
    <n v="3823.97"/>
    <s v="Complete Access"/>
    <x v="186"/>
    <x v="1"/>
    <x v="5"/>
    <d v="1900-01-01T00:00:00"/>
    <n v="27"/>
    <x v="7"/>
    <x v="6"/>
  </r>
  <r>
    <x v="1625"/>
    <n v="-11.96"/>
    <x v="3345"/>
    <n v="4049.18"/>
    <s v="Complete Access"/>
    <x v="540"/>
    <x v="12"/>
    <x v="21"/>
    <d v="1900-01-01T00:00:00"/>
    <n v="27"/>
    <x v="7"/>
    <x v="6"/>
  </r>
  <r>
    <x v="1626"/>
    <n v="-0.99"/>
    <x v="2859"/>
    <n v="4292.67"/>
    <s v="Complete Access"/>
    <x v="61"/>
    <x v="1"/>
    <x v="1"/>
    <d v="1899-12-31T00:00:00"/>
    <n v="27"/>
    <x v="7"/>
    <x v="6"/>
  </r>
  <r>
    <x v="1626"/>
    <n v="-172.3"/>
    <x v="3346"/>
    <n v="4111.47"/>
    <s v="Complete Access"/>
    <x v="76"/>
    <x v="2"/>
    <x v="2"/>
    <d v="1899-12-31T00:00:00"/>
    <n v="27"/>
    <x v="7"/>
    <x v="6"/>
  </r>
  <r>
    <x v="1626"/>
    <n v="-8.9"/>
    <x v="2863"/>
    <n v="4283.7700000000004"/>
    <s v="Complete Access"/>
    <x v="186"/>
    <x v="1"/>
    <x v="5"/>
    <d v="1899-12-31T00:00:00"/>
    <n v="27"/>
    <x v="7"/>
    <x v="6"/>
  </r>
  <r>
    <x v="1627"/>
    <n v="-72.53"/>
    <x v="2643"/>
    <n v="4314.66"/>
    <s v="Complete Access"/>
    <x v="215"/>
    <x v="1"/>
    <x v="1"/>
    <d v="1900-01-28T00:00:00"/>
    <n v="26"/>
    <x v="8"/>
    <x v="6"/>
  </r>
  <r>
    <x v="1627"/>
    <n v="-100"/>
    <x v="2274"/>
    <n v="4395.1899999999996"/>
    <s v="Complete Access"/>
    <x v="552"/>
    <x v="0"/>
    <x v="74"/>
    <d v="1900-01-28T00:00:00"/>
    <n v="26"/>
    <x v="8"/>
    <x v="6"/>
  </r>
  <r>
    <x v="1627"/>
    <n v="-8"/>
    <x v="3347"/>
    <n v="4387.1899999999996"/>
    <s v="Complete Access"/>
    <x v="762"/>
    <x v="1"/>
    <x v="5"/>
    <d v="1900-01-28T00:00:00"/>
    <n v="26"/>
    <x v="8"/>
    <x v="6"/>
  </r>
  <r>
    <x v="1627"/>
    <n v="-21"/>
    <x v="2700"/>
    <n v="4293.66"/>
    <s v="Complete Access"/>
    <x v="243"/>
    <x v="1"/>
    <x v="23"/>
    <d v="1900-01-28T00:00:00"/>
    <n v="26"/>
    <x v="8"/>
    <x v="6"/>
  </r>
  <r>
    <x v="1628"/>
    <n v="-0.92"/>
    <x v="2859"/>
    <n v="4706.6000000000004"/>
    <s v="Complete Access"/>
    <x v="61"/>
    <x v="1"/>
    <x v="1"/>
    <d v="1900-01-27T00:00:00"/>
    <n v="26"/>
    <x v="8"/>
    <x v="6"/>
  </r>
  <r>
    <x v="1628"/>
    <n v="-100"/>
    <x v="3348"/>
    <n v="4495.1899999999996"/>
    <s v="Complete Access"/>
    <x v="601"/>
    <x v="0"/>
    <x v="0"/>
    <d v="1900-01-27T00:00:00"/>
    <n v="26"/>
    <x v="8"/>
    <x v="6"/>
  </r>
  <r>
    <x v="1628"/>
    <n v="-27.41"/>
    <x v="3349"/>
    <n v="4679.1899999999996"/>
    <s v="Complete Access"/>
    <x v="766"/>
    <x v="0"/>
    <x v="69"/>
    <d v="1900-01-27T00:00:00"/>
    <n v="26"/>
    <x v="8"/>
    <x v="6"/>
  </r>
  <r>
    <x v="1628"/>
    <n v="-8"/>
    <x v="3350"/>
    <n v="4707.5200000000004"/>
    <s v="Complete Access"/>
    <x v="762"/>
    <x v="1"/>
    <x v="5"/>
    <d v="1900-01-27T00:00:00"/>
    <n v="26"/>
    <x v="8"/>
    <x v="6"/>
  </r>
  <r>
    <x v="1628"/>
    <n v="-84"/>
    <x v="2700"/>
    <n v="4595.1899999999996"/>
    <s v="Complete Access"/>
    <x v="243"/>
    <x v="1"/>
    <x v="23"/>
    <d v="1900-01-27T00:00:00"/>
    <n v="26"/>
    <x v="8"/>
    <x v="6"/>
  </r>
  <r>
    <x v="1629"/>
    <n v="-16.16"/>
    <x v="3351"/>
    <n v="4665.5200000000004"/>
    <s v="Complete Access"/>
    <x v="767"/>
    <x v="8"/>
    <x v="29"/>
    <d v="1900-01-26T00:00:00"/>
    <n v="26"/>
    <x v="8"/>
    <x v="6"/>
  </r>
  <r>
    <x v="1629"/>
    <n v="-8.08"/>
    <x v="3351"/>
    <n v="4681.68"/>
    <s v="Complete Access"/>
    <x v="767"/>
    <x v="8"/>
    <x v="29"/>
    <d v="1900-01-26T00:00:00"/>
    <n v="26"/>
    <x v="8"/>
    <x v="6"/>
  </r>
  <r>
    <x v="1629"/>
    <n v="-6.57"/>
    <x v="3351"/>
    <n v="4689.76"/>
    <s v="Complete Access"/>
    <x v="767"/>
    <x v="8"/>
    <x v="29"/>
    <d v="1900-01-26T00:00:00"/>
    <n v="26"/>
    <x v="8"/>
    <x v="6"/>
  </r>
  <r>
    <x v="1629"/>
    <n v="-40"/>
    <x v="3352"/>
    <n v="4799.66"/>
    <s v="Complete Access"/>
    <x v="12"/>
    <x v="5"/>
    <x v="8"/>
    <d v="1900-01-26T00:00:00"/>
    <n v="26"/>
    <x v="8"/>
    <x v="6"/>
  </r>
  <r>
    <x v="1629"/>
    <n v="-500"/>
    <x v="2294"/>
    <n v="4839.66"/>
    <s v="Complete Access"/>
    <x v="571"/>
    <x v="19"/>
    <x v="61"/>
    <d v="1900-01-26T00:00:00"/>
    <n v="26"/>
    <x v="8"/>
    <x v="6"/>
  </r>
  <r>
    <x v="1629"/>
    <n v="-30.35"/>
    <x v="3353"/>
    <n v="4696.33"/>
    <s v="Complete Access"/>
    <x v="237"/>
    <x v="15"/>
    <x v="34"/>
    <d v="1900-01-26T00:00:00"/>
    <n v="26"/>
    <x v="8"/>
    <x v="6"/>
  </r>
  <r>
    <x v="1629"/>
    <n v="-72.98"/>
    <x v="3353"/>
    <n v="4726.68"/>
    <s v="Complete Access"/>
    <x v="237"/>
    <x v="15"/>
    <x v="34"/>
    <d v="1900-01-26T00:00:00"/>
    <n v="26"/>
    <x v="8"/>
    <x v="6"/>
  </r>
  <r>
    <x v="1629"/>
    <n v="-50"/>
    <x v="3061"/>
    <n v="4715.5200000000004"/>
    <s v="Complete Access"/>
    <x v="27"/>
    <x v="1"/>
    <x v="5"/>
    <d v="1900-01-26T00:00:00"/>
    <n v="26"/>
    <x v="8"/>
    <x v="6"/>
  </r>
  <r>
    <x v="1629"/>
    <n v="100"/>
    <x v="3354"/>
    <n v="4765.5200000000004"/>
    <s v="Complete Access"/>
    <x v="722"/>
    <x v="0"/>
    <x v="0"/>
    <d v="1900-01-26T00:00:00"/>
    <n v="26"/>
    <x v="8"/>
    <x v="6"/>
  </r>
  <r>
    <x v="1630"/>
    <n v="-0.78"/>
    <x v="2859"/>
    <n v="3101.07"/>
    <s v="Complete Access"/>
    <x v="61"/>
    <x v="1"/>
    <x v="1"/>
    <d v="1900-01-25T00:00:00"/>
    <n v="26"/>
    <x v="8"/>
    <x v="6"/>
  </r>
  <r>
    <x v="1630"/>
    <n v="2247.4899999999998"/>
    <x v="3188"/>
    <n v="5339.66"/>
    <s v="Complete Access"/>
    <x v="14"/>
    <x v="6"/>
    <x v="9"/>
    <d v="1900-01-25T00:00:00"/>
    <n v="26"/>
    <x v="8"/>
    <x v="6"/>
  </r>
  <r>
    <x v="1630"/>
    <n v="-23.63"/>
    <x v="3355"/>
    <n v="3101.85"/>
    <s v="Complete Access"/>
    <x v="768"/>
    <x v="8"/>
    <x v="29"/>
    <d v="1900-01-25T00:00:00"/>
    <n v="26"/>
    <x v="8"/>
    <x v="6"/>
  </r>
  <r>
    <x v="1630"/>
    <n v="-23"/>
    <x v="3355"/>
    <n v="3125.48"/>
    <s v="Complete Access"/>
    <x v="768"/>
    <x v="8"/>
    <x v="29"/>
    <d v="1900-01-25T00:00:00"/>
    <n v="26"/>
    <x v="8"/>
    <x v="6"/>
  </r>
  <r>
    <x v="1630"/>
    <n v="-20"/>
    <x v="3355"/>
    <n v="3148.48"/>
    <s v="Complete Access"/>
    <x v="768"/>
    <x v="8"/>
    <x v="29"/>
    <d v="1900-01-25T00:00:00"/>
    <n v="26"/>
    <x v="8"/>
    <x v="6"/>
  </r>
  <r>
    <x v="1630"/>
    <n v="-10.1"/>
    <x v="3355"/>
    <n v="3168.48"/>
    <s v="Complete Access"/>
    <x v="768"/>
    <x v="8"/>
    <x v="29"/>
    <d v="1900-01-25T00:00:00"/>
    <n v="26"/>
    <x v="8"/>
    <x v="6"/>
  </r>
  <r>
    <x v="1630"/>
    <n v="-8.9"/>
    <x v="2863"/>
    <n v="3092.17"/>
    <s v="Complete Access"/>
    <x v="186"/>
    <x v="1"/>
    <x v="5"/>
    <d v="1900-01-25T00:00:00"/>
    <n v="26"/>
    <x v="8"/>
    <x v="6"/>
  </r>
  <r>
    <x v="1631"/>
    <n v="-5.7"/>
    <x v="2915"/>
    <n v="3178.58"/>
    <s v="Complete Access"/>
    <x v="674"/>
    <x v="8"/>
    <x v="29"/>
    <d v="1900-01-24T00:00:00"/>
    <n v="26"/>
    <x v="8"/>
    <x v="6"/>
  </r>
  <r>
    <x v="1631"/>
    <n v="-1.05"/>
    <x v="2859"/>
    <n v="3184.28"/>
    <s v="Complete Access"/>
    <x v="61"/>
    <x v="1"/>
    <x v="1"/>
    <d v="1900-01-24T00:00:00"/>
    <n v="26"/>
    <x v="8"/>
    <x v="6"/>
  </r>
  <r>
    <x v="1632"/>
    <n v="-38.979999999999997"/>
    <x v="2915"/>
    <n v="3245.33"/>
    <s v="Complete Access"/>
    <x v="674"/>
    <x v="8"/>
    <x v="29"/>
    <d v="1900-01-23T00:00:00"/>
    <n v="26"/>
    <x v="8"/>
    <x v="6"/>
  </r>
  <r>
    <x v="1632"/>
    <n v="-60"/>
    <x v="2929"/>
    <n v="3185.33"/>
    <s v="Complete Access"/>
    <x v="645"/>
    <x v="0"/>
    <x v="69"/>
    <d v="1900-01-23T00:00:00"/>
    <n v="26"/>
    <x v="8"/>
    <x v="6"/>
  </r>
  <r>
    <x v="1633"/>
    <n v="-19.75"/>
    <x v="3356"/>
    <n v="3315.71"/>
    <s v="Complete Access"/>
    <x v="769"/>
    <x v="5"/>
    <x v="83"/>
    <d v="1900-01-21T00:00:00"/>
    <n v="25"/>
    <x v="8"/>
    <x v="6"/>
  </r>
  <r>
    <x v="1633"/>
    <n v="-31.4"/>
    <x v="3357"/>
    <n v="3284.31"/>
    <s v="Complete Access"/>
    <x v="770"/>
    <x v="20"/>
    <x v="63"/>
    <d v="1900-01-21T00:00:00"/>
    <n v="25"/>
    <x v="8"/>
    <x v="6"/>
  </r>
  <r>
    <x v="1633"/>
    <n v="-100"/>
    <x v="2274"/>
    <n v="3345.36"/>
    <s v="Complete Access"/>
    <x v="552"/>
    <x v="0"/>
    <x v="74"/>
    <d v="1900-01-21T00:00:00"/>
    <n v="25"/>
    <x v="8"/>
    <x v="6"/>
  </r>
  <r>
    <x v="1633"/>
    <n v="-9.9"/>
    <x v="3358"/>
    <n v="3335.46"/>
    <s v="Complete Access"/>
    <x v="186"/>
    <x v="1"/>
    <x v="5"/>
    <d v="1900-01-21T00:00:00"/>
    <n v="25"/>
    <x v="8"/>
    <x v="6"/>
  </r>
  <r>
    <x v="1634"/>
    <n v="-19.75"/>
    <x v="3356"/>
    <n v="3445.36"/>
    <s v="Complete Access"/>
    <x v="769"/>
    <x v="5"/>
    <x v="83"/>
    <d v="1900-01-20T00:00:00"/>
    <n v="25"/>
    <x v="8"/>
    <x v="6"/>
  </r>
  <r>
    <x v="1634"/>
    <n v="-14.45"/>
    <x v="3357"/>
    <n v="3465.11"/>
    <s v="Complete Access"/>
    <x v="770"/>
    <x v="20"/>
    <x v="63"/>
    <d v="1900-01-20T00:00:00"/>
    <n v="25"/>
    <x v="8"/>
    <x v="6"/>
  </r>
  <r>
    <x v="1634"/>
    <n v="-9.5"/>
    <x v="3359"/>
    <n v="3492.81"/>
    <s v="Complete Access"/>
    <x v="186"/>
    <x v="1"/>
    <x v="5"/>
    <d v="1900-01-20T00:00:00"/>
    <n v="25"/>
    <x v="8"/>
    <x v="6"/>
  </r>
  <r>
    <x v="1634"/>
    <n v="-13.25"/>
    <x v="3360"/>
    <n v="3479.56"/>
    <s v="Complete Access"/>
    <x v="34"/>
    <x v="9"/>
    <x v="12"/>
    <d v="1900-01-20T00:00:00"/>
    <n v="25"/>
    <x v="8"/>
    <x v="6"/>
  </r>
  <r>
    <x v="1635"/>
    <n v="-0.71"/>
    <x v="2859"/>
    <n v="3597.71"/>
    <s v="Complete Access"/>
    <x v="61"/>
    <x v="1"/>
    <x v="1"/>
    <d v="1900-01-19T00:00:00"/>
    <n v="25"/>
    <x v="8"/>
    <x v="6"/>
  </r>
  <r>
    <x v="1635"/>
    <n v="-50"/>
    <x v="3361"/>
    <n v="3547.71"/>
    <s v="Complete Access"/>
    <x v="12"/>
    <x v="5"/>
    <x v="8"/>
    <d v="1900-01-19T00:00:00"/>
    <n v="25"/>
    <x v="8"/>
    <x v="6"/>
  </r>
  <r>
    <x v="1635"/>
    <n v="-10"/>
    <x v="3362"/>
    <n v="3607.32"/>
    <s v="Complete Access"/>
    <x v="762"/>
    <x v="1"/>
    <x v="5"/>
    <d v="1900-01-19T00:00:00"/>
    <n v="25"/>
    <x v="8"/>
    <x v="6"/>
  </r>
  <r>
    <x v="1635"/>
    <n v="-45.4"/>
    <x v="3363"/>
    <n v="3502.31"/>
    <s v="Complete Access"/>
    <x v="741"/>
    <x v="16"/>
    <x v="81"/>
    <d v="1900-01-19T00:00:00"/>
    <n v="25"/>
    <x v="8"/>
    <x v="6"/>
  </r>
  <r>
    <x v="1635"/>
    <n v="-8.9"/>
    <x v="3364"/>
    <n v="3598.42"/>
    <s v="Complete Access"/>
    <x v="186"/>
    <x v="1"/>
    <x v="5"/>
    <d v="1900-01-19T00:00:00"/>
    <n v="25"/>
    <x v="8"/>
    <x v="6"/>
  </r>
  <r>
    <x v="1636"/>
    <n v="-4.24"/>
    <x v="2915"/>
    <n v="1709.82"/>
    <s v="Complete Access"/>
    <x v="674"/>
    <x v="8"/>
    <x v="29"/>
    <d v="1900-01-18T00:00:00"/>
    <n v="25"/>
    <x v="8"/>
    <x v="6"/>
  </r>
  <r>
    <x v="1636"/>
    <n v="-8.01"/>
    <x v="2859"/>
    <n v="1614.06"/>
    <s v="Complete Access"/>
    <x v="61"/>
    <x v="1"/>
    <x v="1"/>
    <d v="1900-01-18T00:00:00"/>
    <n v="25"/>
    <x v="8"/>
    <x v="6"/>
  </r>
  <r>
    <x v="1636"/>
    <n v="-150"/>
    <x v="3214"/>
    <n v="1559.82"/>
    <s v="Complete Access"/>
    <x v="601"/>
    <x v="0"/>
    <x v="0"/>
    <d v="1900-01-18T00:00:00"/>
    <n v="25"/>
    <x v="8"/>
    <x v="6"/>
  </r>
  <r>
    <x v="1636"/>
    <n v="100"/>
    <x v="3365"/>
    <n v="1714.06"/>
    <s v="Complete Access"/>
    <x v="0"/>
    <x v="0"/>
    <x v="0"/>
    <d v="1900-01-18T00:00:00"/>
    <n v="25"/>
    <x v="8"/>
    <x v="6"/>
  </r>
  <r>
    <x v="1636"/>
    <n v="-2.5"/>
    <x v="72"/>
    <n v="1557.32"/>
    <s v="Complete Access"/>
    <x v="37"/>
    <x v="0"/>
    <x v="0"/>
    <d v="1900-01-18T00:00:00"/>
    <n v="25"/>
    <x v="8"/>
    <x v="6"/>
  </r>
  <r>
    <x v="1636"/>
    <n v="2060"/>
    <x v="3366"/>
    <n v="3617.32"/>
    <s v="Complete Access"/>
    <x v="67"/>
    <x v="0"/>
    <x v="0"/>
    <d v="1900-01-18T00:00:00"/>
    <n v="25"/>
    <x v="8"/>
    <x v="6"/>
  </r>
  <r>
    <x v="1636"/>
    <n v="-12.5"/>
    <x v="3367"/>
    <n v="1622.07"/>
    <s v="Complete Access"/>
    <x v="771"/>
    <x v="1"/>
    <x v="5"/>
    <d v="1900-01-18T00:00:00"/>
    <n v="25"/>
    <x v="8"/>
    <x v="6"/>
  </r>
  <r>
    <x v="1637"/>
    <n v="-10"/>
    <x v="3368"/>
    <n v="1643.47"/>
    <s v="Complete Access"/>
    <x v="762"/>
    <x v="1"/>
    <x v="5"/>
    <d v="1900-01-17T00:00:00"/>
    <n v="25"/>
    <x v="8"/>
    <x v="6"/>
  </r>
  <r>
    <x v="1637"/>
    <n v="-8.9"/>
    <x v="3369"/>
    <n v="1634.57"/>
    <s v="Complete Access"/>
    <x v="186"/>
    <x v="1"/>
    <x v="5"/>
    <d v="1900-01-17T00:00:00"/>
    <n v="25"/>
    <x v="8"/>
    <x v="6"/>
  </r>
  <r>
    <x v="1638"/>
    <n v="-0.97"/>
    <x v="2859"/>
    <n v="1653.41"/>
    <s v="Complete Access"/>
    <x v="61"/>
    <x v="1"/>
    <x v="1"/>
    <d v="1900-01-16T00:00:00"/>
    <n v="25"/>
    <x v="8"/>
    <x v="6"/>
  </r>
  <r>
    <x v="1638"/>
    <n v="0.06"/>
    <x v="3370"/>
    <n v="1653.47"/>
    <s v="Complete Access"/>
    <x v="772"/>
    <x v="0"/>
    <x v="0"/>
    <d v="1900-01-16T00:00:00"/>
    <n v="25"/>
    <x v="8"/>
    <x v="6"/>
  </r>
  <r>
    <x v="1639"/>
    <n v="-19"/>
    <x v="3371"/>
    <n v="1654.38"/>
    <s v="Complete Access"/>
    <x v="27"/>
    <x v="1"/>
    <x v="5"/>
    <d v="1900-01-15T00:00:00"/>
    <n v="25"/>
    <x v="8"/>
    <x v="6"/>
  </r>
  <r>
    <x v="1640"/>
    <n v="-45.35"/>
    <x v="2643"/>
    <n v="1673.38"/>
    <s v="Complete Access"/>
    <x v="215"/>
    <x v="1"/>
    <x v="1"/>
    <d v="1900-01-14T00:00:00"/>
    <n v="24"/>
    <x v="8"/>
    <x v="6"/>
  </r>
  <r>
    <x v="1640"/>
    <n v="-100"/>
    <x v="2274"/>
    <n v="1718.73"/>
    <s v="Complete Access"/>
    <x v="552"/>
    <x v="0"/>
    <x v="74"/>
    <d v="1900-01-14T00:00:00"/>
    <n v="24"/>
    <x v="8"/>
    <x v="6"/>
  </r>
  <r>
    <x v="1641"/>
    <n v="-20.88"/>
    <x v="2915"/>
    <n v="636.48"/>
    <s v="Complete Access"/>
    <x v="674"/>
    <x v="8"/>
    <x v="29"/>
    <d v="1900-01-13T00:00:00"/>
    <n v="24"/>
    <x v="8"/>
    <x v="6"/>
  </r>
  <r>
    <x v="1641"/>
    <n v="-22.33"/>
    <x v="3372"/>
    <n v="666.26"/>
    <s v="Complete Access"/>
    <x v="773"/>
    <x v="1"/>
    <x v="5"/>
    <d v="1900-01-13T00:00:00"/>
    <n v="24"/>
    <x v="8"/>
    <x v="6"/>
  </r>
  <r>
    <x v="1641"/>
    <n v="1182.25"/>
    <x v="3188"/>
    <n v="1818.73"/>
    <s v="Complete Access"/>
    <x v="14"/>
    <x v="6"/>
    <x v="9"/>
    <d v="1900-01-13T00:00:00"/>
    <n v="24"/>
    <x v="8"/>
    <x v="6"/>
  </r>
  <r>
    <x v="1641"/>
    <n v="-8.9"/>
    <x v="3373"/>
    <n v="657.36"/>
    <s v="Complete Access"/>
    <x v="186"/>
    <x v="1"/>
    <x v="5"/>
    <d v="1900-01-13T00:00:00"/>
    <n v="24"/>
    <x v="8"/>
    <x v="6"/>
  </r>
  <r>
    <x v="1642"/>
    <n v="-500"/>
    <x v="2294"/>
    <n v="746.07"/>
    <s v="Complete Access"/>
    <x v="571"/>
    <x v="19"/>
    <x v="61"/>
    <d v="1900-01-12T00:00:00"/>
    <n v="24"/>
    <x v="8"/>
    <x v="6"/>
  </r>
  <r>
    <x v="1642"/>
    <n v="-18.98"/>
    <x v="3374"/>
    <n v="727.09"/>
    <s v="Complete Access"/>
    <x v="774"/>
    <x v="8"/>
    <x v="29"/>
    <d v="1900-01-12T00:00:00"/>
    <n v="24"/>
    <x v="8"/>
    <x v="6"/>
  </r>
  <r>
    <x v="1642"/>
    <n v="-9"/>
    <x v="3375"/>
    <n v="718.09"/>
    <s v="Complete Access"/>
    <x v="186"/>
    <x v="1"/>
    <x v="5"/>
    <d v="1900-01-12T00:00:00"/>
    <n v="24"/>
    <x v="8"/>
    <x v="6"/>
  </r>
  <r>
    <x v="1642"/>
    <n v="-21.5"/>
    <x v="3376"/>
    <n v="688.59"/>
    <s v="Complete Access"/>
    <x v="775"/>
    <x v="8"/>
    <x v="29"/>
    <d v="1900-01-12T00:00:00"/>
    <n v="24"/>
    <x v="8"/>
    <x v="6"/>
  </r>
  <r>
    <x v="1642"/>
    <n v="-4"/>
    <x v="3376"/>
    <n v="710.09"/>
    <s v="Complete Access"/>
    <x v="775"/>
    <x v="8"/>
    <x v="29"/>
    <d v="1900-01-12T00:00:00"/>
    <n v="24"/>
    <x v="8"/>
    <x v="6"/>
  </r>
  <r>
    <x v="1642"/>
    <n v="-4"/>
    <x v="3376"/>
    <n v="714.09"/>
    <s v="Complete Access"/>
    <x v="775"/>
    <x v="8"/>
    <x v="29"/>
    <d v="1900-01-12T00:00:00"/>
    <n v="24"/>
    <x v="8"/>
    <x v="6"/>
  </r>
  <r>
    <x v="1643"/>
    <n v="-8"/>
    <x v="2915"/>
    <n v="1246.07"/>
    <s v="Complete Access"/>
    <x v="674"/>
    <x v="8"/>
    <x v="29"/>
    <d v="1900-01-11T00:00:00"/>
    <n v="24"/>
    <x v="8"/>
    <x v="6"/>
  </r>
  <r>
    <x v="1643"/>
    <n v="-50"/>
    <x v="3377"/>
    <n v="1254.07"/>
    <s v="Complete Access"/>
    <x v="776"/>
    <x v="5"/>
    <x v="83"/>
    <d v="1900-01-11T00:00:00"/>
    <n v="24"/>
    <x v="8"/>
    <x v="6"/>
  </r>
  <r>
    <x v="1643"/>
    <n v="-15"/>
    <x v="2929"/>
    <n v="1304.07"/>
    <s v="Complete Access"/>
    <x v="645"/>
    <x v="0"/>
    <x v="69"/>
    <d v="1900-01-11T00:00:00"/>
    <n v="24"/>
    <x v="8"/>
    <x v="6"/>
  </r>
  <r>
    <x v="1643"/>
    <n v="200"/>
    <x v="3378"/>
    <n v="1319.07"/>
    <s v="Complete Access"/>
    <x v="722"/>
    <x v="0"/>
    <x v="0"/>
    <d v="1900-01-11T00:00:00"/>
    <n v="24"/>
    <x v="8"/>
    <x v="6"/>
  </r>
  <r>
    <x v="1644"/>
    <n v="-11.35"/>
    <x v="2643"/>
    <n v="1119.07"/>
    <s v="Complete Access"/>
    <x v="215"/>
    <x v="1"/>
    <x v="1"/>
    <d v="1900-01-10T00:00:00"/>
    <n v="24"/>
    <x v="8"/>
    <x v="6"/>
  </r>
  <r>
    <x v="1644"/>
    <n v="-8.9"/>
    <x v="3379"/>
    <n v="1130.42"/>
    <s v="Complete Access"/>
    <x v="186"/>
    <x v="1"/>
    <x v="5"/>
    <d v="1900-01-10T00:00:00"/>
    <n v="24"/>
    <x v="8"/>
    <x v="6"/>
  </r>
  <r>
    <x v="1645"/>
    <n v="-22.33"/>
    <x v="3380"/>
    <n v="1213.32"/>
    <s v="Complete Access"/>
    <x v="773"/>
    <x v="1"/>
    <x v="5"/>
    <d v="1900-01-09T00:00:00"/>
    <n v="24"/>
    <x v="8"/>
    <x v="6"/>
  </r>
  <r>
    <x v="1645"/>
    <n v="-19.5"/>
    <x v="3381"/>
    <n v="1235.6500000000001"/>
    <s v="Complete Access"/>
    <x v="777"/>
    <x v="8"/>
    <x v="29"/>
    <d v="1900-01-09T00:00:00"/>
    <n v="24"/>
    <x v="8"/>
    <x v="6"/>
  </r>
  <r>
    <x v="1645"/>
    <n v="-10"/>
    <x v="3381"/>
    <n v="1255.1500000000001"/>
    <s v="Complete Access"/>
    <x v="777"/>
    <x v="8"/>
    <x v="29"/>
    <d v="1900-01-09T00:00:00"/>
    <n v="24"/>
    <x v="8"/>
    <x v="6"/>
  </r>
  <r>
    <x v="1645"/>
    <n v="-74"/>
    <x v="2543"/>
    <n v="1139.32"/>
    <s v="Complete Access"/>
    <x v="17"/>
    <x v="7"/>
    <x v="11"/>
    <d v="1900-01-09T00:00:00"/>
    <n v="24"/>
    <x v="8"/>
    <x v="6"/>
  </r>
  <r>
    <x v="1646"/>
    <n v="-48.74"/>
    <x v="3382"/>
    <n v="1265.1500000000001"/>
    <s v="Complete Access"/>
    <x v="188"/>
    <x v="1"/>
    <x v="1"/>
    <d v="1900-01-07T00:00:00"/>
    <n v="23"/>
    <x v="8"/>
    <x v="6"/>
  </r>
  <r>
    <x v="1646"/>
    <n v="-200"/>
    <x v="3383"/>
    <n v="1430"/>
    <s v="Complete Access"/>
    <x v="778"/>
    <x v="9"/>
    <x v="39"/>
    <d v="1900-01-07T00:00:00"/>
    <n v="23"/>
    <x v="8"/>
    <x v="6"/>
  </r>
  <r>
    <x v="1646"/>
    <n v="-100"/>
    <x v="2274"/>
    <n v="1321.1"/>
    <s v="Complete Access"/>
    <x v="552"/>
    <x v="0"/>
    <x v="74"/>
    <d v="1900-01-07T00:00:00"/>
    <n v="23"/>
    <x v="8"/>
    <x v="6"/>
  </r>
  <r>
    <x v="1646"/>
    <n v="-7.21"/>
    <x v="3384"/>
    <n v="1313.89"/>
    <s v="Complete Access"/>
    <x v="779"/>
    <x v="1"/>
    <x v="1"/>
    <d v="1900-01-07T00:00:00"/>
    <n v="23"/>
    <x v="8"/>
    <x v="6"/>
  </r>
  <r>
    <x v="1646"/>
    <n v="-8.9"/>
    <x v="3385"/>
    <n v="1421.1"/>
    <s v="Complete Access"/>
    <x v="186"/>
    <x v="1"/>
    <x v="5"/>
    <d v="1900-01-07T00:00:00"/>
    <n v="23"/>
    <x v="8"/>
    <x v="6"/>
  </r>
  <r>
    <x v="1647"/>
    <n v="-1.1399999999999999"/>
    <x v="2859"/>
    <n v="1637.5"/>
    <s v="Complete Access"/>
    <x v="61"/>
    <x v="1"/>
    <x v="1"/>
    <d v="1900-01-06T00:00:00"/>
    <n v="23"/>
    <x v="8"/>
    <x v="6"/>
  </r>
  <r>
    <x v="1647"/>
    <n v="-7.5"/>
    <x v="2643"/>
    <n v="1630"/>
    <s v="Complete Access"/>
    <x v="215"/>
    <x v="1"/>
    <x v="1"/>
    <d v="1900-01-06T00:00:00"/>
    <n v="23"/>
    <x v="8"/>
    <x v="6"/>
  </r>
  <r>
    <x v="1647"/>
    <n v="-10"/>
    <x v="3386"/>
    <n v="1647.64"/>
    <s v="Complete Access"/>
    <x v="762"/>
    <x v="1"/>
    <x v="5"/>
    <d v="1900-01-06T00:00:00"/>
    <n v="23"/>
    <x v="8"/>
    <x v="6"/>
  </r>
  <r>
    <x v="1647"/>
    <n v="-9"/>
    <x v="3387"/>
    <n v="1638.64"/>
    <s v="Complete Access"/>
    <x v="186"/>
    <x v="1"/>
    <x v="5"/>
    <d v="1900-01-06T00:00:00"/>
    <n v="23"/>
    <x v="8"/>
    <x v="6"/>
  </r>
  <r>
    <x v="1648"/>
    <n v="-7.31"/>
    <x v="2859"/>
    <n v="1703.04"/>
    <s v="Complete Access"/>
    <x v="61"/>
    <x v="1"/>
    <x v="1"/>
    <d v="1900-01-05T00:00:00"/>
    <n v="23"/>
    <x v="8"/>
    <x v="6"/>
  </r>
  <r>
    <x v="1648"/>
    <n v="-40.47"/>
    <x v="3388"/>
    <n v="1710.35"/>
    <s v="Complete Access"/>
    <x v="780"/>
    <x v="9"/>
    <x v="31"/>
    <d v="1900-01-05T00:00:00"/>
    <n v="23"/>
    <x v="8"/>
    <x v="6"/>
  </r>
  <r>
    <x v="1648"/>
    <n v="-25.2"/>
    <x v="3389"/>
    <n v="1750.82"/>
    <s v="Complete Access"/>
    <x v="47"/>
    <x v="1"/>
    <x v="5"/>
    <d v="1900-01-05T00:00:00"/>
    <n v="23"/>
    <x v="8"/>
    <x v="6"/>
  </r>
  <r>
    <x v="1648"/>
    <n v="-45.4"/>
    <x v="3390"/>
    <n v="1657.64"/>
    <s v="Complete Access"/>
    <x v="741"/>
    <x v="16"/>
    <x v="81"/>
    <d v="1900-01-05T00:00:00"/>
    <n v="23"/>
    <x v="8"/>
    <x v="6"/>
  </r>
  <r>
    <x v="1649"/>
    <n v="-2.14"/>
    <x v="2859"/>
    <n v="607.04"/>
    <s v="Complete Access"/>
    <x v="61"/>
    <x v="1"/>
    <x v="1"/>
    <d v="1900-01-04T00:00:00"/>
    <n v="23"/>
    <x v="8"/>
    <x v="6"/>
  </r>
  <r>
    <x v="1649"/>
    <n v="-52.7"/>
    <x v="3391"/>
    <n v="935.31"/>
    <s v="Complete Access"/>
    <x v="8"/>
    <x v="1"/>
    <x v="5"/>
    <d v="1900-01-04T00:00:00"/>
    <n v="23"/>
    <x v="8"/>
    <x v="6"/>
  </r>
  <r>
    <x v="1649"/>
    <n v="-14"/>
    <x v="3392"/>
    <n v="988.01"/>
    <s v="Complete Access"/>
    <x v="593"/>
    <x v="1"/>
    <x v="5"/>
    <d v="1900-01-04T00:00:00"/>
    <n v="23"/>
    <x v="8"/>
    <x v="6"/>
  </r>
  <r>
    <x v="1649"/>
    <n v="1182.25"/>
    <x v="3188"/>
    <n v="1776.02"/>
    <s v="Complete Access"/>
    <x v="14"/>
    <x v="6"/>
    <x v="9"/>
    <d v="1900-01-04T00:00:00"/>
    <n v="23"/>
    <x v="8"/>
    <x v="6"/>
  </r>
  <r>
    <x v="1649"/>
    <n v="4.95"/>
    <x v="3393"/>
    <n v="1015.31"/>
    <s v="Complete Access"/>
    <x v="8"/>
    <x v="1"/>
    <x v="5"/>
    <d v="1900-01-04T00:00:00"/>
    <n v="23"/>
    <x v="8"/>
    <x v="6"/>
  </r>
  <r>
    <x v="1649"/>
    <n v="-13.27"/>
    <x v="2643"/>
    <n v="593.77"/>
    <s v="Complete Access"/>
    <x v="215"/>
    <x v="1"/>
    <x v="1"/>
    <d v="1900-01-04T00:00:00"/>
    <n v="23"/>
    <x v="8"/>
    <x v="6"/>
  </r>
  <r>
    <x v="1649"/>
    <n v="-249"/>
    <x v="3394"/>
    <n v="686.31"/>
    <s v="Complete Access"/>
    <x v="781"/>
    <x v="10"/>
    <x v="13"/>
    <d v="1900-01-04T00:00:00"/>
    <n v="23"/>
    <x v="8"/>
    <x v="6"/>
  </r>
  <r>
    <x v="1649"/>
    <n v="-70.63"/>
    <x v="3395"/>
    <n v="609.17999999999995"/>
    <s v="Complete Access"/>
    <x v="1"/>
    <x v="1"/>
    <x v="1"/>
    <d v="1900-01-04T00:00:00"/>
    <n v="23"/>
    <x v="8"/>
    <x v="6"/>
  </r>
  <r>
    <x v="1649"/>
    <n v="-13.3"/>
    <x v="3396"/>
    <n v="1002.01"/>
    <s v="Complete Access"/>
    <x v="186"/>
    <x v="1"/>
    <x v="5"/>
    <d v="1900-01-04T00:00:00"/>
    <n v="23"/>
    <x v="8"/>
    <x v="6"/>
  </r>
  <r>
    <x v="1649"/>
    <n v="-6.5"/>
    <x v="3397"/>
    <n v="679.81"/>
    <s v="Complete Access"/>
    <x v="34"/>
    <x v="9"/>
    <x v="12"/>
    <d v="1900-01-04T00:00:00"/>
    <n v="23"/>
    <x v="8"/>
    <x v="6"/>
  </r>
  <r>
    <x v="1650"/>
    <n v="-3.45"/>
    <x v="2859"/>
    <n v="1010.36"/>
    <s v="Complete Access"/>
    <x v="61"/>
    <x v="1"/>
    <x v="1"/>
    <d v="1900-01-03T00:00:00"/>
    <n v="23"/>
    <x v="8"/>
    <x v="6"/>
  </r>
  <r>
    <x v="1650"/>
    <n v="-50"/>
    <x v="3361"/>
    <n v="1013.81"/>
    <s v="Complete Access"/>
    <x v="12"/>
    <x v="5"/>
    <x v="8"/>
    <d v="1900-01-03T00:00:00"/>
    <n v="23"/>
    <x v="8"/>
    <x v="6"/>
  </r>
  <r>
    <x v="1650"/>
    <n v="-12.25"/>
    <x v="3398"/>
    <n v="1063.81"/>
    <s v="Complete Access"/>
    <x v="609"/>
    <x v="1"/>
    <x v="1"/>
    <d v="1900-01-03T00:00:00"/>
    <n v="23"/>
    <x v="8"/>
    <x v="6"/>
  </r>
  <r>
    <x v="1650"/>
    <n v="-10"/>
    <x v="3399"/>
    <n v="1386.06"/>
    <s v="Complete Access"/>
    <x v="762"/>
    <x v="1"/>
    <x v="5"/>
    <d v="1900-01-03T00:00:00"/>
    <n v="23"/>
    <x v="8"/>
    <x v="6"/>
  </r>
  <r>
    <x v="1650"/>
    <n v="-310"/>
    <x v="3400"/>
    <n v="1076.06"/>
    <s v="Complete Access"/>
    <x v="782"/>
    <x v="10"/>
    <x v="75"/>
    <d v="1900-01-03T00:00:00"/>
    <n v="23"/>
    <x v="8"/>
    <x v="6"/>
  </r>
  <r>
    <x v="1651"/>
    <n v="-3.14"/>
    <x v="2859"/>
    <n v="1665.7"/>
    <s v="Complete Access"/>
    <x v="61"/>
    <x v="1"/>
    <x v="1"/>
    <d v="1900-01-02T00:00:00"/>
    <n v="23"/>
    <x v="8"/>
    <x v="6"/>
  </r>
  <r>
    <x v="1651"/>
    <n v="-67"/>
    <x v="2929"/>
    <n v="1396.06"/>
    <s v="Complete Access"/>
    <x v="645"/>
    <x v="0"/>
    <x v="69"/>
    <d v="1900-01-02T00:00:00"/>
    <n v="23"/>
    <x v="8"/>
    <x v="6"/>
  </r>
  <r>
    <x v="1651"/>
    <n v="-172.3"/>
    <x v="3401"/>
    <n v="1463.06"/>
    <s v="Complete Access"/>
    <x v="76"/>
    <x v="2"/>
    <x v="2"/>
    <d v="1900-01-02T00:00:00"/>
    <n v="23"/>
    <x v="8"/>
    <x v="6"/>
  </r>
  <r>
    <x v="1651"/>
    <n v="-30.34"/>
    <x v="3402"/>
    <n v="1635.36"/>
    <s v="Complete Access"/>
    <x v="21"/>
    <x v="10"/>
    <x v="13"/>
    <d v="1900-01-02T00:00:00"/>
    <n v="23"/>
    <x v="8"/>
    <x v="6"/>
  </r>
  <r>
    <x v="1652"/>
    <n v="-600"/>
    <x v="3403"/>
    <n v="168.84"/>
    <s v="Complete Access"/>
    <x v="601"/>
    <x v="0"/>
    <x v="0"/>
    <d v="1899-12-31T00:00:00"/>
    <n v="22"/>
    <x v="8"/>
    <x v="6"/>
  </r>
  <r>
    <x v="1652"/>
    <n v="-515"/>
    <x v="3404"/>
    <n v="775.74"/>
    <s v="Complete Access"/>
    <x v="783"/>
    <x v="19"/>
    <x v="61"/>
    <d v="1899-12-31T00:00:00"/>
    <n v="22"/>
    <x v="8"/>
    <x v="6"/>
  </r>
  <r>
    <x v="1652"/>
    <n v="-2.72"/>
    <x v="3405"/>
    <n v="1399.74"/>
    <s v="Complete Access"/>
    <x v="609"/>
    <x v="1"/>
    <x v="1"/>
    <d v="1899-12-31T00:00:00"/>
    <n v="22"/>
    <x v="8"/>
    <x v="6"/>
  </r>
  <r>
    <x v="1652"/>
    <n v="-6.9"/>
    <x v="3406"/>
    <n v="768.84"/>
    <s v="Complete Access"/>
    <x v="784"/>
    <x v="11"/>
    <x v="14"/>
    <d v="1899-12-31T00:00:00"/>
    <n v="22"/>
    <x v="8"/>
    <x v="6"/>
  </r>
  <r>
    <x v="1652"/>
    <n v="-100"/>
    <x v="2274"/>
    <n v="1290.74"/>
    <s v="Complete Access"/>
    <x v="552"/>
    <x v="0"/>
    <x v="74"/>
    <d v="1899-12-31T00:00:00"/>
    <n v="22"/>
    <x v="8"/>
    <x v="6"/>
  </r>
  <r>
    <x v="1652"/>
    <n v="1500"/>
    <x v="3407"/>
    <n v="1668.84"/>
    <s v="Complete Access"/>
    <x v="0"/>
    <x v="0"/>
    <x v="0"/>
    <d v="1899-12-31T00:00:00"/>
    <n v="22"/>
    <x v="8"/>
    <x v="6"/>
  </r>
  <r>
    <x v="1652"/>
    <n v="-9"/>
    <x v="3408"/>
    <n v="1390.74"/>
    <s v="Complete Access"/>
    <x v="186"/>
    <x v="1"/>
    <x v="5"/>
    <d v="1899-12-31T00:00:00"/>
    <n v="22"/>
    <x v="8"/>
    <x v="6"/>
  </r>
  <r>
    <x v="1653"/>
    <n v="-2.14"/>
    <x v="2859"/>
    <n v="1402.46"/>
    <s v="Complete Access"/>
    <x v="61"/>
    <x v="1"/>
    <x v="1"/>
    <d v="1900-01-30T00:00:00"/>
    <n v="22"/>
    <x v="9"/>
    <x v="6"/>
  </r>
  <r>
    <x v="1653"/>
    <n v="-500"/>
    <x v="2294"/>
    <n v="1500.34"/>
    <s v="Complete Access"/>
    <x v="571"/>
    <x v="19"/>
    <x v="61"/>
    <d v="1900-01-30T00:00:00"/>
    <n v="22"/>
    <x v="9"/>
    <x v="6"/>
  </r>
  <r>
    <x v="1653"/>
    <n v="-95.74"/>
    <x v="3409"/>
    <n v="1404.6"/>
    <s v="Complete Access"/>
    <x v="587"/>
    <x v="8"/>
    <x v="22"/>
    <d v="1900-01-30T00:00:00"/>
    <n v="22"/>
    <x v="9"/>
    <x v="6"/>
  </r>
  <r>
    <x v="1654"/>
    <n v="-1.67"/>
    <x v="2859"/>
    <n v="2038.42"/>
    <s v="Complete Access"/>
    <x v="61"/>
    <x v="1"/>
    <x v="1"/>
    <d v="1900-01-29T00:00:00"/>
    <n v="22"/>
    <x v="9"/>
    <x v="6"/>
  </r>
  <r>
    <x v="1654"/>
    <n v="-16.18"/>
    <x v="3410"/>
    <n v="2045.59"/>
    <s v="Complete Access"/>
    <x v="333"/>
    <x v="1"/>
    <x v="5"/>
    <d v="1900-01-29T00:00:00"/>
    <n v="22"/>
    <x v="9"/>
    <x v="6"/>
  </r>
  <r>
    <x v="1654"/>
    <n v="-38.08"/>
    <x v="3411"/>
    <n v="2000.34"/>
    <s v="Complete Access"/>
    <x v="785"/>
    <x v="9"/>
    <x v="12"/>
    <d v="1900-01-29T00:00:00"/>
    <n v="22"/>
    <x v="9"/>
    <x v="6"/>
  </r>
  <r>
    <x v="1654"/>
    <n v="-5.5"/>
    <x v="3412"/>
    <n v="2040.09"/>
    <s v="Complete Access"/>
    <x v="1"/>
    <x v="1"/>
    <x v="1"/>
    <d v="1900-01-29T00:00:00"/>
    <n v="22"/>
    <x v="9"/>
    <x v="6"/>
  </r>
  <r>
    <x v="1654"/>
    <n v="-22.73"/>
    <x v="3413"/>
    <n v="2112.27"/>
    <s v="Complete Access"/>
    <x v="786"/>
    <x v="8"/>
    <x v="29"/>
    <d v="1900-01-29T00:00:00"/>
    <n v="22"/>
    <x v="9"/>
    <x v="6"/>
  </r>
  <r>
    <x v="1654"/>
    <n v="-28.28"/>
    <x v="3414"/>
    <n v="2083.9899999999998"/>
    <s v="Complete Access"/>
    <x v="786"/>
    <x v="8"/>
    <x v="29"/>
    <d v="1900-01-29T00:00:00"/>
    <n v="22"/>
    <x v="9"/>
    <x v="6"/>
  </r>
  <r>
    <x v="1654"/>
    <n v="-22.22"/>
    <x v="3415"/>
    <n v="2061.77"/>
    <s v="Complete Access"/>
    <x v="786"/>
    <x v="8"/>
    <x v="29"/>
    <d v="1900-01-29T00:00:00"/>
    <n v="22"/>
    <x v="9"/>
    <x v="6"/>
  </r>
  <r>
    <x v="1655"/>
    <n v="-1.92"/>
    <x v="2859"/>
    <n v="1021.55"/>
    <s v="Complete Access"/>
    <x v="61"/>
    <x v="1"/>
    <x v="1"/>
    <d v="1900-01-28T00:00:00"/>
    <n v="22"/>
    <x v="9"/>
    <x v="6"/>
  </r>
  <r>
    <x v="1655"/>
    <n v="-30"/>
    <x v="3416"/>
    <n v="1117.96"/>
    <s v="Complete Access"/>
    <x v="8"/>
    <x v="1"/>
    <x v="5"/>
    <d v="1900-01-28T00:00:00"/>
    <n v="22"/>
    <x v="9"/>
    <x v="6"/>
  </r>
  <r>
    <x v="1655"/>
    <n v="-12.11"/>
    <x v="3417"/>
    <n v="1070.97"/>
    <s v="Complete Access"/>
    <x v="8"/>
    <x v="1"/>
    <x v="5"/>
    <d v="1900-01-28T00:00:00"/>
    <n v="22"/>
    <x v="9"/>
    <x v="6"/>
  </r>
  <r>
    <x v="1655"/>
    <n v="-27"/>
    <x v="3418"/>
    <n v="1083.08"/>
    <s v="Complete Access"/>
    <x v="8"/>
    <x v="1"/>
    <x v="5"/>
    <d v="1900-01-28T00:00:00"/>
    <n v="22"/>
    <x v="9"/>
    <x v="6"/>
  </r>
  <r>
    <x v="1655"/>
    <n v="-21.63"/>
    <x v="3419"/>
    <n v="1147.96"/>
    <s v="Complete Access"/>
    <x v="787"/>
    <x v="15"/>
    <x v="34"/>
    <d v="1900-01-28T00:00:00"/>
    <n v="22"/>
    <x v="9"/>
    <x v="6"/>
  </r>
  <r>
    <x v="1655"/>
    <n v="-7.88"/>
    <x v="3420"/>
    <n v="1110.08"/>
    <s v="Complete Access"/>
    <x v="556"/>
    <x v="15"/>
    <x v="34"/>
    <d v="1900-01-28T00:00:00"/>
    <n v="22"/>
    <x v="9"/>
    <x v="6"/>
  </r>
  <r>
    <x v="1655"/>
    <n v="1182.25"/>
    <x v="3188"/>
    <n v="2135"/>
    <s v="Complete Access"/>
    <x v="14"/>
    <x v="6"/>
    <x v="9"/>
    <d v="1900-01-28T00:00:00"/>
    <n v="22"/>
    <x v="9"/>
    <x v="6"/>
  </r>
  <r>
    <x v="1655"/>
    <n v="-20"/>
    <x v="3421"/>
    <n v="1041.97"/>
    <s v="Complete Access"/>
    <x v="788"/>
    <x v="1"/>
    <x v="5"/>
    <d v="1900-01-28T00:00:00"/>
    <n v="22"/>
    <x v="9"/>
    <x v="6"/>
  </r>
  <r>
    <x v="1655"/>
    <n v="-68.8"/>
    <x v="3422"/>
    <n v="952.75"/>
    <s v="Complete Access"/>
    <x v="789"/>
    <x v="10"/>
    <x v="13"/>
    <d v="1900-01-28T00:00:00"/>
    <n v="22"/>
    <x v="9"/>
    <x v="6"/>
  </r>
  <r>
    <x v="1655"/>
    <n v="-9"/>
    <x v="3423"/>
    <n v="1032.97"/>
    <s v="Complete Access"/>
    <x v="790"/>
    <x v="20"/>
    <x v="63"/>
    <d v="1900-01-28T00:00:00"/>
    <n v="22"/>
    <x v="9"/>
    <x v="6"/>
  </r>
  <r>
    <x v="1655"/>
    <n v="-9.5"/>
    <x v="3424"/>
    <n v="1023.47"/>
    <s v="Complete Access"/>
    <x v="790"/>
    <x v="20"/>
    <x v="63"/>
    <d v="1900-01-28T00:00:00"/>
    <n v="22"/>
    <x v="9"/>
    <x v="6"/>
  </r>
  <r>
    <x v="1655"/>
    <n v="-9"/>
    <x v="3425"/>
    <n v="1061.97"/>
    <s v="Complete Access"/>
    <x v="186"/>
    <x v="1"/>
    <x v="5"/>
    <d v="1900-01-28T00:00:00"/>
    <n v="22"/>
    <x v="9"/>
    <x v="6"/>
  </r>
  <r>
    <x v="1656"/>
    <n v="-7.76"/>
    <x v="2859"/>
    <n v="1169.5899999999999"/>
    <s v="Complete Access"/>
    <x v="61"/>
    <x v="1"/>
    <x v="1"/>
    <d v="1900-01-27T00:00:00"/>
    <n v="22"/>
    <x v="9"/>
    <x v="6"/>
  </r>
  <r>
    <x v="1656"/>
    <n v="-7.14"/>
    <x v="3426"/>
    <n v="1177.3499999999999"/>
    <s v="Complete Access"/>
    <x v="599"/>
    <x v="15"/>
    <x v="34"/>
    <d v="1900-01-27T00:00:00"/>
    <n v="22"/>
    <x v="9"/>
    <x v="6"/>
  </r>
  <r>
    <x v="1657"/>
    <n v="-1.1399999999999999"/>
    <x v="2859"/>
    <n v="1197.3499999999999"/>
    <s v="Complete Access"/>
    <x v="61"/>
    <x v="1"/>
    <x v="1"/>
    <d v="1900-01-26T00:00:00"/>
    <n v="22"/>
    <x v="9"/>
    <x v="6"/>
  </r>
  <r>
    <x v="1657"/>
    <n v="-12.86"/>
    <x v="3427"/>
    <n v="1184.49"/>
    <s v="Complete Access"/>
    <x v="791"/>
    <x v="1"/>
    <x v="5"/>
    <d v="1900-01-26T00:00:00"/>
    <n v="22"/>
    <x v="9"/>
    <x v="6"/>
  </r>
  <r>
    <x v="1658"/>
    <n v="-5.0599999999999996"/>
    <x v="3428"/>
    <n v="1198.49"/>
    <s v="Complete Access"/>
    <x v="792"/>
    <x v="1"/>
    <x v="5"/>
    <d v="1900-01-25T00:00:00"/>
    <n v="22"/>
    <x v="9"/>
    <x v="6"/>
  </r>
  <r>
    <x v="1659"/>
    <n v="-11"/>
    <x v="3429"/>
    <n v="1970.6"/>
    <s v="Complete Access"/>
    <x v="27"/>
    <x v="1"/>
    <x v="5"/>
    <d v="1900-01-24T00:00:00"/>
    <n v="21"/>
    <x v="9"/>
    <x v="6"/>
  </r>
  <r>
    <x v="1659"/>
    <n v="-50"/>
    <x v="3430"/>
    <n v="1222.55"/>
    <s v="Complete Access"/>
    <x v="601"/>
    <x v="0"/>
    <x v="0"/>
    <d v="1900-01-24T00:00:00"/>
    <n v="21"/>
    <x v="9"/>
    <x v="6"/>
  </r>
  <r>
    <x v="1659"/>
    <n v="-50"/>
    <x v="3403"/>
    <n v="1272.55"/>
    <s v="Complete Access"/>
    <x v="601"/>
    <x v="0"/>
    <x v="0"/>
    <d v="1900-01-24T00:00:00"/>
    <n v="21"/>
    <x v="9"/>
    <x v="6"/>
  </r>
  <r>
    <x v="1659"/>
    <n v="-19"/>
    <x v="3431"/>
    <n v="1203.55"/>
    <s v="Complete Access"/>
    <x v="793"/>
    <x v="8"/>
    <x v="29"/>
    <d v="1900-01-24T00:00:00"/>
    <n v="21"/>
    <x v="9"/>
    <x v="6"/>
  </r>
  <r>
    <x v="1659"/>
    <n v="-515"/>
    <x v="3404"/>
    <n v="1322.55"/>
    <s v="Complete Access"/>
    <x v="783"/>
    <x v="19"/>
    <x v="61"/>
    <d v="1900-01-24T00:00:00"/>
    <n v="21"/>
    <x v="9"/>
    <x v="6"/>
  </r>
  <r>
    <x v="1659"/>
    <n v="-100"/>
    <x v="2274"/>
    <n v="1837.55"/>
    <s v="Complete Access"/>
    <x v="552"/>
    <x v="0"/>
    <x v="74"/>
    <d v="1900-01-24T00:00:00"/>
    <n v="21"/>
    <x v="9"/>
    <x v="6"/>
  </r>
  <r>
    <x v="1659"/>
    <n v="-9"/>
    <x v="3432"/>
    <n v="1961.6"/>
    <s v="Complete Access"/>
    <x v="186"/>
    <x v="1"/>
    <x v="5"/>
    <d v="1900-01-24T00:00:00"/>
    <n v="21"/>
    <x v="9"/>
    <x v="6"/>
  </r>
  <r>
    <x v="1659"/>
    <n v="-24.05"/>
    <x v="3433"/>
    <n v="1937.55"/>
    <s v="Complete Access"/>
    <x v="34"/>
    <x v="9"/>
    <x v="12"/>
    <d v="1900-01-24T00:00:00"/>
    <n v="21"/>
    <x v="9"/>
    <x v="6"/>
  </r>
  <r>
    <x v="1660"/>
    <n v="-1.59"/>
    <x v="2859"/>
    <n v="2084.1"/>
    <s v="Complete Access"/>
    <x v="61"/>
    <x v="1"/>
    <x v="1"/>
    <d v="1900-01-23T00:00:00"/>
    <n v="21"/>
    <x v="9"/>
    <x v="6"/>
  </r>
  <r>
    <x v="1660"/>
    <n v="-50"/>
    <x v="3434"/>
    <n v="1984.1"/>
    <s v="Complete Access"/>
    <x v="786"/>
    <x v="8"/>
    <x v="29"/>
    <d v="1900-01-23T00:00:00"/>
    <n v="21"/>
    <x v="9"/>
    <x v="6"/>
  </r>
  <r>
    <x v="1660"/>
    <n v="-50"/>
    <x v="3361"/>
    <n v="2034.1"/>
    <s v="Complete Access"/>
    <x v="12"/>
    <x v="5"/>
    <x v="8"/>
    <d v="1900-01-23T00:00:00"/>
    <n v="21"/>
    <x v="9"/>
    <x v="6"/>
  </r>
  <r>
    <x v="1660"/>
    <n v="-2.5"/>
    <x v="72"/>
    <n v="1981.6"/>
    <s v="Complete Access"/>
    <x v="37"/>
    <x v="0"/>
    <x v="0"/>
    <d v="1900-01-23T00:00:00"/>
    <n v="21"/>
    <x v="9"/>
    <x v="6"/>
  </r>
  <r>
    <x v="1660"/>
    <n v="-14.47"/>
    <x v="3435"/>
    <n v="2085.69"/>
    <s v="Complete Access"/>
    <x v="1"/>
    <x v="1"/>
    <x v="1"/>
    <d v="1900-01-23T00:00:00"/>
    <n v="21"/>
    <x v="9"/>
    <x v="6"/>
  </r>
  <r>
    <x v="1661"/>
    <n v="-1.36"/>
    <x v="2859"/>
    <n v="2145.56"/>
    <s v="Complete Access"/>
    <x v="61"/>
    <x v="1"/>
    <x v="1"/>
    <d v="1900-01-22T00:00:00"/>
    <n v="21"/>
    <x v="9"/>
    <x v="6"/>
  </r>
  <r>
    <x v="1661"/>
    <n v="-22.43"/>
    <x v="3436"/>
    <n v="2189.62"/>
    <s v="Complete Access"/>
    <x v="609"/>
    <x v="1"/>
    <x v="1"/>
    <d v="1900-01-22T00:00:00"/>
    <n v="21"/>
    <x v="9"/>
    <x v="6"/>
  </r>
  <r>
    <x v="1661"/>
    <n v="-33.700000000000003"/>
    <x v="3437"/>
    <n v="2155.92"/>
    <s v="Complete Access"/>
    <x v="393"/>
    <x v="11"/>
    <x v="49"/>
    <d v="1900-01-22T00:00:00"/>
    <n v="21"/>
    <x v="9"/>
    <x v="6"/>
  </r>
  <r>
    <x v="1661"/>
    <n v="-45.4"/>
    <x v="3438"/>
    <n v="2100.16"/>
    <s v="Complete Access"/>
    <x v="741"/>
    <x v="16"/>
    <x v="81"/>
    <d v="1900-01-22T00:00:00"/>
    <n v="21"/>
    <x v="9"/>
    <x v="6"/>
  </r>
  <r>
    <x v="1661"/>
    <n v="-9"/>
    <x v="3439"/>
    <n v="2146.92"/>
    <s v="Complete Access"/>
    <x v="186"/>
    <x v="1"/>
    <x v="5"/>
    <d v="1900-01-22T00:00:00"/>
    <n v="21"/>
    <x v="9"/>
    <x v="6"/>
  </r>
  <r>
    <x v="1662"/>
    <n v="-1.39"/>
    <x v="3203"/>
    <n v="931.8"/>
    <s v="Complete Access"/>
    <x v="188"/>
    <x v="1"/>
    <x v="1"/>
    <d v="1900-01-21T00:00:00"/>
    <n v="21"/>
    <x v="9"/>
    <x v="6"/>
  </r>
  <r>
    <x v="1662"/>
    <n v="1182.25"/>
    <x v="3188"/>
    <n v="2212.0500000000002"/>
    <s v="Complete Access"/>
    <x v="14"/>
    <x v="6"/>
    <x v="9"/>
    <d v="1900-01-21T00:00:00"/>
    <n v="21"/>
    <x v="9"/>
    <x v="6"/>
  </r>
  <r>
    <x v="1662"/>
    <n v="-9.99"/>
    <x v="3440"/>
    <n v="987.18"/>
    <s v="Complete Access"/>
    <x v="373"/>
    <x v="8"/>
    <x v="7"/>
    <d v="1900-01-21T00:00:00"/>
    <n v="21"/>
    <x v="9"/>
    <x v="6"/>
  </r>
  <r>
    <x v="1662"/>
    <n v="-2"/>
    <x v="3441"/>
    <n v="1029.8"/>
    <s v="Complete Access"/>
    <x v="177"/>
    <x v="1"/>
    <x v="1"/>
    <d v="1900-01-21T00:00:00"/>
    <n v="21"/>
    <x v="9"/>
    <x v="6"/>
  </r>
  <r>
    <x v="1662"/>
    <n v="-44.99"/>
    <x v="3442"/>
    <n v="933.19"/>
    <s v="Complete Access"/>
    <x v="794"/>
    <x v="3"/>
    <x v="15"/>
    <d v="1900-01-21T00:00:00"/>
    <n v="21"/>
    <x v="9"/>
    <x v="6"/>
  </r>
  <r>
    <x v="1662"/>
    <n v="100"/>
    <x v="3378"/>
    <n v="1031.8"/>
    <s v="Complete Access"/>
    <x v="722"/>
    <x v="0"/>
    <x v="0"/>
    <d v="1900-01-21T00:00:00"/>
    <n v="21"/>
    <x v="9"/>
    <x v="6"/>
  </r>
  <r>
    <x v="1662"/>
    <n v="-9"/>
    <x v="3443"/>
    <n v="978.18"/>
    <s v="Complete Access"/>
    <x v="186"/>
    <x v="1"/>
    <x v="5"/>
    <d v="1900-01-21T00:00:00"/>
    <n v="21"/>
    <x v="9"/>
    <x v="6"/>
  </r>
  <r>
    <x v="1663"/>
    <n v="-7.53"/>
    <x v="2859"/>
    <n v="997.17"/>
    <s v="Complete Access"/>
    <x v="61"/>
    <x v="1"/>
    <x v="1"/>
    <d v="1900-01-20T00:00:00"/>
    <n v="21"/>
    <x v="9"/>
    <x v="6"/>
  </r>
  <r>
    <x v="1663"/>
    <n v="-12.6"/>
    <x v="3444"/>
    <n v="1013.7"/>
    <s v="Complete Access"/>
    <x v="609"/>
    <x v="1"/>
    <x v="1"/>
    <d v="1900-01-20T00:00:00"/>
    <n v="21"/>
    <x v="9"/>
    <x v="6"/>
  </r>
  <r>
    <x v="1663"/>
    <n v="-41.37"/>
    <x v="3445"/>
    <n v="1026.3"/>
    <s v="Complete Access"/>
    <x v="1"/>
    <x v="1"/>
    <x v="1"/>
    <d v="1900-01-20T00:00:00"/>
    <n v="21"/>
    <x v="9"/>
    <x v="6"/>
  </r>
  <r>
    <x v="1663"/>
    <n v="-8.4700000000000006"/>
    <x v="3446"/>
    <n v="1067.67"/>
    <s v="Complete Access"/>
    <x v="98"/>
    <x v="9"/>
    <x v="32"/>
    <d v="1900-01-20T00:00:00"/>
    <n v="21"/>
    <x v="9"/>
    <x v="6"/>
  </r>
  <r>
    <x v="1663"/>
    <n v="-9"/>
    <x v="3447"/>
    <n v="1004.7"/>
    <s v="Complete Access"/>
    <x v="186"/>
    <x v="1"/>
    <x v="5"/>
    <d v="1900-01-20T00:00:00"/>
    <n v="21"/>
    <x v="9"/>
    <x v="6"/>
  </r>
  <r>
    <x v="1664"/>
    <n v="-8.25"/>
    <x v="2859"/>
    <n v="1087.5899999999999"/>
    <s v="Complete Access"/>
    <x v="61"/>
    <x v="1"/>
    <x v="1"/>
    <d v="1900-01-19T00:00:00"/>
    <n v="21"/>
    <x v="9"/>
    <x v="6"/>
  </r>
  <r>
    <x v="1664"/>
    <n v="-11.45"/>
    <x v="3441"/>
    <n v="1076.1400000000001"/>
    <s v="Complete Access"/>
    <x v="177"/>
    <x v="1"/>
    <x v="1"/>
    <d v="1900-01-19T00:00:00"/>
    <n v="21"/>
    <x v="9"/>
    <x v="6"/>
  </r>
  <r>
    <x v="1665"/>
    <n v="-7.4"/>
    <x v="3256"/>
    <n v="1095.8399999999999"/>
    <s v="Complete Access"/>
    <x v="745"/>
    <x v="8"/>
    <x v="22"/>
    <d v="1900-01-18T00:00:00"/>
    <n v="21"/>
    <x v="9"/>
    <x v="6"/>
  </r>
  <r>
    <x v="1665"/>
    <n v="-7.4"/>
    <x v="3256"/>
    <n v="1103.24"/>
    <s v="Complete Access"/>
    <x v="745"/>
    <x v="8"/>
    <x v="22"/>
    <d v="1900-01-18T00:00:00"/>
    <n v="21"/>
    <x v="9"/>
    <x v="6"/>
  </r>
  <r>
    <x v="1665"/>
    <n v="-1.79"/>
    <x v="3441"/>
    <n v="1110.6400000000001"/>
    <s v="Complete Access"/>
    <x v="177"/>
    <x v="1"/>
    <x v="1"/>
    <d v="1900-01-18T00:00:00"/>
    <n v="21"/>
    <x v="9"/>
    <x v="6"/>
  </r>
  <r>
    <x v="1666"/>
    <n v="-515"/>
    <x v="3404"/>
    <n v="1372.96"/>
    <s v="Complete Access"/>
    <x v="783"/>
    <x v="19"/>
    <x v="61"/>
    <d v="1900-01-17T00:00:00"/>
    <n v="20"/>
    <x v="9"/>
    <x v="6"/>
  </r>
  <r>
    <x v="1666"/>
    <n v="-17.52"/>
    <x v="3448"/>
    <n v="1355.44"/>
    <s v="Complete Access"/>
    <x v="56"/>
    <x v="9"/>
    <x v="31"/>
    <d v="1900-01-17T00:00:00"/>
    <n v="20"/>
    <x v="9"/>
    <x v="6"/>
  </r>
  <r>
    <x v="1666"/>
    <n v="-32"/>
    <x v="3449"/>
    <n v="1112.43"/>
    <s v="Complete Access"/>
    <x v="795"/>
    <x v="16"/>
    <x v="35"/>
    <d v="1900-01-17T00:00:00"/>
    <n v="20"/>
    <x v="9"/>
    <x v="6"/>
  </r>
  <r>
    <x v="1666"/>
    <n v="-7.5"/>
    <x v="3450"/>
    <n v="1144.43"/>
    <s v="Complete Access"/>
    <x v="796"/>
    <x v="20"/>
    <x v="63"/>
    <d v="1900-01-17T00:00:00"/>
    <n v="20"/>
    <x v="9"/>
    <x v="6"/>
  </r>
  <r>
    <x v="1666"/>
    <n v="-100"/>
    <x v="2274"/>
    <n v="1887.96"/>
    <s v="Complete Access"/>
    <x v="552"/>
    <x v="0"/>
    <x v="74"/>
    <d v="1900-01-17T00:00:00"/>
    <n v="20"/>
    <x v="9"/>
    <x v="6"/>
  </r>
  <r>
    <x v="1666"/>
    <n v="-203.51"/>
    <x v="3451"/>
    <n v="1151.93"/>
    <s v="Complete Access"/>
    <x v="797"/>
    <x v="1"/>
    <x v="5"/>
    <d v="1900-01-17T00:00:00"/>
    <n v="20"/>
    <x v="9"/>
    <x v="6"/>
  </r>
  <r>
    <x v="1667"/>
    <n v="-7.04"/>
    <x v="2859"/>
    <n v="2005.63"/>
    <s v="Complete Access"/>
    <x v="61"/>
    <x v="1"/>
    <x v="1"/>
    <d v="1900-01-16T00:00:00"/>
    <n v="20"/>
    <x v="9"/>
    <x v="6"/>
  </r>
  <r>
    <x v="1667"/>
    <n v="-9.9"/>
    <x v="3452"/>
    <n v="2035.3"/>
    <s v="Complete Access"/>
    <x v="682"/>
    <x v="1"/>
    <x v="5"/>
    <d v="1900-01-16T00:00:00"/>
    <n v="20"/>
    <x v="9"/>
    <x v="6"/>
  </r>
  <r>
    <x v="1667"/>
    <n v="-12.3"/>
    <x v="3453"/>
    <n v="2023"/>
    <s v="Complete Access"/>
    <x v="609"/>
    <x v="1"/>
    <x v="1"/>
    <d v="1900-01-16T00:00:00"/>
    <n v="20"/>
    <x v="9"/>
    <x v="6"/>
  </r>
  <r>
    <x v="1667"/>
    <n v="-17.670000000000002"/>
    <x v="3441"/>
    <n v="1987.96"/>
    <s v="Complete Access"/>
    <x v="177"/>
    <x v="1"/>
    <x v="1"/>
    <d v="1900-01-16T00:00:00"/>
    <n v="20"/>
    <x v="9"/>
    <x v="6"/>
  </r>
  <r>
    <x v="1667"/>
    <n v="-1.33"/>
    <x v="3454"/>
    <n v="2012.67"/>
    <s v="Complete Access"/>
    <x v="1"/>
    <x v="1"/>
    <x v="1"/>
    <d v="1900-01-16T00:00:00"/>
    <n v="20"/>
    <x v="9"/>
    <x v="6"/>
  </r>
  <r>
    <x v="1667"/>
    <n v="-9"/>
    <x v="3455"/>
    <n v="2014"/>
    <s v="Complete Access"/>
    <x v="186"/>
    <x v="1"/>
    <x v="5"/>
    <d v="1900-01-16T00:00:00"/>
    <n v="20"/>
    <x v="9"/>
    <x v="6"/>
  </r>
  <r>
    <x v="1668"/>
    <n v="-10.35"/>
    <x v="3456"/>
    <n v="1802.2"/>
    <s v="Complete Access"/>
    <x v="27"/>
    <x v="1"/>
    <x v="5"/>
    <d v="1900-01-15T00:00:00"/>
    <n v="20"/>
    <x v="9"/>
    <x v="6"/>
  </r>
  <r>
    <x v="1668"/>
    <n v="-7"/>
    <x v="2859"/>
    <n v="2045.2"/>
    <s v="Complete Access"/>
    <x v="61"/>
    <x v="1"/>
    <x v="1"/>
    <d v="1900-01-15T00:00:00"/>
    <n v="20"/>
    <x v="9"/>
    <x v="6"/>
  </r>
  <r>
    <x v="1668"/>
    <n v="-9.9"/>
    <x v="3457"/>
    <n v="1812.55"/>
    <s v="Complete Access"/>
    <x v="682"/>
    <x v="1"/>
    <x v="5"/>
    <d v="1900-01-15T00:00:00"/>
    <n v="20"/>
    <x v="9"/>
    <x v="6"/>
  </r>
  <r>
    <x v="1668"/>
    <n v="250"/>
    <x v="3458"/>
    <n v="2052.1999999999998"/>
    <s v="Complete Access"/>
    <x v="657"/>
    <x v="0"/>
    <x v="69"/>
    <d v="1900-01-15T00:00:00"/>
    <n v="20"/>
    <x v="9"/>
    <x v="6"/>
  </r>
  <r>
    <x v="1669"/>
    <n v="-7"/>
    <x v="2859"/>
    <n v="677.87"/>
    <s v="Complete Access"/>
    <x v="61"/>
    <x v="1"/>
    <x v="1"/>
    <d v="1900-01-14T00:00:00"/>
    <n v="20"/>
    <x v="9"/>
    <x v="6"/>
  </r>
  <r>
    <x v="1669"/>
    <n v="-32.9"/>
    <x v="3459"/>
    <n v="690.87"/>
    <s v="Complete Access"/>
    <x v="8"/>
    <x v="1"/>
    <x v="5"/>
    <d v="1900-01-14T00:00:00"/>
    <n v="20"/>
    <x v="9"/>
    <x v="6"/>
  </r>
  <r>
    <x v="1669"/>
    <n v="-25.5"/>
    <x v="3460"/>
    <n v="723.77"/>
    <s v="Complete Access"/>
    <x v="8"/>
    <x v="1"/>
    <x v="5"/>
    <d v="1900-01-14T00:00:00"/>
    <n v="20"/>
    <x v="9"/>
    <x v="6"/>
  </r>
  <r>
    <x v="1669"/>
    <n v="-3"/>
    <x v="3461"/>
    <n v="687.87"/>
    <s v="Complete Access"/>
    <x v="8"/>
    <x v="1"/>
    <x v="5"/>
    <d v="1900-01-14T00:00:00"/>
    <n v="20"/>
    <x v="9"/>
    <x v="6"/>
  </r>
  <r>
    <x v="1669"/>
    <n v="1148.57"/>
    <x v="3188"/>
    <n v="1822.45"/>
    <s v="Complete Access"/>
    <x v="14"/>
    <x v="6"/>
    <x v="9"/>
    <d v="1900-01-14T00:00:00"/>
    <n v="20"/>
    <x v="9"/>
    <x v="6"/>
  </r>
  <r>
    <x v="1669"/>
    <n v="-3.99"/>
    <x v="3441"/>
    <n v="673.88"/>
    <s v="Complete Access"/>
    <x v="177"/>
    <x v="1"/>
    <x v="1"/>
    <d v="1900-01-14T00:00:00"/>
    <n v="20"/>
    <x v="9"/>
    <x v="6"/>
  </r>
  <r>
    <x v="1669"/>
    <n v="-3"/>
    <x v="3462"/>
    <n v="684.87"/>
    <s v="Complete Access"/>
    <x v="1"/>
    <x v="1"/>
    <x v="1"/>
    <d v="1900-01-14T00:00:00"/>
    <n v="20"/>
    <x v="9"/>
    <x v="6"/>
  </r>
  <r>
    <x v="1670"/>
    <n v="-7"/>
    <x v="2859"/>
    <n v="799.27"/>
    <s v="Complete Access"/>
    <x v="61"/>
    <x v="1"/>
    <x v="1"/>
    <d v="1900-01-13T00:00:00"/>
    <n v="20"/>
    <x v="9"/>
    <x v="6"/>
  </r>
  <r>
    <x v="1670"/>
    <n v="-50"/>
    <x v="3361"/>
    <n v="749.27"/>
    <s v="Complete Access"/>
    <x v="12"/>
    <x v="5"/>
    <x v="8"/>
    <d v="1900-01-13T00:00:00"/>
    <n v="20"/>
    <x v="9"/>
    <x v="6"/>
  </r>
  <r>
    <x v="1670"/>
    <n v="-8.9"/>
    <x v="3463"/>
    <n v="1038.8800000000001"/>
    <s v="Complete Access"/>
    <x v="682"/>
    <x v="1"/>
    <x v="5"/>
    <d v="1900-01-13T00:00:00"/>
    <n v="20"/>
    <x v="9"/>
    <x v="6"/>
  </r>
  <r>
    <x v="1670"/>
    <n v="-232.61"/>
    <x v="3464"/>
    <n v="806.27"/>
    <s v="Complete Access"/>
    <x v="765"/>
    <x v="12"/>
    <x v="21"/>
    <d v="1900-01-13T00:00:00"/>
    <n v="20"/>
    <x v="9"/>
    <x v="6"/>
  </r>
  <r>
    <x v="1671"/>
    <n v="-7"/>
    <x v="2859"/>
    <n v="1121.78"/>
    <s v="Complete Access"/>
    <x v="61"/>
    <x v="1"/>
    <x v="1"/>
    <d v="1900-01-12T00:00:00"/>
    <n v="20"/>
    <x v="9"/>
    <x v="6"/>
  </r>
  <r>
    <x v="1671"/>
    <n v="-74"/>
    <x v="2543"/>
    <n v="1047.78"/>
    <s v="Complete Access"/>
    <x v="17"/>
    <x v="7"/>
    <x v="11"/>
    <d v="1900-01-12T00:00:00"/>
    <n v="20"/>
    <x v="9"/>
    <x v="6"/>
  </r>
  <r>
    <x v="1672"/>
    <n v="-15"/>
    <x v="3450"/>
    <n v="1128.78"/>
    <s v="Complete Access"/>
    <x v="796"/>
    <x v="20"/>
    <x v="63"/>
    <d v="1900-01-11T00:00:00"/>
    <n v="20"/>
    <x v="9"/>
    <x v="6"/>
  </r>
  <r>
    <x v="1673"/>
    <n v="-629"/>
    <x v="3465"/>
    <n v="272.77999999999997"/>
    <s v="Complete Access"/>
    <x v="798"/>
    <x v="4"/>
    <x v="30"/>
    <d v="1900-01-10T00:00:00"/>
    <n v="19"/>
    <x v="9"/>
    <x v="6"/>
  </r>
  <r>
    <x v="1673"/>
    <n v="-29"/>
    <x v="3466"/>
    <n v="1143.78"/>
    <s v="Complete Access"/>
    <x v="798"/>
    <x v="4"/>
    <x v="30"/>
    <d v="1900-01-10T00:00:00"/>
    <n v="19"/>
    <x v="9"/>
    <x v="6"/>
  </r>
  <r>
    <x v="1673"/>
    <n v="-515"/>
    <x v="3404"/>
    <n v="1053.57"/>
    <s v="Complete Access"/>
    <x v="783"/>
    <x v="19"/>
    <x v="61"/>
    <d v="1900-01-10T00:00:00"/>
    <n v="19"/>
    <x v="9"/>
    <x v="6"/>
  </r>
  <r>
    <x v="1673"/>
    <n v="-25.29"/>
    <x v="3467"/>
    <n v="1028.28"/>
    <s v="Complete Access"/>
    <x v="609"/>
    <x v="1"/>
    <x v="1"/>
    <d v="1900-01-10T00:00:00"/>
    <n v="19"/>
    <x v="9"/>
    <x v="6"/>
  </r>
  <r>
    <x v="1673"/>
    <n v="-15"/>
    <x v="3468"/>
    <n v="998.28"/>
    <s v="Complete Access"/>
    <x v="799"/>
    <x v="4"/>
    <x v="84"/>
    <d v="1900-01-10T00:00:00"/>
    <n v="19"/>
    <x v="9"/>
    <x v="6"/>
  </r>
  <r>
    <x v="1673"/>
    <n v="-15"/>
    <x v="3469"/>
    <n v="1013.28"/>
    <s v="Complete Access"/>
    <x v="800"/>
    <x v="11"/>
    <x v="14"/>
    <d v="1900-01-10T00:00:00"/>
    <n v="19"/>
    <x v="9"/>
    <x v="6"/>
  </r>
  <r>
    <x v="1673"/>
    <n v="-21.5"/>
    <x v="3450"/>
    <n v="901.78"/>
    <s v="Complete Access"/>
    <x v="796"/>
    <x v="20"/>
    <x v="63"/>
    <d v="1900-01-10T00:00:00"/>
    <n v="19"/>
    <x v="9"/>
    <x v="6"/>
  </r>
  <r>
    <x v="1673"/>
    <n v="-100"/>
    <x v="2274"/>
    <n v="1568.57"/>
    <s v="Complete Access"/>
    <x v="552"/>
    <x v="0"/>
    <x v="74"/>
    <d v="1900-01-10T00:00:00"/>
    <n v="19"/>
    <x v="9"/>
    <x v="6"/>
  </r>
  <r>
    <x v="1673"/>
    <n v="900"/>
    <x v="3407"/>
    <n v="1172.78"/>
    <s v="Complete Access"/>
    <x v="0"/>
    <x v="0"/>
    <x v="0"/>
    <d v="1900-01-10T00:00:00"/>
    <n v="19"/>
    <x v="9"/>
    <x v="6"/>
  </r>
  <r>
    <x v="1673"/>
    <n v="-50"/>
    <x v="3470"/>
    <n v="923.28"/>
    <s v="Complete Access"/>
    <x v="782"/>
    <x v="10"/>
    <x v="75"/>
    <d v="1900-01-10T00:00:00"/>
    <n v="19"/>
    <x v="9"/>
    <x v="6"/>
  </r>
  <r>
    <x v="1673"/>
    <n v="-25"/>
    <x v="3471"/>
    <n v="973.28"/>
    <s v="Complete Access"/>
    <x v="34"/>
    <x v="9"/>
    <x v="12"/>
    <d v="1900-01-10T00:00:00"/>
    <n v="19"/>
    <x v="9"/>
    <x v="6"/>
  </r>
  <r>
    <x v="1674"/>
    <n v="-7"/>
    <x v="2859"/>
    <n v="1942.05"/>
    <s v="Complete Access"/>
    <x v="61"/>
    <x v="1"/>
    <x v="1"/>
    <d v="1900-01-09T00:00:00"/>
    <n v="19"/>
    <x v="9"/>
    <x v="6"/>
  </r>
  <r>
    <x v="1674"/>
    <n v="-50"/>
    <x v="3472"/>
    <n v="1707.37"/>
    <s v="Complete Access"/>
    <x v="801"/>
    <x v="8"/>
    <x v="29"/>
    <d v="1900-01-09T00:00:00"/>
    <n v="19"/>
    <x v="9"/>
    <x v="6"/>
  </r>
  <r>
    <x v="1674"/>
    <n v="-9"/>
    <x v="3473"/>
    <n v="1965.01"/>
    <s v="Complete Access"/>
    <x v="682"/>
    <x v="1"/>
    <x v="5"/>
    <d v="1900-01-09T00:00:00"/>
    <n v="19"/>
    <x v="9"/>
    <x v="6"/>
  </r>
  <r>
    <x v="1674"/>
    <n v="-6.98"/>
    <x v="3474"/>
    <n v="1949.05"/>
    <s v="Complete Access"/>
    <x v="802"/>
    <x v="11"/>
    <x v="14"/>
    <d v="1900-01-09T00:00:00"/>
    <n v="19"/>
    <x v="9"/>
    <x v="6"/>
  </r>
  <r>
    <x v="1674"/>
    <n v="-153.68"/>
    <x v="3475"/>
    <n v="1762.37"/>
    <s v="Complete Access"/>
    <x v="803"/>
    <x v="1"/>
    <x v="5"/>
    <d v="1900-01-09T00:00:00"/>
    <n v="19"/>
    <x v="9"/>
    <x v="6"/>
  </r>
  <r>
    <x v="1674"/>
    <n v="-2.5"/>
    <x v="72"/>
    <n v="1704.87"/>
    <s v="Complete Access"/>
    <x v="37"/>
    <x v="0"/>
    <x v="0"/>
    <d v="1900-01-09T00:00:00"/>
    <n v="19"/>
    <x v="9"/>
    <x v="6"/>
  </r>
  <r>
    <x v="1674"/>
    <n v="-6.3"/>
    <x v="3476"/>
    <n v="1668.57"/>
    <s v="Complete Access"/>
    <x v="801"/>
    <x v="8"/>
    <x v="29"/>
    <d v="1900-01-09T00:00:00"/>
    <n v="19"/>
    <x v="9"/>
    <x v="6"/>
  </r>
  <r>
    <x v="1674"/>
    <n v="-7.9"/>
    <x v="3476"/>
    <n v="1674.87"/>
    <s v="Complete Access"/>
    <x v="801"/>
    <x v="8"/>
    <x v="29"/>
    <d v="1900-01-09T00:00:00"/>
    <n v="19"/>
    <x v="9"/>
    <x v="6"/>
  </r>
  <r>
    <x v="1674"/>
    <n v="-22.1"/>
    <x v="3476"/>
    <n v="1682.77"/>
    <s v="Complete Access"/>
    <x v="801"/>
    <x v="8"/>
    <x v="29"/>
    <d v="1900-01-09T00:00:00"/>
    <n v="19"/>
    <x v="9"/>
    <x v="6"/>
  </r>
  <r>
    <x v="1674"/>
    <n v="-5"/>
    <x v="3477"/>
    <n v="1757.37"/>
    <s v="Complete Access"/>
    <x v="804"/>
    <x v="8"/>
    <x v="29"/>
    <d v="1900-01-09T00:00:00"/>
    <n v="19"/>
    <x v="9"/>
    <x v="6"/>
  </r>
  <r>
    <x v="1674"/>
    <n v="-8.98"/>
    <x v="3478"/>
    <n v="1956.03"/>
    <s v="Complete Access"/>
    <x v="587"/>
    <x v="8"/>
    <x v="22"/>
    <d v="1900-01-09T00:00:00"/>
    <n v="19"/>
    <x v="9"/>
    <x v="6"/>
  </r>
  <r>
    <x v="1674"/>
    <n v="-20.8"/>
    <x v="2942"/>
    <n v="1916.05"/>
    <s v="Complete Access"/>
    <x v="681"/>
    <x v="1"/>
    <x v="5"/>
    <d v="1900-01-09T00:00:00"/>
    <n v="19"/>
    <x v="9"/>
    <x v="6"/>
  </r>
  <r>
    <x v="1674"/>
    <n v="-5.2"/>
    <x v="2942"/>
    <n v="1936.85"/>
    <s v="Complete Access"/>
    <x v="681"/>
    <x v="1"/>
    <x v="5"/>
    <d v="1900-01-09T00:00:00"/>
    <n v="19"/>
    <x v="9"/>
    <x v="6"/>
  </r>
  <r>
    <x v="1675"/>
    <n v="-10.35"/>
    <x v="3479"/>
    <n v="2071.31"/>
    <s v="Complete Access"/>
    <x v="27"/>
    <x v="1"/>
    <x v="5"/>
    <d v="1900-01-08T00:00:00"/>
    <n v="19"/>
    <x v="9"/>
    <x v="6"/>
  </r>
  <r>
    <x v="1675"/>
    <n v="-11.4"/>
    <x v="3480"/>
    <n v="2059.91"/>
    <s v="Complete Access"/>
    <x v="47"/>
    <x v="1"/>
    <x v="5"/>
    <d v="1900-01-08T00:00:00"/>
    <n v="19"/>
    <x v="9"/>
    <x v="6"/>
  </r>
  <r>
    <x v="1675"/>
    <n v="-7.5"/>
    <x v="3450"/>
    <n v="2019.41"/>
    <s v="Complete Access"/>
    <x v="796"/>
    <x v="20"/>
    <x v="63"/>
    <d v="1900-01-08T00:00:00"/>
    <n v="19"/>
    <x v="9"/>
    <x v="6"/>
  </r>
  <r>
    <x v="1675"/>
    <n v="-45.4"/>
    <x v="3481"/>
    <n v="1974.01"/>
    <s v="Complete Access"/>
    <x v="741"/>
    <x v="16"/>
    <x v="81"/>
    <d v="1900-01-08T00:00:00"/>
    <n v="19"/>
    <x v="9"/>
    <x v="6"/>
  </r>
  <r>
    <x v="1675"/>
    <n v="-12.5"/>
    <x v="3482"/>
    <n v="2026.91"/>
    <s v="Complete Access"/>
    <x v="1"/>
    <x v="1"/>
    <x v="1"/>
    <d v="1900-01-08T00:00:00"/>
    <n v="19"/>
    <x v="9"/>
    <x v="6"/>
  </r>
  <r>
    <x v="1675"/>
    <n v="-20.5"/>
    <x v="3483"/>
    <n v="2039.41"/>
    <s v="Complete Access"/>
    <x v="186"/>
    <x v="1"/>
    <x v="5"/>
    <d v="1900-01-08T00:00:00"/>
    <n v="19"/>
    <x v="9"/>
    <x v="6"/>
  </r>
  <r>
    <x v="1676"/>
    <n v="1182.25"/>
    <x v="3188"/>
    <n v="2081.66"/>
    <s v="Complete Access"/>
    <x v="14"/>
    <x v="6"/>
    <x v="9"/>
    <d v="1900-01-07T00:00:00"/>
    <n v="19"/>
    <x v="9"/>
    <x v="6"/>
  </r>
  <r>
    <x v="1676"/>
    <n v="-4.08"/>
    <x v="3484"/>
    <n v="899.41"/>
    <s v="Complete Access"/>
    <x v="1"/>
    <x v="1"/>
    <x v="1"/>
    <d v="1900-01-07T00:00:00"/>
    <n v="19"/>
    <x v="9"/>
    <x v="6"/>
  </r>
  <r>
    <x v="1677"/>
    <n v="-7"/>
    <x v="2859"/>
    <n v="926.36"/>
    <s v="Complete Access"/>
    <x v="61"/>
    <x v="1"/>
    <x v="1"/>
    <d v="1900-01-06T00:00:00"/>
    <n v="19"/>
    <x v="9"/>
    <x v="6"/>
  </r>
  <r>
    <x v="1677"/>
    <n v="-12.5"/>
    <x v="3485"/>
    <n v="970"/>
    <s v="Complete Access"/>
    <x v="682"/>
    <x v="1"/>
    <x v="5"/>
    <d v="1900-01-06T00:00:00"/>
    <n v="19"/>
    <x v="9"/>
    <x v="6"/>
  </r>
  <r>
    <x v="1677"/>
    <n v="-27.84"/>
    <x v="3486"/>
    <n v="942.16"/>
    <s v="Complete Access"/>
    <x v="609"/>
    <x v="1"/>
    <x v="1"/>
    <d v="1900-01-06T00:00:00"/>
    <n v="19"/>
    <x v="9"/>
    <x v="6"/>
  </r>
  <r>
    <x v="1677"/>
    <n v="-16.940000000000001"/>
    <x v="3487"/>
    <n v="982.5"/>
    <s v="Complete Access"/>
    <x v="805"/>
    <x v="11"/>
    <x v="14"/>
    <d v="1900-01-06T00:00:00"/>
    <n v="19"/>
    <x v="9"/>
    <x v="6"/>
  </r>
  <r>
    <x v="1677"/>
    <n v="-22.87"/>
    <x v="3441"/>
    <n v="903.49"/>
    <s v="Complete Access"/>
    <x v="177"/>
    <x v="1"/>
    <x v="1"/>
    <d v="1900-01-06T00:00:00"/>
    <n v="19"/>
    <x v="9"/>
    <x v="6"/>
  </r>
  <r>
    <x v="1677"/>
    <n v="-8.8000000000000007"/>
    <x v="3488"/>
    <n v="933.36"/>
    <s v="Complete Access"/>
    <x v="1"/>
    <x v="1"/>
    <x v="1"/>
    <d v="1900-01-06T00:00:00"/>
    <n v="19"/>
    <x v="9"/>
    <x v="6"/>
  </r>
  <r>
    <x v="1678"/>
    <n v="-8.1"/>
    <x v="2859"/>
    <n v="1010.22"/>
    <s v="Complete Access"/>
    <x v="61"/>
    <x v="1"/>
    <x v="1"/>
    <d v="1900-01-05T00:00:00"/>
    <n v="19"/>
    <x v="9"/>
    <x v="6"/>
  </r>
  <r>
    <x v="1678"/>
    <n v="-10.78"/>
    <x v="3441"/>
    <n v="999.44"/>
    <s v="Complete Access"/>
    <x v="177"/>
    <x v="1"/>
    <x v="1"/>
    <d v="1900-01-05T00:00:00"/>
    <n v="19"/>
    <x v="9"/>
    <x v="6"/>
  </r>
  <r>
    <x v="1679"/>
    <n v="-515"/>
    <x v="3404"/>
    <n v="1018.32"/>
    <s v="Complete Access"/>
    <x v="783"/>
    <x v="19"/>
    <x v="61"/>
    <d v="1900-01-03T00:00:00"/>
    <n v="18"/>
    <x v="9"/>
    <x v="6"/>
  </r>
  <r>
    <x v="1679"/>
    <n v="-100"/>
    <x v="2274"/>
    <n v="1533.32"/>
    <s v="Complete Access"/>
    <x v="552"/>
    <x v="0"/>
    <x v="74"/>
    <d v="1900-01-03T00:00:00"/>
    <n v="18"/>
    <x v="9"/>
    <x v="6"/>
  </r>
  <r>
    <x v="1680"/>
    <n v="-7.77"/>
    <x v="2859"/>
    <n v="1633.32"/>
    <s v="Complete Access"/>
    <x v="61"/>
    <x v="1"/>
    <x v="1"/>
    <d v="1900-01-02T00:00:00"/>
    <n v="18"/>
    <x v="9"/>
    <x v="6"/>
  </r>
  <r>
    <x v="1680"/>
    <n v="-11"/>
    <x v="3489"/>
    <n v="1701.09"/>
    <s v="Complete Access"/>
    <x v="682"/>
    <x v="1"/>
    <x v="5"/>
    <d v="1900-01-02T00:00:00"/>
    <n v="18"/>
    <x v="9"/>
    <x v="6"/>
  </r>
  <r>
    <x v="1680"/>
    <n v="-60"/>
    <x v="3490"/>
    <n v="1641.09"/>
    <s v="Complete Access"/>
    <x v="219"/>
    <x v="7"/>
    <x v="53"/>
    <d v="1900-01-02T00:00:00"/>
    <n v="18"/>
    <x v="9"/>
    <x v="6"/>
  </r>
  <r>
    <x v="1681"/>
    <n v="-6"/>
    <x v="2859"/>
    <n v="1712.09"/>
    <s v="Complete Access"/>
    <x v="61"/>
    <x v="1"/>
    <x v="1"/>
    <d v="1900-01-01T00:00:00"/>
    <n v="18"/>
    <x v="9"/>
    <x v="6"/>
  </r>
  <r>
    <x v="1681"/>
    <n v="-20.95"/>
    <x v="3491"/>
    <n v="1771.09"/>
    <s v="Complete Access"/>
    <x v="806"/>
    <x v="20"/>
    <x v="63"/>
    <d v="1900-01-01T00:00:00"/>
    <n v="18"/>
    <x v="9"/>
    <x v="6"/>
  </r>
  <r>
    <x v="1681"/>
    <n v="-12"/>
    <x v="3492"/>
    <n v="1718.09"/>
    <s v="Complete Access"/>
    <x v="242"/>
    <x v="1"/>
    <x v="5"/>
    <d v="1900-01-01T00:00:00"/>
    <n v="18"/>
    <x v="9"/>
    <x v="6"/>
  </r>
  <r>
    <x v="1681"/>
    <n v="-41"/>
    <x v="3493"/>
    <n v="1730.09"/>
    <s v="Complete Access"/>
    <x v="807"/>
    <x v="9"/>
    <x v="39"/>
    <d v="1900-01-01T00:00:00"/>
    <n v="18"/>
    <x v="9"/>
    <x v="6"/>
  </r>
  <r>
    <x v="1682"/>
    <n v="-7"/>
    <x v="2859"/>
    <n v="149.99"/>
    <s v="Complete Access"/>
    <x v="61"/>
    <x v="1"/>
    <x v="1"/>
    <d v="1899-12-31T00:00:00"/>
    <n v="18"/>
    <x v="9"/>
    <x v="6"/>
  </r>
  <r>
    <x v="1682"/>
    <n v="1814.35"/>
    <x v="3188"/>
    <n v="1964.34"/>
    <s v="Complete Access"/>
    <x v="14"/>
    <x v="6"/>
    <x v="9"/>
    <d v="1899-12-31T00:00:00"/>
    <n v="18"/>
    <x v="9"/>
    <x v="6"/>
  </r>
  <r>
    <x v="1682"/>
    <n v="-22.94"/>
    <x v="3494"/>
    <n v="187.81"/>
    <s v="Complete Access"/>
    <x v="805"/>
    <x v="11"/>
    <x v="14"/>
    <d v="1899-12-31T00:00:00"/>
    <n v="18"/>
    <x v="9"/>
    <x v="6"/>
  </r>
  <r>
    <x v="1682"/>
    <n v="-172.3"/>
    <x v="3495"/>
    <n v="1792.04"/>
    <s v="Complete Access"/>
    <x v="76"/>
    <x v="2"/>
    <x v="2"/>
    <d v="1899-12-31T00:00:00"/>
    <n v="18"/>
    <x v="9"/>
    <x v="6"/>
  </r>
  <r>
    <x v="1682"/>
    <n v="-30.82"/>
    <x v="3496"/>
    <n v="156.99"/>
    <s v="Complete Access"/>
    <x v="1"/>
    <x v="1"/>
    <x v="1"/>
    <d v="1899-12-31T00:00:00"/>
    <n v="18"/>
    <x v="9"/>
    <x v="6"/>
  </r>
  <r>
    <x v="1683"/>
    <n v="-7"/>
    <x v="2859"/>
    <n v="260.75"/>
    <s v="Complete Access"/>
    <x v="61"/>
    <x v="1"/>
    <x v="1"/>
    <d v="1900-01-29T00:00:00"/>
    <n v="18"/>
    <x v="10"/>
    <x v="6"/>
  </r>
  <r>
    <x v="1683"/>
    <n v="-50"/>
    <x v="3377"/>
    <n v="210.75"/>
    <s v="Complete Access"/>
    <x v="776"/>
    <x v="5"/>
    <x v="83"/>
    <d v="1900-01-29T00:00:00"/>
    <n v="18"/>
    <x v="10"/>
    <x v="6"/>
  </r>
  <r>
    <x v="1683"/>
    <n v="-7.5"/>
    <x v="3497"/>
    <n v="1270.08"/>
    <s v="Complete Access"/>
    <x v="682"/>
    <x v="1"/>
    <x v="5"/>
    <d v="1900-01-29T00:00:00"/>
    <n v="18"/>
    <x v="10"/>
    <x v="6"/>
  </r>
  <r>
    <x v="1683"/>
    <n v="-317.39"/>
    <x v="3498"/>
    <n v="952.69"/>
    <s v="Complete Access"/>
    <x v="95"/>
    <x v="14"/>
    <x v="38"/>
    <d v="1900-01-29T00:00:00"/>
    <n v="18"/>
    <x v="10"/>
    <x v="6"/>
  </r>
  <r>
    <x v="1683"/>
    <n v="-636.41"/>
    <x v="3499"/>
    <n v="267.75"/>
    <s v="Complete Access"/>
    <x v="93"/>
    <x v="9"/>
    <x v="36"/>
    <d v="1900-01-29T00:00:00"/>
    <n v="18"/>
    <x v="10"/>
    <x v="6"/>
  </r>
  <r>
    <x v="1683"/>
    <n v="-34.630000000000003"/>
    <x v="3500"/>
    <n v="918.06"/>
    <s v="Complete Access"/>
    <x v="1"/>
    <x v="1"/>
    <x v="1"/>
    <d v="1900-01-29T00:00:00"/>
    <n v="18"/>
    <x v="10"/>
    <x v="6"/>
  </r>
  <r>
    <x v="1683"/>
    <n v="-13.9"/>
    <x v="3501"/>
    <n v="904.16"/>
    <s v="Complete Access"/>
    <x v="186"/>
    <x v="1"/>
    <x v="5"/>
    <d v="1900-01-29T00:00:00"/>
    <n v="18"/>
    <x v="10"/>
    <x v="6"/>
  </r>
  <r>
    <x v="1684"/>
    <n v="-7"/>
    <x v="2859"/>
    <n v="1287.0999999999999"/>
    <s v="Complete Access"/>
    <x v="61"/>
    <x v="1"/>
    <x v="1"/>
    <d v="1900-01-28T00:00:00"/>
    <n v="18"/>
    <x v="10"/>
    <x v="6"/>
  </r>
  <r>
    <x v="1684"/>
    <n v="-9.52"/>
    <x v="3441"/>
    <n v="1277.58"/>
    <s v="Complete Access"/>
    <x v="177"/>
    <x v="1"/>
    <x v="1"/>
    <d v="1900-01-28T00:00:00"/>
    <n v="18"/>
    <x v="10"/>
    <x v="6"/>
  </r>
  <r>
    <x v="1685"/>
    <n v="-246.5"/>
    <x v="3502"/>
    <n v="1061.07"/>
    <s v="Complete Access"/>
    <x v="808"/>
    <x v="8"/>
    <x v="22"/>
    <d v="1900-01-26T00:00:00"/>
    <n v="17"/>
    <x v="10"/>
    <x v="6"/>
  </r>
  <r>
    <x v="1685"/>
    <n v="-2.7"/>
    <x v="3503"/>
    <n v="1707.26"/>
    <s v="Complete Access"/>
    <x v="809"/>
    <x v="1"/>
    <x v="5"/>
    <d v="1900-01-26T00:00:00"/>
    <n v="17"/>
    <x v="10"/>
    <x v="6"/>
  </r>
  <r>
    <x v="1685"/>
    <n v="-15.4"/>
    <x v="3503"/>
    <n v="1709.96"/>
    <s v="Complete Access"/>
    <x v="809"/>
    <x v="1"/>
    <x v="5"/>
    <d v="1900-01-26T00:00:00"/>
    <n v="17"/>
    <x v="10"/>
    <x v="6"/>
  </r>
  <r>
    <x v="1685"/>
    <n v="-338.35"/>
    <x v="3504"/>
    <n v="1307.57"/>
    <s v="Complete Access"/>
    <x v="810"/>
    <x v="14"/>
    <x v="66"/>
    <d v="1900-01-26T00:00:00"/>
    <n v="17"/>
    <x v="10"/>
    <x v="6"/>
  </r>
  <r>
    <x v="1685"/>
    <n v="-6.8"/>
    <x v="3505"/>
    <n v="1645.92"/>
    <s v="Complete Access"/>
    <x v="27"/>
    <x v="1"/>
    <x v="5"/>
    <d v="1900-01-26T00:00:00"/>
    <n v="17"/>
    <x v="10"/>
    <x v="6"/>
  </r>
  <r>
    <x v="1685"/>
    <n v="-515"/>
    <x v="3404"/>
    <n v="1762.96"/>
    <s v="Complete Access"/>
    <x v="783"/>
    <x v="19"/>
    <x v="61"/>
    <d v="1900-01-26T00:00:00"/>
    <n v="17"/>
    <x v="10"/>
    <x v="6"/>
  </r>
  <r>
    <x v="1685"/>
    <n v="-19.600000000000001"/>
    <x v="3506"/>
    <n v="1743.36"/>
    <s v="Complete Access"/>
    <x v="609"/>
    <x v="1"/>
    <x v="1"/>
    <d v="1900-01-26T00:00:00"/>
    <n v="17"/>
    <x v="10"/>
    <x v="6"/>
  </r>
  <r>
    <x v="1685"/>
    <n v="-100"/>
    <x v="2274"/>
    <n v="2277.96"/>
    <s v="Complete Access"/>
    <x v="552"/>
    <x v="0"/>
    <x v="74"/>
    <d v="1900-01-26T00:00:00"/>
    <n v="17"/>
    <x v="10"/>
    <x v="6"/>
  </r>
  <r>
    <x v="1685"/>
    <n v="-16.97"/>
    <x v="3441"/>
    <n v="1294.0999999999999"/>
    <s v="Complete Access"/>
    <x v="177"/>
    <x v="1"/>
    <x v="1"/>
    <d v="1900-01-26T00:00:00"/>
    <n v="17"/>
    <x v="10"/>
    <x v="6"/>
  </r>
  <r>
    <x v="1685"/>
    <n v="-9.5"/>
    <x v="3507"/>
    <n v="1725.36"/>
    <s v="Complete Access"/>
    <x v="190"/>
    <x v="8"/>
    <x v="29"/>
    <d v="1900-01-26T00:00:00"/>
    <n v="17"/>
    <x v="10"/>
    <x v="6"/>
  </r>
  <r>
    <x v="1685"/>
    <n v="-8.5"/>
    <x v="3507"/>
    <n v="1734.86"/>
    <s v="Complete Access"/>
    <x v="190"/>
    <x v="8"/>
    <x v="29"/>
    <d v="1900-01-26T00:00:00"/>
    <n v="17"/>
    <x v="10"/>
    <x v="6"/>
  </r>
  <r>
    <x v="1685"/>
    <n v="250"/>
    <x v="3407"/>
    <n v="1311.07"/>
    <s v="Complete Access"/>
    <x v="0"/>
    <x v="0"/>
    <x v="0"/>
    <d v="1900-01-26T00:00:00"/>
    <n v="17"/>
    <x v="10"/>
    <x v="6"/>
  </r>
  <r>
    <x v="1685"/>
    <n v="-9.09"/>
    <x v="3508"/>
    <n v="1652.72"/>
    <s v="Complete Access"/>
    <x v="786"/>
    <x v="8"/>
    <x v="29"/>
    <d v="1900-01-26T00:00:00"/>
    <n v="17"/>
    <x v="10"/>
    <x v="6"/>
  </r>
  <r>
    <x v="1685"/>
    <n v="-18.18"/>
    <x v="3508"/>
    <n v="1661.81"/>
    <s v="Complete Access"/>
    <x v="786"/>
    <x v="8"/>
    <x v="29"/>
    <d v="1900-01-26T00:00:00"/>
    <n v="17"/>
    <x v="10"/>
    <x v="6"/>
  </r>
  <r>
    <x v="1685"/>
    <n v="-18.18"/>
    <x v="3509"/>
    <n v="1679.99"/>
    <s v="Complete Access"/>
    <x v="786"/>
    <x v="8"/>
    <x v="29"/>
    <d v="1900-01-26T00:00:00"/>
    <n v="17"/>
    <x v="10"/>
    <x v="6"/>
  </r>
  <r>
    <x v="1685"/>
    <n v="-9.09"/>
    <x v="3509"/>
    <n v="1698.17"/>
    <s v="Complete Access"/>
    <x v="786"/>
    <x v="8"/>
    <x v="29"/>
    <d v="1900-01-26T00:00:00"/>
    <n v="17"/>
    <x v="10"/>
    <x v="6"/>
  </r>
  <r>
    <x v="1686"/>
    <n v="-7"/>
    <x v="2859"/>
    <n v="2312.36"/>
    <s v="Complete Access"/>
    <x v="61"/>
    <x v="1"/>
    <x v="1"/>
    <d v="1900-01-25T00:00:00"/>
    <n v="17"/>
    <x v="10"/>
    <x v="6"/>
  </r>
  <r>
    <x v="1686"/>
    <n v="150"/>
    <x v="3510"/>
    <n v="2462.36"/>
    <s v="Complete Access"/>
    <x v="811"/>
    <x v="0"/>
    <x v="0"/>
    <d v="1900-01-25T00:00:00"/>
    <n v="17"/>
    <x v="10"/>
    <x v="6"/>
  </r>
  <r>
    <x v="1686"/>
    <n v="-39"/>
    <x v="2494"/>
    <n v="2423.36"/>
    <s v="Complete Access"/>
    <x v="27"/>
    <x v="1"/>
    <x v="5"/>
    <d v="1900-01-25T00:00:00"/>
    <n v="17"/>
    <x v="10"/>
    <x v="6"/>
  </r>
  <r>
    <x v="1686"/>
    <n v="-45.4"/>
    <x v="3511"/>
    <n v="2377.96"/>
    <s v="Complete Access"/>
    <x v="741"/>
    <x v="16"/>
    <x v="81"/>
    <d v="1900-01-25T00:00:00"/>
    <n v="17"/>
    <x v="10"/>
    <x v="6"/>
  </r>
  <r>
    <x v="1687"/>
    <n v="-28.14"/>
    <x v="3512"/>
    <n v="2422.36"/>
    <s v="Complete Access"/>
    <x v="668"/>
    <x v="15"/>
    <x v="34"/>
    <d v="1900-01-24T00:00:00"/>
    <n v="17"/>
    <x v="10"/>
    <x v="6"/>
  </r>
  <r>
    <x v="1687"/>
    <n v="-50"/>
    <x v="3513"/>
    <n v="2319.36"/>
    <s v="Complete Access"/>
    <x v="601"/>
    <x v="0"/>
    <x v="0"/>
    <d v="1900-01-24T00:00:00"/>
    <n v="17"/>
    <x v="10"/>
    <x v="6"/>
  </r>
  <r>
    <x v="1687"/>
    <n v="-50"/>
    <x v="3513"/>
    <n v="2369.36"/>
    <s v="Complete Access"/>
    <x v="601"/>
    <x v="0"/>
    <x v="0"/>
    <d v="1900-01-24T00:00:00"/>
    <n v="17"/>
    <x v="10"/>
    <x v="6"/>
  </r>
  <r>
    <x v="1687"/>
    <n v="-18.98"/>
    <x v="3514"/>
    <n v="2450.5"/>
    <s v="Complete Access"/>
    <x v="774"/>
    <x v="8"/>
    <x v="29"/>
    <d v="1900-01-24T00:00:00"/>
    <n v="17"/>
    <x v="10"/>
    <x v="6"/>
  </r>
  <r>
    <x v="1687"/>
    <n v="-20.170000000000002"/>
    <x v="3515"/>
    <n v="2485.1799999999998"/>
    <s v="Complete Access"/>
    <x v="812"/>
    <x v="20"/>
    <x v="63"/>
    <d v="1900-01-24T00:00:00"/>
    <n v="17"/>
    <x v="10"/>
    <x v="6"/>
  </r>
  <r>
    <x v="1687"/>
    <n v="-15.7"/>
    <x v="3516"/>
    <n v="2469.48"/>
    <s v="Complete Access"/>
    <x v="34"/>
    <x v="9"/>
    <x v="12"/>
    <d v="1900-01-24T00:00:00"/>
    <n v="17"/>
    <x v="10"/>
    <x v="6"/>
  </r>
  <r>
    <x v="1687"/>
    <n v="-3"/>
    <x v="3517"/>
    <n v="2419.36"/>
    <s v="Complete Access"/>
    <x v="34"/>
    <x v="9"/>
    <x v="12"/>
    <d v="1900-01-24T00:00:00"/>
    <n v="17"/>
    <x v="10"/>
    <x v="6"/>
  </r>
  <r>
    <x v="1688"/>
    <n v="-10.97"/>
    <x v="2859"/>
    <n v="2505.35"/>
    <s v="Complete Access"/>
    <x v="61"/>
    <x v="1"/>
    <x v="1"/>
    <d v="1900-01-23T00:00:00"/>
    <n v="17"/>
    <x v="10"/>
    <x v="6"/>
  </r>
  <r>
    <x v="1688"/>
    <n v="-18.7"/>
    <x v="3518"/>
    <n v="2584.4"/>
    <s v="Complete Access"/>
    <x v="813"/>
    <x v="8"/>
    <x v="29"/>
    <d v="1900-01-23T00:00:00"/>
    <n v="17"/>
    <x v="10"/>
    <x v="6"/>
  </r>
  <r>
    <x v="1688"/>
    <n v="-22"/>
    <x v="3518"/>
    <n v="2727.63"/>
    <s v="Complete Access"/>
    <x v="813"/>
    <x v="8"/>
    <x v="29"/>
    <d v="1900-01-23T00:00:00"/>
    <n v="17"/>
    <x v="10"/>
    <x v="6"/>
  </r>
  <r>
    <x v="1688"/>
    <n v="-7.6"/>
    <x v="3518"/>
    <n v="2749.63"/>
    <s v="Complete Access"/>
    <x v="813"/>
    <x v="8"/>
    <x v="29"/>
    <d v="1900-01-23T00:00:00"/>
    <n v="17"/>
    <x v="10"/>
    <x v="6"/>
  </r>
  <r>
    <x v="1688"/>
    <n v="-49"/>
    <x v="3519"/>
    <n v="2827.83"/>
    <s v="Complete Access"/>
    <x v="8"/>
    <x v="1"/>
    <x v="5"/>
    <d v="1900-01-23T00:00:00"/>
    <n v="17"/>
    <x v="10"/>
    <x v="6"/>
  </r>
  <r>
    <x v="1688"/>
    <n v="-40.5"/>
    <x v="3520"/>
    <n v="2516.3200000000002"/>
    <s v="Complete Access"/>
    <x v="8"/>
    <x v="1"/>
    <x v="5"/>
    <d v="1900-01-23T00:00:00"/>
    <n v="17"/>
    <x v="10"/>
    <x v="6"/>
  </r>
  <r>
    <x v="1688"/>
    <n v="-29.9"/>
    <x v="3520"/>
    <n v="2757.23"/>
    <s v="Complete Access"/>
    <x v="8"/>
    <x v="1"/>
    <x v="5"/>
    <d v="1900-01-23T00:00:00"/>
    <n v="17"/>
    <x v="10"/>
    <x v="6"/>
  </r>
  <r>
    <x v="1688"/>
    <n v="-40.700000000000003"/>
    <x v="3521"/>
    <n v="2787.13"/>
    <s v="Complete Access"/>
    <x v="8"/>
    <x v="1"/>
    <x v="5"/>
    <d v="1900-01-23T00:00:00"/>
    <n v="17"/>
    <x v="10"/>
    <x v="6"/>
  </r>
  <r>
    <x v="1688"/>
    <n v="-11.72"/>
    <x v="3522"/>
    <n v="2603.1"/>
    <s v="Complete Access"/>
    <x v="814"/>
    <x v="8"/>
    <x v="29"/>
    <d v="1900-01-23T00:00:00"/>
    <n v="17"/>
    <x v="10"/>
    <x v="6"/>
  </r>
  <r>
    <x v="1688"/>
    <n v="-61.41"/>
    <x v="3522"/>
    <n v="2614.8200000000002"/>
    <s v="Complete Access"/>
    <x v="814"/>
    <x v="8"/>
    <x v="29"/>
    <d v="1900-01-23T00:00:00"/>
    <n v="17"/>
    <x v="10"/>
    <x v="6"/>
  </r>
  <r>
    <x v="1688"/>
    <n v="-11.72"/>
    <x v="3522"/>
    <n v="2676.23"/>
    <s v="Complete Access"/>
    <x v="814"/>
    <x v="8"/>
    <x v="29"/>
    <d v="1900-01-23T00:00:00"/>
    <n v="17"/>
    <x v="10"/>
    <x v="6"/>
  </r>
  <r>
    <x v="1688"/>
    <n v="-11.72"/>
    <x v="3522"/>
    <n v="2687.95"/>
    <s v="Complete Access"/>
    <x v="814"/>
    <x v="8"/>
    <x v="29"/>
    <d v="1900-01-23T00:00:00"/>
    <n v="17"/>
    <x v="10"/>
    <x v="6"/>
  </r>
  <r>
    <x v="1688"/>
    <n v="-11.72"/>
    <x v="3522"/>
    <n v="2699.67"/>
    <s v="Complete Access"/>
    <x v="814"/>
    <x v="8"/>
    <x v="29"/>
    <d v="1900-01-23T00:00:00"/>
    <n v="17"/>
    <x v="10"/>
    <x v="6"/>
  </r>
  <r>
    <x v="1688"/>
    <n v="-10.15"/>
    <x v="3522"/>
    <n v="2711.39"/>
    <s v="Complete Access"/>
    <x v="814"/>
    <x v="8"/>
    <x v="29"/>
    <d v="1900-01-23T00:00:00"/>
    <n v="17"/>
    <x v="10"/>
    <x v="6"/>
  </r>
  <r>
    <x v="1688"/>
    <n v="-6.09"/>
    <x v="3522"/>
    <n v="2721.54"/>
    <s v="Complete Access"/>
    <x v="814"/>
    <x v="8"/>
    <x v="29"/>
    <d v="1900-01-23T00:00:00"/>
    <n v="17"/>
    <x v="10"/>
    <x v="6"/>
  </r>
  <r>
    <x v="1688"/>
    <n v="-27.58"/>
    <x v="3523"/>
    <n v="2556.8200000000002"/>
    <s v="Complete Access"/>
    <x v="609"/>
    <x v="1"/>
    <x v="1"/>
    <d v="1900-01-23T00:00:00"/>
    <n v="17"/>
    <x v="10"/>
    <x v="6"/>
  </r>
  <r>
    <x v="1689"/>
    <n v="-9"/>
    <x v="2859"/>
    <n v="2876.83"/>
    <s v="Complete Access"/>
    <x v="61"/>
    <x v="1"/>
    <x v="1"/>
    <d v="1900-01-22T00:00:00"/>
    <n v="17"/>
    <x v="10"/>
    <x v="6"/>
  </r>
  <r>
    <x v="1690"/>
    <n v="-515"/>
    <x v="3404"/>
    <n v="2885.83"/>
    <s v="Complete Access"/>
    <x v="783"/>
    <x v="19"/>
    <x v="61"/>
    <d v="1900-01-19T00:00:00"/>
    <n v="16"/>
    <x v="10"/>
    <x v="6"/>
  </r>
  <r>
    <x v="1690"/>
    <n v="-100"/>
    <x v="2274"/>
    <n v="3400.83"/>
    <s v="Complete Access"/>
    <x v="552"/>
    <x v="0"/>
    <x v="74"/>
    <d v="1900-01-19T00:00:00"/>
    <n v="16"/>
    <x v="10"/>
    <x v="6"/>
  </r>
  <r>
    <x v="1691"/>
    <n v="-264.05"/>
    <x v="3524"/>
    <n v="3500.83"/>
    <s v="Complete Access"/>
    <x v="810"/>
    <x v="14"/>
    <x v="66"/>
    <d v="1900-01-18T00:00:00"/>
    <n v="16"/>
    <x v="10"/>
    <x v="6"/>
  </r>
  <r>
    <x v="1692"/>
    <n v="-50"/>
    <x v="3525"/>
    <n v="2610.59"/>
    <s v="Complete Access"/>
    <x v="601"/>
    <x v="0"/>
    <x v="0"/>
    <d v="1900-01-16T00:00:00"/>
    <n v="16"/>
    <x v="10"/>
    <x v="6"/>
  </r>
  <r>
    <x v="1692"/>
    <n v="-50"/>
    <x v="3526"/>
    <n v="2668.09"/>
    <s v="Complete Access"/>
    <x v="776"/>
    <x v="5"/>
    <x v="83"/>
    <d v="1900-01-16T00:00:00"/>
    <n v="16"/>
    <x v="10"/>
    <x v="6"/>
  </r>
  <r>
    <x v="1692"/>
    <n v="-66.73"/>
    <x v="3527"/>
    <n v="2744.77"/>
    <s v="Complete Access"/>
    <x v="815"/>
    <x v="4"/>
    <x v="52"/>
    <d v="1900-01-16T00:00:00"/>
    <n v="16"/>
    <x v="10"/>
    <x v="6"/>
  </r>
  <r>
    <x v="1692"/>
    <n v="1182.25"/>
    <x v="3188"/>
    <n v="3764.88"/>
    <s v="Complete Access"/>
    <x v="14"/>
    <x v="6"/>
    <x v="9"/>
    <d v="1900-01-16T00:00:00"/>
    <n v="16"/>
    <x v="10"/>
    <x v="6"/>
  </r>
  <r>
    <x v="1692"/>
    <n v="-2"/>
    <x v="3528"/>
    <n v="2742.77"/>
    <s v="Complete Access"/>
    <x v="10"/>
    <x v="0"/>
    <x v="0"/>
    <d v="1900-01-16T00:00:00"/>
    <n v="16"/>
    <x v="10"/>
    <x v="6"/>
  </r>
  <r>
    <x v="1692"/>
    <n v="-27.96"/>
    <x v="3441"/>
    <n v="2582.63"/>
    <s v="Complete Access"/>
    <x v="177"/>
    <x v="1"/>
    <x v="1"/>
    <d v="1900-01-16T00:00:00"/>
    <n v="16"/>
    <x v="10"/>
    <x v="6"/>
  </r>
  <r>
    <x v="1692"/>
    <n v="-24.68"/>
    <x v="3529"/>
    <n v="2718.09"/>
    <s v="Complete Access"/>
    <x v="1"/>
    <x v="1"/>
    <x v="1"/>
    <d v="1900-01-16T00:00:00"/>
    <n v="16"/>
    <x v="10"/>
    <x v="6"/>
  </r>
  <r>
    <x v="1692"/>
    <n v="-7.5"/>
    <x v="3000"/>
    <n v="2660.59"/>
    <s v="Complete Access"/>
    <x v="687"/>
    <x v="1"/>
    <x v="5"/>
    <d v="1900-01-16T00:00:00"/>
    <n v="16"/>
    <x v="10"/>
    <x v="6"/>
  </r>
  <r>
    <x v="1693"/>
    <n v="-4"/>
    <x v="2859"/>
    <n v="2811.5"/>
    <s v="Complete Access"/>
    <x v="61"/>
    <x v="1"/>
    <x v="1"/>
    <d v="1900-01-15T00:00:00"/>
    <n v="16"/>
    <x v="10"/>
    <x v="6"/>
  </r>
  <r>
    <x v="1693"/>
    <n v="-11"/>
    <x v="3530"/>
    <n v="2839.8"/>
    <s v="Complete Access"/>
    <x v="682"/>
    <x v="1"/>
    <x v="5"/>
    <d v="1900-01-15T00:00:00"/>
    <n v="16"/>
    <x v="10"/>
    <x v="6"/>
  </r>
  <r>
    <x v="1693"/>
    <n v="-27.1"/>
    <x v="3531"/>
    <n v="2850.8"/>
    <s v="Complete Access"/>
    <x v="816"/>
    <x v="8"/>
    <x v="22"/>
    <d v="1900-01-15T00:00:00"/>
    <n v="16"/>
    <x v="10"/>
    <x v="6"/>
  </r>
  <r>
    <x v="1693"/>
    <n v="-10.4"/>
    <x v="3532"/>
    <n v="2815.5"/>
    <s v="Complete Access"/>
    <x v="1"/>
    <x v="1"/>
    <x v="1"/>
    <d v="1900-01-15T00:00:00"/>
    <n v="16"/>
    <x v="10"/>
    <x v="6"/>
  </r>
  <r>
    <x v="1693"/>
    <n v="-13.9"/>
    <x v="3533"/>
    <n v="2825.9"/>
    <s v="Complete Access"/>
    <x v="186"/>
    <x v="1"/>
    <x v="5"/>
    <d v="1900-01-15T00:00:00"/>
    <n v="16"/>
    <x v="10"/>
    <x v="6"/>
  </r>
  <r>
    <x v="1694"/>
    <n v="250"/>
    <x v="3534"/>
    <n v="2877.9"/>
    <s v="Complete Access"/>
    <x v="817"/>
    <x v="18"/>
    <x v="80"/>
    <d v="1900-01-14T00:00:00"/>
    <n v="16"/>
    <x v="10"/>
    <x v="6"/>
  </r>
  <r>
    <x v="1695"/>
    <n v="-515"/>
    <x v="3404"/>
    <n v="2627.9"/>
    <s v="Complete Access"/>
    <x v="783"/>
    <x v="19"/>
    <x v="61"/>
    <d v="1900-01-12T00:00:00"/>
    <n v="15"/>
    <x v="10"/>
    <x v="6"/>
  </r>
  <r>
    <x v="1695"/>
    <n v="-100"/>
    <x v="2274"/>
    <n v="3142.9"/>
    <s v="Complete Access"/>
    <x v="552"/>
    <x v="0"/>
    <x v="74"/>
    <d v="1900-01-12T00:00:00"/>
    <n v="15"/>
    <x v="10"/>
    <x v="6"/>
  </r>
  <r>
    <x v="1696"/>
    <n v="1182.25"/>
    <x v="3188"/>
    <n v="3242.9"/>
    <s v="Complete Access"/>
    <x v="14"/>
    <x v="6"/>
    <x v="9"/>
    <d v="1900-01-11T00:00:00"/>
    <n v="15"/>
    <x v="10"/>
    <x v="6"/>
  </r>
  <r>
    <x v="1696"/>
    <n v="-31.79"/>
    <x v="3441"/>
    <n v="2060.65"/>
    <s v="Complete Access"/>
    <x v="177"/>
    <x v="1"/>
    <x v="1"/>
    <d v="1900-01-11T00:00:00"/>
    <n v="15"/>
    <x v="10"/>
    <x v="6"/>
  </r>
  <r>
    <x v="1696"/>
    <n v="-12.5"/>
    <x v="3535"/>
    <n v="2092.44"/>
    <s v="Complete Access"/>
    <x v="186"/>
    <x v="1"/>
    <x v="5"/>
    <d v="1900-01-11T00:00:00"/>
    <n v="15"/>
    <x v="10"/>
    <x v="6"/>
  </r>
  <r>
    <x v="1697"/>
    <n v="-9.6"/>
    <x v="3536"/>
    <n v="2191.73"/>
    <s v="Complete Access"/>
    <x v="27"/>
    <x v="1"/>
    <x v="5"/>
    <d v="1900-01-10T00:00:00"/>
    <n v="15"/>
    <x v="10"/>
    <x v="6"/>
  </r>
  <r>
    <x v="1697"/>
    <n v="-25.9"/>
    <x v="3537"/>
    <n v="2165.83"/>
    <s v="Complete Access"/>
    <x v="260"/>
    <x v="1"/>
    <x v="5"/>
    <d v="1900-01-10T00:00:00"/>
    <n v="15"/>
    <x v="10"/>
    <x v="6"/>
  </r>
  <r>
    <x v="1697"/>
    <n v="-45.4"/>
    <x v="3538"/>
    <n v="2104.94"/>
    <s v="Complete Access"/>
    <x v="741"/>
    <x v="16"/>
    <x v="81"/>
    <d v="1900-01-10T00:00:00"/>
    <n v="15"/>
    <x v="10"/>
    <x v="6"/>
  </r>
  <r>
    <x v="1697"/>
    <n v="-15.49"/>
    <x v="3539"/>
    <n v="2150.34"/>
    <s v="Complete Access"/>
    <x v="1"/>
    <x v="1"/>
    <x v="1"/>
    <d v="1900-01-10T00:00:00"/>
    <n v="15"/>
    <x v="10"/>
    <x v="6"/>
  </r>
  <r>
    <x v="1698"/>
    <n v="-6"/>
    <x v="2859"/>
    <n v="2298.2800000000002"/>
    <s v="Complete Access"/>
    <x v="61"/>
    <x v="1"/>
    <x v="1"/>
    <d v="1900-01-09T00:00:00"/>
    <n v="15"/>
    <x v="10"/>
    <x v="6"/>
  </r>
  <r>
    <x v="1698"/>
    <n v="-23.45"/>
    <x v="3441"/>
    <n v="2274.83"/>
    <s v="Complete Access"/>
    <x v="177"/>
    <x v="1"/>
    <x v="1"/>
    <d v="1900-01-09T00:00:00"/>
    <n v="15"/>
    <x v="10"/>
    <x v="6"/>
  </r>
  <r>
    <x v="1698"/>
    <n v="-73.5"/>
    <x v="2543"/>
    <n v="2201.33"/>
    <s v="Complete Access"/>
    <x v="17"/>
    <x v="7"/>
    <x v="11"/>
    <d v="1900-01-09T00:00:00"/>
    <n v="15"/>
    <x v="10"/>
    <x v="6"/>
  </r>
  <r>
    <x v="1699"/>
    <n v="-43"/>
    <x v="3540"/>
    <n v="2399.13"/>
    <s v="Complete Access"/>
    <x v="8"/>
    <x v="1"/>
    <x v="5"/>
    <d v="1900-01-08T00:00:00"/>
    <n v="15"/>
    <x v="10"/>
    <x v="6"/>
  </r>
  <r>
    <x v="1699"/>
    <n v="-25.15"/>
    <x v="3541"/>
    <n v="2373.98"/>
    <s v="Complete Access"/>
    <x v="609"/>
    <x v="1"/>
    <x v="1"/>
    <d v="1900-01-08T00:00:00"/>
    <n v="15"/>
    <x v="10"/>
    <x v="6"/>
  </r>
  <r>
    <x v="1699"/>
    <n v="-43.9"/>
    <x v="3542"/>
    <n v="2309.2800000000002"/>
    <s v="Complete Access"/>
    <x v="684"/>
    <x v="3"/>
    <x v="60"/>
    <d v="1900-01-08T00:00:00"/>
    <n v="15"/>
    <x v="10"/>
    <x v="6"/>
  </r>
  <r>
    <x v="1699"/>
    <n v="-5"/>
    <x v="3543"/>
    <n v="2304.2800000000002"/>
    <s v="Complete Access"/>
    <x v="818"/>
    <x v="11"/>
    <x v="49"/>
    <d v="1900-01-08T00:00:00"/>
    <n v="15"/>
    <x v="10"/>
    <x v="6"/>
  </r>
  <r>
    <x v="1699"/>
    <n v="-20.8"/>
    <x v="3544"/>
    <n v="2353.1799999999998"/>
    <s v="Complete Access"/>
    <x v="186"/>
    <x v="1"/>
    <x v="5"/>
    <d v="1900-01-08T00:00:00"/>
    <n v="15"/>
    <x v="10"/>
    <x v="6"/>
  </r>
  <r>
    <x v="1700"/>
    <n v="-20"/>
    <x v="2970"/>
    <n v="2464.7800000000002"/>
    <s v="Complete Access"/>
    <x v="601"/>
    <x v="0"/>
    <x v="0"/>
    <d v="1900-01-07T00:00:00"/>
    <n v="15"/>
    <x v="10"/>
    <x v="6"/>
  </r>
  <r>
    <x v="1700"/>
    <n v="-22.65"/>
    <x v="3545"/>
    <n v="2442.13"/>
    <s v="Complete Access"/>
    <x v="4"/>
    <x v="1"/>
    <x v="1"/>
    <d v="1900-01-07T00:00:00"/>
    <n v="15"/>
    <x v="10"/>
    <x v="6"/>
  </r>
  <r>
    <x v="1701"/>
    <n v="-515"/>
    <x v="3404"/>
    <n v="2484.7800000000002"/>
    <s v="Complete Access"/>
    <x v="783"/>
    <x v="19"/>
    <x v="61"/>
    <d v="1900-01-05T00:00:00"/>
    <n v="14"/>
    <x v="10"/>
    <x v="6"/>
  </r>
  <r>
    <x v="1701"/>
    <n v="-100"/>
    <x v="2274"/>
    <n v="2999.78"/>
    <s v="Complete Access"/>
    <x v="552"/>
    <x v="0"/>
    <x v="74"/>
    <d v="1900-01-05T00:00:00"/>
    <n v="14"/>
    <x v="10"/>
    <x v="6"/>
  </r>
  <r>
    <x v="1701"/>
    <n v="-13.5"/>
    <x v="3546"/>
    <n v="3099.78"/>
    <s v="Complete Access"/>
    <x v="186"/>
    <x v="1"/>
    <x v="5"/>
    <d v="1900-01-05T00:00:00"/>
    <n v="14"/>
    <x v="10"/>
    <x v="6"/>
  </r>
  <r>
    <x v="1702"/>
    <n v="-10.41"/>
    <x v="2859"/>
    <n v="3113.28"/>
    <s v="Complete Access"/>
    <x v="61"/>
    <x v="1"/>
    <x v="1"/>
    <d v="1900-01-04T00:00:00"/>
    <n v="14"/>
    <x v="10"/>
    <x v="6"/>
  </r>
  <r>
    <x v="1702"/>
    <n v="-50"/>
    <x v="3547"/>
    <n v="3123.69"/>
    <s v="Complete Access"/>
    <x v="819"/>
    <x v="5"/>
    <x v="83"/>
    <d v="1900-01-04T00:00:00"/>
    <n v="14"/>
    <x v="10"/>
    <x v="6"/>
  </r>
  <r>
    <x v="1703"/>
    <n v="-43.38"/>
    <x v="3548"/>
    <n v="3307.98"/>
    <s v="Complete Access"/>
    <x v="820"/>
    <x v="8"/>
    <x v="29"/>
    <d v="1900-01-03T00:00:00"/>
    <n v="14"/>
    <x v="10"/>
    <x v="6"/>
  </r>
  <r>
    <x v="1703"/>
    <n v="-39.049999999999997"/>
    <x v="3548"/>
    <n v="3351.36"/>
    <s v="Complete Access"/>
    <x v="820"/>
    <x v="8"/>
    <x v="29"/>
    <d v="1900-01-03T00:00:00"/>
    <n v="14"/>
    <x v="10"/>
    <x v="6"/>
  </r>
  <r>
    <x v="1703"/>
    <n v="-58.58"/>
    <x v="3548"/>
    <n v="3390.41"/>
    <s v="Complete Access"/>
    <x v="820"/>
    <x v="8"/>
    <x v="29"/>
    <d v="1900-01-03T00:00:00"/>
    <n v="14"/>
    <x v="10"/>
    <x v="6"/>
  </r>
  <r>
    <x v="1703"/>
    <n v="-19.53"/>
    <x v="3548"/>
    <n v="3448.99"/>
    <s v="Complete Access"/>
    <x v="820"/>
    <x v="8"/>
    <x v="29"/>
    <d v="1900-01-03T00:00:00"/>
    <n v="14"/>
    <x v="10"/>
    <x v="6"/>
  </r>
  <r>
    <x v="1703"/>
    <n v="-93.4"/>
    <x v="3549"/>
    <n v="3173.69"/>
    <s v="Complete Access"/>
    <x v="821"/>
    <x v="1"/>
    <x v="5"/>
    <d v="1900-01-03T00:00:00"/>
    <n v="14"/>
    <x v="10"/>
    <x v="6"/>
  </r>
  <r>
    <x v="1703"/>
    <n v="-44.31"/>
    <x v="3550"/>
    <n v="3468.52"/>
    <s v="Complete Access"/>
    <x v="237"/>
    <x v="15"/>
    <x v="34"/>
    <d v="1900-01-03T00:00:00"/>
    <n v="14"/>
    <x v="10"/>
    <x v="6"/>
  </r>
  <r>
    <x v="1703"/>
    <n v="-40.89"/>
    <x v="3551"/>
    <n v="3267.09"/>
    <s v="Complete Access"/>
    <x v="1"/>
    <x v="1"/>
    <x v="1"/>
    <d v="1900-01-03T00:00:00"/>
    <n v="14"/>
    <x v="10"/>
    <x v="6"/>
  </r>
  <r>
    <x v="1704"/>
    <n v="-41.5"/>
    <x v="3552"/>
    <n v="2406.58"/>
    <s v="Complete Access"/>
    <x v="8"/>
    <x v="1"/>
    <x v="5"/>
    <d v="1900-01-02T00:00:00"/>
    <n v="14"/>
    <x v="10"/>
    <x v="6"/>
  </r>
  <r>
    <x v="1704"/>
    <n v="-50"/>
    <x v="3553"/>
    <n v="2448.08"/>
    <s v="Complete Access"/>
    <x v="8"/>
    <x v="1"/>
    <x v="5"/>
    <d v="1900-01-02T00:00:00"/>
    <n v="14"/>
    <x v="10"/>
    <x v="6"/>
  </r>
  <r>
    <x v="1704"/>
    <n v="1182.25"/>
    <x v="3188"/>
    <n v="3512.83"/>
    <s v="Complete Access"/>
    <x v="14"/>
    <x v="6"/>
    <x v="9"/>
    <d v="1900-01-02T00:00:00"/>
    <n v="14"/>
    <x v="10"/>
    <x v="6"/>
  </r>
  <r>
    <x v="1704"/>
    <n v="-14"/>
    <x v="3554"/>
    <n v="2332.58"/>
    <s v="Complete Access"/>
    <x v="186"/>
    <x v="1"/>
    <x v="5"/>
    <d v="1900-01-02T00:00:00"/>
    <n v="14"/>
    <x v="10"/>
    <x v="6"/>
  </r>
  <r>
    <x v="1704"/>
    <n v="-60"/>
    <x v="3555"/>
    <n v="2346.58"/>
    <s v="Complete Access"/>
    <x v="219"/>
    <x v="7"/>
    <x v="53"/>
    <d v="1900-01-02T00:00:00"/>
    <n v="14"/>
    <x v="10"/>
    <x v="6"/>
  </r>
  <r>
    <x v="1704"/>
    <n v="-2"/>
    <x v="3556"/>
    <n v="2330.58"/>
    <s v="Complete Access"/>
    <x v="34"/>
    <x v="9"/>
    <x v="12"/>
    <d v="1900-01-02T00:00:00"/>
    <n v="14"/>
    <x v="10"/>
    <x v="6"/>
  </r>
  <r>
    <x v="1705"/>
    <n v="50"/>
    <x v="3557"/>
    <n v="2500.58"/>
    <s v="Complete Access"/>
    <x v="822"/>
    <x v="9"/>
    <x v="12"/>
    <d v="1900-01-01T00:00:00"/>
    <n v="14"/>
    <x v="10"/>
    <x v="6"/>
  </r>
  <r>
    <x v="1705"/>
    <n v="-12"/>
    <x v="3558"/>
    <n v="2450.58"/>
    <s v="Complete Access"/>
    <x v="823"/>
    <x v="8"/>
    <x v="29"/>
    <d v="1900-01-01T00:00:00"/>
    <n v="14"/>
    <x v="10"/>
    <x v="6"/>
  </r>
  <r>
    <x v="1705"/>
    <n v="-2.5"/>
    <x v="2979"/>
    <n v="2498.08"/>
    <s v="Complete Access"/>
    <x v="685"/>
    <x v="20"/>
    <x v="63"/>
    <d v="1900-01-01T00:00:00"/>
    <n v="14"/>
    <x v="10"/>
    <x v="6"/>
  </r>
  <r>
    <x v="1706"/>
    <n v="-172.3"/>
    <x v="3559"/>
    <n v="2462.58"/>
    <s v="Complete Access"/>
    <x v="76"/>
    <x v="2"/>
    <x v="2"/>
    <d v="1899-12-31T00:00:00"/>
    <n v="14"/>
    <x v="10"/>
    <x v="6"/>
  </r>
  <r>
    <x v="1707"/>
    <n v="-11.4"/>
    <x v="3560"/>
    <n v="2634.88"/>
    <s v="Complete Access"/>
    <x v="91"/>
    <x v="9"/>
    <x v="12"/>
    <d v="1900-01-30T00:00:00"/>
    <n v="14"/>
    <x v="11"/>
    <x v="6"/>
  </r>
  <r>
    <x v="1708"/>
    <n v="-515"/>
    <x v="3404"/>
    <n v="2693.18"/>
    <s v="Complete Access"/>
    <x v="783"/>
    <x v="19"/>
    <x v="61"/>
    <d v="1900-01-29T00:00:00"/>
    <n v="13"/>
    <x v="11"/>
    <x v="6"/>
  </r>
  <r>
    <x v="1708"/>
    <n v="-100"/>
    <x v="2274"/>
    <n v="3208.18"/>
    <s v="Complete Access"/>
    <x v="552"/>
    <x v="0"/>
    <x v="74"/>
    <d v="1900-01-29T00:00:00"/>
    <n v="13"/>
    <x v="11"/>
    <x v="6"/>
  </r>
  <r>
    <x v="1708"/>
    <n v="-31.67"/>
    <x v="3561"/>
    <n v="3322.68"/>
    <s v="Complete Access"/>
    <x v="1"/>
    <x v="1"/>
    <x v="1"/>
    <d v="1900-01-29T00:00:00"/>
    <n v="13"/>
    <x v="11"/>
    <x v="6"/>
  </r>
  <r>
    <x v="1708"/>
    <n v="-19"/>
    <x v="3562"/>
    <n v="2646.28"/>
    <s v="Complete Access"/>
    <x v="824"/>
    <x v="8"/>
    <x v="29"/>
    <d v="1900-01-29T00:00:00"/>
    <n v="13"/>
    <x v="11"/>
    <x v="6"/>
  </r>
  <r>
    <x v="1708"/>
    <n v="-27.9"/>
    <x v="3562"/>
    <n v="2665.28"/>
    <s v="Complete Access"/>
    <x v="824"/>
    <x v="8"/>
    <x v="29"/>
    <d v="1900-01-29T00:00:00"/>
    <n v="13"/>
    <x v="11"/>
    <x v="6"/>
  </r>
  <r>
    <x v="1708"/>
    <n v="-14.5"/>
    <x v="3563"/>
    <n v="3308.18"/>
    <s v="Complete Access"/>
    <x v="186"/>
    <x v="1"/>
    <x v="5"/>
    <d v="1900-01-29T00:00:00"/>
    <n v="13"/>
    <x v="11"/>
    <x v="6"/>
  </r>
  <r>
    <x v="1709"/>
    <n v="-7.1"/>
    <x v="2859"/>
    <n v="3534.8"/>
    <s v="Complete Access"/>
    <x v="61"/>
    <x v="1"/>
    <x v="1"/>
    <d v="1900-01-28T00:00:00"/>
    <n v="13"/>
    <x v="11"/>
    <x v="6"/>
  </r>
  <r>
    <x v="1709"/>
    <n v="-43"/>
    <x v="3564"/>
    <n v="3556.4"/>
    <s v="Complete Access"/>
    <x v="8"/>
    <x v="1"/>
    <x v="5"/>
    <d v="1900-01-28T00:00:00"/>
    <n v="13"/>
    <x v="11"/>
    <x v="6"/>
  </r>
  <r>
    <x v="1709"/>
    <n v="-50"/>
    <x v="3565"/>
    <n v="3354.35"/>
    <s v="Complete Access"/>
    <x v="822"/>
    <x v="9"/>
    <x v="12"/>
    <d v="1900-01-28T00:00:00"/>
    <n v="13"/>
    <x v="11"/>
    <x v="6"/>
  </r>
  <r>
    <x v="1709"/>
    <n v="-12.95"/>
    <x v="3566"/>
    <n v="3514.35"/>
    <s v="Complete Access"/>
    <x v="825"/>
    <x v="11"/>
    <x v="14"/>
    <d v="1900-01-28T00:00:00"/>
    <n v="13"/>
    <x v="11"/>
    <x v="6"/>
  </r>
  <r>
    <x v="1709"/>
    <n v="-110"/>
    <x v="2929"/>
    <n v="3404.35"/>
    <s v="Complete Access"/>
    <x v="645"/>
    <x v="0"/>
    <x v="69"/>
    <d v="1900-01-28T00:00:00"/>
    <n v="13"/>
    <x v="11"/>
    <x v="6"/>
  </r>
  <r>
    <x v="1709"/>
    <n v="-14.5"/>
    <x v="3567"/>
    <n v="3541.9"/>
    <s v="Complete Access"/>
    <x v="186"/>
    <x v="1"/>
    <x v="5"/>
    <d v="1900-01-28T00:00:00"/>
    <n v="13"/>
    <x v="11"/>
    <x v="6"/>
  </r>
  <r>
    <x v="1709"/>
    <n v="-7.5"/>
    <x v="3000"/>
    <n v="3527.3"/>
    <s v="Complete Access"/>
    <x v="687"/>
    <x v="1"/>
    <x v="5"/>
    <d v="1900-01-28T00:00:00"/>
    <n v="13"/>
    <x v="11"/>
    <x v="6"/>
  </r>
  <r>
    <x v="1710"/>
    <n v="-1.56"/>
    <x v="2859"/>
    <n v="3774.8"/>
    <s v="Complete Access"/>
    <x v="61"/>
    <x v="1"/>
    <x v="1"/>
    <d v="1900-01-27T00:00:00"/>
    <n v="13"/>
    <x v="11"/>
    <x v="6"/>
  </r>
  <r>
    <x v="1710"/>
    <n v="-49.75"/>
    <x v="3568"/>
    <n v="3776.36"/>
    <s v="Complete Access"/>
    <x v="609"/>
    <x v="1"/>
    <x v="1"/>
    <d v="1900-01-27T00:00:00"/>
    <n v="13"/>
    <x v="11"/>
    <x v="6"/>
  </r>
  <r>
    <x v="1710"/>
    <n v="-175.4"/>
    <x v="3569"/>
    <n v="3599.4"/>
    <s v="Complete Access"/>
    <x v="741"/>
    <x v="16"/>
    <x v="81"/>
    <d v="1900-01-27T00:00:00"/>
    <n v="13"/>
    <x v="11"/>
    <x v="6"/>
  </r>
  <r>
    <x v="1711"/>
    <n v="-43"/>
    <x v="3570"/>
    <n v="2688.16"/>
    <s v="Complete Access"/>
    <x v="8"/>
    <x v="1"/>
    <x v="5"/>
    <d v="1900-01-26T00:00:00"/>
    <n v="13"/>
    <x v="11"/>
    <x v="6"/>
  </r>
  <r>
    <x v="1711"/>
    <n v="1182.25"/>
    <x v="3188"/>
    <n v="3826.11"/>
    <s v="Complete Access"/>
    <x v="14"/>
    <x v="6"/>
    <x v="9"/>
    <d v="1900-01-26T00:00:00"/>
    <n v="13"/>
    <x v="11"/>
    <x v="6"/>
  </r>
  <r>
    <x v="1711"/>
    <n v="-31.5"/>
    <x v="3571"/>
    <n v="2656.66"/>
    <s v="Complete Access"/>
    <x v="826"/>
    <x v="8"/>
    <x v="29"/>
    <d v="1900-01-26T00:00:00"/>
    <n v="13"/>
    <x v="11"/>
    <x v="6"/>
  </r>
  <r>
    <x v="1711"/>
    <n v="-31.88"/>
    <x v="3572"/>
    <n v="2731.16"/>
    <s v="Complete Access"/>
    <x v="617"/>
    <x v="4"/>
    <x v="73"/>
    <d v="1900-01-26T00:00:00"/>
    <n v="13"/>
    <x v="11"/>
    <x v="6"/>
  </r>
  <r>
    <x v="1711"/>
    <n v="-12.8"/>
    <x v="3573"/>
    <n v="2643.86"/>
    <s v="Complete Access"/>
    <x v="34"/>
    <x v="9"/>
    <x v="12"/>
    <d v="1900-01-26T00:00:00"/>
    <n v="13"/>
    <x v="11"/>
    <x v="6"/>
  </r>
  <r>
    <x v="1712"/>
    <n v="-50"/>
    <x v="3547"/>
    <n v="2723.04"/>
    <s v="Complete Access"/>
    <x v="819"/>
    <x v="5"/>
    <x v="83"/>
    <d v="1900-01-25T00:00:00"/>
    <n v="13"/>
    <x v="11"/>
    <x v="6"/>
  </r>
  <r>
    <x v="1712"/>
    <n v="40"/>
    <x v="3024"/>
    <n v="2763.04"/>
    <s v="Complete Access"/>
    <x v="27"/>
    <x v="1"/>
    <x v="5"/>
    <d v="1900-01-25T00:00:00"/>
    <n v="13"/>
    <x v="11"/>
    <x v="6"/>
  </r>
  <r>
    <x v="1712"/>
    <n v="-7.9"/>
    <x v="3000"/>
    <n v="2773.04"/>
    <s v="Complete Access"/>
    <x v="687"/>
    <x v="1"/>
    <x v="5"/>
    <d v="1900-01-25T00:00:00"/>
    <n v="13"/>
    <x v="11"/>
    <x v="6"/>
  </r>
  <r>
    <x v="1713"/>
    <n v="-2.08"/>
    <x v="2859"/>
    <n v="2805.99"/>
    <s v="Complete Access"/>
    <x v="61"/>
    <x v="1"/>
    <x v="1"/>
    <d v="1900-01-24T00:00:00"/>
    <n v="13"/>
    <x v="11"/>
    <x v="6"/>
  </r>
  <r>
    <x v="1713"/>
    <n v="-11.55"/>
    <x v="3441"/>
    <n v="2780.94"/>
    <s v="Complete Access"/>
    <x v="177"/>
    <x v="1"/>
    <x v="1"/>
    <d v="1900-01-24T00:00:00"/>
    <n v="13"/>
    <x v="11"/>
    <x v="6"/>
  </r>
  <r>
    <x v="1713"/>
    <n v="-13.5"/>
    <x v="3000"/>
    <n v="2792.49"/>
    <s v="Complete Access"/>
    <x v="687"/>
    <x v="1"/>
    <x v="5"/>
    <d v="1900-01-24T00:00:00"/>
    <n v="13"/>
    <x v="11"/>
    <x v="6"/>
  </r>
  <r>
    <x v="1714"/>
    <n v="-515"/>
    <x v="3404"/>
    <n v="2808.07"/>
    <s v="Complete Access"/>
    <x v="783"/>
    <x v="19"/>
    <x v="61"/>
    <d v="1900-01-22T00:00:00"/>
    <n v="12"/>
    <x v="11"/>
    <x v="6"/>
  </r>
  <r>
    <x v="1714"/>
    <n v="-100"/>
    <x v="2274"/>
    <n v="3323.07"/>
    <s v="Complete Access"/>
    <x v="552"/>
    <x v="0"/>
    <x v="74"/>
    <d v="1900-01-22T00:00:00"/>
    <n v="12"/>
    <x v="11"/>
    <x v="6"/>
  </r>
  <r>
    <x v="1715"/>
    <n v="-50"/>
    <x v="3403"/>
    <n v="3423.07"/>
    <s v="Complete Access"/>
    <x v="601"/>
    <x v="0"/>
    <x v="0"/>
    <d v="1900-01-20T00:00:00"/>
    <n v="12"/>
    <x v="11"/>
    <x v="6"/>
  </r>
  <r>
    <x v="1715"/>
    <n v="-22.5"/>
    <x v="3574"/>
    <n v="3473.07"/>
    <s v="Complete Access"/>
    <x v="826"/>
    <x v="8"/>
    <x v="29"/>
    <d v="1900-01-20T00:00:00"/>
    <n v="12"/>
    <x v="11"/>
    <x v="6"/>
  </r>
  <r>
    <x v="1715"/>
    <n v="-22.5"/>
    <x v="3574"/>
    <n v="3495.57"/>
    <s v="Complete Access"/>
    <x v="826"/>
    <x v="8"/>
    <x v="29"/>
    <d v="1900-01-20T00:00:00"/>
    <n v="12"/>
    <x v="11"/>
    <x v="6"/>
  </r>
  <r>
    <x v="1716"/>
    <n v="-31"/>
    <x v="3575"/>
    <n v="2342.7199999999998"/>
    <s v="Complete Access"/>
    <x v="8"/>
    <x v="1"/>
    <x v="5"/>
    <d v="1900-01-19T00:00:00"/>
    <n v="12"/>
    <x v="11"/>
    <x v="6"/>
  </r>
  <r>
    <x v="1716"/>
    <n v="1182.25"/>
    <x v="3188"/>
    <n v="3518.07"/>
    <s v="Complete Access"/>
    <x v="14"/>
    <x v="6"/>
    <x v="9"/>
    <d v="1900-01-19T00:00:00"/>
    <n v="12"/>
    <x v="11"/>
    <x v="6"/>
  </r>
  <r>
    <x v="1716"/>
    <n v="-6.9"/>
    <x v="3000"/>
    <n v="2335.8200000000002"/>
    <s v="Complete Access"/>
    <x v="687"/>
    <x v="1"/>
    <x v="5"/>
    <d v="1900-01-19T00:00:00"/>
    <n v="12"/>
    <x v="11"/>
    <x v="6"/>
  </r>
  <r>
    <x v="1717"/>
    <n v="-21.19"/>
    <x v="3441"/>
    <n v="2373.7199999999998"/>
    <s v="Complete Access"/>
    <x v="177"/>
    <x v="1"/>
    <x v="1"/>
    <d v="1900-01-18T00:00:00"/>
    <n v="12"/>
    <x v="11"/>
    <x v="6"/>
  </r>
  <r>
    <x v="1717"/>
    <n v="-15"/>
    <x v="3576"/>
    <n v="2402.81"/>
    <s v="Complete Access"/>
    <x v="186"/>
    <x v="1"/>
    <x v="5"/>
    <d v="1900-01-18T00:00:00"/>
    <n v="12"/>
    <x v="11"/>
    <x v="6"/>
  </r>
  <r>
    <x v="1717"/>
    <n v="-7.9"/>
    <x v="3000"/>
    <n v="2394.91"/>
    <s v="Complete Access"/>
    <x v="687"/>
    <x v="1"/>
    <x v="5"/>
    <d v="1900-01-18T00:00:00"/>
    <n v="12"/>
    <x v="11"/>
    <x v="6"/>
  </r>
  <r>
    <x v="1718"/>
    <n v="-45.09"/>
    <x v="3441"/>
    <n v="2417.81"/>
    <s v="Complete Access"/>
    <x v="177"/>
    <x v="1"/>
    <x v="1"/>
    <d v="1900-01-16T00:00:00"/>
    <n v="12"/>
    <x v="11"/>
    <x v="6"/>
  </r>
  <r>
    <x v="1719"/>
    <n v="-515"/>
    <x v="3404"/>
    <n v="2462.9"/>
    <s v="Complete Access"/>
    <x v="783"/>
    <x v="19"/>
    <x v="61"/>
    <d v="1900-01-15T00:00:00"/>
    <n v="11"/>
    <x v="11"/>
    <x v="6"/>
  </r>
  <r>
    <x v="1719"/>
    <n v="-100"/>
    <x v="2274"/>
    <n v="2977.9"/>
    <s v="Complete Access"/>
    <x v="552"/>
    <x v="0"/>
    <x v="74"/>
    <d v="1900-01-15T00:00:00"/>
    <n v="11"/>
    <x v="11"/>
    <x v="6"/>
  </r>
  <r>
    <x v="1720"/>
    <n v="-50"/>
    <x v="3403"/>
    <n v="3077.9"/>
    <s v="Complete Access"/>
    <x v="601"/>
    <x v="0"/>
    <x v="0"/>
    <d v="1900-01-14T00:00:00"/>
    <n v="11"/>
    <x v="11"/>
    <x v="6"/>
  </r>
  <r>
    <x v="1720"/>
    <n v="-20"/>
    <x v="3403"/>
    <n v="3127.9"/>
    <s v="Complete Access"/>
    <x v="601"/>
    <x v="0"/>
    <x v="0"/>
    <d v="1900-01-14T00:00:00"/>
    <n v="11"/>
    <x v="11"/>
    <x v="6"/>
  </r>
  <r>
    <x v="1720"/>
    <n v="-30"/>
    <x v="3577"/>
    <n v="2847.9"/>
    <s v="Complete Access"/>
    <x v="247"/>
    <x v="9"/>
    <x v="57"/>
    <d v="1900-01-14T00:00:00"/>
    <n v="11"/>
    <x v="11"/>
    <x v="6"/>
  </r>
  <r>
    <x v="1720"/>
    <n v="300"/>
    <x v="3578"/>
    <n v="3147.9"/>
    <s v="Complete Access"/>
    <x v="657"/>
    <x v="0"/>
    <x v="69"/>
    <d v="1900-01-14T00:00:00"/>
    <n v="11"/>
    <x v="11"/>
    <x v="6"/>
  </r>
  <r>
    <x v="1721"/>
    <n v="-50"/>
    <x v="3547"/>
    <n v="3082.23"/>
    <s v="Complete Access"/>
    <x v="819"/>
    <x v="5"/>
    <x v="83"/>
    <d v="1900-01-13T00:00:00"/>
    <n v="11"/>
    <x v="11"/>
    <x v="6"/>
  </r>
  <r>
    <x v="1721"/>
    <n v="-22.03"/>
    <x v="3441"/>
    <n v="3053.3"/>
    <s v="Complete Access"/>
    <x v="177"/>
    <x v="1"/>
    <x v="1"/>
    <d v="1900-01-13T00:00:00"/>
    <n v="11"/>
    <x v="11"/>
    <x v="6"/>
  </r>
  <r>
    <x v="1721"/>
    <n v="-175.4"/>
    <x v="3579"/>
    <n v="2877.9"/>
    <s v="Complete Access"/>
    <x v="741"/>
    <x v="16"/>
    <x v="81"/>
    <d v="1900-01-13T00:00:00"/>
    <n v="11"/>
    <x v="11"/>
    <x v="6"/>
  </r>
  <r>
    <x v="1721"/>
    <n v="-12.25"/>
    <x v="3580"/>
    <n v="3132.23"/>
    <s v="Complete Access"/>
    <x v="1"/>
    <x v="1"/>
    <x v="1"/>
    <d v="1900-01-13T00:00:00"/>
    <n v="11"/>
    <x v="11"/>
    <x v="6"/>
  </r>
  <r>
    <x v="1721"/>
    <n v="-6.9"/>
    <x v="3000"/>
    <n v="3075.33"/>
    <s v="Complete Access"/>
    <x v="687"/>
    <x v="1"/>
    <x v="5"/>
    <d v="1900-01-13T00:00:00"/>
    <n v="11"/>
    <x v="11"/>
    <x v="6"/>
  </r>
  <r>
    <x v="1722"/>
    <n v="-32"/>
    <x v="3581"/>
    <n v="2088.04"/>
    <s v="Complete Access"/>
    <x v="8"/>
    <x v="1"/>
    <x v="5"/>
    <d v="1900-01-12T00:00:00"/>
    <n v="11"/>
    <x v="11"/>
    <x v="6"/>
  </r>
  <r>
    <x v="1722"/>
    <n v="-36"/>
    <x v="3582"/>
    <n v="2052.04"/>
    <s v="Complete Access"/>
    <x v="8"/>
    <x v="1"/>
    <x v="5"/>
    <d v="1900-01-12T00:00:00"/>
    <n v="11"/>
    <x v="11"/>
    <x v="6"/>
  </r>
  <r>
    <x v="1722"/>
    <n v="1248.67"/>
    <x v="3188"/>
    <n v="3280.71"/>
    <s v="Complete Access"/>
    <x v="14"/>
    <x v="6"/>
    <x v="9"/>
    <d v="1900-01-12T00:00:00"/>
    <n v="11"/>
    <x v="11"/>
    <x v="6"/>
  </r>
  <r>
    <x v="1722"/>
    <n v="-62.73"/>
    <x v="3441"/>
    <n v="3217.98"/>
    <s v="Complete Access"/>
    <x v="177"/>
    <x v="1"/>
    <x v="1"/>
    <d v="1900-01-12T00:00:00"/>
    <n v="11"/>
    <x v="11"/>
    <x v="6"/>
  </r>
  <r>
    <x v="1722"/>
    <n v="-73.5"/>
    <x v="2543"/>
    <n v="3144.48"/>
    <s v="Complete Access"/>
    <x v="17"/>
    <x v="7"/>
    <x v="11"/>
    <d v="1900-01-12T00:00:00"/>
    <n v="11"/>
    <x v="11"/>
    <x v="6"/>
  </r>
  <r>
    <x v="1722"/>
    <n v="-12.5"/>
    <x v="3583"/>
    <n v="2039.54"/>
    <s v="Complete Access"/>
    <x v="186"/>
    <x v="1"/>
    <x v="5"/>
    <d v="1900-01-12T00:00:00"/>
    <n v="11"/>
    <x v="11"/>
    <x v="6"/>
  </r>
  <r>
    <x v="1722"/>
    <n v="-7.5"/>
    <x v="3000"/>
    <n v="2032.04"/>
    <s v="Complete Access"/>
    <x v="687"/>
    <x v="1"/>
    <x v="5"/>
    <d v="1900-01-12T00:00:00"/>
    <n v="11"/>
    <x v="11"/>
    <x v="6"/>
  </r>
  <r>
    <x v="1723"/>
    <n v="-25.06"/>
    <x v="3411"/>
    <n v="2120.04"/>
    <s v="Complete Access"/>
    <x v="785"/>
    <x v="9"/>
    <x v="12"/>
    <d v="1900-01-10T00:00:00"/>
    <n v="11"/>
    <x v="11"/>
    <x v="6"/>
  </r>
  <r>
    <x v="1724"/>
    <n v="-515"/>
    <x v="3404"/>
    <n v="2155.96"/>
    <s v="Complete Access"/>
    <x v="783"/>
    <x v="19"/>
    <x v="61"/>
    <d v="1900-01-08T00:00:00"/>
    <n v="10"/>
    <x v="11"/>
    <x v="6"/>
  </r>
  <r>
    <x v="1724"/>
    <n v="-100"/>
    <x v="2274"/>
    <n v="2670.96"/>
    <s v="Complete Access"/>
    <x v="552"/>
    <x v="0"/>
    <x v="74"/>
    <d v="1900-01-08T00:00:00"/>
    <n v="10"/>
    <x v="11"/>
    <x v="6"/>
  </r>
  <r>
    <x v="1724"/>
    <n v="-10.86"/>
    <x v="3584"/>
    <n v="2145.1"/>
    <s v="Complete Access"/>
    <x v="1"/>
    <x v="1"/>
    <x v="1"/>
    <d v="1900-01-08T00:00:00"/>
    <n v="10"/>
    <x v="11"/>
    <x v="6"/>
  </r>
  <r>
    <x v="1725"/>
    <n v="-50"/>
    <x v="3472"/>
    <n v="2773.46"/>
    <s v="Complete Access"/>
    <x v="801"/>
    <x v="8"/>
    <x v="29"/>
    <d v="1900-01-07T00:00:00"/>
    <n v="10"/>
    <x v="11"/>
    <x v="6"/>
  </r>
  <r>
    <x v="1725"/>
    <n v="-2.5"/>
    <x v="72"/>
    <n v="2770.96"/>
    <s v="Complete Access"/>
    <x v="37"/>
    <x v="0"/>
    <x v="0"/>
    <d v="1900-01-07T00:00:00"/>
    <n v="10"/>
    <x v="11"/>
    <x v="6"/>
  </r>
  <r>
    <x v="1725"/>
    <n v="-7.5"/>
    <x v="3000"/>
    <n v="2823.46"/>
    <s v="Complete Access"/>
    <x v="687"/>
    <x v="1"/>
    <x v="5"/>
    <d v="1900-01-07T00:00:00"/>
    <n v="10"/>
    <x v="11"/>
    <x v="6"/>
  </r>
  <r>
    <x v="1726"/>
    <n v="-13.9"/>
    <x v="3585"/>
    <n v="2830.96"/>
    <s v="Complete Access"/>
    <x v="714"/>
    <x v="1"/>
    <x v="5"/>
    <d v="1900-01-06T00:00:00"/>
    <n v="10"/>
    <x v="11"/>
    <x v="6"/>
  </r>
  <r>
    <x v="1726"/>
    <n v="-19.399999999999999"/>
    <x v="3586"/>
    <n v="2916.72"/>
    <s v="Complete Access"/>
    <x v="47"/>
    <x v="1"/>
    <x v="5"/>
    <d v="1900-01-06T00:00:00"/>
    <n v="10"/>
    <x v="11"/>
    <x v="6"/>
  </r>
  <r>
    <x v="1726"/>
    <n v="-29.3"/>
    <x v="3587"/>
    <n v="2887.42"/>
    <s v="Complete Access"/>
    <x v="237"/>
    <x v="15"/>
    <x v="34"/>
    <d v="1900-01-06T00:00:00"/>
    <n v="10"/>
    <x v="11"/>
    <x v="6"/>
  </r>
  <r>
    <x v="1726"/>
    <n v="-42.56"/>
    <x v="3588"/>
    <n v="2844.86"/>
    <s v="Complete Access"/>
    <x v="1"/>
    <x v="1"/>
    <x v="1"/>
    <d v="1900-01-06T00:00:00"/>
    <n v="10"/>
    <x v="11"/>
    <x v="6"/>
  </r>
  <r>
    <x v="1727"/>
    <n v="1182.25"/>
    <x v="3188"/>
    <n v="2936.12"/>
    <s v="Complete Access"/>
    <x v="14"/>
    <x v="6"/>
    <x v="9"/>
    <d v="1900-01-05T00:00:00"/>
    <n v="10"/>
    <x v="11"/>
    <x v="6"/>
  </r>
  <r>
    <x v="1727"/>
    <n v="-8.8800000000000008"/>
    <x v="3441"/>
    <n v="1753.87"/>
    <s v="Complete Access"/>
    <x v="177"/>
    <x v="1"/>
    <x v="1"/>
    <d v="1900-01-05T00:00:00"/>
    <n v="10"/>
    <x v="11"/>
    <x v="6"/>
  </r>
  <r>
    <x v="1727"/>
    <n v="-7.9"/>
    <x v="3000"/>
    <n v="1762.75"/>
    <s v="Complete Access"/>
    <x v="687"/>
    <x v="1"/>
    <x v="5"/>
    <d v="1900-01-05T00:00:00"/>
    <n v="10"/>
    <x v="11"/>
    <x v="6"/>
  </r>
  <r>
    <x v="1728"/>
    <n v="-20"/>
    <x v="3589"/>
    <n v="1770.65"/>
    <s v="Complete Access"/>
    <x v="601"/>
    <x v="0"/>
    <x v="0"/>
    <d v="1900-01-04T00:00:00"/>
    <n v="10"/>
    <x v="11"/>
    <x v="6"/>
  </r>
  <r>
    <x v="1728"/>
    <n v="-20"/>
    <x v="3590"/>
    <n v="1790.65"/>
    <s v="Complete Access"/>
    <x v="254"/>
    <x v="16"/>
    <x v="35"/>
    <d v="1900-01-04T00:00:00"/>
    <n v="10"/>
    <x v="11"/>
    <x v="6"/>
  </r>
  <r>
    <x v="1729"/>
    <n v="-20"/>
    <x v="3202"/>
    <n v="1480.16"/>
    <s v="Complete Access"/>
    <x v="601"/>
    <x v="0"/>
    <x v="0"/>
    <d v="1900-01-03T00:00:00"/>
    <n v="10"/>
    <x v="11"/>
    <x v="6"/>
  </r>
  <r>
    <x v="1729"/>
    <n v="-50"/>
    <x v="3591"/>
    <n v="1810.65"/>
    <s v="Complete Access"/>
    <x v="776"/>
    <x v="5"/>
    <x v="83"/>
    <d v="1900-01-03T00:00:00"/>
    <n v="10"/>
    <x v="11"/>
    <x v="6"/>
  </r>
  <r>
    <x v="1729"/>
    <n v="380.49"/>
    <x v="3592"/>
    <n v="1860.65"/>
    <s v="Complete Access"/>
    <x v="67"/>
    <x v="0"/>
    <x v="0"/>
    <d v="1900-01-03T00:00:00"/>
    <n v="10"/>
    <x v="11"/>
    <x v="6"/>
  </r>
  <r>
    <x v="1730"/>
    <n v="-515"/>
    <x v="3404"/>
    <n v="1575.16"/>
    <s v="Complete Access"/>
    <x v="783"/>
    <x v="19"/>
    <x v="61"/>
    <d v="1900-01-01T00:00:00"/>
    <n v="9"/>
    <x v="11"/>
    <x v="6"/>
  </r>
  <r>
    <x v="1730"/>
    <n v="-100"/>
    <x v="2274"/>
    <n v="2090.16"/>
    <s v="Complete Access"/>
    <x v="552"/>
    <x v="0"/>
    <x v="74"/>
    <d v="1900-01-01T00:00:00"/>
    <n v="9"/>
    <x v="11"/>
    <x v="6"/>
  </r>
  <r>
    <x v="1730"/>
    <n v="-15"/>
    <x v="3593"/>
    <n v="1560.16"/>
    <s v="Complete Access"/>
    <x v="186"/>
    <x v="1"/>
    <x v="5"/>
    <d v="1900-01-01T00:00:00"/>
    <n v="9"/>
    <x v="11"/>
    <x v="6"/>
  </r>
  <r>
    <x v="1730"/>
    <n v="-60"/>
    <x v="3594"/>
    <n v="1500.16"/>
    <s v="Complete Access"/>
    <x v="219"/>
    <x v="7"/>
    <x v="53"/>
    <d v="1900-01-01T00:00:00"/>
    <n v="9"/>
    <x v="11"/>
    <x v="6"/>
  </r>
  <r>
    <x v="1731"/>
    <n v="-166.4"/>
    <x v="3595"/>
    <n v="2190.16"/>
    <s v="Complete Access"/>
    <x v="76"/>
    <x v="2"/>
    <x v="2"/>
    <d v="1899-12-31T00:00:00"/>
    <n v="9"/>
    <x v="11"/>
    <x v="6"/>
  </r>
  <r>
    <x v="1731"/>
    <n v="-44.32"/>
    <x v="3596"/>
    <n v="2356.56"/>
    <s v="Complete Access"/>
    <x v="1"/>
    <x v="1"/>
    <x v="1"/>
    <d v="1899-12-31T00:00:00"/>
    <n v="9"/>
    <x v="11"/>
    <x v="6"/>
  </r>
  <r>
    <x v="1732"/>
    <n v="-1.99"/>
    <x v="2859"/>
    <n v="2576.2800000000002"/>
    <s v="Complete Access"/>
    <x v="61"/>
    <x v="1"/>
    <x v="1"/>
    <d v="1900-01-27T00:00:00"/>
    <n v="9"/>
    <x v="0"/>
    <x v="6"/>
  </r>
  <r>
    <x v="1732"/>
    <n v="-30.2"/>
    <x v="3597"/>
    <n v="2615.2600000000002"/>
    <s v="Complete Access"/>
    <x v="827"/>
    <x v="1"/>
    <x v="1"/>
    <d v="1900-01-27T00:00:00"/>
    <n v="9"/>
    <x v="0"/>
    <x v="6"/>
  </r>
  <r>
    <x v="1732"/>
    <n v="-175.4"/>
    <x v="3598"/>
    <n v="2400.88"/>
    <s v="Complete Access"/>
    <x v="741"/>
    <x v="16"/>
    <x v="81"/>
    <d v="1900-01-27T00:00:00"/>
    <n v="9"/>
    <x v="0"/>
    <x v="6"/>
  </r>
  <r>
    <x v="1732"/>
    <n v="-24.99"/>
    <x v="3599"/>
    <n v="2578.27"/>
    <s v="Complete Access"/>
    <x v="34"/>
    <x v="9"/>
    <x v="12"/>
    <d v="1900-01-27T00:00:00"/>
    <n v="9"/>
    <x v="0"/>
    <x v="6"/>
  </r>
  <r>
    <x v="1732"/>
    <n v="-12"/>
    <x v="3599"/>
    <n v="2603.2600000000002"/>
    <s v="Complete Access"/>
    <x v="34"/>
    <x v="9"/>
    <x v="12"/>
    <d v="1900-01-27T00:00:00"/>
    <n v="9"/>
    <x v="0"/>
    <x v="6"/>
  </r>
  <r>
    <x v="1733"/>
    <n v="-1.96"/>
    <x v="2859"/>
    <n v="1470.71"/>
    <s v="Complete Access"/>
    <x v="61"/>
    <x v="1"/>
    <x v="1"/>
    <d v="1900-01-26T00:00:00"/>
    <n v="9"/>
    <x v="0"/>
    <x v="6"/>
  </r>
  <r>
    <x v="1733"/>
    <n v="1182.25"/>
    <x v="3188"/>
    <n v="2645.46"/>
    <s v="Complete Access"/>
    <x v="14"/>
    <x v="6"/>
    <x v="9"/>
    <d v="1900-01-26T00:00:00"/>
    <n v="9"/>
    <x v="0"/>
    <x v="6"/>
  </r>
  <r>
    <x v="1733"/>
    <n v="-119.98"/>
    <x v="3600"/>
    <n v="1472.67"/>
    <s v="Complete Access"/>
    <x v="210"/>
    <x v="3"/>
    <x v="15"/>
    <d v="1900-01-26T00:00:00"/>
    <n v="9"/>
    <x v="0"/>
    <x v="6"/>
  </r>
  <r>
    <x v="1733"/>
    <n v="-7.5"/>
    <x v="3000"/>
    <n v="1463.21"/>
    <s v="Complete Access"/>
    <x v="687"/>
    <x v="1"/>
    <x v="5"/>
    <d v="1900-01-26T00:00:00"/>
    <n v="9"/>
    <x v="0"/>
    <x v="6"/>
  </r>
  <r>
    <x v="1734"/>
    <n v="-12"/>
    <x v="3601"/>
    <n v="1600.15"/>
    <s v="Complete Access"/>
    <x v="242"/>
    <x v="1"/>
    <x v="5"/>
    <d v="1900-01-25T00:00:00"/>
    <n v="9"/>
    <x v="0"/>
    <x v="6"/>
  </r>
  <r>
    <x v="1734"/>
    <n v="-31.83"/>
    <x v="3602"/>
    <n v="1612.15"/>
    <s v="Complete Access"/>
    <x v="1"/>
    <x v="1"/>
    <x v="1"/>
    <d v="1900-01-25T00:00:00"/>
    <n v="9"/>
    <x v="0"/>
    <x v="6"/>
  </r>
  <r>
    <x v="1734"/>
    <n v="-7.5"/>
    <x v="3000"/>
    <n v="1592.65"/>
    <s v="Complete Access"/>
    <x v="687"/>
    <x v="1"/>
    <x v="5"/>
    <d v="1900-01-25T00:00:00"/>
    <n v="9"/>
    <x v="0"/>
    <x v="6"/>
  </r>
  <r>
    <x v="1735"/>
    <n v="-1.1499999999999999"/>
    <x v="2859"/>
    <n v="1667.68"/>
    <s v="Complete Access"/>
    <x v="61"/>
    <x v="1"/>
    <x v="1"/>
    <d v="1900-01-24T00:00:00"/>
    <n v="9"/>
    <x v="0"/>
    <x v="6"/>
  </r>
  <r>
    <x v="1735"/>
    <n v="-40"/>
    <x v="3403"/>
    <n v="1621.98"/>
    <s v="Complete Access"/>
    <x v="601"/>
    <x v="0"/>
    <x v="0"/>
    <d v="1900-01-24T00:00:00"/>
    <n v="9"/>
    <x v="0"/>
    <x v="6"/>
  </r>
  <r>
    <x v="1735"/>
    <n v="22"/>
    <x v="3024"/>
    <n v="1643.98"/>
    <s v="Complete Access"/>
    <x v="27"/>
    <x v="1"/>
    <x v="5"/>
    <d v="1900-01-24T00:00:00"/>
    <n v="9"/>
    <x v="0"/>
    <x v="6"/>
  </r>
  <r>
    <x v="1735"/>
    <n v="-5.7"/>
    <x v="3000"/>
    <n v="1661.98"/>
    <s v="Complete Access"/>
    <x v="687"/>
    <x v="1"/>
    <x v="5"/>
    <d v="1900-01-24T00:00:00"/>
    <n v="9"/>
    <x v="0"/>
    <x v="6"/>
  </r>
  <r>
    <x v="1736"/>
    <n v="-515"/>
    <x v="3404"/>
    <n v="1671.63"/>
    <s v="Complete Access"/>
    <x v="783"/>
    <x v="19"/>
    <x v="61"/>
    <d v="1900-01-22T00:00:00"/>
    <n v="8"/>
    <x v="0"/>
    <x v="6"/>
  </r>
  <r>
    <x v="1736"/>
    <n v="-27.55"/>
    <x v="3603"/>
    <n v="2286.63"/>
    <s v="Complete Access"/>
    <x v="47"/>
    <x v="1"/>
    <x v="5"/>
    <d v="1900-01-22T00:00:00"/>
    <n v="8"/>
    <x v="0"/>
    <x v="6"/>
  </r>
  <r>
    <x v="1736"/>
    <n v="-100"/>
    <x v="2274"/>
    <n v="2186.63"/>
    <s v="Complete Access"/>
    <x v="552"/>
    <x v="0"/>
    <x v="74"/>
    <d v="1900-01-22T00:00:00"/>
    <n v="8"/>
    <x v="0"/>
    <x v="6"/>
  </r>
  <r>
    <x v="1736"/>
    <n v="-20.21"/>
    <x v="3604"/>
    <n v="2314.1799999999998"/>
    <s v="Complete Access"/>
    <x v="1"/>
    <x v="1"/>
    <x v="1"/>
    <d v="1900-01-22T00:00:00"/>
    <n v="8"/>
    <x v="0"/>
    <x v="6"/>
  </r>
  <r>
    <x v="1736"/>
    <n v="-2.8"/>
    <x v="3605"/>
    <n v="1668.83"/>
    <s v="Complete Access"/>
    <x v="828"/>
    <x v="1"/>
    <x v="5"/>
    <d v="1900-01-22T00:00:00"/>
    <n v="8"/>
    <x v="0"/>
    <x v="6"/>
  </r>
  <r>
    <x v="1737"/>
    <n v="30"/>
    <x v="3606"/>
    <n v="2383.84"/>
    <s v="Complete Access"/>
    <x v="8"/>
    <x v="1"/>
    <x v="5"/>
    <d v="1900-01-21T00:00:00"/>
    <n v="8"/>
    <x v="0"/>
    <x v="6"/>
  </r>
  <r>
    <x v="1737"/>
    <n v="-13.1"/>
    <x v="3607"/>
    <n v="2327.2399999999998"/>
    <s v="Complete Access"/>
    <x v="829"/>
    <x v="8"/>
    <x v="29"/>
    <d v="1900-01-21T00:00:00"/>
    <n v="8"/>
    <x v="0"/>
    <x v="6"/>
  </r>
  <r>
    <x v="1737"/>
    <n v="-43.5"/>
    <x v="3608"/>
    <n v="2340.34"/>
    <s v="Complete Access"/>
    <x v="260"/>
    <x v="1"/>
    <x v="5"/>
    <d v="1900-01-21T00:00:00"/>
    <n v="8"/>
    <x v="0"/>
    <x v="6"/>
  </r>
  <r>
    <x v="1737"/>
    <n v="7.15"/>
    <x v="2702"/>
    <n v="2334.39"/>
    <s v="Complete Access"/>
    <x v="6"/>
    <x v="4"/>
    <x v="4"/>
    <d v="1900-01-21T00:00:00"/>
    <n v="8"/>
    <x v="0"/>
    <x v="6"/>
  </r>
  <r>
    <x v="1738"/>
    <n v="-9.9"/>
    <x v="3609"/>
    <n v="2474.87"/>
    <s v="Complete Access"/>
    <x v="27"/>
    <x v="1"/>
    <x v="5"/>
    <d v="1900-01-20T00:00:00"/>
    <n v="8"/>
    <x v="0"/>
    <x v="6"/>
  </r>
  <r>
    <x v="1738"/>
    <n v="-2.0299999999999998"/>
    <x v="2859"/>
    <n v="2361.7399999999998"/>
    <s v="Complete Access"/>
    <x v="61"/>
    <x v="1"/>
    <x v="1"/>
    <d v="1900-01-20T00:00:00"/>
    <n v="8"/>
    <x v="0"/>
    <x v="6"/>
  </r>
  <r>
    <x v="1738"/>
    <n v="-30"/>
    <x v="3610"/>
    <n v="2413.77"/>
    <s v="Complete Access"/>
    <x v="8"/>
    <x v="1"/>
    <x v="5"/>
    <d v="1900-01-20T00:00:00"/>
    <n v="8"/>
    <x v="0"/>
    <x v="6"/>
  </r>
  <r>
    <x v="1738"/>
    <n v="-50"/>
    <x v="3547"/>
    <n v="2363.77"/>
    <s v="Complete Access"/>
    <x v="819"/>
    <x v="5"/>
    <x v="83"/>
    <d v="1900-01-20T00:00:00"/>
    <n v="8"/>
    <x v="0"/>
    <x v="6"/>
  </r>
  <r>
    <x v="1738"/>
    <n v="-31.1"/>
    <x v="3611"/>
    <n v="2443.77"/>
    <s v="Complete Access"/>
    <x v="609"/>
    <x v="1"/>
    <x v="1"/>
    <d v="1900-01-20T00:00:00"/>
    <n v="8"/>
    <x v="0"/>
    <x v="6"/>
  </r>
  <r>
    <x v="1738"/>
    <n v="-7.9"/>
    <x v="3000"/>
    <n v="2353.84"/>
    <s v="Complete Access"/>
    <x v="687"/>
    <x v="1"/>
    <x v="5"/>
    <d v="1900-01-20T00:00:00"/>
    <n v="8"/>
    <x v="0"/>
    <x v="6"/>
  </r>
  <r>
    <x v="1739"/>
    <n v="-3.79"/>
    <x v="2859"/>
    <n v="1300.8"/>
    <s v="Complete Access"/>
    <x v="61"/>
    <x v="1"/>
    <x v="1"/>
    <d v="1900-01-19T00:00:00"/>
    <n v="8"/>
    <x v="0"/>
    <x v="6"/>
  </r>
  <r>
    <x v="1739"/>
    <n v="1191.47"/>
    <x v="3188"/>
    <n v="2484.77"/>
    <s v="Complete Access"/>
    <x v="14"/>
    <x v="6"/>
    <x v="9"/>
    <d v="1900-01-19T00:00:00"/>
    <n v="8"/>
    <x v="0"/>
    <x v="6"/>
  </r>
  <r>
    <x v="1739"/>
    <n v="-7.5"/>
    <x v="3000"/>
    <n v="1293.3"/>
    <s v="Complete Access"/>
    <x v="687"/>
    <x v="1"/>
    <x v="5"/>
    <d v="1900-01-19T00:00:00"/>
    <n v="8"/>
    <x v="0"/>
    <x v="6"/>
  </r>
  <r>
    <x v="1740"/>
    <n v="-21"/>
    <x v="3612"/>
    <n v="1314.59"/>
    <s v="Complete Access"/>
    <x v="830"/>
    <x v="1"/>
    <x v="5"/>
    <d v="1900-01-18T00:00:00"/>
    <n v="8"/>
    <x v="0"/>
    <x v="6"/>
  </r>
  <r>
    <x v="1740"/>
    <n v="14"/>
    <x v="3024"/>
    <n v="1304.5899999999999"/>
    <s v="Complete Access"/>
    <x v="27"/>
    <x v="1"/>
    <x v="5"/>
    <d v="1900-01-18T00:00:00"/>
    <n v="8"/>
    <x v="0"/>
    <x v="6"/>
  </r>
  <r>
    <x v="1740"/>
    <n v="-16.5"/>
    <x v="3613"/>
    <n v="1298.0899999999999"/>
    <s v="Complete Access"/>
    <x v="1"/>
    <x v="1"/>
    <x v="1"/>
    <d v="1900-01-18T00:00:00"/>
    <n v="8"/>
    <x v="0"/>
    <x v="6"/>
  </r>
  <r>
    <x v="1740"/>
    <n v="-7.5"/>
    <x v="3000"/>
    <n v="1290.5899999999999"/>
    <s v="Complete Access"/>
    <x v="687"/>
    <x v="1"/>
    <x v="5"/>
    <d v="1900-01-18T00:00:00"/>
    <n v="8"/>
    <x v="0"/>
    <x v="6"/>
  </r>
  <r>
    <x v="1741"/>
    <n v="-7.58"/>
    <x v="2859"/>
    <n v="1343.49"/>
    <s v="Complete Access"/>
    <x v="61"/>
    <x v="1"/>
    <x v="1"/>
    <d v="1900-01-17T00:00:00"/>
    <n v="8"/>
    <x v="0"/>
    <x v="6"/>
  </r>
  <r>
    <x v="1741"/>
    <n v="-7.9"/>
    <x v="3000"/>
    <n v="1335.59"/>
    <s v="Complete Access"/>
    <x v="687"/>
    <x v="1"/>
    <x v="5"/>
    <d v="1900-01-17T00:00:00"/>
    <n v="8"/>
    <x v="0"/>
    <x v="6"/>
  </r>
  <r>
    <x v="1742"/>
    <n v="-515"/>
    <x v="3404"/>
    <n v="1351.07"/>
    <s v="Complete Access"/>
    <x v="783"/>
    <x v="19"/>
    <x v="61"/>
    <d v="1900-01-15T00:00:00"/>
    <n v="7"/>
    <x v="0"/>
    <x v="6"/>
  </r>
  <r>
    <x v="1742"/>
    <n v="-100"/>
    <x v="2274"/>
    <n v="1866.07"/>
    <s v="Complete Access"/>
    <x v="552"/>
    <x v="0"/>
    <x v="74"/>
    <d v="1900-01-15T00:00:00"/>
    <n v="7"/>
    <x v="0"/>
    <x v="6"/>
  </r>
  <r>
    <x v="1743"/>
    <n v="300"/>
    <x v="3578"/>
    <n v="1978.57"/>
    <s v="Complete Access"/>
    <x v="657"/>
    <x v="0"/>
    <x v="69"/>
    <d v="1900-01-14T00:00:00"/>
    <n v="7"/>
    <x v="0"/>
    <x v="6"/>
  </r>
  <r>
    <x v="1743"/>
    <n v="-12.5"/>
    <x v="3061"/>
    <n v="1966.07"/>
    <s v="Complete Access"/>
    <x v="27"/>
    <x v="1"/>
    <x v="5"/>
    <d v="1900-01-14T00:00:00"/>
    <n v="7"/>
    <x v="0"/>
    <x v="6"/>
  </r>
  <r>
    <x v="1743"/>
    <n v="-7.5"/>
    <x v="3000"/>
    <n v="1678.57"/>
    <s v="Complete Access"/>
    <x v="687"/>
    <x v="1"/>
    <x v="5"/>
    <d v="1900-01-14T00:00:00"/>
    <n v="7"/>
    <x v="0"/>
    <x v="6"/>
  </r>
  <r>
    <x v="1744"/>
    <n v="-7.31"/>
    <x v="2859"/>
    <n v="1889.37"/>
    <s v="Complete Access"/>
    <x v="61"/>
    <x v="1"/>
    <x v="1"/>
    <d v="1900-01-13T00:00:00"/>
    <n v="7"/>
    <x v="0"/>
    <x v="6"/>
  </r>
  <r>
    <x v="1744"/>
    <n v="-20"/>
    <x v="3403"/>
    <n v="1861.47"/>
    <s v="Complete Access"/>
    <x v="601"/>
    <x v="0"/>
    <x v="0"/>
    <d v="1900-01-13T00:00:00"/>
    <n v="7"/>
    <x v="0"/>
    <x v="6"/>
  </r>
  <r>
    <x v="1744"/>
    <n v="-175.4"/>
    <x v="3614"/>
    <n v="1686.07"/>
    <s v="Complete Access"/>
    <x v="741"/>
    <x v="16"/>
    <x v="81"/>
    <d v="1900-01-13T00:00:00"/>
    <n v="7"/>
    <x v="0"/>
    <x v="6"/>
  </r>
  <r>
    <x v="1744"/>
    <n v="-34.49"/>
    <x v="3615"/>
    <n v="1956.68"/>
    <s v="Complete Access"/>
    <x v="1"/>
    <x v="1"/>
    <x v="1"/>
    <d v="1900-01-13T00:00:00"/>
    <n v="7"/>
    <x v="0"/>
    <x v="6"/>
  </r>
  <r>
    <x v="1744"/>
    <n v="-7.9"/>
    <x v="3000"/>
    <n v="1881.47"/>
    <s v="Complete Access"/>
    <x v="687"/>
    <x v="1"/>
    <x v="5"/>
    <d v="1900-01-13T00:00:00"/>
    <n v="7"/>
    <x v="0"/>
    <x v="6"/>
  </r>
  <r>
    <x v="1744"/>
    <n v="-60"/>
    <x v="3616"/>
    <n v="1896.68"/>
    <s v="Complete Access"/>
    <x v="219"/>
    <x v="7"/>
    <x v="53"/>
    <d v="1900-01-13T00:00:00"/>
    <n v="7"/>
    <x v="0"/>
    <x v="6"/>
  </r>
  <r>
    <x v="1745"/>
    <n v="-40.51"/>
    <x v="3617"/>
    <n v="842.12"/>
    <s v="Complete Access"/>
    <x v="8"/>
    <x v="1"/>
    <x v="5"/>
    <d v="1900-01-12T00:00:00"/>
    <n v="7"/>
    <x v="0"/>
    <x v="6"/>
  </r>
  <r>
    <x v="1745"/>
    <n v="-18.8"/>
    <x v="3618"/>
    <n v="818.82"/>
    <s v="Complete Access"/>
    <x v="831"/>
    <x v="1"/>
    <x v="5"/>
    <d v="1900-01-12T00:00:00"/>
    <n v="7"/>
    <x v="0"/>
    <x v="6"/>
  </r>
  <r>
    <x v="1745"/>
    <n v="1182.25"/>
    <x v="3188"/>
    <n v="1991.17"/>
    <s v="Complete Access"/>
    <x v="14"/>
    <x v="6"/>
    <x v="9"/>
    <d v="1900-01-12T00:00:00"/>
    <n v="7"/>
    <x v="0"/>
    <x v="6"/>
  </r>
  <r>
    <x v="1745"/>
    <n v="-3"/>
    <x v="3619"/>
    <n v="808.92"/>
    <s v="Complete Access"/>
    <x v="27"/>
    <x v="1"/>
    <x v="5"/>
    <d v="1900-01-12T00:00:00"/>
    <n v="7"/>
    <x v="0"/>
    <x v="6"/>
  </r>
  <r>
    <x v="1745"/>
    <n v="-6.9"/>
    <x v="3000"/>
    <n v="811.92"/>
    <s v="Complete Access"/>
    <x v="687"/>
    <x v="1"/>
    <x v="5"/>
    <d v="1900-01-12T00:00:00"/>
    <n v="7"/>
    <x v="0"/>
    <x v="6"/>
  </r>
  <r>
    <x v="1745"/>
    <n v="-4.5"/>
    <x v="3620"/>
    <n v="837.62"/>
    <s v="Complete Access"/>
    <x v="34"/>
    <x v="9"/>
    <x v="12"/>
    <d v="1900-01-12T00:00:00"/>
    <n v="7"/>
    <x v="0"/>
    <x v="6"/>
  </r>
  <r>
    <x v="1746"/>
    <n v="-14.9"/>
    <x v="3000"/>
    <n v="882.63"/>
    <s v="Complete Access"/>
    <x v="687"/>
    <x v="1"/>
    <x v="5"/>
    <d v="1900-01-11T00:00:00"/>
    <n v="7"/>
    <x v="0"/>
    <x v="6"/>
  </r>
  <r>
    <x v="1747"/>
    <n v="-1.1100000000000001"/>
    <x v="2859"/>
    <n v="970.53"/>
    <s v="Complete Access"/>
    <x v="61"/>
    <x v="1"/>
    <x v="1"/>
    <d v="1900-01-10T00:00:00"/>
    <n v="7"/>
    <x v="0"/>
    <x v="6"/>
  </r>
  <r>
    <x v="1747"/>
    <n v="-73"/>
    <x v="2543"/>
    <n v="897.53"/>
    <s v="Complete Access"/>
    <x v="17"/>
    <x v="7"/>
    <x v="11"/>
    <d v="1900-01-10T00:00:00"/>
    <n v="7"/>
    <x v="0"/>
    <x v="6"/>
  </r>
  <r>
    <x v="1748"/>
    <n v="-20"/>
    <x v="3621"/>
    <n v="1026.6400000000001"/>
    <s v="Complete Access"/>
    <x v="601"/>
    <x v="0"/>
    <x v="0"/>
    <d v="1900-01-09T00:00:00"/>
    <n v="7"/>
    <x v="0"/>
    <x v="6"/>
  </r>
  <r>
    <x v="1748"/>
    <n v="-50"/>
    <x v="3622"/>
    <n v="974.14"/>
    <s v="Complete Access"/>
    <x v="601"/>
    <x v="0"/>
    <x v="0"/>
    <d v="1900-01-09T00:00:00"/>
    <n v="7"/>
    <x v="0"/>
    <x v="6"/>
  </r>
  <r>
    <x v="1748"/>
    <n v="-50"/>
    <x v="3547"/>
    <n v="1046.6400000000001"/>
    <s v="Complete Access"/>
    <x v="819"/>
    <x v="5"/>
    <x v="83"/>
    <d v="1900-01-09T00:00:00"/>
    <n v="7"/>
    <x v="0"/>
    <x v="6"/>
  </r>
  <r>
    <x v="1748"/>
    <n v="-2.5"/>
    <x v="72"/>
    <n v="971.64"/>
    <s v="Complete Access"/>
    <x v="37"/>
    <x v="0"/>
    <x v="0"/>
    <d v="1900-01-09T00:00:00"/>
    <n v="7"/>
    <x v="0"/>
    <x v="6"/>
  </r>
  <r>
    <x v="1748"/>
    <n v="-2.5"/>
    <x v="72"/>
    <n v="1024.1400000000001"/>
    <s v="Complete Access"/>
    <x v="37"/>
    <x v="0"/>
    <x v="0"/>
    <d v="1900-01-09T00:00:00"/>
    <n v="7"/>
    <x v="0"/>
    <x v="6"/>
  </r>
  <r>
    <x v="1748"/>
    <n v="-42"/>
    <x v="3308"/>
    <n v="1096.6400000000001"/>
    <s v="Complete Access"/>
    <x v="77"/>
    <x v="4"/>
    <x v="27"/>
    <d v="1900-01-09T00:00:00"/>
    <n v="7"/>
    <x v="0"/>
    <x v="6"/>
  </r>
  <r>
    <x v="1749"/>
    <n v="-515"/>
    <x v="3404"/>
    <n v="1174.0899999999999"/>
    <s v="Complete Access"/>
    <x v="783"/>
    <x v="19"/>
    <x v="61"/>
    <d v="1900-01-08T00:00:00"/>
    <n v="6"/>
    <x v="0"/>
    <x v="6"/>
  </r>
  <r>
    <x v="1749"/>
    <n v="-22.95"/>
    <x v="3623"/>
    <n v="1138.6400000000001"/>
    <s v="Complete Access"/>
    <x v="832"/>
    <x v="1"/>
    <x v="23"/>
    <d v="1900-01-08T00:00:00"/>
    <n v="6"/>
    <x v="0"/>
    <x v="6"/>
  </r>
  <r>
    <x v="1749"/>
    <n v="-100"/>
    <x v="2274"/>
    <n v="1689.09"/>
    <s v="Complete Access"/>
    <x v="552"/>
    <x v="0"/>
    <x v="74"/>
    <d v="1900-01-08T00:00:00"/>
    <n v="6"/>
    <x v="0"/>
    <x v="6"/>
  </r>
  <r>
    <x v="1749"/>
    <n v="-12.5"/>
    <x v="3624"/>
    <n v="1161.5899999999999"/>
    <s v="Complete Access"/>
    <x v="186"/>
    <x v="1"/>
    <x v="5"/>
    <d v="1900-01-08T00:00:00"/>
    <n v="6"/>
    <x v="0"/>
    <x v="6"/>
  </r>
  <r>
    <x v="1750"/>
    <n v="-0.72"/>
    <x v="2859"/>
    <n v="1802.59"/>
    <s v="Complete Access"/>
    <x v="61"/>
    <x v="1"/>
    <x v="1"/>
    <d v="1900-01-07T00:00:00"/>
    <n v="6"/>
    <x v="0"/>
    <x v="6"/>
  </r>
  <r>
    <x v="1750"/>
    <n v="-12.5"/>
    <x v="3625"/>
    <n v="1803.31"/>
    <s v="Complete Access"/>
    <x v="186"/>
    <x v="1"/>
    <x v="5"/>
    <d v="1900-01-07T00:00:00"/>
    <n v="6"/>
    <x v="0"/>
    <x v="6"/>
  </r>
  <r>
    <x v="1750"/>
    <n v="-13.5"/>
    <x v="3000"/>
    <n v="1789.09"/>
    <s v="Complete Access"/>
    <x v="687"/>
    <x v="1"/>
    <x v="5"/>
    <d v="1900-01-07T00:00:00"/>
    <n v="6"/>
    <x v="0"/>
    <x v="6"/>
  </r>
  <r>
    <x v="1751"/>
    <n v="-6.15"/>
    <x v="3626"/>
    <n v="1885.88"/>
    <s v="Complete Access"/>
    <x v="27"/>
    <x v="1"/>
    <x v="5"/>
    <d v="1900-01-06T00:00:00"/>
    <n v="6"/>
    <x v="0"/>
    <x v="6"/>
  </r>
  <r>
    <x v="1751"/>
    <n v="-4.96"/>
    <x v="2859"/>
    <n v="1815.81"/>
    <s v="Complete Access"/>
    <x v="61"/>
    <x v="1"/>
    <x v="1"/>
    <d v="1900-01-06T00:00:00"/>
    <n v="6"/>
    <x v="0"/>
    <x v="6"/>
  </r>
  <r>
    <x v="1751"/>
    <n v="-29.5"/>
    <x v="3627"/>
    <n v="1856.38"/>
    <s v="Complete Access"/>
    <x v="260"/>
    <x v="1"/>
    <x v="5"/>
    <d v="1900-01-06T00:00:00"/>
    <n v="6"/>
    <x v="0"/>
    <x v="6"/>
  </r>
  <r>
    <x v="1751"/>
    <n v="-35.61"/>
    <x v="3628"/>
    <n v="1820.77"/>
    <s v="Complete Access"/>
    <x v="1"/>
    <x v="1"/>
    <x v="1"/>
    <d v="1900-01-06T00:00:00"/>
    <n v="6"/>
    <x v="0"/>
    <x v="6"/>
  </r>
  <r>
    <x v="1752"/>
    <n v="-6.69"/>
    <x v="2859"/>
    <n v="892.83"/>
    <s v="Complete Access"/>
    <x v="61"/>
    <x v="1"/>
    <x v="1"/>
    <d v="1900-01-05T00:00:00"/>
    <n v="6"/>
    <x v="0"/>
    <x v="6"/>
  </r>
  <r>
    <x v="1752"/>
    <n v="-36"/>
    <x v="3629"/>
    <n v="958.52"/>
    <s v="Complete Access"/>
    <x v="8"/>
    <x v="1"/>
    <x v="5"/>
    <d v="1900-01-05T00:00:00"/>
    <n v="6"/>
    <x v="0"/>
    <x v="6"/>
  </r>
  <r>
    <x v="1752"/>
    <n v="999.2"/>
    <x v="3188"/>
    <n v="1892.03"/>
    <s v="Complete Access"/>
    <x v="14"/>
    <x v="6"/>
    <x v="9"/>
    <d v="1900-01-05T00:00:00"/>
    <n v="6"/>
    <x v="0"/>
    <x v="6"/>
  </r>
  <r>
    <x v="1752"/>
    <n v="-59"/>
    <x v="3630"/>
    <n v="899.52"/>
    <s v="Complete Access"/>
    <x v="347"/>
    <x v="3"/>
    <x v="62"/>
    <d v="1900-01-05T00:00:00"/>
    <n v="6"/>
    <x v="0"/>
    <x v="6"/>
  </r>
  <r>
    <x v="1753"/>
    <n v="-0.96"/>
    <x v="2859"/>
    <n v="1008.02"/>
    <s v="Complete Access"/>
    <x v="61"/>
    <x v="1"/>
    <x v="1"/>
    <d v="1900-01-04T00:00:00"/>
    <n v="6"/>
    <x v="0"/>
    <x v="6"/>
  </r>
  <r>
    <x v="1753"/>
    <n v="-30"/>
    <x v="3631"/>
    <n v="1008.98"/>
    <s v="Complete Access"/>
    <x v="8"/>
    <x v="1"/>
    <x v="5"/>
    <d v="1900-01-04T00:00:00"/>
    <n v="6"/>
    <x v="0"/>
    <x v="6"/>
  </r>
  <r>
    <x v="1753"/>
    <n v="-11.61"/>
    <x v="3632"/>
    <n v="1038.98"/>
    <s v="Complete Access"/>
    <x v="609"/>
    <x v="1"/>
    <x v="1"/>
    <d v="1900-01-04T00:00:00"/>
    <n v="6"/>
    <x v="0"/>
    <x v="6"/>
  </r>
  <r>
    <x v="1753"/>
    <n v="-13.5"/>
    <x v="3000"/>
    <n v="994.52"/>
    <s v="Complete Access"/>
    <x v="687"/>
    <x v="1"/>
    <x v="5"/>
    <d v="1900-01-04T00:00:00"/>
    <n v="6"/>
    <x v="0"/>
    <x v="6"/>
  </r>
  <r>
    <x v="1754"/>
    <n v="-1.85"/>
    <x v="2859"/>
    <n v="1064.0899999999999"/>
    <s v="Complete Access"/>
    <x v="61"/>
    <x v="1"/>
    <x v="1"/>
    <d v="1900-01-03T00:00:00"/>
    <n v="6"/>
    <x v="0"/>
    <x v="6"/>
  </r>
  <r>
    <x v="1754"/>
    <n v="-13.5"/>
    <x v="3000"/>
    <n v="1050.5899999999999"/>
    <s v="Complete Access"/>
    <x v="687"/>
    <x v="1"/>
    <x v="5"/>
    <d v="1900-01-03T00:00:00"/>
    <n v="6"/>
    <x v="0"/>
    <x v="6"/>
  </r>
  <r>
    <x v="1755"/>
    <n v="-515"/>
    <x v="3404"/>
    <n v="1070.44"/>
    <s v="Complete Access"/>
    <x v="783"/>
    <x v="19"/>
    <x v="61"/>
    <d v="1900-01-01T00:00:00"/>
    <n v="5"/>
    <x v="0"/>
    <x v="6"/>
  </r>
  <r>
    <x v="1755"/>
    <n v="-100"/>
    <x v="2274"/>
    <n v="1585.44"/>
    <s v="Complete Access"/>
    <x v="552"/>
    <x v="0"/>
    <x v="74"/>
    <d v="1900-01-01T00:00:00"/>
    <n v="5"/>
    <x v="0"/>
    <x v="6"/>
  </r>
  <r>
    <x v="1755"/>
    <n v="-4.5"/>
    <x v="3633"/>
    <n v="1065.94"/>
    <s v="Complete Access"/>
    <x v="1"/>
    <x v="1"/>
    <x v="1"/>
    <d v="1900-01-01T00:00:00"/>
    <n v="5"/>
    <x v="0"/>
    <x v="6"/>
  </r>
  <r>
    <x v="1756"/>
    <n v="-5.2"/>
    <x v="2859"/>
    <n v="1851.84"/>
    <s v="Complete Access"/>
    <x v="61"/>
    <x v="1"/>
    <x v="1"/>
    <d v="1899-12-31T00:00:00"/>
    <n v="5"/>
    <x v="0"/>
    <x v="6"/>
  </r>
  <r>
    <x v="1756"/>
    <n v="-166.4"/>
    <x v="3634"/>
    <n v="1685.44"/>
    <s v="Complete Access"/>
    <x v="76"/>
    <x v="2"/>
    <x v="2"/>
    <d v="1899-12-31T00:00:00"/>
    <n v="5"/>
    <x v="0"/>
    <x v="6"/>
  </r>
  <r>
    <x v="1756"/>
    <n v="-14.9"/>
    <x v="3635"/>
    <n v="1857.04"/>
    <s v="Complete Access"/>
    <x v="186"/>
    <x v="1"/>
    <x v="5"/>
    <d v="1899-12-31T00:00:00"/>
    <n v="5"/>
    <x v="0"/>
    <x v="6"/>
  </r>
  <r>
    <x v="1757"/>
    <n v="-12.6"/>
    <x v="3636"/>
    <n v="2194.8200000000002"/>
    <s v="Complete Access"/>
    <x v="668"/>
    <x v="15"/>
    <x v="34"/>
    <d v="1900-01-30T00:00:00"/>
    <n v="5"/>
    <x v="1"/>
    <x v="6"/>
  </r>
  <r>
    <x v="1757"/>
    <n v="-1.55"/>
    <x v="2859"/>
    <n v="2078.39"/>
    <s v="Complete Access"/>
    <x v="61"/>
    <x v="1"/>
    <x v="1"/>
    <d v="1900-01-30T00:00:00"/>
    <n v="5"/>
    <x v="1"/>
    <x v="6"/>
  </r>
  <r>
    <x v="1757"/>
    <n v="-34.9"/>
    <x v="3637"/>
    <n v="2129.94"/>
    <s v="Complete Access"/>
    <x v="8"/>
    <x v="1"/>
    <x v="5"/>
    <d v="1900-01-30T00:00:00"/>
    <n v="5"/>
    <x v="1"/>
    <x v="6"/>
  </r>
  <r>
    <x v="1757"/>
    <n v="-4.4000000000000004"/>
    <x v="3638"/>
    <n v="2220.2199999999998"/>
    <s v="Complete Access"/>
    <x v="819"/>
    <x v="5"/>
    <x v="83"/>
    <d v="1900-01-30T00:00:00"/>
    <n v="5"/>
    <x v="1"/>
    <x v="6"/>
  </r>
  <r>
    <x v="1757"/>
    <n v="-4.4000000000000004"/>
    <x v="3638"/>
    <n v="2224.62"/>
    <s v="Complete Access"/>
    <x v="819"/>
    <x v="5"/>
    <x v="83"/>
    <d v="1900-01-30T00:00:00"/>
    <n v="5"/>
    <x v="1"/>
    <x v="6"/>
  </r>
  <r>
    <x v="1757"/>
    <n v="-50"/>
    <x v="3547"/>
    <n v="2079.94"/>
    <s v="Complete Access"/>
    <x v="819"/>
    <x v="5"/>
    <x v="83"/>
    <d v="1900-01-30T00:00:00"/>
    <n v="5"/>
    <x v="1"/>
    <x v="6"/>
  </r>
  <r>
    <x v="1757"/>
    <n v="-17.149999999999999"/>
    <x v="3441"/>
    <n v="2047.34"/>
    <s v="Complete Access"/>
    <x v="177"/>
    <x v="1"/>
    <x v="1"/>
    <d v="1900-01-30T00:00:00"/>
    <n v="5"/>
    <x v="1"/>
    <x v="6"/>
  </r>
  <r>
    <x v="1757"/>
    <n v="-12.8"/>
    <x v="3639"/>
    <n v="2207.42"/>
    <s v="Complete Access"/>
    <x v="833"/>
    <x v="1"/>
    <x v="5"/>
    <d v="1900-01-30T00:00:00"/>
    <n v="5"/>
    <x v="1"/>
    <x v="6"/>
  </r>
  <r>
    <x v="1757"/>
    <n v="-29.98"/>
    <x v="3640"/>
    <n v="2164.84"/>
    <s v="Complete Access"/>
    <x v="794"/>
    <x v="3"/>
    <x v="15"/>
    <d v="1900-01-30T00:00:00"/>
    <n v="5"/>
    <x v="1"/>
    <x v="6"/>
  </r>
  <r>
    <x v="1757"/>
    <n v="-175.4"/>
    <x v="3641"/>
    <n v="1871.94"/>
    <s v="Complete Access"/>
    <x v="741"/>
    <x v="16"/>
    <x v="81"/>
    <d v="1900-01-30T00:00:00"/>
    <n v="5"/>
    <x v="1"/>
    <x v="6"/>
  </r>
  <r>
    <x v="1757"/>
    <n v="-13.5"/>
    <x v="3642"/>
    <n v="2229.02"/>
    <s v="Complete Access"/>
    <x v="687"/>
    <x v="1"/>
    <x v="5"/>
    <d v="1900-01-30T00:00:00"/>
    <n v="5"/>
    <x v="1"/>
    <x v="6"/>
  </r>
  <r>
    <x v="1757"/>
    <n v="-13.9"/>
    <x v="3000"/>
    <n v="2064.4899999999998"/>
    <s v="Complete Access"/>
    <x v="687"/>
    <x v="1"/>
    <x v="5"/>
    <d v="1900-01-30T00:00:00"/>
    <n v="5"/>
    <x v="1"/>
    <x v="6"/>
  </r>
  <r>
    <x v="1758"/>
    <n v="-0.97"/>
    <x v="3643"/>
    <n v="1124.08"/>
    <s v="Complete Access"/>
    <x v="61"/>
    <x v="1"/>
    <x v="1"/>
    <d v="1900-01-29T00:00:00"/>
    <n v="5"/>
    <x v="1"/>
    <x v="6"/>
  </r>
  <r>
    <x v="1758"/>
    <n v="-4.3099999999999996"/>
    <x v="2859"/>
    <n v="1060.27"/>
    <s v="Complete Access"/>
    <x v="61"/>
    <x v="1"/>
    <x v="1"/>
    <d v="1900-01-29T00:00:00"/>
    <n v="5"/>
    <x v="1"/>
    <x v="6"/>
  </r>
  <r>
    <x v="1758"/>
    <n v="-30"/>
    <x v="3644"/>
    <n v="1064.58"/>
    <s v="Complete Access"/>
    <x v="8"/>
    <x v="1"/>
    <x v="5"/>
    <d v="1900-01-29T00:00:00"/>
    <n v="5"/>
    <x v="1"/>
    <x v="6"/>
  </r>
  <r>
    <x v="1758"/>
    <n v="1182.25"/>
    <x v="3188"/>
    <n v="2242.52"/>
    <s v="Complete Access"/>
    <x v="14"/>
    <x v="6"/>
    <x v="9"/>
    <d v="1900-01-29T00:00:00"/>
    <n v="5"/>
    <x v="1"/>
    <x v="6"/>
  </r>
  <r>
    <x v="1758"/>
    <n v="-29.5"/>
    <x v="3645"/>
    <n v="1094.58"/>
    <s v="Complete Access"/>
    <x v="834"/>
    <x v="8"/>
    <x v="29"/>
    <d v="1900-01-29T00:00:00"/>
    <n v="5"/>
    <x v="1"/>
    <x v="6"/>
  </r>
  <r>
    <x v="1758"/>
    <n v="-13.5"/>
    <x v="3646"/>
    <n v="1125.05"/>
    <s v="Complete Access"/>
    <x v="687"/>
    <x v="1"/>
    <x v="5"/>
    <d v="1900-01-29T00:00:00"/>
    <n v="5"/>
    <x v="1"/>
    <x v="6"/>
  </r>
  <r>
    <x v="1759"/>
    <n v="-3.14"/>
    <x v="2859"/>
    <n v="1138.55"/>
    <s v="Complete Access"/>
    <x v="61"/>
    <x v="1"/>
    <x v="1"/>
    <d v="1900-01-28T00:00:00"/>
    <n v="5"/>
    <x v="1"/>
    <x v="6"/>
  </r>
  <r>
    <x v="1760"/>
    <n v="-18.38"/>
    <x v="3647"/>
    <n v="1157.69"/>
    <s v="Complete Access"/>
    <x v="835"/>
    <x v="15"/>
    <x v="34"/>
    <d v="1900-01-27T00:00:00"/>
    <n v="5"/>
    <x v="1"/>
    <x v="6"/>
  </r>
  <r>
    <x v="1760"/>
    <n v="-16"/>
    <x v="3450"/>
    <n v="1141.69"/>
    <s v="Complete Access"/>
    <x v="796"/>
    <x v="20"/>
    <x v="63"/>
    <d v="1900-01-27T00:00:00"/>
    <n v="5"/>
    <x v="1"/>
    <x v="6"/>
  </r>
  <r>
    <x v="1760"/>
    <n v="-19.28"/>
    <x v="3648"/>
    <n v="1176.07"/>
    <s v="Complete Access"/>
    <x v="836"/>
    <x v="8"/>
    <x v="29"/>
    <d v="1900-01-27T00:00:00"/>
    <n v="5"/>
    <x v="1"/>
    <x v="6"/>
  </r>
  <r>
    <x v="1760"/>
    <n v="-20.3"/>
    <x v="3648"/>
    <n v="1195.3499999999999"/>
    <s v="Complete Access"/>
    <x v="836"/>
    <x v="8"/>
    <x v="29"/>
    <d v="1900-01-27T00:00:00"/>
    <n v="5"/>
    <x v="1"/>
    <x v="6"/>
  </r>
  <r>
    <x v="1761"/>
    <n v="-20"/>
    <x v="3649"/>
    <n v="1235.95"/>
    <s v="Complete Access"/>
    <x v="83"/>
    <x v="8"/>
    <x v="29"/>
    <d v="1900-01-26T00:00:00"/>
    <n v="5"/>
    <x v="1"/>
    <x v="6"/>
  </r>
  <r>
    <x v="1761"/>
    <n v="-25"/>
    <x v="3649"/>
    <n v="1255.95"/>
    <s v="Complete Access"/>
    <x v="83"/>
    <x v="8"/>
    <x v="29"/>
    <d v="1900-01-26T00:00:00"/>
    <n v="5"/>
    <x v="1"/>
    <x v="6"/>
  </r>
  <r>
    <x v="1761"/>
    <n v="-6.5"/>
    <x v="3650"/>
    <n v="1280.95"/>
    <s v="Complete Access"/>
    <x v="837"/>
    <x v="8"/>
    <x v="29"/>
    <d v="1900-01-26T00:00:00"/>
    <n v="5"/>
    <x v="1"/>
    <x v="6"/>
  </r>
  <r>
    <x v="1761"/>
    <n v="-11.7"/>
    <x v="3651"/>
    <n v="1287.45"/>
    <s v="Complete Access"/>
    <x v="693"/>
    <x v="1"/>
    <x v="5"/>
    <d v="1900-01-26T00:00:00"/>
    <n v="5"/>
    <x v="1"/>
    <x v="6"/>
  </r>
  <r>
    <x v="1761"/>
    <n v="-20.3"/>
    <x v="3652"/>
    <n v="1215.6500000000001"/>
    <s v="Complete Access"/>
    <x v="836"/>
    <x v="8"/>
    <x v="29"/>
    <d v="1900-01-26T00:00:00"/>
    <n v="5"/>
    <x v="1"/>
    <x v="6"/>
  </r>
  <r>
    <x v="1762"/>
    <n v="-515"/>
    <x v="3404"/>
    <n v="1321.65"/>
    <s v="Complete Access"/>
    <x v="783"/>
    <x v="19"/>
    <x v="61"/>
    <d v="1900-01-25T00:00:00"/>
    <n v="4"/>
    <x v="1"/>
    <x v="6"/>
  </r>
  <r>
    <x v="1762"/>
    <n v="-22.5"/>
    <x v="3653"/>
    <n v="1299.1500000000001"/>
    <s v="Complete Access"/>
    <x v="796"/>
    <x v="20"/>
    <x v="63"/>
    <d v="1900-01-25T00:00:00"/>
    <n v="4"/>
    <x v="1"/>
    <x v="6"/>
  </r>
  <r>
    <x v="1762"/>
    <n v="-100"/>
    <x v="2274"/>
    <n v="1836.65"/>
    <s v="Complete Access"/>
    <x v="552"/>
    <x v="0"/>
    <x v="74"/>
    <d v="1900-01-25T00:00:00"/>
    <n v="4"/>
    <x v="1"/>
    <x v="6"/>
  </r>
  <r>
    <x v="1763"/>
    <n v="-4.24"/>
    <x v="3654"/>
    <n v="2070.15"/>
    <s v="Complete Access"/>
    <x v="61"/>
    <x v="1"/>
    <x v="1"/>
    <d v="1900-01-24T00:00:00"/>
    <n v="4"/>
    <x v="1"/>
    <x v="6"/>
  </r>
  <r>
    <x v="1763"/>
    <n v="-100"/>
    <x v="3403"/>
    <n v="1970.15"/>
    <s v="Complete Access"/>
    <x v="601"/>
    <x v="0"/>
    <x v="0"/>
    <d v="1900-01-24T00:00:00"/>
    <n v="4"/>
    <x v="1"/>
    <x v="6"/>
  </r>
  <r>
    <x v="1763"/>
    <n v="-33.5"/>
    <x v="3623"/>
    <n v="1936.65"/>
    <s v="Complete Access"/>
    <x v="832"/>
    <x v="1"/>
    <x v="23"/>
    <d v="1900-01-24T00:00:00"/>
    <n v="4"/>
    <x v="1"/>
    <x v="6"/>
  </r>
  <r>
    <x v="1763"/>
    <n v="-26.68"/>
    <x v="3655"/>
    <n v="2082.1799999999998"/>
    <s v="Complete Access"/>
    <x v="785"/>
    <x v="9"/>
    <x v="12"/>
    <d v="1900-01-24T00:00:00"/>
    <n v="4"/>
    <x v="1"/>
    <x v="6"/>
  </r>
  <r>
    <x v="1763"/>
    <n v="-7.79"/>
    <x v="3656"/>
    <n v="2074.39"/>
    <s v="Complete Access"/>
    <x v="1"/>
    <x v="1"/>
    <x v="1"/>
    <d v="1900-01-24T00:00:00"/>
    <n v="4"/>
    <x v="1"/>
    <x v="6"/>
  </r>
  <r>
    <x v="1764"/>
    <n v="-2.0499999999999998"/>
    <x v="3657"/>
    <n v="2108.86"/>
    <s v="Complete Access"/>
    <x v="61"/>
    <x v="1"/>
    <x v="1"/>
    <d v="1900-01-23T00:00:00"/>
    <n v="4"/>
    <x v="1"/>
    <x v="6"/>
  </r>
  <r>
    <x v="1764"/>
    <n v="-28.82"/>
    <x v="3658"/>
    <n v="2125.81"/>
    <s v="Complete Access"/>
    <x v="1"/>
    <x v="1"/>
    <x v="1"/>
    <d v="1900-01-23T00:00:00"/>
    <n v="4"/>
    <x v="1"/>
    <x v="6"/>
  </r>
  <r>
    <x v="1764"/>
    <n v="-14.9"/>
    <x v="3659"/>
    <n v="2110.91"/>
    <s v="Complete Access"/>
    <x v="186"/>
    <x v="1"/>
    <x v="5"/>
    <d v="1900-01-23T00:00:00"/>
    <n v="4"/>
    <x v="1"/>
    <x v="6"/>
  </r>
  <r>
    <x v="1764"/>
    <n v="-13.5"/>
    <x v="3660"/>
    <n v="2210.63"/>
    <s v="Complete Access"/>
    <x v="687"/>
    <x v="1"/>
    <x v="5"/>
    <d v="1900-01-23T00:00:00"/>
    <n v="4"/>
    <x v="1"/>
    <x v="6"/>
  </r>
  <r>
    <x v="1765"/>
    <n v="-1.91"/>
    <x v="3661"/>
    <n v="1041.8800000000001"/>
    <s v="Complete Access"/>
    <x v="61"/>
    <x v="1"/>
    <x v="1"/>
    <d v="1900-01-22T00:00:00"/>
    <n v="4"/>
    <x v="1"/>
    <x v="6"/>
  </r>
  <r>
    <x v="1765"/>
    <n v="-30"/>
    <x v="3662"/>
    <n v="2218.04"/>
    <s v="Complete Access"/>
    <x v="8"/>
    <x v="1"/>
    <x v="5"/>
    <d v="1900-01-22T00:00:00"/>
    <n v="4"/>
    <x v="1"/>
    <x v="6"/>
  </r>
  <r>
    <x v="1765"/>
    <n v="-1157.75"/>
    <x v="3663"/>
    <n v="1060.29"/>
    <s v="Complete Access"/>
    <x v="838"/>
    <x v="4"/>
    <x v="17"/>
    <d v="1900-01-22T00:00:00"/>
    <n v="4"/>
    <x v="1"/>
    <x v="6"/>
  </r>
  <r>
    <x v="1765"/>
    <n v="1182.25"/>
    <x v="3188"/>
    <n v="2224.13"/>
    <s v="Complete Access"/>
    <x v="14"/>
    <x v="6"/>
    <x v="9"/>
    <d v="1900-01-22T00:00:00"/>
    <n v="4"/>
    <x v="1"/>
    <x v="6"/>
  </r>
  <r>
    <x v="1765"/>
    <n v="-9.99"/>
    <x v="3664"/>
    <n v="2248.04"/>
    <s v="Complete Access"/>
    <x v="373"/>
    <x v="8"/>
    <x v="7"/>
    <d v="1900-01-22T00:00:00"/>
    <n v="4"/>
    <x v="1"/>
    <x v="6"/>
  </r>
  <r>
    <x v="1765"/>
    <n v="-16.5"/>
    <x v="3665"/>
    <n v="1043.79"/>
    <s v="Complete Access"/>
    <x v="34"/>
    <x v="9"/>
    <x v="12"/>
    <d v="1900-01-22T00:00:00"/>
    <n v="4"/>
    <x v="1"/>
    <x v="6"/>
  </r>
  <r>
    <x v="1766"/>
    <n v="-1.8"/>
    <x v="3666"/>
    <n v="1758.03"/>
    <s v="Complete Access"/>
    <x v="61"/>
    <x v="1"/>
    <x v="1"/>
    <d v="1900-01-21T00:00:00"/>
    <n v="4"/>
    <x v="1"/>
    <x v="6"/>
  </r>
  <r>
    <x v="1766"/>
    <n v="-50"/>
    <x v="3667"/>
    <n v="1785.83"/>
    <s v="Complete Access"/>
    <x v="819"/>
    <x v="5"/>
    <x v="83"/>
    <d v="1900-01-21T00:00:00"/>
    <n v="4"/>
    <x v="1"/>
    <x v="6"/>
  </r>
  <r>
    <x v="1766"/>
    <n v="500"/>
    <x v="3407"/>
    <n v="2258.0300000000002"/>
    <s v="Complete Access"/>
    <x v="0"/>
    <x v="0"/>
    <x v="0"/>
    <d v="1900-01-21T00:00:00"/>
    <n v="4"/>
    <x v="1"/>
    <x v="6"/>
  </r>
  <r>
    <x v="1766"/>
    <n v="-12.5"/>
    <x v="3668"/>
    <n v="1759.83"/>
    <s v="Complete Access"/>
    <x v="186"/>
    <x v="1"/>
    <x v="5"/>
    <d v="1900-01-21T00:00:00"/>
    <n v="4"/>
    <x v="1"/>
    <x v="6"/>
  </r>
  <r>
    <x v="1766"/>
    <n v="-13.5"/>
    <x v="3669"/>
    <n v="1772.33"/>
    <s v="Complete Access"/>
    <x v="687"/>
    <x v="1"/>
    <x v="5"/>
    <d v="1900-01-21T00:00:00"/>
    <n v="4"/>
    <x v="1"/>
    <x v="6"/>
  </r>
  <r>
    <x v="1766"/>
    <n v="-13.5"/>
    <x v="3669"/>
    <n v="1772.33"/>
    <s v="Complete Access"/>
    <x v="687"/>
    <x v="1"/>
    <x v="5"/>
    <d v="1900-01-21T00:00:00"/>
    <n v="4"/>
    <x v="1"/>
    <x v="6"/>
  </r>
  <r>
    <x v="1767"/>
    <n v="-56"/>
    <x v="3670"/>
    <n v="2154.63"/>
    <s v="Complete Access"/>
    <x v="739"/>
    <x v="4"/>
    <x v="20"/>
    <d v="1900-01-18T00:00:00"/>
    <n v="3"/>
    <x v="1"/>
    <x v="6"/>
  </r>
  <r>
    <x v="1767"/>
    <n v="-515"/>
    <x v="3404"/>
    <n v="1835.83"/>
    <s v="Complete Access"/>
    <x v="783"/>
    <x v="19"/>
    <x v="61"/>
    <d v="1900-01-18T00:00:00"/>
    <n v="3"/>
    <x v="1"/>
    <x v="6"/>
  </r>
  <r>
    <x v="1767"/>
    <n v="-100"/>
    <x v="2274"/>
    <n v="2350.83"/>
    <s v="Complete Access"/>
    <x v="552"/>
    <x v="0"/>
    <x v="74"/>
    <d v="1900-01-18T00:00:00"/>
    <n v="3"/>
    <x v="1"/>
    <x v="6"/>
  </r>
  <r>
    <x v="1767"/>
    <n v="-13.5"/>
    <x v="3671"/>
    <n v="2450.83"/>
    <s v="Complete Access"/>
    <x v="687"/>
    <x v="1"/>
    <x v="5"/>
    <d v="1900-01-18T00:00:00"/>
    <n v="3"/>
    <x v="1"/>
    <x v="6"/>
  </r>
  <r>
    <x v="1768"/>
    <n v="-1.79"/>
    <x v="3672"/>
    <n v="2362.33"/>
    <s v="Complete Access"/>
    <x v="61"/>
    <x v="1"/>
    <x v="1"/>
    <d v="1900-01-17T00:00:00"/>
    <n v="3"/>
    <x v="1"/>
    <x v="6"/>
  </r>
  <r>
    <x v="1768"/>
    <n v="102"/>
    <x v="3188"/>
    <n v="2464.33"/>
    <s v="Complete Access"/>
    <x v="14"/>
    <x v="6"/>
    <x v="9"/>
    <d v="1900-01-17T00:00:00"/>
    <n v="3"/>
    <x v="1"/>
    <x v="6"/>
  </r>
  <r>
    <x v="1769"/>
    <n v="-12.65"/>
    <x v="3673"/>
    <n v="2622.94"/>
    <s v="Complete Access"/>
    <x v="839"/>
    <x v="1"/>
    <x v="85"/>
    <d v="1900-01-16T00:00:00"/>
    <n v="3"/>
    <x v="1"/>
    <x v="6"/>
  </r>
  <r>
    <x v="1769"/>
    <n v="-1.04"/>
    <x v="3674"/>
    <n v="2554.9"/>
    <s v="Complete Access"/>
    <x v="61"/>
    <x v="1"/>
    <x v="1"/>
    <d v="1900-01-16T00:00:00"/>
    <n v="3"/>
    <x v="1"/>
    <x v="6"/>
  </r>
  <r>
    <x v="1769"/>
    <n v="-33.5"/>
    <x v="3675"/>
    <n v="2555.94"/>
    <s v="Complete Access"/>
    <x v="8"/>
    <x v="1"/>
    <x v="5"/>
    <d v="1900-01-16T00:00:00"/>
    <n v="3"/>
    <x v="1"/>
    <x v="6"/>
  </r>
  <r>
    <x v="1769"/>
    <n v="-15.38"/>
    <x v="3676"/>
    <n v="2539.52"/>
    <s v="Complete Access"/>
    <x v="840"/>
    <x v="3"/>
    <x v="60"/>
    <d v="1900-01-16T00:00:00"/>
    <n v="3"/>
    <x v="1"/>
    <x v="6"/>
  </r>
  <r>
    <x v="1769"/>
    <n v="-175.4"/>
    <x v="3677"/>
    <n v="2364.12"/>
    <s v="Complete Access"/>
    <x v="741"/>
    <x v="16"/>
    <x v="81"/>
    <d v="1900-01-16T00:00:00"/>
    <n v="3"/>
    <x v="1"/>
    <x v="6"/>
  </r>
  <r>
    <x v="1769"/>
    <n v="-18.600000000000001"/>
    <x v="3678"/>
    <n v="2604.34"/>
    <s v="Complete Access"/>
    <x v="1"/>
    <x v="1"/>
    <x v="1"/>
    <d v="1900-01-16T00:00:00"/>
    <n v="3"/>
    <x v="1"/>
    <x v="6"/>
  </r>
  <r>
    <x v="1769"/>
    <n v="-14.9"/>
    <x v="3679"/>
    <n v="2589.44"/>
    <s v="Complete Access"/>
    <x v="186"/>
    <x v="1"/>
    <x v="5"/>
    <d v="1900-01-16T00:00:00"/>
    <n v="3"/>
    <x v="1"/>
    <x v="6"/>
  </r>
  <r>
    <x v="1770"/>
    <n v="-7.96"/>
    <x v="3680"/>
    <n v="1555.34"/>
    <s v="Complete Access"/>
    <x v="61"/>
    <x v="1"/>
    <x v="1"/>
    <d v="1900-01-15T00:00:00"/>
    <n v="3"/>
    <x v="1"/>
    <x v="6"/>
  </r>
  <r>
    <x v="1770"/>
    <n v="1080.25"/>
    <x v="3188"/>
    <n v="2635.59"/>
    <s v="Complete Access"/>
    <x v="14"/>
    <x v="6"/>
    <x v="9"/>
    <d v="1900-01-15T00:00:00"/>
    <n v="3"/>
    <x v="1"/>
    <x v="6"/>
  </r>
  <r>
    <x v="1771"/>
    <n v="-37.64"/>
    <x v="3681"/>
    <n v="1723.89"/>
    <s v="Complete Access"/>
    <x v="841"/>
    <x v="2"/>
    <x v="86"/>
    <d v="1900-01-14T00:00:00"/>
    <n v="3"/>
    <x v="1"/>
    <x v="6"/>
  </r>
  <r>
    <x v="1771"/>
    <n v="-7.58"/>
    <x v="3682"/>
    <n v="1563.3"/>
    <s v="Complete Access"/>
    <x v="61"/>
    <x v="1"/>
    <x v="1"/>
    <d v="1900-01-14T00:00:00"/>
    <n v="3"/>
    <x v="1"/>
    <x v="6"/>
  </r>
  <r>
    <x v="1771"/>
    <n v="-1.71"/>
    <x v="3683"/>
    <n v="1584.88"/>
    <s v="Complete Access"/>
    <x v="61"/>
    <x v="1"/>
    <x v="1"/>
    <d v="1900-01-14T00:00:00"/>
    <n v="3"/>
    <x v="1"/>
    <x v="6"/>
  </r>
  <r>
    <x v="1771"/>
    <n v="-39"/>
    <x v="3684"/>
    <n v="1586.59"/>
    <s v="Complete Access"/>
    <x v="8"/>
    <x v="1"/>
    <x v="5"/>
    <d v="1900-01-14T00:00:00"/>
    <n v="3"/>
    <x v="1"/>
    <x v="6"/>
  </r>
  <r>
    <x v="1771"/>
    <n v="-50"/>
    <x v="3685"/>
    <n v="1625.59"/>
    <s v="Complete Access"/>
    <x v="819"/>
    <x v="5"/>
    <x v="83"/>
    <d v="1900-01-14T00:00:00"/>
    <n v="3"/>
    <x v="1"/>
    <x v="6"/>
  </r>
  <r>
    <x v="1771"/>
    <n v="-14"/>
    <x v="3686"/>
    <n v="1570.88"/>
    <s v="Complete Access"/>
    <x v="254"/>
    <x v="16"/>
    <x v="35"/>
    <d v="1900-01-14T00:00:00"/>
    <n v="3"/>
    <x v="1"/>
    <x v="6"/>
  </r>
  <r>
    <x v="1771"/>
    <n v="-12.8"/>
    <x v="3687"/>
    <n v="1711.09"/>
    <s v="Complete Access"/>
    <x v="833"/>
    <x v="1"/>
    <x v="5"/>
    <d v="1900-01-14T00:00:00"/>
    <n v="3"/>
    <x v="1"/>
    <x v="6"/>
  </r>
  <r>
    <x v="1771"/>
    <n v="-35.5"/>
    <x v="3688"/>
    <n v="1675.59"/>
    <s v="Complete Access"/>
    <x v="1"/>
    <x v="1"/>
    <x v="1"/>
    <d v="1900-01-14T00:00:00"/>
    <n v="3"/>
    <x v="1"/>
    <x v="6"/>
  </r>
  <r>
    <x v="1772"/>
    <n v="-20"/>
    <x v="2970"/>
    <n v="1834.53"/>
    <s v="Complete Access"/>
    <x v="601"/>
    <x v="0"/>
    <x v="0"/>
    <d v="1900-01-13T00:00:00"/>
    <n v="3"/>
    <x v="1"/>
    <x v="6"/>
  </r>
  <r>
    <x v="1772"/>
    <n v="-73"/>
    <x v="2543"/>
    <n v="1761.53"/>
    <s v="Complete Access"/>
    <x v="17"/>
    <x v="7"/>
    <x v="11"/>
    <d v="1900-01-13T00:00:00"/>
    <n v="3"/>
    <x v="1"/>
    <x v="6"/>
  </r>
  <r>
    <x v="1773"/>
    <n v="-17"/>
    <x v="3689"/>
    <n v="2469.5300000000002"/>
    <s v="Complete Access"/>
    <x v="842"/>
    <x v="8"/>
    <x v="29"/>
    <d v="1900-01-11T00:00:00"/>
    <n v="2"/>
    <x v="1"/>
    <x v="6"/>
  </r>
  <r>
    <x v="1773"/>
    <n v="-515"/>
    <x v="3404"/>
    <n v="1854.53"/>
    <s v="Complete Access"/>
    <x v="783"/>
    <x v="19"/>
    <x v="61"/>
    <d v="1900-01-11T00:00:00"/>
    <n v="2"/>
    <x v="1"/>
    <x v="6"/>
  </r>
  <r>
    <x v="1773"/>
    <n v="-100"/>
    <x v="2274"/>
    <n v="2369.5300000000002"/>
    <s v="Complete Access"/>
    <x v="552"/>
    <x v="0"/>
    <x v="74"/>
    <d v="1900-01-11T00:00:00"/>
    <n v="2"/>
    <x v="1"/>
    <x v="6"/>
  </r>
  <r>
    <x v="1773"/>
    <n v="-13.5"/>
    <x v="3690"/>
    <n v="2486.5300000000002"/>
    <s v="Complete Access"/>
    <x v="687"/>
    <x v="1"/>
    <x v="5"/>
    <d v="1900-01-11T00:00:00"/>
    <n v="2"/>
    <x v="1"/>
    <x v="6"/>
  </r>
  <r>
    <x v="1774"/>
    <n v="-12.5"/>
    <x v="3691"/>
    <n v="2500.0300000000002"/>
    <s v="Complete Access"/>
    <x v="843"/>
    <x v="1"/>
    <x v="5"/>
    <d v="1900-01-10T00:00:00"/>
    <n v="2"/>
    <x v="1"/>
    <x v="6"/>
  </r>
  <r>
    <x v="1774"/>
    <n v="-26.3"/>
    <x v="3692"/>
    <n v="2512.5300000000002"/>
    <s v="Complete Access"/>
    <x v="844"/>
    <x v="1"/>
    <x v="5"/>
    <d v="1900-01-10T00:00:00"/>
    <n v="2"/>
    <x v="1"/>
    <x v="6"/>
  </r>
  <r>
    <x v="1775"/>
    <n v="-2.02"/>
    <x v="3693"/>
    <n v="2538.83"/>
    <s v="Complete Access"/>
    <x v="61"/>
    <x v="1"/>
    <x v="1"/>
    <d v="1900-01-09T00:00:00"/>
    <n v="2"/>
    <x v="1"/>
    <x v="6"/>
  </r>
  <r>
    <x v="1775"/>
    <n v="-2.4900000000000002"/>
    <x v="3694"/>
    <n v="2554.35"/>
    <s v="Complete Access"/>
    <x v="177"/>
    <x v="1"/>
    <x v="1"/>
    <d v="1900-01-09T00:00:00"/>
    <n v="2"/>
    <x v="1"/>
    <x v="6"/>
  </r>
  <r>
    <x v="1775"/>
    <n v="-13.5"/>
    <x v="3695"/>
    <n v="2540.85"/>
    <s v="Complete Access"/>
    <x v="687"/>
    <x v="1"/>
    <x v="5"/>
    <d v="1900-01-09T00:00:00"/>
    <n v="2"/>
    <x v="1"/>
    <x v="6"/>
  </r>
  <r>
    <x v="1776"/>
    <n v="-8.01"/>
    <x v="3696"/>
    <n v="2623.2"/>
    <s v="Complete Access"/>
    <x v="61"/>
    <x v="1"/>
    <x v="1"/>
    <d v="1900-01-08T00:00:00"/>
    <n v="2"/>
    <x v="1"/>
    <x v="6"/>
  </r>
  <r>
    <x v="1776"/>
    <n v="-5.75"/>
    <x v="3696"/>
    <n v="2631.21"/>
    <s v="Complete Access"/>
    <x v="61"/>
    <x v="1"/>
    <x v="1"/>
    <d v="1900-01-08T00:00:00"/>
    <n v="2"/>
    <x v="1"/>
    <x v="6"/>
  </r>
  <r>
    <x v="1776"/>
    <n v="-66.36"/>
    <x v="3697"/>
    <n v="2556.84"/>
    <s v="Complete Access"/>
    <x v="91"/>
    <x v="9"/>
    <x v="12"/>
    <d v="1900-01-08T00:00:00"/>
    <n v="2"/>
    <x v="1"/>
    <x v="6"/>
  </r>
  <r>
    <x v="1777"/>
    <n v="-14.9"/>
    <x v="3698"/>
    <n v="2656.11"/>
    <s v="Complete Access"/>
    <x v="260"/>
    <x v="1"/>
    <x v="5"/>
    <d v="1900-01-07T00:00:00"/>
    <n v="2"/>
    <x v="1"/>
    <x v="6"/>
  </r>
  <r>
    <x v="1777"/>
    <n v="-31.7"/>
    <x v="3699"/>
    <n v="2671.01"/>
    <s v="Complete Access"/>
    <x v="1"/>
    <x v="1"/>
    <x v="1"/>
    <d v="1900-01-07T00:00:00"/>
    <n v="2"/>
    <x v="1"/>
    <x v="6"/>
  </r>
  <r>
    <x v="1777"/>
    <n v="-15.65"/>
    <x v="3700"/>
    <n v="2636.96"/>
    <s v="Complete Access"/>
    <x v="1"/>
    <x v="1"/>
    <x v="1"/>
    <d v="1900-01-07T00:00:00"/>
    <n v="2"/>
    <x v="1"/>
    <x v="6"/>
  </r>
  <r>
    <x v="1777"/>
    <n v="-3.5"/>
    <x v="3701"/>
    <n v="2652.61"/>
    <s v="Complete Access"/>
    <x v="213"/>
    <x v="1"/>
    <x v="23"/>
    <d v="1900-01-07T00:00:00"/>
    <n v="2"/>
    <x v="1"/>
    <x v="6"/>
  </r>
  <r>
    <x v="1778"/>
    <n v="250"/>
    <x v="3378"/>
    <n v="2702.71"/>
    <s v="Complete Access"/>
    <x v="722"/>
    <x v="0"/>
    <x v="0"/>
    <d v="1900-01-06T00:00:00"/>
    <n v="2"/>
    <x v="1"/>
    <x v="6"/>
  </r>
  <r>
    <x v="1779"/>
    <n v="-515"/>
    <x v="3404"/>
    <n v="2452.71"/>
    <s v="Complete Access"/>
    <x v="783"/>
    <x v="19"/>
    <x v="61"/>
    <d v="1900-01-04T00:00:00"/>
    <n v="1"/>
    <x v="1"/>
    <x v="6"/>
  </r>
  <r>
    <x v="1779"/>
    <n v="-15.08"/>
    <x v="3702"/>
    <n v="3067.71"/>
    <s v="Complete Access"/>
    <x v="609"/>
    <x v="1"/>
    <x v="1"/>
    <d v="1900-01-04T00:00:00"/>
    <n v="1"/>
    <x v="1"/>
    <x v="6"/>
  </r>
  <r>
    <x v="1779"/>
    <n v="-100"/>
    <x v="2274"/>
    <n v="2967.71"/>
    <s v="Complete Access"/>
    <x v="552"/>
    <x v="0"/>
    <x v="74"/>
    <d v="1900-01-04T00:00:00"/>
    <n v="1"/>
    <x v="1"/>
    <x v="6"/>
  </r>
  <r>
    <x v="1779"/>
    <n v="-4.99"/>
    <x v="3703"/>
    <n v="3082.79"/>
    <s v="Complete Access"/>
    <x v="177"/>
    <x v="1"/>
    <x v="1"/>
    <d v="1900-01-04T00:00:00"/>
    <n v="1"/>
    <x v="1"/>
    <x v="6"/>
  </r>
  <r>
    <x v="1780"/>
    <n v="-11.95"/>
    <x v="3704"/>
    <n v="3309.37"/>
    <s v="Complete Access"/>
    <x v="839"/>
    <x v="1"/>
    <x v="85"/>
    <d v="1900-01-02T00:00:00"/>
    <n v="1"/>
    <x v="1"/>
    <x v="6"/>
  </r>
  <r>
    <x v="1780"/>
    <n v="-34.5"/>
    <x v="3705"/>
    <n v="3133.18"/>
    <s v="Complete Access"/>
    <x v="8"/>
    <x v="1"/>
    <x v="5"/>
    <d v="1900-01-02T00:00:00"/>
    <n v="1"/>
    <x v="1"/>
    <x v="6"/>
  </r>
  <r>
    <x v="1780"/>
    <n v="-34.5"/>
    <x v="3705"/>
    <n v="3167.68"/>
    <s v="Complete Access"/>
    <x v="8"/>
    <x v="1"/>
    <x v="5"/>
    <d v="1900-01-02T00:00:00"/>
    <n v="1"/>
    <x v="1"/>
    <x v="6"/>
  </r>
  <r>
    <x v="1780"/>
    <n v="34.5"/>
    <x v="3706"/>
    <n v="3321.32"/>
    <s v="Complete Access"/>
    <x v="8"/>
    <x v="1"/>
    <x v="5"/>
    <d v="1900-01-02T00:00:00"/>
    <n v="1"/>
    <x v="1"/>
    <x v="6"/>
  </r>
  <r>
    <x v="1780"/>
    <n v="-16.899999999999999"/>
    <x v="3707"/>
    <n v="3292.47"/>
    <s v="Complete Access"/>
    <x v="260"/>
    <x v="1"/>
    <x v="5"/>
    <d v="1900-01-02T00:00:00"/>
    <n v="1"/>
    <x v="1"/>
    <x v="6"/>
  </r>
  <r>
    <x v="1780"/>
    <n v="-45.4"/>
    <x v="3708"/>
    <n v="3087.78"/>
    <s v="Complete Access"/>
    <x v="741"/>
    <x v="16"/>
    <x v="81"/>
    <d v="1900-01-02T00:00:00"/>
    <n v="1"/>
    <x v="1"/>
    <x v="6"/>
  </r>
  <r>
    <x v="1780"/>
    <n v="-30.29"/>
    <x v="3709"/>
    <n v="3202.18"/>
    <s v="Complete Access"/>
    <x v="1"/>
    <x v="1"/>
    <x v="1"/>
    <d v="1900-01-02T00:00:00"/>
    <n v="1"/>
    <x v="1"/>
    <x v="6"/>
  </r>
  <r>
    <x v="1780"/>
    <n v="-60"/>
    <x v="3710"/>
    <n v="3232.47"/>
    <s v="Complete Access"/>
    <x v="219"/>
    <x v="7"/>
    <x v="53"/>
    <d v="1900-01-02T00:00:00"/>
    <n v="1"/>
    <x v="1"/>
    <x v="6"/>
  </r>
  <r>
    <x v="1781"/>
    <n v="-166.4"/>
    <x v="3711"/>
    <n v="3286.82"/>
    <s v="Complete Access"/>
    <x v="76"/>
    <x v="2"/>
    <x v="2"/>
    <d v="1900-01-01T00:00:00"/>
    <n v="1"/>
    <x v="1"/>
    <x v="6"/>
  </r>
  <r>
    <x v="1782"/>
    <n v="-75.5"/>
    <x v="3712"/>
    <n v="3453.22"/>
    <s v="Complete Access"/>
    <x v="8"/>
    <x v="1"/>
    <x v="5"/>
    <d v="1899-12-31T00:00:00"/>
    <n v="1"/>
    <x v="1"/>
    <x v="6"/>
  </r>
  <r>
    <x v="1783"/>
    <n v="-12.8"/>
    <x v="3700"/>
    <n v="3528.72"/>
    <s v="Complete Access"/>
    <x v="1"/>
    <x v="1"/>
    <x v="1"/>
    <d v="1900-01-30T00:00:00"/>
    <n v="53"/>
    <x v="2"/>
    <x v="7"/>
  </r>
  <r>
    <x v="1784"/>
    <n v="-16.5"/>
    <x v="3061"/>
    <n v="3541.52"/>
    <s v="Complete Access"/>
    <x v="27"/>
    <x v="1"/>
    <x v="5"/>
    <d v="1900-01-29T00:00:00"/>
    <n v="53"/>
    <x v="2"/>
    <x v="7"/>
  </r>
  <r>
    <x v="1785"/>
    <n v="-31"/>
    <x v="3713"/>
    <n v="4312.62"/>
    <s v="Complete Access"/>
    <x v="8"/>
    <x v="1"/>
    <x v="5"/>
    <d v="1900-01-28T00:00:00"/>
    <n v="52"/>
    <x v="2"/>
    <x v="7"/>
  </r>
  <r>
    <x v="1785"/>
    <n v="-515"/>
    <x v="3404"/>
    <n v="3590.67"/>
    <s v="Complete Access"/>
    <x v="783"/>
    <x v="19"/>
    <x v="61"/>
    <d v="1900-01-28T00:00:00"/>
    <n v="52"/>
    <x v="2"/>
    <x v="7"/>
  </r>
  <r>
    <x v="1785"/>
    <n v="-106.95"/>
    <x v="3714"/>
    <n v="4205.67"/>
    <s v="Complete Access"/>
    <x v="347"/>
    <x v="3"/>
    <x v="62"/>
    <d v="1900-01-28T00:00:00"/>
    <n v="52"/>
    <x v="2"/>
    <x v="7"/>
  </r>
  <r>
    <x v="1785"/>
    <n v="-100"/>
    <x v="2274"/>
    <n v="4105.67"/>
    <s v="Complete Access"/>
    <x v="552"/>
    <x v="0"/>
    <x v="74"/>
    <d v="1900-01-28T00:00:00"/>
    <n v="52"/>
    <x v="2"/>
    <x v="7"/>
  </r>
  <r>
    <x v="1785"/>
    <n v="-32.65"/>
    <x v="3715"/>
    <n v="3558.02"/>
    <s v="Complete Access"/>
    <x v="34"/>
    <x v="9"/>
    <x v="12"/>
    <d v="1900-01-28T00:00:00"/>
    <n v="52"/>
    <x v="2"/>
    <x v="7"/>
  </r>
  <r>
    <x v="1786"/>
    <n v="-35.619999999999997"/>
    <x v="3716"/>
    <n v="4343.62"/>
    <s v="Complete Access"/>
    <x v="8"/>
    <x v="1"/>
    <x v="5"/>
    <d v="1900-01-27T00:00:00"/>
    <n v="52"/>
    <x v="2"/>
    <x v="7"/>
  </r>
  <r>
    <x v="1786"/>
    <n v="-20.9"/>
    <x v="3717"/>
    <n v="4397.6099999999997"/>
    <s v="Complete Access"/>
    <x v="832"/>
    <x v="1"/>
    <x v="23"/>
    <d v="1900-01-27T00:00:00"/>
    <n v="52"/>
    <x v="2"/>
    <x v="7"/>
  </r>
  <r>
    <x v="1786"/>
    <n v="-14.21"/>
    <x v="3718"/>
    <n v="4418.9399999999996"/>
    <s v="Complete Access"/>
    <x v="845"/>
    <x v="4"/>
    <x v="47"/>
    <d v="1900-01-27T00:00:00"/>
    <n v="52"/>
    <x v="2"/>
    <x v="7"/>
  </r>
  <r>
    <x v="1786"/>
    <n v="-10.5"/>
    <x v="3719"/>
    <n v="4433.1499999999996"/>
    <s v="Complete Access"/>
    <x v="846"/>
    <x v="3"/>
    <x v="60"/>
    <d v="1900-01-27T00:00:00"/>
    <n v="52"/>
    <x v="2"/>
    <x v="7"/>
  </r>
  <r>
    <x v="1786"/>
    <n v="-0.43"/>
    <x v="3720"/>
    <n v="4418.51"/>
    <s v="Complete Access"/>
    <x v="10"/>
    <x v="0"/>
    <x v="0"/>
    <d v="1900-01-27T00:00:00"/>
    <n v="52"/>
    <x v="2"/>
    <x v="7"/>
  </r>
  <r>
    <x v="1786"/>
    <n v="-25.4"/>
    <x v="3721"/>
    <n v="4443.6499999999996"/>
    <s v="Complete Access"/>
    <x v="260"/>
    <x v="1"/>
    <x v="5"/>
    <d v="1900-01-27T00:00:00"/>
    <n v="52"/>
    <x v="2"/>
    <x v="7"/>
  </r>
  <r>
    <x v="1786"/>
    <n v="-18.37"/>
    <x v="3722"/>
    <n v="4379.24"/>
    <s v="Complete Access"/>
    <x v="1"/>
    <x v="1"/>
    <x v="1"/>
    <d v="1900-01-27T00:00:00"/>
    <n v="52"/>
    <x v="2"/>
    <x v="7"/>
  </r>
  <r>
    <x v="1787"/>
    <n v="-100"/>
    <x v="3403"/>
    <n v="4469.05"/>
    <s v="Complete Access"/>
    <x v="601"/>
    <x v="0"/>
    <x v="0"/>
    <d v="1900-01-26T00:00:00"/>
    <n v="52"/>
    <x v="2"/>
    <x v="7"/>
  </r>
  <r>
    <x v="1788"/>
    <n v="-20"/>
    <x v="3723"/>
    <n v="4658.7299999999996"/>
    <s v="Complete Access"/>
    <x v="819"/>
    <x v="5"/>
    <x v="83"/>
    <d v="1900-01-24T00:00:00"/>
    <n v="52"/>
    <x v="2"/>
    <x v="7"/>
  </r>
  <r>
    <x v="1788"/>
    <n v="-50"/>
    <x v="3724"/>
    <n v="4569.05"/>
    <s v="Complete Access"/>
    <x v="847"/>
    <x v="18"/>
    <x v="80"/>
    <d v="1900-01-24T00:00:00"/>
    <n v="52"/>
    <x v="2"/>
    <x v="7"/>
  </r>
  <r>
    <x v="1788"/>
    <n v="-15.5"/>
    <x v="3725"/>
    <n v="4619.05"/>
    <s v="Complete Access"/>
    <x v="843"/>
    <x v="1"/>
    <x v="5"/>
    <d v="1900-01-24T00:00:00"/>
    <n v="52"/>
    <x v="2"/>
    <x v="7"/>
  </r>
  <r>
    <x v="1788"/>
    <n v="-12.5"/>
    <x v="3726"/>
    <n v="4634.55"/>
    <s v="Complete Access"/>
    <x v="843"/>
    <x v="1"/>
    <x v="5"/>
    <d v="1900-01-24T00:00:00"/>
    <n v="52"/>
    <x v="2"/>
    <x v="7"/>
  </r>
  <r>
    <x v="1788"/>
    <n v="200"/>
    <x v="3727"/>
    <n v="4678.7299999999996"/>
    <s v="Complete Access"/>
    <x v="657"/>
    <x v="0"/>
    <x v="69"/>
    <d v="1900-01-24T00:00:00"/>
    <n v="52"/>
    <x v="2"/>
    <x v="7"/>
  </r>
  <r>
    <x v="1788"/>
    <n v="-11.68"/>
    <x v="3728"/>
    <n v="4647.05"/>
    <s v="Complete Access"/>
    <x v="27"/>
    <x v="1"/>
    <x v="5"/>
    <d v="1900-01-24T00:00:00"/>
    <n v="52"/>
    <x v="2"/>
    <x v="7"/>
  </r>
  <r>
    <x v="1789"/>
    <n v="1080.25"/>
    <x v="3188"/>
    <n v="4478.7299999999996"/>
    <s v="Complete Access"/>
    <x v="14"/>
    <x v="6"/>
    <x v="9"/>
    <d v="1900-01-23T00:00:00"/>
    <n v="52"/>
    <x v="2"/>
    <x v="7"/>
  </r>
  <r>
    <x v="1790"/>
    <n v="-29.19"/>
    <x v="3729"/>
    <n v="3398.48"/>
    <s v="Complete Access"/>
    <x v="668"/>
    <x v="15"/>
    <x v="34"/>
    <d v="1900-01-22T00:00:00"/>
    <n v="52"/>
    <x v="2"/>
    <x v="7"/>
  </r>
  <r>
    <x v="1790"/>
    <n v="-4"/>
    <x v="3730"/>
    <n v="3427.67"/>
    <s v="Complete Access"/>
    <x v="34"/>
    <x v="9"/>
    <x v="12"/>
    <d v="1900-01-22T00:00:00"/>
    <n v="52"/>
    <x v="2"/>
    <x v="7"/>
  </r>
  <r>
    <x v="1791"/>
    <n v="-30"/>
    <x v="3731"/>
    <n v="4046.67"/>
    <s v="Complete Access"/>
    <x v="8"/>
    <x v="1"/>
    <x v="5"/>
    <d v="1900-01-21T00:00:00"/>
    <n v="51"/>
    <x v="2"/>
    <x v="7"/>
  </r>
  <r>
    <x v="1791"/>
    <n v="-515"/>
    <x v="3404"/>
    <n v="3431.67"/>
    <s v="Complete Access"/>
    <x v="783"/>
    <x v="19"/>
    <x v="61"/>
    <d v="1900-01-21T00:00:00"/>
    <n v="51"/>
    <x v="2"/>
    <x v="7"/>
  </r>
  <r>
    <x v="1791"/>
    <n v="-11.4"/>
    <x v="3732"/>
    <n v="4076.67"/>
    <s v="Complete Access"/>
    <x v="609"/>
    <x v="1"/>
    <x v="1"/>
    <d v="1900-01-21T00:00:00"/>
    <n v="51"/>
    <x v="2"/>
    <x v="7"/>
  </r>
  <r>
    <x v="1791"/>
    <n v="-12.5"/>
    <x v="3733"/>
    <n v="4247.53"/>
    <s v="Complete Access"/>
    <x v="843"/>
    <x v="1"/>
    <x v="5"/>
    <d v="1900-01-21T00:00:00"/>
    <n v="51"/>
    <x v="2"/>
    <x v="7"/>
  </r>
  <r>
    <x v="1791"/>
    <n v="-100"/>
    <x v="2274"/>
    <n v="3946.67"/>
    <s v="Complete Access"/>
    <x v="552"/>
    <x v="0"/>
    <x v="74"/>
    <d v="1900-01-21T00:00:00"/>
    <n v="51"/>
    <x v="2"/>
    <x v="7"/>
  </r>
  <r>
    <x v="1791"/>
    <n v="-159.46"/>
    <x v="3734"/>
    <n v="4088.07"/>
    <s v="Complete Access"/>
    <x v="540"/>
    <x v="12"/>
    <x v="21"/>
    <d v="1900-01-21T00:00:00"/>
    <n v="51"/>
    <x v="2"/>
    <x v="7"/>
  </r>
  <r>
    <x v="1792"/>
    <n v="-12.95"/>
    <x v="3735"/>
    <n v="4310.03"/>
    <s v="Complete Access"/>
    <x v="839"/>
    <x v="1"/>
    <x v="85"/>
    <d v="1900-01-20T00:00:00"/>
    <n v="51"/>
    <x v="2"/>
    <x v="7"/>
  </r>
  <r>
    <x v="1792"/>
    <n v="-50"/>
    <x v="3403"/>
    <n v="4260.03"/>
    <s v="Complete Access"/>
    <x v="601"/>
    <x v="0"/>
    <x v="0"/>
    <d v="1900-01-20T00:00:00"/>
    <n v="51"/>
    <x v="2"/>
    <x v="7"/>
  </r>
  <r>
    <x v="1792"/>
    <n v="-14.8"/>
    <x v="3736"/>
    <n v="4322.9799999999996"/>
    <s v="Complete Access"/>
    <x v="833"/>
    <x v="1"/>
    <x v="5"/>
    <d v="1900-01-20T00:00:00"/>
    <n v="51"/>
    <x v="2"/>
    <x v="7"/>
  </r>
  <r>
    <x v="1793"/>
    <n v="-26.95"/>
    <x v="3737"/>
    <n v="4513.18"/>
    <s v="Complete Access"/>
    <x v="806"/>
    <x v="20"/>
    <x v="63"/>
    <d v="1900-01-19T00:00:00"/>
    <n v="51"/>
    <x v="2"/>
    <x v="7"/>
  </r>
  <r>
    <x v="1793"/>
    <n v="-10.87"/>
    <x v="3738"/>
    <n v="4540.13"/>
    <s v="Complete Access"/>
    <x v="609"/>
    <x v="1"/>
    <x v="1"/>
    <d v="1900-01-19T00:00:00"/>
    <n v="51"/>
    <x v="2"/>
    <x v="7"/>
  </r>
  <r>
    <x v="1793"/>
    <n v="-12.5"/>
    <x v="3739"/>
    <n v="4551"/>
    <s v="Complete Access"/>
    <x v="843"/>
    <x v="1"/>
    <x v="5"/>
    <d v="1900-01-19T00:00:00"/>
    <n v="51"/>
    <x v="2"/>
    <x v="7"/>
  </r>
  <r>
    <x v="1793"/>
    <n v="-175.4"/>
    <x v="3740"/>
    <n v="4337.78"/>
    <s v="Complete Access"/>
    <x v="741"/>
    <x v="16"/>
    <x v="81"/>
    <d v="1900-01-19T00:00:00"/>
    <n v="51"/>
    <x v="2"/>
    <x v="7"/>
  </r>
  <r>
    <x v="1794"/>
    <n v="1080.25"/>
    <x v="3188"/>
    <n v="4563.5"/>
    <s v="Complete Access"/>
    <x v="14"/>
    <x v="6"/>
    <x v="9"/>
    <d v="1900-01-18T00:00:00"/>
    <n v="51"/>
    <x v="2"/>
    <x v="7"/>
  </r>
  <r>
    <x v="1794"/>
    <n v="-15"/>
    <x v="3741"/>
    <n v="3515.75"/>
    <s v="Complete Access"/>
    <x v="848"/>
    <x v="1"/>
    <x v="5"/>
    <d v="1900-01-18T00:00:00"/>
    <n v="51"/>
    <x v="2"/>
    <x v="7"/>
  </r>
  <r>
    <x v="1794"/>
    <n v="-32.5"/>
    <x v="3742"/>
    <n v="3483.25"/>
    <s v="Complete Access"/>
    <x v="1"/>
    <x v="1"/>
    <x v="1"/>
    <d v="1900-01-18T00:00:00"/>
    <n v="51"/>
    <x v="2"/>
    <x v="7"/>
  </r>
  <r>
    <x v="1795"/>
    <n v="-30.8"/>
    <x v="3743"/>
    <n v="3545.25"/>
    <s v="Complete Access"/>
    <x v="8"/>
    <x v="1"/>
    <x v="5"/>
    <d v="1900-01-17T00:00:00"/>
    <n v="51"/>
    <x v="2"/>
    <x v="7"/>
  </r>
  <r>
    <x v="1795"/>
    <n v="-14.5"/>
    <x v="3744"/>
    <n v="3530.75"/>
    <s v="Complete Access"/>
    <x v="843"/>
    <x v="1"/>
    <x v="5"/>
    <d v="1900-01-17T00:00:00"/>
    <n v="51"/>
    <x v="2"/>
    <x v="7"/>
  </r>
  <r>
    <x v="1795"/>
    <n v="-54.1"/>
    <x v="3745"/>
    <n v="3621.34"/>
    <s v="Complete Access"/>
    <x v="393"/>
    <x v="11"/>
    <x v="49"/>
    <d v="1900-01-17T00:00:00"/>
    <n v="51"/>
    <x v="2"/>
    <x v="7"/>
  </r>
  <r>
    <x v="1795"/>
    <n v="-45.29"/>
    <x v="3746"/>
    <n v="3576.05"/>
    <s v="Complete Access"/>
    <x v="1"/>
    <x v="1"/>
    <x v="1"/>
    <d v="1900-01-17T00:00:00"/>
    <n v="51"/>
    <x v="2"/>
    <x v="7"/>
  </r>
  <r>
    <x v="1796"/>
    <n v="220"/>
    <x v="3378"/>
    <n v="3675.44"/>
    <s v="Complete Access"/>
    <x v="722"/>
    <x v="0"/>
    <x v="0"/>
    <d v="1900-01-16T00:00:00"/>
    <n v="51"/>
    <x v="2"/>
    <x v="7"/>
  </r>
  <r>
    <x v="1797"/>
    <n v="-37.64"/>
    <x v="3747"/>
    <n v="4084.24"/>
    <s v="Complete Access"/>
    <x v="841"/>
    <x v="2"/>
    <x v="86"/>
    <d v="1900-01-14T00:00:00"/>
    <n v="50"/>
    <x v="2"/>
    <x v="7"/>
  </r>
  <r>
    <x v="1797"/>
    <n v="-515"/>
    <x v="3404"/>
    <n v="3455.44"/>
    <s v="Complete Access"/>
    <x v="783"/>
    <x v="19"/>
    <x v="61"/>
    <d v="1900-01-14T00:00:00"/>
    <n v="50"/>
    <x v="2"/>
    <x v="7"/>
  </r>
  <r>
    <x v="1797"/>
    <n v="-100"/>
    <x v="2274"/>
    <n v="3970.44"/>
    <s v="Complete Access"/>
    <x v="552"/>
    <x v="0"/>
    <x v="74"/>
    <d v="1900-01-14T00:00:00"/>
    <n v="50"/>
    <x v="2"/>
    <x v="7"/>
  </r>
  <r>
    <x v="1797"/>
    <n v="-13.8"/>
    <x v="3748"/>
    <n v="4070.44"/>
    <s v="Complete Access"/>
    <x v="833"/>
    <x v="1"/>
    <x v="5"/>
    <d v="1900-01-14T00:00:00"/>
    <n v="50"/>
    <x v="2"/>
    <x v="7"/>
  </r>
  <r>
    <x v="1798"/>
    <n v="-50"/>
    <x v="3749"/>
    <n v="4121.88"/>
    <s v="Complete Access"/>
    <x v="776"/>
    <x v="5"/>
    <x v="83"/>
    <d v="1900-01-13T00:00:00"/>
    <n v="50"/>
    <x v="2"/>
    <x v="7"/>
  </r>
  <r>
    <x v="1798"/>
    <n v="-12.5"/>
    <x v="3750"/>
    <n v="4171.88"/>
    <s v="Complete Access"/>
    <x v="843"/>
    <x v="1"/>
    <x v="5"/>
    <d v="1900-01-13T00:00:00"/>
    <n v="50"/>
    <x v="2"/>
    <x v="7"/>
  </r>
  <r>
    <x v="1798"/>
    <n v="-13.5"/>
    <x v="3751"/>
    <n v="4184.38"/>
    <s v="Complete Access"/>
    <x v="687"/>
    <x v="1"/>
    <x v="5"/>
    <d v="1900-01-13T00:00:00"/>
    <n v="50"/>
    <x v="2"/>
    <x v="7"/>
  </r>
  <r>
    <x v="1799"/>
    <n v="-10.39"/>
    <x v="3752"/>
    <n v="4303.78"/>
    <s v="Complete Access"/>
    <x v="609"/>
    <x v="1"/>
    <x v="1"/>
    <d v="1900-01-12T00:00:00"/>
    <n v="50"/>
    <x v="2"/>
    <x v="7"/>
  </r>
  <r>
    <x v="1799"/>
    <n v="-14.4"/>
    <x v="3753"/>
    <n v="4289.38"/>
    <s v="Complete Access"/>
    <x v="260"/>
    <x v="1"/>
    <x v="5"/>
    <d v="1900-01-12T00:00:00"/>
    <n v="50"/>
    <x v="2"/>
    <x v="7"/>
  </r>
  <r>
    <x v="1799"/>
    <n v="-73"/>
    <x v="2543"/>
    <n v="4197.88"/>
    <s v="Complete Access"/>
    <x v="17"/>
    <x v="7"/>
    <x v="11"/>
    <d v="1900-01-12T00:00:00"/>
    <n v="50"/>
    <x v="2"/>
    <x v="7"/>
  </r>
  <r>
    <x v="1799"/>
    <n v="-18.5"/>
    <x v="3754"/>
    <n v="4270.88"/>
    <s v="Complete Access"/>
    <x v="1"/>
    <x v="1"/>
    <x v="1"/>
    <d v="1900-01-12T00:00:00"/>
    <n v="50"/>
    <x v="2"/>
    <x v="7"/>
  </r>
  <r>
    <x v="1800"/>
    <n v="1080.25"/>
    <x v="3188"/>
    <n v="4314.17"/>
    <s v="Complete Access"/>
    <x v="14"/>
    <x v="6"/>
    <x v="9"/>
    <d v="1900-01-11T00:00:00"/>
    <n v="50"/>
    <x v="2"/>
    <x v="7"/>
  </r>
  <r>
    <x v="1800"/>
    <n v="-8.5"/>
    <x v="3755"/>
    <n v="3258.92"/>
    <s v="Complete Access"/>
    <x v="849"/>
    <x v="8"/>
    <x v="29"/>
    <d v="1900-01-11T00:00:00"/>
    <n v="50"/>
    <x v="2"/>
    <x v="7"/>
  </r>
  <r>
    <x v="1800"/>
    <n v="-25"/>
    <x v="3061"/>
    <n v="3233.92"/>
    <s v="Complete Access"/>
    <x v="27"/>
    <x v="1"/>
    <x v="5"/>
    <d v="1900-01-11T00:00:00"/>
    <n v="50"/>
    <x v="2"/>
    <x v="7"/>
  </r>
  <r>
    <x v="1801"/>
    <n v="-30"/>
    <x v="3756"/>
    <n v="3267.42"/>
    <s v="Complete Access"/>
    <x v="8"/>
    <x v="1"/>
    <x v="5"/>
    <d v="1900-01-10T00:00:00"/>
    <n v="50"/>
    <x v="2"/>
    <x v="7"/>
  </r>
  <r>
    <x v="1801"/>
    <n v="-17.8"/>
    <x v="3757"/>
    <n v="3373.15"/>
    <s v="Complete Access"/>
    <x v="833"/>
    <x v="1"/>
    <x v="5"/>
    <d v="1900-01-10T00:00:00"/>
    <n v="50"/>
    <x v="2"/>
    <x v="7"/>
  </r>
  <r>
    <x v="1801"/>
    <n v="-12.8"/>
    <x v="3758"/>
    <n v="3297.42"/>
    <s v="Complete Access"/>
    <x v="833"/>
    <x v="1"/>
    <x v="5"/>
    <d v="1900-01-10T00:00:00"/>
    <n v="50"/>
    <x v="2"/>
    <x v="7"/>
  </r>
  <r>
    <x v="1801"/>
    <n v="-19.43"/>
    <x v="3759"/>
    <n v="3353.72"/>
    <s v="Complete Access"/>
    <x v="237"/>
    <x v="15"/>
    <x v="34"/>
    <d v="1900-01-10T00:00:00"/>
    <n v="50"/>
    <x v="2"/>
    <x v="7"/>
  </r>
  <r>
    <x v="1801"/>
    <n v="-43.5"/>
    <x v="3760"/>
    <n v="3310.22"/>
    <s v="Complete Access"/>
    <x v="1"/>
    <x v="1"/>
    <x v="1"/>
    <d v="1900-01-10T00:00:00"/>
    <n v="50"/>
    <x v="2"/>
    <x v="7"/>
  </r>
  <r>
    <x v="1802"/>
    <n v="-515"/>
    <x v="3404"/>
    <n v="3390.95"/>
    <s v="Complete Access"/>
    <x v="783"/>
    <x v="19"/>
    <x v="61"/>
    <d v="1900-01-07T00:00:00"/>
    <n v="49"/>
    <x v="2"/>
    <x v="7"/>
  </r>
  <r>
    <x v="1802"/>
    <n v="-18"/>
    <x v="3761"/>
    <n v="4005.95"/>
    <s v="Complete Access"/>
    <x v="850"/>
    <x v="8"/>
    <x v="29"/>
    <d v="1900-01-07T00:00:00"/>
    <n v="49"/>
    <x v="2"/>
    <x v="7"/>
  </r>
  <r>
    <x v="1802"/>
    <n v="-8.5"/>
    <x v="3762"/>
    <n v="4023.95"/>
    <s v="Complete Access"/>
    <x v="850"/>
    <x v="8"/>
    <x v="29"/>
    <d v="1900-01-07T00:00:00"/>
    <n v="49"/>
    <x v="2"/>
    <x v="7"/>
  </r>
  <r>
    <x v="1802"/>
    <n v="-100"/>
    <x v="2274"/>
    <n v="3905.95"/>
    <s v="Complete Access"/>
    <x v="552"/>
    <x v="0"/>
    <x v="74"/>
    <d v="1900-01-07T00:00:00"/>
    <n v="49"/>
    <x v="2"/>
    <x v="7"/>
  </r>
  <r>
    <x v="1802"/>
    <n v="-13.8"/>
    <x v="3763"/>
    <n v="4032.45"/>
    <s v="Complete Access"/>
    <x v="833"/>
    <x v="1"/>
    <x v="5"/>
    <d v="1900-01-07T00:00:00"/>
    <n v="49"/>
    <x v="2"/>
    <x v="7"/>
  </r>
  <r>
    <x v="1803"/>
    <n v="-50"/>
    <x v="3764"/>
    <n v="4046.25"/>
    <s v="Complete Access"/>
    <x v="601"/>
    <x v="0"/>
    <x v="0"/>
    <d v="1900-01-06T00:00:00"/>
    <n v="49"/>
    <x v="2"/>
    <x v="7"/>
  </r>
  <r>
    <x v="1803"/>
    <n v="-12.5"/>
    <x v="3765"/>
    <n v="4163.9799999999996"/>
    <s v="Complete Access"/>
    <x v="843"/>
    <x v="1"/>
    <x v="5"/>
    <d v="1900-01-06T00:00:00"/>
    <n v="49"/>
    <x v="2"/>
    <x v="7"/>
  </r>
  <r>
    <x v="1803"/>
    <n v="-10.15"/>
    <x v="3766"/>
    <n v="4096.25"/>
    <s v="Complete Access"/>
    <x v="851"/>
    <x v="1"/>
    <x v="5"/>
    <d v="1900-01-06T00:00:00"/>
    <n v="49"/>
    <x v="2"/>
    <x v="7"/>
  </r>
  <r>
    <x v="1803"/>
    <n v="-57.58"/>
    <x v="3767"/>
    <n v="4106.3999999999996"/>
    <s v="Complete Access"/>
    <x v="1"/>
    <x v="1"/>
    <x v="1"/>
    <d v="1900-01-06T00:00:00"/>
    <n v="49"/>
    <x v="2"/>
    <x v="7"/>
  </r>
  <r>
    <x v="1804"/>
    <n v="-12.25"/>
    <x v="3768"/>
    <n v="4142.58"/>
    <s v="Complete Access"/>
    <x v="839"/>
    <x v="1"/>
    <x v="85"/>
    <d v="1900-01-05T00:00:00"/>
    <n v="49"/>
    <x v="2"/>
    <x v="7"/>
  </r>
  <r>
    <x v="1804"/>
    <n v="-6"/>
    <x v="3769"/>
    <n v="4119.88"/>
    <s v="Complete Access"/>
    <x v="61"/>
    <x v="1"/>
    <x v="1"/>
    <d v="1900-01-05T00:00:00"/>
    <n v="49"/>
    <x v="2"/>
    <x v="7"/>
  </r>
  <r>
    <x v="1804"/>
    <n v="-18"/>
    <x v="3770"/>
    <n v="4351.88"/>
    <s v="Complete Access"/>
    <x v="850"/>
    <x v="8"/>
    <x v="29"/>
    <d v="1900-01-05T00:00:00"/>
    <n v="49"/>
    <x v="2"/>
    <x v="7"/>
  </r>
  <r>
    <x v="1804"/>
    <n v="-16.7"/>
    <x v="3771"/>
    <n v="4125.88"/>
    <s v="Complete Access"/>
    <x v="609"/>
    <x v="1"/>
    <x v="1"/>
    <d v="1900-01-05T00:00:00"/>
    <n v="49"/>
    <x v="2"/>
    <x v="7"/>
  </r>
  <r>
    <x v="1804"/>
    <n v="250"/>
    <x v="3772"/>
    <n v="4369.88"/>
    <s v="Complete Access"/>
    <x v="657"/>
    <x v="0"/>
    <x v="69"/>
    <d v="1900-01-05T00:00:00"/>
    <n v="49"/>
    <x v="2"/>
    <x v="7"/>
  </r>
  <r>
    <x v="1804"/>
    <n v="-175.4"/>
    <x v="3773"/>
    <n v="4176.4799999999996"/>
    <s v="Complete Access"/>
    <x v="741"/>
    <x v="16"/>
    <x v="81"/>
    <d v="1900-01-05T00:00:00"/>
    <n v="49"/>
    <x v="2"/>
    <x v="7"/>
  </r>
  <r>
    <x v="1805"/>
    <n v="-30"/>
    <x v="3774"/>
    <n v="3549.82"/>
    <s v="Complete Access"/>
    <x v="8"/>
    <x v="1"/>
    <x v="5"/>
    <d v="1900-01-04T00:00:00"/>
    <n v="49"/>
    <x v="2"/>
    <x v="7"/>
  </r>
  <r>
    <x v="1805"/>
    <n v="890.2"/>
    <x v="3188"/>
    <n v="4154.83"/>
    <s v="Complete Access"/>
    <x v="14"/>
    <x v="6"/>
    <x v="9"/>
    <d v="1900-01-04T00:00:00"/>
    <n v="49"/>
    <x v="2"/>
    <x v="7"/>
  </r>
  <r>
    <x v="1805"/>
    <n v="-179"/>
    <x v="3775"/>
    <n v="3264.63"/>
    <s v="Complete Access"/>
    <x v="347"/>
    <x v="3"/>
    <x v="62"/>
    <d v="1900-01-04T00:00:00"/>
    <n v="49"/>
    <x v="2"/>
    <x v="7"/>
  </r>
  <r>
    <x v="1805"/>
    <n v="-60"/>
    <x v="3776"/>
    <n v="3489.82"/>
    <s v="Complete Access"/>
    <x v="219"/>
    <x v="7"/>
    <x v="53"/>
    <d v="1900-01-04T00:00:00"/>
    <n v="49"/>
    <x v="2"/>
    <x v="7"/>
  </r>
  <r>
    <x v="1805"/>
    <n v="-119"/>
    <x v="3777"/>
    <n v="3579.82"/>
    <s v="Complete Access"/>
    <x v="852"/>
    <x v="4"/>
    <x v="62"/>
    <d v="1900-01-04T00:00:00"/>
    <n v="49"/>
    <x v="2"/>
    <x v="7"/>
  </r>
  <r>
    <x v="1805"/>
    <n v="-46.19"/>
    <x v="3778"/>
    <n v="3443.63"/>
    <s v="Complete Access"/>
    <x v="34"/>
    <x v="9"/>
    <x v="12"/>
    <d v="1900-01-04T00:00:00"/>
    <n v="49"/>
    <x v="2"/>
    <x v="7"/>
  </r>
  <r>
    <x v="1806"/>
    <n v="-50"/>
    <x v="3779"/>
    <n v="3727.61"/>
    <s v="Complete Access"/>
    <x v="819"/>
    <x v="5"/>
    <x v="83"/>
    <d v="1900-01-03T00:00:00"/>
    <n v="49"/>
    <x v="2"/>
    <x v="7"/>
  </r>
  <r>
    <x v="1806"/>
    <n v="-6.96"/>
    <x v="3780"/>
    <n v="3698.82"/>
    <s v="Complete Access"/>
    <x v="609"/>
    <x v="1"/>
    <x v="1"/>
    <d v="1900-01-03T00:00:00"/>
    <n v="49"/>
    <x v="2"/>
    <x v="7"/>
  </r>
  <r>
    <x v="1806"/>
    <n v="-8.33"/>
    <x v="3781"/>
    <n v="3705.78"/>
    <s v="Complete Access"/>
    <x v="1"/>
    <x v="1"/>
    <x v="1"/>
    <d v="1900-01-03T00:00:00"/>
    <n v="49"/>
    <x v="2"/>
    <x v="7"/>
  </r>
  <r>
    <x v="1806"/>
    <n v="-13.5"/>
    <x v="3782"/>
    <n v="3714.11"/>
    <s v="Complete Access"/>
    <x v="687"/>
    <x v="1"/>
    <x v="5"/>
    <d v="1900-01-03T00:00:00"/>
    <n v="49"/>
    <x v="2"/>
    <x v="7"/>
  </r>
  <r>
    <x v="1807"/>
    <n v="-166.4"/>
    <x v="3783"/>
    <n v="3777.61"/>
    <s v="Complete Access"/>
    <x v="76"/>
    <x v="2"/>
    <x v="2"/>
    <d v="1900-01-02T00:00:00"/>
    <n v="49"/>
    <x v="2"/>
    <x v="7"/>
  </r>
  <r>
    <x v="1808"/>
    <n v="-7.77"/>
    <x v="3784"/>
    <n v="4559.01"/>
    <s v="Complete Access"/>
    <x v="61"/>
    <x v="1"/>
    <x v="1"/>
    <d v="1899-12-31T00:00:00"/>
    <n v="48"/>
    <x v="2"/>
    <x v="7"/>
  </r>
  <r>
    <x v="1808"/>
    <n v="-515"/>
    <x v="3404"/>
    <n v="3944.01"/>
    <s v="Complete Access"/>
    <x v="783"/>
    <x v="19"/>
    <x v="61"/>
    <d v="1899-12-31T00:00:00"/>
    <n v="48"/>
    <x v="2"/>
    <x v="7"/>
  </r>
  <r>
    <x v="1808"/>
    <n v="-9.99"/>
    <x v="3785"/>
    <n v="4566.78"/>
    <s v="Complete Access"/>
    <x v="373"/>
    <x v="8"/>
    <x v="7"/>
    <d v="1899-12-31T00:00:00"/>
    <n v="48"/>
    <x v="2"/>
    <x v="7"/>
  </r>
  <r>
    <x v="1808"/>
    <n v="-100"/>
    <x v="2274"/>
    <n v="4459.01"/>
    <s v="Complete Access"/>
    <x v="552"/>
    <x v="0"/>
    <x v="74"/>
    <d v="1899-12-31T00:00:00"/>
    <n v="48"/>
    <x v="2"/>
    <x v="7"/>
  </r>
  <r>
    <x v="1809"/>
    <n v="-22.2"/>
    <x v="3786"/>
    <n v="4576.7700000000004"/>
    <s v="Complete Access"/>
    <x v="1"/>
    <x v="1"/>
    <x v="1"/>
    <d v="1900-01-29T00:00:00"/>
    <n v="48"/>
    <x v="3"/>
    <x v="7"/>
  </r>
  <r>
    <x v="1809"/>
    <n v="-13.5"/>
    <x v="3787"/>
    <n v="4598.97"/>
    <s v="Complete Access"/>
    <x v="687"/>
    <x v="1"/>
    <x v="5"/>
    <d v="1900-01-29T00:00:00"/>
    <n v="48"/>
    <x v="3"/>
    <x v="7"/>
  </r>
  <r>
    <x v="1810"/>
    <n v="-10.45"/>
    <x v="3788"/>
    <n v="4681.22"/>
    <s v="Complete Access"/>
    <x v="839"/>
    <x v="1"/>
    <x v="85"/>
    <d v="1900-01-28T00:00:00"/>
    <n v="48"/>
    <x v="3"/>
    <x v="7"/>
  </r>
  <r>
    <x v="1810"/>
    <n v="-13.4"/>
    <x v="3789"/>
    <n v="4667.82"/>
    <s v="Complete Access"/>
    <x v="609"/>
    <x v="1"/>
    <x v="1"/>
    <d v="1900-01-28T00:00:00"/>
    <n v="48"/>
    <x v="3"/>
    <x v="7"/>
  </r>
  <r>
    <x v="1810"/>
    <n v="-35.25"/>
    <x v="3790"/>
    <n v="4612.47"/>
    <s v="Complete Access"/>
    <x v="853"/>
    <x v="3"/>
    <x v="26"/>
    <d v="1900-01-28T00:00:00"/>
    <n v="48"/>
    <x v="3"/>
    <x v="7"/>
  </r>
  <r>
    <x v="1810"/>
    <n v="-11.45"/>
    <x v="3791"/>
    <n v="4691.67"/>
    <s v="Complete Access"/>
    <x v="27"/>
    <x v="1"/>
    <x v="5"/>
    <d v="1900-01-28T00:00:00"/>
    <n v="48"/>
    <x v="3"/>
    <x v="7"/>
  </r>
  <r>
    <x v="1810"/>
    <n v="-20.100000000000001"/>
    <x v="3792"/>
    <n v="4647.72"/>
    <s v="Complete Access"/>
    <x v="260"/>
    <x v="1"/>
    <x v="5"/>
    <d v="1900-01-28T00:00:00"/>
    <n v="48"/>
    <x v="3"/>
    <x v="7"/>
  </r>
  <r>
    <x v="1811"/>
    <n v="1052.1099999999999"/>
    <x v="3188"/>
    <n v="4703.12"/>
    <s v="Complete Access"/>
    <x v="14"/>
    <x v="6"/>
    <x v="9"/>
    <d v="1900-01-27T00:00:00"/>
    <n v="48"/>
    <x v="3"/>
    <x v="7"/>
  </r>
  <r>
    <x v="1811"/>
    <n v="-36.97"/>
    <x v="3793"/>
    <n v="3651.01"/>
    <s v="Complete Access"/>
    <x v="1"/>
    <x v="1"/>
    <x v="1"/>
    <d v="1900-01-27T00:00:00"/>
    <n v="48"/>
    <x v="3"/>
    <x v="7"/>
  </r>
  <r>
    <x v="1812"/>
    <n v="-13.1"/>
    <x v="3794"/>
    <n v="3774.07"/>
    <s v="Complete Access"/>
    <x v="839"/>
    <x v="1"/>
    <x v="85"/>
    <d v="1900-01-26T00:00:00"/>
    <n v="48"/>
    <x v="3"/>
    <x v="7"/>
  </r>
  <r>
    <x v="1812"/>
    <n v="-7.14"/>
    <x v="3795"/>
    <n v="3749.13"/>
    <s v="Complete Access"/>
    <x v="61"/>
    <x v="1"/>
    <x v="1"/>
    <d v="1900-01-26T00:00:00"/>
    <n v="48"/>
    <x v="3"/>
    <x v="7"/>
  </r>
  <r>
    <x v="1812"/>
    <n v="-16"/>
    <x v="3796"/>
    <n v="3733.13"/>
    <s v="Complete Access"/>
    <x v="854"/>
    <x v="1"/>
    <x v="5"/>
    <d v="1900-01-26T00:00:00"/>
    <n v="48"/>
    <x v="3"/>
    <x v="7"/>
  </r>
  <r>
    <x v="1812"/>
    <n v="-17.8"/>
    <x v="3797"/>
    <n v="3756.27"/>
    <s v="Complete Access"/>
    <x v="855"/>
    <x v="1"/>
    <x v="5"/>
    <d v="1900-01-26T00:00:00"/>
    <n v="48"/>
    <x v="3"/>
    <x v="7"/>
  </r>
  <r>
    <x v="1812"/>
    <n v="-45.15"/>
    <x v="3798"/>
    <n v="3687.98"/>
    <s v="Complete Access"/>
    <x v="1"/>
    <x v="1"/>
    <x v="1"/>
    <d v="1900-01-26T00:00:00"/>
    <n v="48"/>
    <x v="3"/>
    <x v="7"/>
  </r>
  <r>
    <x v="1813"/>
    <n v="-515"/>
    <x v="3404"/>
    <n v="3787.17"/>
    <s v="Complete Access"/>
    <x v="783"/>
    <x v="19"/>
    <x v="61"/>
    <d v="1900-01-23T00:00:00"/>
    <n v="47"/>
    <x v="3"/>
    <x v="7"/>
  </r>
  <r>
    <x v="1813"/>
    <n v="-100"/>
    <x v="2274"/>
    <n v="4302.17"/>
    <s v="Complete Access"/>
    <x v="552"/>
    <x v="0"/>
    <x v="74"/>
    <d v="1900-01-23T00:00:00"/>
    <n v="47"/>
    <x v="3"/>
    <x v="7"/>
  </r>
  <r>
    <x v="1814"/>
    <n v="-12.5"/>
    <x v="3799"/>
    <n v="4452.17"/>
    <s v="Complete Access"/>
    <x v="61"/>
    <x v="1"/>
    <x v="1"/>
    <d v="1900-01-22T00:00:00"/>
    <n v="47"/>
    <x v="3"/>
    <x v="7"/>
  </r>
  <r>
    <x v="1814"/>
    <n v="-50"/>
    <x v="3764"/>
    <n v="4402.17"/>
    <s v="Complete Access"/>
    <x v="601"/>
    <x v="0"/>
    <x v="0"/>
    <d v="1900-01-22T00:00:00"/>
    <n v="47"/>
    <x v="3"/>
    <x v="7"/>
  </r>
  <r>
    <x v="1814"/>
    <n v="-5.95"/>
    <x v="3800"/>
    <n v="4464.67"/>
    <s v="Complete Access"/>
    <x v="806"/>
    <x v="20"/>
    <x v="63"/>
    <d v="1900-01-22T00:00:00"/>
    <n v="47"/>
    <x v="3"/>
    <x v="7"/>
  </r>
  <r>
    <x v="1814"/>
    <n v="-4.4000000000000004"/>
    <x v="3801"/>
    <n v="4498.04"/>
    <s v="Complete Access"/>
    <x v="819"/>
    <x v="5"/>
    <x v="83"/>
    <d v="1900-01-22T00:00:00"/>
    <n v="47"/>
    <x v="3"/>
    <x v="7"/>
  </r>
  <r>
    <x v="1814"/>
    <n v="-4.4000000000000004"/>
    <x v="3801"/>
    <n v="4502.4399999999996"/>
    <s v="Complete Access"/>
    <x v="819"/>
    <x v="5"/>
    <x v="83"/>
    <d v="1900-01-22T00:00:00"/>
    <n v="47"/>
    <x v="3"/>
    <x v="7"/>
  </r>
  <r>
    <x v="1814"/>
    <n v="-13.92"/>
    <x v="3802"/>
    <n v="4470.62"/>
    <s v="Complete Access"/>
    <x v="609"/>
    <x v="1"/>
    <x v="1"/>
    <d v="1900-01-22T00:00:00"/>
    <n v="47"/>
    <x v="3"/>
    <x v="7"/>
  </r>
  <r>
    <x v="1814"/>
    <n v="-13.5"/>
    <x v="3803"/>
    <n v="4484.54"/>
    <s v="Complete Access"/>
    <x v="687"/>
    <x v="1"/>
    <x v="5"/>
    <d v="1900-01-22T00:00:00"/>
    <n v="47"/>
    <x v="3"/>
    <x v="7"/>
  </r>
  <r>
    <x v="1815"/>
    <n v="-13"/>
    <x v="3804"/>
    <n v="4645.25"/>
    <s v="Complete Access"/>
    <x v="839"/>
    <x v="1"/>
    <x v="85"/>
    <d v="1900-01-21T00:00:00"/>
    <n v="47"/>
    <x v="3"/>
    <x v="7"/>
  </r>
  <r>
    <x v="1815"/>
    <n v="-8.41"/>
    <x v="3805"/>
    <n v="4636.84"/>
    <s v="Complete Access"/>
    <x v="61"/>
    <x v="1"/>
    <x v="1"/>
    <d v="1900-01-21T00:00:00"/>
    <n v="47"/>
    <x v="3"/>
    <x v="7"/>
  </r>
  <r>
    <x v="1815"/>
    <n v="-130"/>
    <x v="3806"/>
    <n v="4506.84"/>
    <s v="Complete Access"/>
    <x v="741"/>
    <x v="16"/>
    <x v="81"/>
    <d v="1900-01-21T00:00:00"/>
    <n v="47"/>
    <x v="3"/>
    <x v="7"/>
  </r>
  <r>
    <x v="1815"/>
    <n v="-13.5"/>
    <x v="3807"/>
    <n v="4658.25"/>
    <s v="Complete Access"/>
    <x v="687"/>
    <x v="1"/>
    <x v="5"/>
    <d v="1900-01-21T00:00:00"/>
    <n v="47"/>
    <x v="3"/>
    <x v="7"/>
  </r>
  <r>
    <x v="1816"/>
    <n v="-20"/>
    <x v="3808"/>
    <n v="3662.5"/>
    <s v="Complete Access"/>
    <x v="856"/>
    <x v="4"/>
    <x v="6"/>
    <d v="1900-01-20T00:00:00"/>
    <n v="47"/>
    <x v="3"/>
    <x v="7"/>
  </r>
  <r>
    <x v="1816"/>
    <n v="-10"/>
    <x v="3809"/>
    <n v="3682.5"/>
    <s v="Complete Access"/>
    <x v="856"/>
    <x v="4"/>
    <x v="6"/>
    <d v="1900-01-20T00:00:00"/>
    <n v="47"/>
    <x v="3"/>
    <x v="7"/>
  </r>
  <r>
    <x v="1816"/>
    <n v="-30"/>
    <x v="3810"/>
    <n v="3692.5"/>
    <s v="Complete Access"/>
    <x v="8"/>
    <x v="1"/>
    <x v="5"/>
    <d v="1900-01-20T00:00:00"/>
    <n v="47"/>
    <x v="3"/>
    <x v="7"/>
  </r>
  <r>
    <x v="1816"/>
    <n v="-50"/>
    <x v="3811"/>
    <n v="3722.5"/>
    <s v="Complete Access"/>
    <x v="776"/>
    <x v="5"/>
    <x v="83"/>
    <d v="1900-01-20T00:00:00"/>
    <n v="47"/>
    <x v="3"/>
    <x v="7"/>
  </r>
  <r>
    <x v="1816"/>
    <n v="1080.25"/>
    <x v="3188"/>
    <n v="4671.75"/>
    <s v="Complete Access"/>
    <x v="14"/>
    <x v="6"/>
    <x v="9"/>
    <d v="1900-01-20T00:00:00"/>
    <n v="47"/>
    <x v="3"/>
    <x v="7"/>
  </r>
  <r>
    <x v="1816"/>
    <n v="-60"/>
    <x v="2929"/>
    <n v="3591.5"/>
    <s v="Complete Access"/>
    <x v="645"/>
    <x v="0"/>
    <x v="69"/>
    <d v="1900-01-20T00:00:00"/>
    <n v="47"/>
    <x v="3"/>
    <x v="7"/>
  </r>
  <r>
    <x v="1816"/>
    <n v="-11"/>
    <x v="3812"/>
    <n v="3651.5"/>
    <s v="Complete Access"/>
    <x v="1"/>
    <x v="1"/>
    <x v="1"/>
    <d v="1900-01-20T00:00:00"/>
    <n v="47"/>
    <x v="3"/>
    <x v="7"/>
  </r>
  <r>
    <x v="1817"/>
    <n v="-78.5"/>
    <x v="3813"/>
    <n v="3805.5"/>
    <s v="Complete Access"/>
    <x v="8"/>
    <x v="1"/>
    <x v="5"/>
    <d v="1900-01-19T00:00:00"/>
    <n v="47"/>
    <x v="3"/>
    <x v="7"/>
  </r>
  <r>
    <x v="1817"/>
    <n v="-22.5"/>
    <x v="3814"/>
    <n v="3772.5"/>
    <s v="Complete Access"/>
    <x v="826"/>
    <x v="8"/>
    <x v="29"/>
    <d v="1900-01-19T00:00:00"/>
    <n v="47"/>
    <x v="3"/>
    <x v="7"/>
  </r>
  <r>
    <x v="1817"/>
    <n v="-13.5"/>
    <x v="3815"/>
    <n v="3884"/>
    <s v="Complete Access"/>
    <x v="687"/>
    <x v="1"/>
    <x v="5"/>
    <d v="1900-01-19T00:00:00"/>
    <n v="47"/>
    <x v="3"/>
    <x v="7"/>
  </r>
  <r>
    <x v="1817"/>
    <n v="-10.5"/>
    <x v="3816"/>
    <n v="3795"/>
    <s v="Complete Access"/>
    <x v="277"/>
    <x v="8"/>
    <x v="29"/>
    <d v="1900-01-19T00:00:00"/>
    <n v="47"/>
    <x v="3"/>
    <x v="7"/>
  </r>
  <r>
    <x v="1818"/>
    <n v="-18.5"/>
    <x v="3817"/>
    <n v="3897.5"/>
    <s v="Complete Access"/>
    <x v="857"/>
    <x v="4"/>
    <x v="6"/>
    <d v="1900-01-16T00:00:00"/>
    <n v="46"/>
    <x v="3"/>
    <x v="7"/>
  </r>
  <r>
    <x v="1818"/>
    <n v="-10"/>
    <x v="3818"/>
    <n v="3916"/>
    <s v="Complete Access"/>
    <x v="856"/>
    <x v="4"/>
    <x v="6"/>
    <d v="1900-01-16T00:00:00"/>
    <n v="46"/>
    <x v="3"/>
    <x v="7"/>
  </r>
  <r>
    <x v="1818"/>
    <n v="-16.239999999999998"/>
    <x v="3819"/>
    <n v="3926"/>
    <s v="Complete Access"/>
    <x v="858"/>
    <x v="8"/>
    <x v="29"/>
    <d v="1900-01-16T00:00:00"/>
    <n v="46"/>
    <x v="3"/>
    <x v="7"/>
  </r>
  <r>
    <x v="1818"/>
    <n v="-8.1199999999999992"/>
    <x v="3819"/>
    <n v="3942.24"/>
    <s v="Complete Access"/>
    <x v="858"/>
    <x v="8"/>
    <x v="29"/>
    <d v="1900-01-16T00:00:00"/>
    <n v="46"/>
    <x v="3"/>
    <x v="7"/>
  </r>
  <r>
    <x v="1818"/>
    <n v="-515"/>
    <x v="3404"/>
    <n v="3950.36"/>
    <s v="Complete Access"/>
    <x v="783"/>
    <x v="19"/>
    <x v="61"/>
    <d v="1900-01-16T00:00:00"/>
    <n v="46"/>
    <x v="3"/>
    <x v="7"/>
  </r>
  <r>
    <x v="1818"/>
    <n v="-100"/>
    <x v="2274"/>
    <n v="4465.3599999999997"/>
    <s v="Complete Access"/>
    <x v="552"/>
    <x v="0"/>
    <x v="74"/>
    <d v="1900-01-16T00:00:00"/>
    <n v="46"/>
    <x v="3"/>
    <x v="7"/>
  </r>
  <r>
    <x v="1819"/>
    <n v="30"/>
    <x v="3112"/>
    <n v="4540.3599999999997"/>
    <s v="Complete Access"/>
    <x v="76"/>
    <x v="2"/>
    <x v="2"/>
    <d v="1900-01-15T00:00:00"/>
    <n v="46"/>
    <x v="3"/>
    <x v="7"/>
  </r>
  <r>
    <x v="1819"/>
    <n v="25"/>
    <x v="3820"/>
    <n v="4565.3599999999997"/>
    <s v="Complete Access"/>
    <x v="67"/>
    <x v="0"/>
    <x v="0"/>
    <d v="1900-01-15T00:00:00"/>
    <n v="46"/>
    <x v="3"/>
    <x v="7"/>
  </r>
  <r>
    <x v="1819"/>
    <n v="-13.5"/>
    <x v="3821"/>
    <n v="4510.3599999999997"/>
    <s v="Complete Access"/>
    <x v="687"/>
    <x v="1"/>
    <x v="5"/>
    <d v="1900-01-15T00:00:00"/>
    <n v="46"/>
    <x v="3"/>
    <x v="7"/>
  </r>
  <r>
    <x v="1820"/>
    <n v="-37.64"/>
    <x v="3822"/>
    <n v="4513.3599999999997"/>
    <s v="Complete Access"/>
    <x v="841"/>
    <x v="2"/>
    <x v="86"/>
    <d v="1900-01-14T00:00:00"/>
    <n v="46"/>
    <x v="3"/>
    <x v="7"/>
  </r>
  <r>
    <x v="1820"/>
    <n v="-12.5"/>
    <x v="3823"/>
    <n v="4500.8599999999997"/>
    <s v="Complete Access"/>
    <x v="843"/>
    <x v="1"/>
    <x v="5"/>
    <d v="1900-01-14T00:00:00"/>
    <n v="46"/>
    <x v="3"/>
    <x v="7"/>
  </r>
  <r>
    <x v="1820"/>
    <n v="23"/>
    <x v="3136"/>
    <n v="4523.8599999999997"/>
    <s v="Complete Access"/>
    <x v="27"/>
    <x v="1"/>
    <x v="5"/>
    <d v="1900-01-14T00:00:00"/>
    <n v="46"/>
    <x v="3"/>
    <x v="7"/>
  </r>
  <r>
    <x v="1821"/>
    <n v="-37"/>
    <x v="3824"/>
    <n v="3509.45"/>
    <s v="Complete Access"/>
    <x v="8"/>
    <x v="1"/>
    <x v="5"/>
    <d v="1900-01-13T00:00:00"/>
    <n v="46"/>
    <x v="3"/>
    <x v="7"/>
  </r>
  <r>
    <x v="1821"/>
    <n v="-30"/>
    <x v="3825"/>
    <n v="3479.45"/>
    <s v="Complete Access"/>
    <x v="8"/>
    <x v="1"/>
    <x v="5"/>
    <d v="1900-01-13T00:00:00"/>
    <n v="46"/>
    <x v="3"/>
    <x v="7"/>
  </r>
  <r>
    <x v="1821"/>
    <n v="1080.25"/>
    <x v="3188"/>
    <n v="4551"/>
    <s v="Complete Access"/>
    <x v="14"/>
    <x v="6"/>
    <x v="9"/>
    <d v="1900-01-13T00:00:00"/>
    <n v="46"/>
    <x v="3"/>
    <x v="7"/>
  </r>
  <r>
    <x v="1821"/>
    <n v="-8.6999999999999993"/>
    <x v="3826"/>
    <n v="3470.75"/>
    <s v="Complete Access"/>
    <x v="1"/>
    <x v="1"/>
    <x v="1"/>
    <d v="1900-01-13T00:00:00"/>
    <n v="46"/>
    <x v="3"/>
    <x v="7"/>
  </r>
  <r>
    <x v="1822"/>
    <n v="-10.65"/>
    <x v="3827"/>
    <n v="3709.18"/>
    <s v="Complete Access"/>
    <x v="839"/>
    <x v="1"/>
    <x v="85"/>
    <d v="1900-01-12T00:00:00"/>
    <n v="46"/>
    <x v="3"/>
    <x v="7"/>
  </r>
  <r>
    <x v="1822"/>
    <n v="-7"/>
    <x v="3828"/>
    <n v="3702.18"/>
    <s v="Complete Access"/>
    <x v="61"/>
    <x v="1"/>
    <x v="1"/>
    <d v="1900-01-12T00:00:00"/>
    <n v="46"/>
    <x v="3"/>
    <x v="7"/>
  </r>
  <r>
    <x v="1822"/>
    <n v="-50"/>
    <x v="3829"/>
    <n v="3719.83"/>
    <s v="Complete Access"/>
    <x v="819"/>
    <x v="5"/>
    <x v="83"/>
    <d v="1900-01-12T00:00:00"/>
    <n v="46"/>
    <x v="3"/>
    <x v="7"/>
  </r>
  <r>
    <x v="1822"/>
    <n v="-35.36"/>
    <x v="3830"/>
    <n v="3769.83"/>
    <s v="Complete Access"/>
    <x v="609"/>
    <x v="1"/>
    <x v="1"/>
    <d v="1900-01-12T00:00:00"/>
    <n v="46"/>
    <x v="3"/>
    <x v="7"/>
  </r>
  <r>
    <x v="1822"/>
    <n v="-35.53"/>
    <x v="3831"/>
    <n v="3619.45"/>
    <s v="Complete Access"/>
    <x v="859"/>
    <x v="1"/>
    <x v="5"/>
    <d v="1900-01-12T00:00:00"/>
    <n v="46"/>
    <x v="3"/>
    <x v="7"/>
  </r>
  <r>
    <x v="1822"/>
    <n v="-9.14"/>
    <x v="3831"/>
    <n v="3654.98"/>
    <s v="Complete Access"/>
    <x v="859"/>
    <x v="1"/>
    <x v="5"/>
    <d v="1900-01-12T00:00:00"/>
    <n v="46"/>
    <x v="3"/>
    <x v="7"/>
  </r>
  <r>
    <x v="1822"/>
    <n v="-18.27"/>
    <x v="3831"/>
    <n v="3664.12"/>
    <s v="Complete Access"/>
    <x v="859"/>
    <x v="1"/>
    <x v="5"/>
    <d v="1900-01-12T00:00:00"/>
    <n v="46"/>
    <x v="3"/>
    <x v="7"/>
  </r>
  <r>
    <x v="1822"/>
    <n v="-19.79"/>
    <x v="3831"/>
    <n v="3682.39"/>
    <s v="Complete Access"/>
    <x v="859"/>
    <x v="1"/>
    <x v="5"/>
    <d v="1900-01-12T00:00:00"/>
    <n v="46"/>
    <x v="3"/>
    <x v="7"/>
  </r>
  <r>
    <x v="1822"/>
    <n v="-73"/>
    <x v="2543"/>
    <n v="3546.45"/>
    <s v="Complete Access"/>
    <x v="17"/>
    <x v="7"/>
    <x v="11"/>
    <d v="1900-01-12T00:00:00"/>
    <n v="46"/>
    <x v="3"/>
    <x v="7"/>
  </r>
  <r>
    <x v="1823"/>
    <n v="-6"/>
    <x v="3832"/>
    <n v="4420.1899999999996"/>
    <s v="Complete Access"/>
    <x v="61"/>
    <x v="1"/>
    <x v="1"/>
    <d v="1900-01-09T00:00:00"/>
    <n v="45"/>
    <x v="3"/>
    <x v="7"/>
  </r>
  <r>
    <x v="1823"/>
    <n v="-515"/>
    <x v="3404"/>
    <n v="3805.19"/>
    <s v="Complete Access"/>
    <x v="783"/>
    <x v="19"/>
    <x v="61"/>
    <d v="1900-01-09T00:00:00"/>
    <n v="45"/>
    <x v="3"/>
    <x v="7"/>
  </r>
  <r>
    <x v="1823"/>
    <n v="-100"/>
    <x v="2274"/>
    <n v="4320.1899999999996"/>
    <s v="Complete Access"/>
    <x v="552"/>
    <x v="0"/>
    <x v="74"/>
    <d v="1900-01-09T00:00:00"/>
    <n v="45"/>
    <x v="3"/>
    <x v="7"/>
  </r>
  <r>
    <x v="1824"/>
    <n v="-6"/>
    <x v="3833"/>
    <n v="4518.18"/>
    <s v="Complete Access"/>
    <x v="61"/>
    <x v="1"/>
    <x v="1"/>
    <d v="1900-01-08T00:00:00"/>
    <n v="45"/>
    <x v="3"/>
    <x v="7"/>
  </r>
  <r>
    <x v="1824"/>
    <n v="-50"/>
    <x v="3764"/>
    <n v="4456.1899999999996"/>
    <s v="Complete Access"/>
    <x v="601"/>
    <x v="0"/>
    <x v="0"/>
    <d v="1900-01-08T00:00:00"/>
    <n v="45"/>
    <x v="3"/>
    <x v="7"/>
  </r>
  <r>
    <x v="1824"/>
    <n v="-11.99"/>
    <x v="3834"/>
    <n v="4506.1899999999996"/>
    <s v="Complete Access"/>
    <x v="860"/>
    <x v="8"/>
    <x v="22"/>
    <d v="1900-01-08T00:00:00"/>
    <n v="45"/>
    <x v="3"/>
    <x v="7"/>
  </r>
  <r>
    <x v="1824"/>
    <n v="-30"/>
    <x v="3835"/>
    <n v="4426.1899999999996"/>
    <s v="Complete Access"/>
    <x v="861"/>
    <x v="3"/>
    <x v="26"/>
    <d v="1900-01-08T00:00:00"/>
    <n v="45"/>
    <x v="3"/>
    <x v="7"/>
  </r>
  <r>
    <x v="1825"/>
    <n v="-17"/>
    <x v="3836"/>
    <n v="4654.18"/>
    <s v="Complete Access"/>
    <x v="842"/>
    <x v="8"/>
    <x v="29"/>
    <d v="1900-01-07T00:00:00"/>
    <n v="45"/>
    <x v="3"/>
    <x v="7"/>
  </r>
  <r>
    <x v="1825"/>
    <n v="-12.5"/>
    <x v="3837"/>
    <n v="4742.1099999999997"/>
    <s v="Complete Access"/>
    <x v="843"/>
    <x v="1"/>
    <x v="5"/>
    <d v="1900-01-07T00:00:00"/>
    <n v="45"/>
    <x v="3"/>
    <x v="7"/>
  </r>
  <r>
    <x v="1825"/>
    <n v="-130"/>
    <x v="3838"/>
    <n v="4524.18"/>
    <s v="Complete Access"/>
    <x v="741"/>
    <x v="16"/>
    <x v="81"/>
    <d v="1900-01-07T00:00:00"/>
    <n v="45"/>
    <x v="3"/>
    <x v="7"/>
  </r>
  <r>
    <x v="1825"/>
    <n v="-70.930000000000007"/>
    <x v="3839"/>
    <n v="4671.18"/>
    <s v="Complete Access"/>
    <x v="1"/>
    <x v="1"/>
    <x v="1"/>
    <d v="1900-01-07T00:00:00"/>
    <n v="45"/>
    <x v="3"/>
    <x v="7"/>
  </r>
  <r>
    <x v="1826"/>
    <n v="-46.5"/>
    <x v="3840"/>
    <n v="3674.36"/>
    <s v="Complete Access"/>
    <x v="8"/>
    <x v="1"/>
    <x v="5"/>
    <d v="1900-01-06T00:00:00"/>
    <n v="45"/>
    <x v="3"/>
    <x v="7"/>
  </r>
  <r>
    <x v="1826"/>
    <n v="1080.25"/>
    <x v="3188"/>
    <n v="4754.6099999999997"/>
    <s v="Complete Access"/>
    <x v="14"/>
    <x v="6"/>
    <x v="9"/>
    <d v="1900-01-06T00:00:00"/>
    <n v="45"/>
    <x v="3"/>
    <x v="7"/>
  </r>
  <r>
    <x v="1826"/>
    <n v="-57"/>
    <x v="3841"/>
    <n v="3720.86"/>
    <s v="Complete Access"/>
    <x v="343"/>
    <x v="1"/>
    <x v="5"/>
    <d v="1900-01-06T00:00:00"/>
    <n v="45"/>
    <x v="3"/>
    <x v="7"/>
  </r>
  <r>
    <x v="1827"/>
    <n v="20"/>
    <x v="3842"/>
    <n v="3777.86"/>
    <s v="Complete Access"/>
    <x v="67"/>
    <x v="0"/>
    <x v="0"/>
    <d v="1900-01-04T00:00:00"/>
    <n v="45"/>
    <x v="3"/>
    <x v="7"/>
  </r>
  <r>
    <x v="1828"/>
    <n v="-15.54"/>
    <x v="3317"/>
    <n v="3757.86"/>
    <s v="Complete Access"/>
    <x v="761"/>
    <x v="15"/>
    <x v="34"/>
    <d v="1900-01-03T00:00:00"/>
    <n v="45"/>
    <x v="3"/>
    <x v="7"/>
  </r>
  <r>
    <x v="1829"/>
    <n v="-50"/>
    <x v="3843"/>
    <n v="3798.9"/>
    <s v="Complete Access"/>
    <x v="601"/>
    <x v="0"/>
    <x v="0"/>
    <d v="1900-01-02T00:00:00"/>
    <n v="44"/>
    <x v="3"/>
    <x v="7"/>
  </r>
  <r>
    <x v="1829"/>
    <n v="-20"/>
    <x v="3843"/>
    <n v="3851.4"/>
    <s v="Complete Access"/>
    <x v="601"/>
    <x v="0"/>
    <x v="0"/>
    <d v="1900-01-02T00:00:00"/>
    <n v="44"/>
    <x v="3"/>
    <x v="7"/>
  </r>
  <r>
    <x v="1829"/>
    <n v="-17"/>
    <x v="3844"/>
    <n v="3940.4"/>
    <s v="Complete Access"/>
    <x v="842"/>
    <x v="8"/>
    <x v="29"/>
    <d v="1900-01-02T00:00:00"/>
    <n v="44"/>
    <x v="3"/>
    <x v="7"/>
  </r>
  <r>
    <x v="1829"/>
    <n v="-515"/>
    <x v="3404"/>
    <n v="3957.4"/>
    <s v="Complete Access"/>
    <x v="783"/>
    <x v="19"/>
    <x v="61"/>
    <d v="1900-01-02T00:00:00"/>
    <n v="44"/>
    <x v="3"/>
    <x v="7"/>
  </r>
  <r>
    <x v="1829"/>
    <n v="-2.5"/>
    <x v="72"/>
    <n v="3796.4"/>
    <s v="Complete Access"/>
    <x v="37"/>
    <x v="0"/>
    <x v="0"/>
    <d v="1900-01-02T00:00:00"/>
    <n v="44"/>
    <x v="3"/>
    <x v="7"/>
  </r>
  <r>
    <x v="1829"/>
    <n v="-2.5"/>
    <x v="72"/>
    <n v="3848.9"/>
    <s v="Complete Access"/>
    <x v="37"/>
    <x v="0"/>
    <x v="0"/>
    <d v="1900-01-02T00:00:00"/>
    <n v="44"/>
    <x v="3"/>
    <x v="7"/>
  </r>
  <r>
    <x v="1829"/>
    <n v="-100"/>
    <x v="2274"/>
    <n v="4472.3999999999996"/>
    <s v="Complete Access"/>
    <x v="552"/>
    <x v="0"/>
    <x v="74"/>
    <d v="1900-01-02T00:00:00"/>
    <n v="44"/>
    <x v="3"/>
    <x v="7"/>
  </r>
  <r>
    <x v="1829"/>
    <n v="-12"/>
    <x v="3061"/>
    <n v="3773.4"/>
    <s v="Complete Access"/>
    <x v="27"/>
    <x v="1"/>
    <x v="5"/>
    <d v="1900-01-02T00:00:00"/>
    <n v="44"/>
    <x v="3"/>
    <x v="7"/>
  </r>
  <r>
    <x v="1829"/>
    <n v="-11"/>
    <x v="3845"/>
    <n v="3785.4"/>
    <s v="Complete Access"/>
    <x v="862"/>
    <x v="8"/>
    <x v="29"/>
    <d v="1900-01-02T00:00:00"/>
    <n v="44"/>
    <x v="3"/>
    <x v="7"/>
  </r>
  <r>
    <x v="1829"/>
    <n v="-9"/>
    <x v="3845"/>
    <n v="3871.4"/>
    <s v="Complete Access"/>
    <x v="862"/>
    <x v="8"/>
    <x v="29"/>
    <d v="1900-01-02T00:00:00"/>
    <n v="44"/>
    <x v="3"/>
    <x v="7"/>
  </r>
  <r>
    <x v="1829"/>
    <n v="-60"/>
    <x v="3846"/>
    <n v="3880.4"/>
    <s v="Complete Access"/>
    <x v="219"/>
    <x v="7"/>
    <x v="53"/>
    <d v="1900-01-02T00:00:00"/>
    <n v="44"/>
    <x v="3"/>
    <x v="7"/>
  </r>
  <r>
    <x v="1830"/>
    <n v="-11.35"/>
    <x v="3203"/>
    <n v="4598.8999999999996"/>
    <s v="Complete Access"/>
    <x v="188"/>
    <x v="1"/>
    <x v="1"/>
    <d v="1900-01-01T00:00:00"/>
    <n v="44"/>
    <x v="3"/>
    <x v="7"/>
  </r>
  <r>
    <x v="1830"/>
    <n v="-50"/>
    <x v="3847"/>
    <n v="4610.25"/>
    <s v="Complete Access"/>
    <x v="819"/>
    <x v="5"/>
    <x v="83"/>
    <d v="1900-01-01T00:00:00"/>
    <n v="44"/>
    <x v="3"/>
    <x v="7"/>
  </r>
  <r>
    <x v="1830"/>
    <n v="-26.5"/>
    <x v="3848"/>
    <n v="4572.3999999999996"/>
    <s v="Complete Access"/>
    <x v="826"/>
    <x v="8"/>
    <x v="29"/>
    <d v="1900-01-01T00:00:00"/>
    <n v="44"/>
    <x v="3"/>
    <x v="7"/>
  </r>
  <r>
    <x v="1830"/>
    <n v="-13.5"/>
    <x v="3849"/>
    <n v="4660.25"/>
    <s v="Complete Access"/>
    <x v="687"/>
    <x v="1"/>
    <x v="5"/>
    <d v="1900-01-01T00:00:00"/>
    <n v="44"/>
    <x v="3"/>
    <x v="7"/>
  </r>
  <r>
    <x v="1831"/>
    <n v="-12.6"/>
    <x v="3850"/>
    <n v="4982.72"/>
    <s v="Complete Access"/>
    <x v="839"/>
    <x v="1"/>
    <x v="85"/>
    <d v="1899-12-31T00:00:00"/>
    <n v="44"/>
    <x v="3"/>
    <x v="7"/>
  </r>
  <r>
    <x v="1831"/>
    <n v="-34.85"/>
    <x v="3851"/>
    <n v="4940.62"/>
    <s v="Complete Access"/>
    <x v="8"/>
    <x v="1"/>
    <x v="5"/>
    <d v="1899-12-31T00:00:00"/>
    <n v="44"/>
    <x v="3"/>
    <x v="7"/>
  </r>
  <r>
    <x v="1831"/>
    <n v="-7.25"/>
    <x v="3852"/>
    <n v="4975.47"/>
    <s v="Complete Access"/>
    <x v="609"/>
    <x v="1"/>
    <x v="1"/>
    <d v="1899-12-31T00:00:00"/>
    <n v="44"/>
    <x v="3"/>
    <x v="7"/>
  </r>
  <r>
    <x v="1831"/>
    <n v="-12.5"/>
    <x v="3853"/>
    <n v="4995.32"/>
    <s v="Complete Access"/>
    <x v="843"/>
    <x v="1"/>
    <x v="5"/>
    <d v="1899-12-31T00:00:00"/>
    <n v="44"/>
    <x v="3"/>
    <x v="7"/>
  </r>
  <r>
    <x v="1831"/>
    <n v="-70"/>
    <x v="3854"/>
    <n v="4870.62"/>
    <s v="Complete Access"/>
    <x v="393"/>
    <x v="11"/>
    <x v="49"/>
    <d v="1899-12-31T00:00:00"/>
    <n v="44"/>
    <x v="3"/>
    <x v="7"/>
  </r>
  <r>
    <x v="1831"/>
    <n v="-166.4"/>
    <x v="3855"/>
    <n v="4673.75"/>
    <s v="Complete Access"/>
    <x v="76"/>
    <x v="2"/>
    <x v="2"/>
    <d v="1899-12-31T00:00:00"/>
    <n v="44"/>
    <x v="3"/>
    <x v="7"/>
  </r>
  <r>
    <x v="1831"/>
    <n v="-30.47"/>
    <x v="3856"/>
    <n v="4840.1499999999996"/>
    <s v="Complete Access"/>
    <x v="1"/>
    <x v="1"/>
    <x v="1"/>
    <d v="1899-12-31T00:00:00"/>
    <n v="44"/>
    <x v="3"/>
    <x v="7"/>
  </r>
  <r>
    <x v="1832"/>
    <n v="-4.38"/>
    <x v="3203"/>
    <n v="3946.07"/>
    <s v="Complete Access"/>
    <x v="188"/>
    <x v="1"/>
    <x v="1"/>
    <d v="1900-01-30T00:00:00"/>
    <n v="44"/>
    <x v="4"/>
    <x v="7"/>
  </r>
  <r>
    <x v="1832"/>
    <n v="-17.5"/>
    <x v="3857"/>
    <n v="3960.44"/>
    <s v="Complete Access"/>
    <x v="863"/>
    <x v="8"/>
    <x v="29"/>
    <d v="1900-01-30T00:00:00"/>
    <n v="44"/>
    <x v="4"/>
    <x v="7"/>
  </r>
  <r>
    <x v="1832"/>
    <n v="1080.25"/>
    <x v="3188"/>
    <n v="5007.82"/>
    <s v="Complete Access"/>
    <x v="14"/>
    <x v="6"/>
    <x v="9"/>
    <d v="1900-01-30T00:00:00"/>
    <n v="44"/>
    <x v="4"/>
    <x v="7"/>
  </r>
  <r>
    <x v="1832"/>
    <n v="-12.5"/>
    <x v="3858"/>
    <n v="3933.57"/>
    <s v="Complete Access"/>
    <x v="843"/>
    <x v="1"/>
    <x v="5"/>
    <d v="1900-01-30T00:00:00"/>
    <n v="44"/>
    <x v="4"/>
    <x v="7"/>
  </r>
  <r>
    <x v="1832"/>
    <n v="-9.99"/>
    <x v="3859"/>
    <n v="3950.45"/>
    <s v="Complete Access"/>
    <x v="373"/>
    <x v="8"/>
    <x v="7"/>
    <d v="1900-01-30T00:00:00"/>
    <n v="44"/>
    <x v="4"/>
    <x v="7"/>
  </r>
  <r>
    <x v="1832"/>
    <n v="-6"/>
    <x v="3860"/>
    <n v="3927.57"/>
    <s v="Complete Access"/>
    <x v="587"/>
    <x v="8"/>
    <x v="22"/>
    <d v="1900-01-30T00:00:00"/>
    <n v="44"/>
    <x v="4"/>
    <x v="7"/>
  </r>
  <r>
    <x v="1833"/>
    <n v="-6.7"/>
    <x v="3861"/>
    <n v="3942.94"/>
    <s v="Complete Access"/>
    <x v="447"/>
    <x v="3"/>
    <x v="26"/>
    <d v="1900-01-29T00:00:00"/>
    <n v="44"/>
    <x v="4"/>
    <x v="7"/>
  </r>
  <r>
    <x v="1833"/>
    <n v="87.99"/>
    <x v="3862"/>
    <n v="4007.74"/>
    <s v="Complete Access"/>
    <x v="864"/>
    <x v="3"/>
    <x v="15"/>
    <d v="1900-01-29T00:00:00"/>
    <n v="44"/>
    <x v="4"/>
    <x v="7"/>
  </r>
  <r>
    <x v="1833"/>
    <n v="-12.5"/>
    <x v="3863"/>
    <n v="3995.24"/>
    <s v="Complete Access"/>
    <x v="843"/>
    <x v="1"/>
    <x v="5"/>
    <d v="1900-01-29T00:00:00"/>
    <n v="44"/>
    <x v="4"/>
    <x v="7"/>
  </r>
  <r>
    <x v="1833"/>
    <n v="35"/>
    <x v="3024"/>
    <n v="3977.94"/>
    <s v="Complete Access"/>
    <x v="27"/>
    <x v="1"/>
    <x v="5"/>
    <d v="1900-01-29T00:00:00"/>
    <n v="44"/>
    <x v="4"/>
    <x v="7"/>
  </r>
  <r>
    <x v="1833"/>
    <n v="-45.6"/>
    <x v="3864"/>
    <n v="3949.64"/>
    <s v="Complete Access"/>
    <x v="1"/>
    <x v="1"/>
    <x v="1"/>
    <d v="1900-01-29T00:00:00"/>
    <n v="44"/>
    <x v="4"/>
    <x v="7"/>
  </r>
  <r>
    <x v="1834"/>
    <n v="-29.82"/>
    <x v="3729"/>
    <n v="3919.75"/>
    <s v="Complete Access"/>
    <x v="668"/>
    <x v="15"/>
    <x v="34"/>
    <d v="1900-01-27T00:00:00"/>
    <n v="44"/>
    <x v="4"/>
    <x v="7"/>
  </r>
  <r>
    <x v="1834"/>
    <n v="-8.5"/>
    <x v="3865"/>
    <n v="3969.57"/>
    <s v="Complete Access"/>
    <x v="863"/>
    <x v="8"/>
    <x v="29"/>
    <d v="1900-01-27T00:00:00"/>
    <n v="44"/>
    <x v="4"/>
    <x v="7"/>
  </r>
  <r>
    <x v="1834"/>
    <n v="-8.5"/>
    <x v="3865"/>
    <n v="3978.07"/>
    <s v="Complete Access"/>
    <x v="863"/>
    <x v="8"/>
    <x v="29"/>
    <d v="1900-01-27T00:00:00"/>
    <n v="44"/>
    <x v="4"/>
    <x v="7"/>
  </r>
  <r>
    <x v="1834"/>
    <n v="-19"/>
    <x v="3865"/>
    <n v="3986.57"/>
    <s v="Complete Access"/>
    <x v="863"/>
    <x v="8"/>
    <x v="29"/>
    <d v="1900-01-27T00:00:00"/>
    <n v="44"/>
    <x v="4"/>
    <x v="7"/>
  </r>
  <r>
    <x v="1834"/>
    <n v="-8.5"/>
    <x v="3865"/>
    <n v="4005.57"/>
    <s v="Complete Access"/>
    <x v="863"/>
    <x v="8"/>
    <x v="29"/>
    <d v="1900-01-27T00:00:00"/>
    <n v="44"/>
    <x v="4"/>
    <x v="7"/>
  </r>
  <r>
    <x v="1834"/>
    <n v="-20"/>
    <x v="3866"/>
    <n v="3949.57"/>
    <s v="Complete Access"/>
    <x v="865"/>
    <x v="1"/>
    <x v="5"/>
    <d v="1900-01-27T00:00:00"/>
    <n v="44"/>
    <x v="4"/>
    <x v="7"/>
  </r>
  <r>
    <x v="1835"/>
    <n v="-515"/>
    <x v="3404"/>
    <n v="4089.37"/>
    <s v="Complete Access"/>
    <x v="783"/>
    <x v="19"/>
    <x v="61"/>
    <d v="1900-01-26T00:00:00"/>
    <n v="43"/>
    <x v="4"/>
    <x v="7"/>
  </r>
  <r>
    <x v="1835"/>
    <n v="-32"/>
    <x v="3867"/>
    <n v="4044.87"/>
    <s v="Complete Access"/>
    <x v="609"/>
    <x v="1"/>
    <x v="1"/>
    <d v="1900-01-26T00:00:00"/>
    <n v="43"/>
    <x v="4"/>
    <x v="7"/>
  </r>
  <r>
    <x v="1835"/>
    <n v="-12.5"/>
    <x v="3868"/>
    <n v="4076.87"/>
    <s v="Complete Access"/>
    <x v="843"/>
    <x v="1"/>
    <x v="5"/>
    <d v="1900-01-26T00:00:00"/>
    <n v="43"/>
    <x v="4"/>
    <x v="7"/>
  </r>
  <r>
    <x v="1835"/>
    <n v="-10.3"/>
    <x v="3869"/>
    <n v="4034.57"/>
    <s v="Complete Access"/>
    <x v="47"/>
    <x v="1"/>
    <x v="5"/>
    <d v="1900-01-26T00:00:00"/>
    <n v="43"/>
    <x v="4"/>
    <x v="7"/>
  </r>
  <r>
    <x v="1835"/>
    <n v="-100"/>
    <x v="2274"/>
    <n v="4604.37"/>
    <s v="Complete Access"/>
    <x v="552"/>
    <x v="0"/>
    <x v="74"/>
    <d v="1900-01-26T00:00:00"/>
    <n v="43"/>
    <x v="4"/>
    <x v="7"/>
  </r>
  <r>
    <x v="1835"/>
    <n v="-20.5"/>
    <x v="3870"/>
    <n v="4014.07"/>
    <s v="Complete Access"/>
    <x v="260"/>
    <x v="1"/>
    <x v="5"/>
    <d v="1900-01-26T00:00:00"/>
    <n v="43"/>
    <x v="4"/>
    <x v="7"/>
  </r>
  <r>
    <x v="1836"/>
    <n v="-4.21"/>
    <x v="3871"/>
    <n v="4704.37"/>
    <s v="Complete Access"/>
    <x v="61"/>
    <x v="1"/>
    <x v="1"/>
    <d v="1900-01-25T00:00:00"/>
    <n v="43"/>
    <x v="4"/>
    <x v="7"/>
  </r>
  <r>
    <x v="1836"/>
    <n v="-4.3"/>
    <x v="3872"/>
    <n v="4708.58"/>
    <s v="Complete Access"/>
    <x v="199"/>
    <x v="14"/>
    <x v="46"/>
    <d v="1900-01-25T00:00:00"/>
    <n v="43"/>
    <x v="4"/>
    <x v="7"/>
  </r>
  <r>
    <x v="1837"/>
    <n v="-7.12"/>
    <x v="3873"/>
    <n v="4859.88"/>
    <s v="Complete Access"/>
    <x v="61"/>
    <x v="1"/>
    <x v="1"/>
    <d v="1900-01-24T00:00:00"/>
    <n v="43"/>
    <x v="4"/>
    <x v="7"/>
  </r>
  <r>
    <x v="1837"/>
    <n v="-17"/>
    <x v="3874"/>
    <n v="4842.88"/>
    <s v="Complete Access"/>
    <x v="842"/>
    <x v="8"/>
    <x v="29"/>
    <d v="1900-01-24T00:00:00"/>
    <n v="43"/>
    <x v="4"/>
    <x v="7"/>
  </r>
  <r>
    <x v="1837"/>
    <n v="-130"/>
    <x v="3875"/>
    <n v="4712.88"/>
    <s v="Complete Access"/>
    <x v="741"/>
    <x v="16"/>
    <x v="81"/>
    <d v="1900-01-24T00:00:00"/>
    <n v="43"/>
    <x v="4"/>
    <x v="7"/>
  </r>
  <r>
    <x v="1837"/>
    <n v="-41"/>
    <x v="3876"/>
    <n v="4867"/>
    <s v="Complete Access"/>
    <x v="1"/>
    <x v="1"/>
    <x v="1"/>
    <d v="1900-01-24T00:00:00"/>
    <n v="43"/>
    <x v="4"/>
    <x v="7"/>
  </r>
  <r>
    <x v="1837"/>
    <n v="-13.5"/>
    <x v="3877"/>
    <n v="4908"/>
    <s v="Complete Access"/>
    <x v="687"/>
    <x v="1"/>
    <x v="5"/>
    <d v="1900-01-24T00:00:00"/>
    <n v="43"/>
    <x v="4"/>
    <x v="7"/>
  </r>
  <r>
    <x v="1838"/>
    <n v="1080.25"/>
    <x v="3188"/>
    <n v="4921.5"/>
    <s v="Complete Access"/>
    <x v="14"/>
    <x v="6"/>
    <x v="9"/>
    <d v="1900-01-23T00:00:00"/>
    <n v="43"/>
    <x v="4"/>
    <x v="7"/>
  </r>
  <r>
    <x v="1838"/>
    <n v="-31.4"/>
    <x v="3878"/>
    <n v="3811.25"/>
    <s v="Complete Access"/>
    <x v="343"/>
    <x v="1"/>
    <x v="5"/>
    <d v="1900-01-23T00:00:00"/>
    <n v="43"/>
    <x v="4"/>
    <x v="7"/>
  </r>
  <r>
    <x v="1838"/>
    <n v="30"/>
    <x v="3879"/>
    <n v="3841.25"/>
    <s v="Complete Access"/>
    <x v="645"/>
    <x v="0"/>
    <x v="69"/>
    <d v="1900-01-23T00:00:00"/>
    <n v="43"/>
    <x v="4"/>
    <x v="7"/>
  </r>
  <r>
    <x v="1839"/>
    <n v="-50"/>
    <x v="3403"/>
    <n v="3842.65"/>
    <s v="Complete Access"/>
    <x v="601"/>
    <x v="0"/>
    <x v="0"/>
    <d v="1900-01-22T00:00:00"/>
    <n v="43"/>
    <x v="4"/>
    <x v="7"/>
  </r>
  <r>
    <x v="1839"/>
    <n v="-13.5"/>
    <x v="3880"/>
    <n v="3892.65"/>
    <s v="Complete Access"/>
    <x v="687"/>
    <x v="1"/>
    <x v="5"/>
    <d v="1900-01-22T00:00:00"/>
    <n v="43"/>
    <x v="4"/>
    <x v="7"/>
  </r>
  <r>
    <x v="1840"/>
    <n v="-6.64"/>
    <x v="3203"/>
    <n v="3906.15"/>
    <s v="Complete Access"/>
    <x v="188"/>
    <x v="1"/>
    <x v="1"/>
    <d v="1900-01-21T00:00:00"/>
    <n v="43"/>
    <x v="4"/>
    <x v="7"/>
  </r>
  <r>
    <x v="1841"/>
    <n v="-515"/>
    <x v="3404"/>
    <n v="3912.79"/>
    <s v="Complete Access"/>
    <x v="783"/>
    <x v="19"/>
    <x v="61"/>
    <d v="1900-01-19T00:00:00"/>
    <n v="42"/>
    <x v="4"/>
    <x v="7"/>
  </r>
  <r>
    <x v="1841"/>
    <n v="-4.59"/>
    <x v="3881"/>
    <n v="4527.79"/>
    <s v="Complete Access"/>
    <x v="10"/>
    <x v="0"/>
    <x v="0"/>
    <d v="1900-01-19T00:00:00"/>
    <n v="42"/>
    <x v="4"/>
    <x v="7"/>
  </r>
  <r>
    <x v="1841"/>
    <n v="-100"/>
    <x v="2274"/>
    <n v="4427.79"/>
    <s v="Complete Access"/>
    <x v="552"/>
    <x v="0"/>
    <x v="74"/>
    <d v="1900-01-19T00:00:00"/>
    <n v="42"/>
    <x v="4"/>
    <x v="7"/>
  </r>
  <r>
    <x v="1841"/>
    <n v="-153.12"/>
    <x v="3882"/>
    <n v="4532.38"/>
    <s v="Complete Access"/>
    <x v="866"/>
    <x v="4"/>
    <x v="47"/>
    <d v="1900-01-19T00:00:00"/>
    <n v="42"/>
    <x v="4"/>
    <x v="7"/>
  </r>
  <r>
    <x v="1842"/>
    <n v="-50"/>
    <x v="2970"/>
    <n v="4727.33"/>
    <s v="Complete Access"/>
    <x v="601"/>
    <x v="0"/>
    <x v="0"/>
    <d v="1900-01-18T00:00:00"/>
    <n v="42"/>
    <x v="4"/>
    <x v="7"/>
  </r>
  <r>
    <x v="1842"/>
    <n v="-7.48"/>
    <x v="3883"/>
    <n v="4685.5"/>
    <s v="Complete Access"/>
    <x v="177"/>
    <x v="1"/>
    <x v="1"/>
    <d v="1900-01-18T00:00:00"/>
    <n v="42"/>
    <x v="4"/>
    <x v="7"/>
  </r>
  <r>
    <x v="1842"/>
    <n v="-34.35"/>
    <x v="3700"/>
    <n v="4692.9799999999996"/>
    <s v="Complete Access"/>
    <x v="1"/>
    <x v="1"/>
    <x v="1"/>
    <d v="1900-01-18T00:00:00"/>
    <n v="42"/>
    <x v="4"/>
    <x v="7"/>
  </r>
  <r>
    <x v="1843"/>
    <n v="-157.94"/>
    <x v="3884"/>
    <n v="4777.33"/>
    <s v="Complete Access"/>
    <x v="867"/>
    <x v="3"/>
    <x v="15"/>
    <d v="1900-01-17T00:00:00"/>
    <n v="42"/>
    <x v="4"/>
    <x v="7"/>
  </r>
  <r>
    <x v="1843"/>
    <n v="-14"/>
    <x v="3885"/>
    <n v="5010.09"/>
    <s v="Complete Access"/>
    <x v="254"/>
    <x v="16"/>
    <x v="35"/>
    <d v="1900-01-17T00:00:00"/>
    <n v="42"/>
    <x v="4"/>
    <x v="7"/>
  </r>
  <r>
    <x v="1843"/>
    <n v="-74.819999999999993"/>
    <x v="3886"/>
    <n v="4935.2700000000004"/>
    <s v="Complete Access"/>
    <x v="1"/>
    <x v="1"/>
    <x v="1"/>
    <d v="1900-01-17T00:00:00"/>
    <n v="42"/>
    <x v="4"/>
    <x v="7"/>
  </r>
  <r>
    <x v="1843"/>
    <n v="-114.44"/>
    <x v="3887"/>
    <n v="5024.09"/>
    <s v="Complete Access"/>
    <x v="540"/>
    <x v="12"/>
    <x v="21"/>
    <d v="1900-01-17T00:00:00"/>
    <n v="42"/>
    <x v="4"/>
    <x v="7"/>
  </r>
  <r>
    <x v="1844"/>
    <n v="-23"/>
    <x v="3888"/>
    <n v="4146.28"/>
    <s v="Complete Access"/>
    <x v="842"/>
    <x v="8"/>
    <x v="29"/>
    <d v="1900-01-16T00:00:00"/>
    <n v="42"/>
    <x v="4"/>
    <x v="7"/>
  </r>
  <r>
    <x v="1844"/>
    <n v="1080.25"/>
    <x v="3188"/>
    <n v="5226.53"/>
    <s v="Complete Access"/>
    <x v="14"/>
    <x v="6"/>
    <x v="9"/>
    <d v="1900-01-16T00:00:00"/>
    <n v="42"/>
    <x v="4"/>
    <x v="7"/>
  </r>
  <r>
    <x v="1844"/>
    <n v="-88"/>
    <x v="3889"/>
    <n v="5138.53"/>
    <s v="Complete Access"/>
    <x v="868"/>
    <x v="1"/>
    <x v="5"/>
    <d v="1900-01-16T00:00:00"/>
    <n v="42"/>
    <x v="4"/>
    <x v="7"/>
  </r>
  <r>
    <x v="1845"/>
    <n v="-37.64"/>
    <x v="3890"/>
    <n v="4212.28"/>
    <s v="Complete Access"/>
    <x v="841"/>
    <x v="2"/>
    <x v="86"/>
    <d v="1900-01-15T00:00:00"/>
    <n v="42"/>
    <x v="4"/>
    <x v="7"/>
  </r>
  <r>
    <x v="1845"/>
    <n v="-50"/>
    <x v="3891"/>
    <n v="4242.28"/>
    <s v="Complete Access"/>
    <x v="819"/>
    <x v="5"/>
    <x v="83"/>
    <d v="1900-01-15T00:00:00"/>
    <n v="42"/>
    <x v="4"/>
    <x v="7"/>
  </r>
  <r>
    <x v="1845"/>
    <n v="-73"/>
    <x v="2543"/>
    <n v="4169.28"/>
    <s v="Complete Access"/>
    <x v="17"/>
    <x v="7"/>
    <x v="11"/>
    <d v="1900-01-15T00:00:00"/>
    <n v="42"/>
    <x v="4"/>
    <x v="7"/>
  </r>
  <r>
    <x v="1845"/>
    <n v="80"/>
    <x v="3378"/>
    <n v="4292.28"/>
    <s v="Complete Access"/>
    <x v="722"/>
    <x v="0"/>
    <x v="0"/>
    <d v="1900-01-15T00:00:00"/>
    <n v="42"/>
    <x v="4"/>
    <x v="7"/>
  </r>
  <r>
    <x v="1846"/>
    <n v="-140"/>
    <x v="3892"/>
    <n v="4252.42"/>
    <s v="Complete Access"/>
    <x v="601"/>
    <x v="0"/>
    <x v="0"/>
    <d v="1900-01-13T00:00:00"/>
    <n v="42"/>
    <x v="4"/>
    <x v="7"/>
  </r>
  <r>
    <x v="1846"/>
    <n v="-2.5"/>
    <x v="72"/>
    <n v="4249.92"/>
    <s v="Complete Access"/>
    <x v="37"/>
    <x v="0"/>
    <x v="0"/>
    <d v="1900-01-13T00:00:00"/>
    <n v="42"/>
    <x v="4"/>
    <x v="7"/>
  </r>
  <r>
    <x v="1847"/>
    <n v="-515"/>
    <x v="3404"/>
    <n v="4559.91"/>
    <s v="Complete Access"/>
    <x v="783"/>
    <x v="19"/>
    <x v="61"/>
    <d v="1900-01-12T00:00:00"/>
    <n v="41"/>
    <x v="4"/>
    <x v="7"/>
  </r>
  <r>
    <x v="1847"/>
    <n v="-64.989999999999995"/>
    <x v="3893"/>
    <n v="4494.92"/>
    <s v="Complete Access"/>
    <x v="832"/>
    <x v="1"/>
    <x v="23"/>
    <d v="1900-01-12T00:00:00"/>
    <n v="41"/>
    <x v="4"/>
    <x v="7"/>
  </r>
  <r>
    <x v="1847"/>
    <n v="-8.5"/>
    <x v="3894"/>
    <n v="4486.42"/>
    <s v="Complete Access"/>
    <x v="869"/>
    <x v="8"/>
    <x v="29"/>
    <d v="1900-01-12T00:00:00"/>
    <n v="41"/>
    <x v="4"/>
    <x v="7"/>
  </r>
  <r>
    <x v="1847"/>
    <n v="-100"/>
    <x v="2274"/>
    <n v="5074.91"/>
    <s v="Complete Access"/>
    <x v="552"/>
    <x v="0"/>
    <x v="74"/>
    <d v="1900-01-12T00:00:00"/>
    <n v="41"/>
    <x v="4"/>
    <x v="7"/>
  </r>
  <r>
    <x v="1847"/>
    <n v="-27.7"/>
    <x v="3895"/>
    <n v="4408.22"/>
    <s v="Complete Access"/>
    <x v="870"/>
    <x v="8"/>
    <x v="29"/>
    <d v="1900-01-12T00:00:00"/>
    <n v="41"/>
    <x v="4"/>
    <x v="7"/>
  </r>
  <r>
    <x v="1847"/>
    <n v="-24.7"/>
    <x v="3895"/>
    <n v="4435.92"/>
    <s v="Complete Access"/>
    <x v="870"/>
    <x v="8"/>
    <x v="29"/>
    <d v="1900-01-12T00:00:00"/>
    <n v="41"/>
    <x v="4"/>
    <x v="7"/>
  </r>
  <r>
    <x v="1847"/>
    <n v="-25.8"/>
    <x v="3895"/>
    <n v="4460.62"/>
    <s v="Complete Access"/>
    <x v="870"/>
    <x v="8"/>
    <x v="29"/>
    <d v="1900-01-12T00:00:00"/>
    <n v="41"/>
    <x v="4"/>
    <x v="7"/>
  </r>
  <r>
    <x v="1847"/>
    <n v="-15.8"/>
    <x v="3896"/>
    <n v="4392.42"/>
    <s v="Complete Access"/>
    <x v="871"/>
    <x v="8"/>
    <x v="29"/>
    <d v="1900-01-12T00:00:00"/>
    <n v="41"/>
    <x v="4"/>
    <x v="7"/>
  </r>
  <r>
    <x v="1848"/>
    <n v="-12.5"/>
    <x v="3858"/>
    <n v="5190.8500000000004"/>
    <s v="Complete Access"/>
    <x v="843"/>
    <x v="1"/>
    <x v="5"/>
    <d v="1900-01-11T00:00:00"/>
    <n v="41"/>
    <x v="4"/>
    <x v="7"/>
  </r>
  <r>
    <x v="1848"/>
    <n v="-15.94"/>
    <x v="3897"/>
    <n v="5174.91"/>
    <s v="Complete Access"/>
    <x v="27"/>
    <x v="1"/>
    <x v="5"/>
    <d v="1900-01-11T00:00:00"/>
    <n v="41"/>
    <x v="4"/>
    <x v="7"/>
  </r>
  <r>
    <x v="1849"/>
    <n v="-130"/>
    <x v="3898"/>
    <n v="5203.3500000000004"/>
    <s v="Complete Access"/>
    <x v="741"/>
    <x v="16"/>
    <x v="81"/>
    <d v="1900-01-10T00:00:00"/>
    <n v="41"/>
    <x v="4"/>
    <x v="7"/>
  </r>
  <r>
    <x v="1850"/>
    <n v="-11.99"/>
    <x v="3899"/>
    <n v="4443.1499999999996"/>
    <s v="Complete Access"/>
    <x v="860"/>
    <x v="8"/>
    <x v="22"/>
    <d v="1900-01-09T00:00:00"/>
    <n v="41"/>
    <x v="4"/>
    <x v="7"/>
  </r>
  <r>
    <x v="1850"/>
    <n v="890.2"/>
    <x v="3188"/>
    <n v="5333.35"/>
    <s v="Complete Access"/>
    <x v="14"/>
    <x v="6"/>
    <x v="9"/>
    <d v="1900-01-09T00:00:00"/>
    <n v="41"/>
    <x v="4"/>
    <x v="7"/>
  </r>
  <r>
    <x v="1850"/>
    <n v="-34.5"/>
    <x v="3900"/>
    <n v="4455.1400000000003"/>
    <s v="Complete Access"/>
    <x v="343"/>
    <x v="1"/>
    <x v="5"/>
    <d v="1900-01-09T00:00:00"/>
    <n v="41"/>
    <x v="4"/>
    <x v="7"/>
  </r>
  <r>
    <x v="1851"/>
    <n v="-2.5"/>
    <x v="3203"/>
    <n v="4582.6400000000003"/>
    <s v="Complete Access"/>
    <x v="188"/>
    <x v="1"/>
    <x v="1"/>
    <d v="1900-01-08T00:00:00"/>
    <n v="41"/>
    <x v="4"/>
    <x v="7"/>
  </r>
  <r>
    <x v="1851"/>
    <n v="-14.5"/>
    <x v="3901"/>
    <n v="4585.1400000000003"/>
    <s v="Complete Access"/>
    <x v="843"/>
    <x v="1"/>
    <x v="5"/>
    <d v="1900-01-08T00:00:00"/>
    <n v="41"/>
    <x v="4"/>
    <x v="7"/>
  </r>
  <r>
    <x v="1851"/>
    <n v="-93"/>
    <x v="3902"/>
    <n v="4489.6400000000003"/>
    <s v="Complete Access"/>
    <x v="700"/>
    <x v="8"/>
    <x v="69"/>
    <d v="1900-01-08T00:00:00"/>
    <n v="41"/>
    <x v="4"/>
    <x v="7"/>
  </r>
  <r>
    <x v="1852"/>
    <n v="-17"/>
    <x v="3874"/>
    <n v="4657.59"/>
    <s v="Complete Access"/>
    <x v="842"/>
    <x v="8"/>
    <x v="29"/>
    <d v="1900-01-07T00:00:00"/>
    <n v="41"/>
    <x v="4"/>
    <x v="7"/>
  </r>
  <r>
    <x v="1852"/>
    <n v="-57.95"/>
    <x v="3700"/>
    <n v="4599.6400000000003"/>
    <s v="Complete Access"/>
    <x v="1"/>
    <x v="1"/>
    <x v="1"/>
    <d v="1900-01-07T00:00:00"/>
    <n v="41"/>
    <x v="4"/>
    <x v="7"/>
  </r>
  <r>
    <x v="1853"/>
    <n v="-10.5"/>
    <x v="3317"/>
    <n v="4684.99"/>
    <s v="Complete Access"/>
    <x v="761"/>
    <x v="15"/>
    <x v="34"/>
    <d v="1900-01-06T00:00:00"/>
    <n v="41"/>
    <x v="4"/>
    <x v="7"/>
  </r>
  <r>
    <x v="1853"/>
    <n v="-10.4"/>
    <x v="3897"/>
    <n v="4674.59"/>
    <s v="Complete Access"/>
    <x v="27"/>
    <x v="1"/>
    <x v="5"/>
    <d v="1900-01-06T00:00:00"/>
    <n v="41"/>
    <x v="4"/>
    <x v="7"/>
  </r>
  <r>
    <x v="1854"/>
    <n v="-50"/>
    <x v="3403"/>
    <n v="4695.49"/>
    <s v="Complete Access"/>
    <x v="601"/>
    <x v="0"/>
    <x v="0"/>
    <d v="1900-01-05T00:00:00"/>
    <n v="40"/>
    <x v="4"/>
    <x v="7"/>
  </r>
  <r>
    <x v="1854"/>
    <n v="-515"/>
    <x v="3404"/>
    <n v="4765.99"/>
    <s v="Complete Access"/>
    <x v="783"/>
    <x v="19"/>
    <x v="61"/>
    <d v="1900-01-05T00:00:00"/>
    <n v="40"/>
    <x v="4"/>
    <x v="7"/>
  </r>
  <r>
    <x v="1854"/>
    <n v="-20.5"/>
    <x v="3653"/>
    <n v="4745.49"/>
    <s v="Complete Access"/>
    <x v="796"/>
    <x v="20"/>
    <x v="63"/>
    <d v="1900-01-05T00:00:00"/>
    <n v="40"/>
    <x v="4"/>
    <x v="7"/>
  </r>
  <r>
    <x v="1854"/>
    <n v="-100"/>
    <x v="2274"/>
    <n v="5280.99"/>
    <s v="Complete Access"/>
    <x v="552"/>
    <x v="0"/>
    <x v="74"/>
    <d v="1900-01-05T00:00:00"/>
    <n v="40"/>
    <x v="4"/>
    <x v="7"/>
  </r>
  <r>
    <x v="1855"/>
    <n v="-50"/>
    <x v="3903"/>
    <n v="5380.99"/>
    <s v="Complete Access"/>
    <x v="776"/>
    <x v="5"/>
    <x v="83"/>
    <d v="1900-01-04T00:00:00"/>
    <n v="40"/>
    <x v="4"/>
    <x v="7"/>
  </r>
  <r>
    <x v="1856"/>
    <n v="-50"/>
    <x v="3764"/>
    <n v="5430.99"/>
    <s v="Complete Access"/>
    <x v="601"/>
    <x v="0"/>
    <x v="0"/>
    <d v="1900-01-03T00:00:00"/>
    <n v="40"/>
    <x v="4"/>
    <x v="7"/>
  </r>
  <r>
    <x v="1856"/>
    <n v="-9.99"/>
    <x v="3904"/>
    <n v="5480.99"/>
    <s v="Complete Access"/>
    <x v="373"/>
    <x v="8"/>
    <x v="7"/>
    <d v="1900-01-03T00:00:00"/>
    <n v="40"/>
    <x v="4"/>
    <x v="7"/>
  </r>
  <r>
    <x v="1857"/>
    <n v="1080.25"/>
    <x v="3188"/>
    <n v="5490.98"/>
    <s v="Complete Access"/>
    <x v="14"/>
    <x v="6"/>
    <x v="9"/>
    <d v="1900-01-02T00:00:00"/>
    <n v="40"/>
    <x v="4"/>
    <x v="7"/>
  </r>
  <r>
    <x v="1857"/>
    <n v="-75"/>
    <x v="3905"/>
    <n v="4470.7299999999996"/>
    <s v="Complete Access"/>
    <x v="343"/>
    <x v="1"/>
    <x v="5"/>
    <d v="1900-01-02T00:00:00"/>
    <n v="40"/>
    <x v="4"/>
    <x v="7"/>
  </r>
  <r>
    <x v="1857"/>
    <n v="-60"/>
    <x v="3906"/>
    <n v="4410.7299999999996"/>
    <s v="Complete Access"/>
    <x v="219"/>
    <x v="7"/>
    <x v="53"/>
    <d v="1900-01-02T00:00:00"/>
    <n v="40"/>
    <x v="4"/>
    <x v="7"/>
  </r>
  <r>
    <x v="1858"/>
    <n v="-35"/>
    <x v="3907"/>
    <n v="4762.6499999999996"/>
    <s v="Complete Access"/>
    <x v="872"/>
    <x v="18"/>
    <x v="59"/>
    <d v="1900-01-01T00:00:00"/>
    <n v="40"/>
    <x v="4"/>
    <x v="7"/>
  </r>
  <r>
    <x v="1858"/>
    <n v="-166.4"/>
    <x v="3908"/>
    <n v="4545.7299999999996"/>
    <s v="Complete Access"/>
    <x v="76"/>
    <x v="2"/>
    <x v="2"/>
    <d v="1900-01-01T00:00:00"/>
    <n v="40"/>
    <x v="4"/>
    <x v="7"/>
  </r>
  <r>
    <x v="1858"/>
    <n v="-37.020000000000003"/>
    <x v="3700"/>
    <n v="4712.13"/>
    <s v="Complete Access"/>
    <x v="1"/>
    <x v="1"/>
    <x v="1"/>
    <d v="1900-01-01T00:00:00"/>
    <n v="40"/>
    <x v="4"/>
    <x v="7"/>
  </r>
  <r>
    <x v="1858"/>
    <n v="-13.5"/>
    <x v="3909"/>
    <n v="4749.1499999999996"/>
    <s v="Complete Access"/>
    <x v="687"/>
    <x v="1"/>
    <x v="5"/>
    <d v="1900-01-01T00:00:00"/>
    <n v="40"/>
    <x v="4"/>
    <x v="7"/>
  </r>
  <r>
    <x v="1859"/>
    <n v="400"/>
    <x v="3910"/>
    <n v="4797.6499999999996"/>
    <s v="Complete Access"/>
    <x v="67"/>
    <x v="0"/>
    <x v="0"/>
    <d v="1899-12-31T00:00:00"/>
    <n v="40"/>
    <x v="4"/>
    <x v="7"/>
  </r>
  <r>
    <x v="1860"/>
    <n v="-515"/>
    <x v="3404"/>
    <n v="4397.6499999999996"/>
    <s v="Complete Access"/>
    <x v="783"/>
    <x v="19"/>
    <x v="61"/>
    <d v="1900-01-28T00:00:00"/>
    <n v="39"/>
    <x v="5"/>
    <x v="7"/>
  </r>
  <r>
    <x v="1860"/>
    <n v="-100"/>
    <x v="2274"/>
    <n v="4912.6499999999996"/>
    <s v="Complete Access"/>
    <x v="552"/>
    <x v="0"/>
    <x v="74"/>
    <d v="1900-01-28T00:00:00"/>
    <n v="39"/>
    <x v="5"/>
    <x v="7"/>
  </r>
  <r>
    <x v="1861"/>
    <n v="-70"/>
    <x v="3764"/>
    <n v="5012.6499999999996"/>
    <s v="Complete Access"/>
    <x v="601"/>
    <x v="0"/>
    <x v="0"/>
    <d v="1900-01-27T00:00:00"/>
    <n v="39"/>
    <x v="5"/>
    <x v="7"/>
  </r>
  <r>
    <x v="1861"/>
    <n v="-29.9"/>
    <x v="3911"/>
    <n v="5082.6499999999996"/>
    <s v="Complete Access"/>
    <x v="343"/>
    <x v="1"/>
    <x v="5"/>
    <d v="1900-01-27T00:00:00"/>
    <n v="39"/>
    <x v="5"/>
    <x v="7"/>
  </r>
  <r>
    <x v="1862"/>
    <n v="-13.5"/>
    <x v="3858"/>
    <n v="5242.55"/>
    <s v="Complete Access"/>
    <x v="843"/>
    <x v="1"/>
    <x v="5"/>
    <d v="1900-01-26T00:00:00"/>
    <n v="39"/>
    <x v="5"/>
    <x v="7"/>
  </r>
  <r>
    <x v="1862"/>
    <n v="-130"/>
    <x v="3912"/>
    <n v="5112.55"/>
    <s v="Complete Access"/>
    <x v="741"/>
    <x v="16"/>
    <x v="81"/>
    <d v="1900-01-26T00:00:00"/>
    <n v="39"/>
    <x v="5"/>
    <x v="7"/>
  </r>
  <r>
    <x v="1863"/>
    <n v="1080.25"/>
    <x v="3188"/>
    <n v="5256.05"/>
    <s v="Complete Access"/>
    <x v="14"/>
    <x v="6"/>
    <x v="9"/>
    <d v="1900-01-25T00:00:00"/>
    <n v="39"/>
    <x v="5"/>
    <x v="7"/>
  </r>
  <r>
    <x v="1863"/>
    <n v="-32.31"/>
    <x v="3913"/>
    <n v="4175.8"/>
    <s v="Complete Access"/>
    <x v="343"/>
    <x v="1"/>
    <x v="5"/>
    <d v="1900-01-25T00:00:00"/>
    <n v="39"/>
    <x v="5"/>
    <x v="7"/>
  </r>
  <r>
    <x v="1864"/>
    <n v="-50"/>
    <x v="3891"/>
    <n v="4208.1099999999997"/>
    <s v="Complete Access"/>
    <x v="819"/>
    <x v="5"/>
    <x v="83"/>
    <d v="1900-01-24T00:00:00"/>
    <n v="39"/>
    <x v="5"/>
    <x v="7"/>
  </r>
  <r>
    <x v="1865"/>
    <n v="-85.36"/>
    <x v="3700"/>
    <n v="4258.1099999999997"/>
    <s v="Complete Access"/>
    <x v="1"/>
    <x v="1"/>
    <x v="1"/>
    <d v="1900-01-23T00:00:00"/>
    <n v="39"/>
    <x v="5"/>
    <x v="7"/>
  </r>
  <r>
    <x v="1865"/>
    <n v="-13.5"/>
    <x v="3909"/>
    <n v="4343.47"/>
    <s v="Complete Access"/>
    <x v="687"/>
    <x v="1"/>
    <x v="5"/>
    <d v="1900-01-23T00:00:00"/>
    <n v="39"/>
    <x v="5"/>
    <x v="7"/>
  </r>
  <r>
    <x v="1866"/>
    <n v="-50"/>
    <x v="3403"/>
    <n v="4356.97"/>
    <s v="Complete Access"/>
    <x v="601"/>
    <x v="0"/>
    <x v="0"/>
    <d v="1900-01-21T00:00:00"/>
    <n v="38"/>
    <x v="5"/>
    <x v="7"/>
  </r>
  <r>
    <x v="1866"/>
    <n v="-515"/>
    <x v="3404"/>
    <n v="4427.47"/>
    <s v="Complete Access"/>
    <x v="783"/>
    <x v="19"/>
    <x v="61"/>
    <d v="1900-01-21T00:00:00"/>
    <n v="38"/>
    <x v="5"/>
    <x v="7"/>
  </r>
  <r>
    <x v="1866"/>
    <n v="-20.5"/>
    <x v="3653"/>
    <n v="4406.97"/>
    <s v="Complete Access"/>
    <x v="796"/>
    <x v="20"/>
    <x v="63"/>
    <d v="1900-01-21T00:00:00"/>
    <n v="38"/>
    <x v="5"/>
    <x v="7"/>
  </r>
  <r>
    <x v="1866"/>
    <n v="-100"/>
    <x v="2274"/>
    <n v="4942.47"/>
    <s v="Complete Access"/>
    <x v="552"/>
    <x v="0"/>
    <x v="74"/>
    <d v="1900-01-21T00:00:00"/>
    <n v="38"/>
    <x v="5"/>
    <x v="7"/>
  </r>
  <r>
    <x v="1867"/>
    <n v="-7.2"/>
    <x v="3874"/>
    <n v="5095.25"/>
    <s v="Complete Access"/>
    <x v="842"/>
    <x v="8"/>
    <x v="29"/>
    <d v="1900-01-20T00:00:00"/>
    <n v="38"/>
    <x v="5"/>
    <x v="7"/>
  </r>
  <r>
    <x v="1867"/>
    <n v="-13.9"/>
    <x v="3914"/>
    <n v="5102.45"/>
    <s v="Complete Access"/>
    <x v="687"/>
    <x v="1"/>
    <x v="5"/>
    <d v="1900-01-20T00:00:00"/>
    <n v="38"/>
    <x v="5"/>
    <x v="7"/>
  </r>
  <r>
    <x v="1867"/>
    <n v="-52.78"/>
    <x v="3915"/>
    <n v="5042.47"/>
    <s v="Complete Access"/>
    <x v="873"/>
    <x v="1"/>
    <x v="5"/>
    <d v="1900-01-20T00:00:00"/>
    <n v="38"/>
    <x v="5"/>
    <x v="7"/>
  </r>
  <r>
    <x v="1868"/>
    <n v="-5.5"/>
    <x v="3203"/>
    <n v="5116.3500000000004"/>
    <s v="Complete Access"/>
    <x v="188"/>
    <x v="1"/>
    <x v="1"/>
    <d v="1900-01-19T00:00:00"/>
    <n v="38"/>
    <x v="5"/>
    <x v="7"/>
  </r>
  <r>
    <x v="1868"/>
    <n v="-15.5"/>
    <x v="3858"/>
    <n v="5121.8500000000004"/>
    <s v="Complete Access"/>
    <x v="843"/>
    <x v="1"/>
    <x v="5"/>
    <d v="1900-01-19T00:00:00"/>
    <n v="38"/>
    <x v="5"/>
    <x v="7"/>
  </r>
  <r>
    <x v="1868"/>
    <n v="-19.399999999999999"/>
    <x v="3916"/>
    <n v="5137.3500000000004"/>
    <s v="Complete Access"/>
    <x v="1"/>
    <x v="1"/>
    <x v="1"/>
    <d v="1900-01-19T00:00:00"/>
    <n v="38"/>
    <x v="5"/>
    <x v="7"/>
  </r>
  <r>
    <x v="1869"/>
    <n v="1080.25"/>
    <x v="3188"/>
    <n v="5207.74"/>
    <s v="Complete Access"/>
    <x v="14"/>
    <x v="6"/>
    <x v="9"/>
    <d v="1900-01-18T00:00:00"/>
    <n v="38"/>
    <x v="5"/>
    <x v="7"/>
  </r>
  <r>
    <x v="1869"/>
    <n v="-50.99"/>
    <x v="3917"/>
    <n v="5156.75"/>
    <s v="Complete Access"/>
    <x v="785"/>
    <x v="9"/>
    <x v="12"/>
    <d v="1900-01-18T00:00:00"/>
    <n v="38"/>
    <x v="5"/>
    <x v="7"/>
  </r>
  <r>
    <x v="1870"/>
    <n v="-13.2"/>
    <x v="3203"/>
    <n v="4127.49"/>
    <s v="Complete Access"/>
    <x v="188"/>
    <x v="1"/>
    <x v="1"/>
    <d v="1900-01-17T00:00:00"/>
    <n v="38"/>
    <x v="5"/>
    <x v="7"/>
  </r>
  <r>
    <x v="1871"/>
    <n v="-34"/>
    <x v="3874"/>
    <n v="4090.69"/>
    <s v="Complete Access"/>
    <x v="842"/>
    <x v="8"/>
    <x v="29"/>
    <d v="1900-01-16T00:00:00"/>
    <n v="38"/>
    <x v="5"/>
    <x v="7"/>
  </r>
  <r>
    <x v="1871"/>
    <n v="1.22"/>
    <x v="3918"/>
    <n v="4124.6899999999996"/>
    <s v="Complete Access"/>
    <x v="67"/>
    <x v="0"/>
    <x v="0"/>
    <d v="1900-01-16T00:00:00"/>
    <n v="38"/>
    <x v="5"/>
    <x v="7"/>
  </r>
  <r>
    <x v="1871"/>
    <n v="50"/>
    <x v="3919"/>
    <n v="4140.6899999999996"/>
    <s v="Complete Access"/>
    <x v="67"/>
    <x v="0"/>
    <x v="0"/>
    <d v="1900-01-16T00:00:00"/>
    <n v="38"/>
    <x v="5"/>
    <x v="7"/>
  </r>
  <r>
    <x v="1872"/>
    <n v="-26.5"/>
    <x v="3920"/>
    <n v="4155.92"/>
    <s v="Complete Access"/>
    <x v="874"/>
    <x v="20"/>
    <x v="63"/>
    <d v="1900-01-15T00:00:00"/>
    <n v="38"/>
    <x v="5"/>
    <x v="7"/>
  </r>
  <r>
    <x v="1872"/>
    <n v="-32.450000000000003"/>
    <x v="3921"/>
    <n v="4123.47"/>
    <s v="Complete Access"/>
    <x v="237"/>
    <x v="15"/>
    <x v="34"/>
    <d v="1900-01-15T00:00:00"/>
    <n v="38"/>
    <x v="5"/>
    <x v="7"/>
  </r>
  <r>
    <x v="1872"/>
    <n v="-20"/>
    <x v="3922"/>
    <n v="4182.42"/>
    <s v="Complete Access"/>
    <x v="875"/>
    <x v="8"/>
    <x v="29"/>
    <d v="1900-01-15T00:00:00"/>
    <n v="38"/>
    <x v="5"/>
    <x v="7"/>
  </r>
  <r>
    <x v="1872"/>
    <n v="-20"/>
    <x v="3922"/>
    <n v="4202.42"/>
    <s v="Complete Access"/>
    <x v="875"/>
    <x v="8"/>
    <x v="29"/>
    <d v="1900-01-15T00:00:00"/>
    <n v="38"/>
    <x v="5"/>
    <x v="7"/>
  </r>
  <r>
    <x v="1872"/>
    <n v="-20"/>
    <x v="3922"/>
    <n v="4222.42"/>
    <s v="Complete Access"/>
    <x v="875"/>
    <x v="8"/>
    <x v="29"/>
    <d v="1900-01-15T00:00:00"/>
    <n v="38"/>
    <x v="5"/>
    <x v="7"/>
  </r>
  <r>
    <x v="1873"/>
    <n v="-37.64"/>
    <x v="3923"/>
    <n v="4403.22"/>
    <s v="Complete Access"/>
    <x v="841"/>
    <x v="2"/>
    <x v="86"/>
    <d v="1900-01-14T00:00:00"/>
    <n v="37"/>
    <x v="5"/>
    <x v="7"/>
  </r>
  <r>
    <x v="1873"/>
    <n v="-515"/>
    <x v="3404"/>
    <n v="4440.8599999999997"/>
    <s v="Complete Access"/>
    <x v="783"/>
    <x v="19"/>
    <x v="61"/>
    <d v="1900-01-14T00:00:00"/>
    <n v="37"/>
    <x v="5"/>
    <x v="7"/>
  </r>
  <r>
    <x v="1873"/>
    <n v="-13.5"/>
    <x v="3924"/>
    <n v="4320.42"/>
    <s v="Complete Access"/>
    <x v="876"/>
    <x v="1"/>
    <x v="5"/>
    <d v="1900-01-14T00:00:00"/>
    <n v="37"/>
    <x v="5"/>
    <x v="7"/>
  </r>
  <r>
    <x v="1873"/>
    <n v="-100"/>
    <x v="2274"/>
    <n v="4955.8599999999997"/>
    <s v="Complete Access"/>
    <x v="552"/>
    <x v="0"/>
    <x v="74"/>
    <d v="1900-01-14T00:00:00"/>
    <n v="37"/>
    <x v="5"/>
    <x v="7"/>
  </r>
  <r>
    <x v="1873"/>
    <n v="-40"/>
    <x v="3925"/>
    <n v="4333.92"/>
    <s v="Complete Access"/>
    <x v="877"/>
    <x v="8"/>
    <x v="29"/>
    <d v="1900-01-14T00:00:00"/>
    <n v="37"/>
    <x v="5"/>
    <x v="7"/>
  </r>
  <r>
    <x v="1873"/>
    <n v="-49.5"/>
    <x v="3926"/>
    <n v="4242.42"/>
    <s v="Complete Access"/>
    <x v="875"/>
    <x v="8"/>
    <x v="29"/>
    <d v="1900-01-14T00:00:00"/>
    <n v="37"/>
    <x v="5"/>
    <x v="7"/>
  </r>
  <r>
    <x v="1873"/>
    <n v="-19"/>
    <x v="3922"/>
    <n v="4291.92"/>
    <s v="Complete Access"/>
    <x v="875"/>
    <x v="8"/>
    <x v="29"/>
    <d v="1900-01-14T00:00:00"/>
    <n v="37"/>
    <x v="5"/>
    <x v="7"/>
  </r>
  <r>
    <x v="1873"/>
    <n v="-9.5"/>
    <x v="3922"/>
    <n v="4310.92"/>
    <s v="Complete Access"/>
    <x v="875"/>
    <x v="8"/>
    <x v="29"/>
    <d v="1900-01-14T00:00:00"/>
    <n v="37"/>
    <x v="5"/>
    <x v="7"/>
  </r>
  <r>
    <x v="1873"/>
    <n v="-17.8"/>
    <x v="3927"/>
    <n v="4373.92"/>
    <s v="Complete Access"/>
    <x v="294"/>
    <x v="8"/>
    <x v="29"/>
    <d v="1900-01-14T00:00:00"/>
    <n v="37"/>
    <x v="5"/>
    <x v="7"/>
  </r>
  <r>
    <x v="1873"/>
    <n v="-11.5"/>
    <x v="3927"/>
    <n v="4391.72"/>
    <s v="Complete Access"/>
    <x v="294"/>
    <x v="8"/>
    <x v="29"/>
    <d v="1900-01-14T00:00:00"/>
    <n v="37"/>
    <x v="5"/>
    <x v="7"/>
  </r>
  <r>
    <x v="1874"/>
    <n v="-9.1"/>
    <x v="3928"/>
    <n v="5071.3599999999997"/>
    <s v="Complete Access"/>
    <x v="839"/>
    <x v="1"/>
    <x v="85"/>
    <d v="1900-01-13T00:00:00"/>
    <n v="37"/>
    <x v="5"/>
    <x v="7"/>
  </r>
  <r>
    <x v="1874"/>
    <n v="-2"/>
    <x v="3203"/>
    <n v="5055.8599999999997"/>
    <s v="Complete Access"/>
    <x v="188"/>
    <x v="1"/>
    <x v="1"/>
    <d v="1900-01-13T00:00:00"/>
    <n v="37"/>
    <x v="5"/>
    <x v="7"/>
  </r>
  <r>
    <x v="1874"/>
    <n v="-13.5"/>
    <x v="3929"/>
    <n v="5057.8599999999997"/>
    <s v="Complete Access"/>
    <x v="682"/>
    <x v="1"/>
    <x v="5"/>
    <d v="1900-01-13T00:00:00"/>
    <n v="37"/>
    <x v="5"/>
    <x v="7"/>
  </r>
  <r>
    <x v="1875"/>
    <n v="-50"/>
    <x v="3891"/>
    <n v="5295.46"/>
    <s v="Complete Access"/>
    <x v="819"/>
    <x v="5"/>
    <x v="83"/>
    <d v="1900-01-12T00:00:00"/>
    <n v="37"/>
    <x v="5"/>
    <x v="7"/>
  </r>
  <r>
    <x v="1875"/>
    <n v="-12"/>
    <x v="3930"/>
    <n v="5283.46"/>
    <s v="Complete Access"/>
    <x v="242"/>
    <x v="1"/>
    <x v="5"/>
    <d v="1900-01-12T00:00:00"/>
    <n v="37"/>
    <x v="5"/>
    <x v="7"/>
  </r>
  <r>
    <x v="1875"/>
    <n v="-23.7"/>
    <x v="3931"/>
    <n v="5506.11"/>
    <s v="Complete Access"/>
    <x v="47"/>
    <x v="1"/>
    <x v="5"/>
    <d v="1900-01-12T00:00:00"/>
    <n v="37"/>
    <x v="5"/>
    <x v="7"/>
  </r>
  <r>
    <x v="1875"/>
    <n v="-16"/>
    <x v="3932"/>
    <n v="5345.46"/>
    <s v="Complete Access"/>
    <x v="826"/>
    <x v="8"/>
    <x v="29"/>
    <d v="1900-01-12T00:00:00"/>
    <n v="37"/>
    <x v="5"/>
    <x v="7"/>
  </r>
  <r>
    <x v="1875"/>
    <n v="-41.11"/>
    <x v="3933"/>
    <n v="5361.46"/>
    <s v="Complete Access"/>
    <x v="878"/>
    <x v="8"/>
    <x v="29"/>
    <d v="1900-01-12T00:00:00"/>
    <n v="37"/>
    <x v="5"/>
    <x v="7"/>
  </r>
  <r>
    <x v="1875"/>
    <n v="-30.45"/>
    <x v="3933"/>
    <n v="5402.57"/>
    <s v="Complete Access"/>
    <x v="878"/>
    <x v="8"/>
    <x v="29"/>
    <d v="1900-01-12T00:00:00"/>
    <n v="37"/>
    <x v="5"/>
    <x v="7"/>
  </r>
  <r>
    <x v="1875"/>
    <n v="-21.32"/>
    <x v="3933"/>
    <n v="5433.02"/>
    <s v="Complete Access"/>
    <x v="878"/>
    <x v="8"/>
    <x v="29"/>
    <d v="1900-01-12T00:00:00"/>
    <n v="37"/>
    <x v="5"/>
    <x v="7"/>
  </r>
  <r>
    <x v="1875"/>
    <n v="-41.11"/>
    <x v="3933"/>
    <n v="5454.34"/>
    <s v="Complete Access"/>
    <x v="878"/>
    <x v="8"/>
    <x v="29"/>
    <d v="1900-01-12T00:00:00"/>
    <n v="37"/>
    <x v="5"/>
    <x v="7"/>
  </r>
  <r>
    <x v="1875"/>
    <n v="-10.66"/>
    <x v="3933"/>
    <n v="5495.45"/>
    <s v="Complete Access"/>
    <x v="878"/>
    <x v="8"/>
    <x v="29"/>
    <d v="1900-01-12T00:00:00"/>
    <n v="37"/>
    <x v="5"/>
    <x v="7"/>
  </r>
  <r>
    <x v="1875"/>
    <n v="-73"/>
    <x v="2543"/>
    <n v="5210.46"/>
    <s v="Complete Access"/>
    <x v="17"/>
    <x v="7"/>
    <x v="11"/>
    <d v="1900-01-12T00:00:00"/>
    <n v="37"/>
    <x v="5"/>
    <x v="7"/>
  </r>
  <r>
    <x v="1875"/>
    <n v="-130"/>
    <x v="3934"/>
    <n v="5080.46"/>
    <s v="Complete Access"/>
    <x v="741"/>
    <x v="16"/>
    <x v="81"/>
    <d v="1900-01-12T00:00:00"/>
    <n v="37"/>
    <x v="5"/>
    <x v="7"/>
  </r>
  <r>
    <x v="1876"/>
    <n v="1071.02"/>
    <x v="3188"/>
    <n v="5529.81"/>
    <s v="Complete Access"/>
    <x v="14"/>
    <x v="6"/>
    <x v="9"/>
    <d v="1900-01-11T00:00:00"/>
    <n v="37"/>
    <x v="5"/>
    <x v="7"/>
  </r>
  <r>
    <x v="1876"/>
    <n v="-44.63"/>
    <x v="3935"/>
    <n v="4482.17"/>
    <s v="Complete Access"/>
    <x v="835"/>
    <x v="15"/>
    <x v="34"/>
    <d v="1900-01-11T00:00:00"/>
    <n v="37"/>
    <x v="5"/>
    <x v="7"/>
  </r>
  <r>
    <x v="1876"/>
    <n v="-30.9"/>
    <x v="3936"/>
    <n v="4526.8"/>
    <s v="Complete Access"/>
    <x v="343"/>
    <x v="1"/>
    <x v="5"/>
    <d v="1900-01-11T00:00:00"/>
    <n v="37"/>
    <x v="5"/>
    <x v="7"/>
  </r>
  <r>
    <x v="1876"/>
    <n v="-8.48"/>
    <x v="3897"/>
    <n v="4458.79"/>
    <s v="Complete Access"/>
    <x v="27"/>
    <x v="1"/>
    <x v="5"/>
    <d v="1900-01-11T00:00:00"/>
    <n v="37"/>
    <x v="5"/>
    <x v="7"/>
  </r>
  <r>
    <x v="1876"/>
    <n v="-14.9"/>
    <x v="3909"/>
    <n v="4467.2700000000004"/>
    <s v="Complete Access"/>
    <x v="687"/>
    <x v="1"/>
    <x v="5"/>
    <d v="1900-01-11T00:00:00"/>
    <n v="37"/>
    <x v="5"/>
    <x v="7"/>
  </r>
  <r>
    <x v="1876"/>
    <n v="-9.5"/>
    <x v="3937"/>
    <n v="4557.7"/>
    <s v="Complete Access"/>
    <x v="879"/>
    <x v="1"/>
    <x v="5"/>
    <d v="1900-01-11T00:00:00"/>
    <n v="37"/>
    <x v="5"/>
    <x v="7"/>
  </r>
  <r>
    <x v="1876"/>
    <n v="-19"/>
    <x v="3937"/>
    <n v="4567.2"/>
    <s v="Complete Access"/>
    <x v="879"/>
    <x v="1"/>
    <x v="5"/>
    <d v="1900-01-11T00:00:00"/>
    <n v="37"/>
    <x v="5"/>
    <x v="7"/>
  </r>
  <r>
    <x v="1876"/>
    <n v="-9.5"/>
    <x v="3937"/>
    <n v="4586.2"/>
    <s v="Complete Access"/>
    <x v="879"/>
    <x v="1"/>
    <x v="5"/>
    <d v="1900-01-11T00:00:00"/>
    <n v="37"/>
    <x v="5"/>
    <x v="7"/>
  </r>
  <r>
    <x v="1877"/>
    <n v="-9.1999999999999993"/>
    <x v="3938"/>
    <n v="4649.49"/>
    <s v="Complete Access"/>
    <x v="609"/>
    <x v="1"/>
    <x v="1"/>
    <d v="1900-01-10T00:00:00"/>
    <n v="37"/>
    <x v="5"/>
    <x v="7"/>
  </r>
  <r>
    <x v="1877"/>
    <n v="-43.79"/>
    <x v="3939"/>
    <n v="4595.7"/>
    <s v="Complete Access"/>
    <x v="609"/>
    <x v="1"/>
    <x v="1"/>
    <d v="1900-01-10T00:00:00"/>
    <n v="37"/>
    <x v="5"/>
    <x v="7"/>
  </r>
  <r>
    <x v="1877"/>
    <n v="-27"/>
    <x v="3940"/>
    <n v="4658.6899999999996"/>
    <s v="Complete Access"/>
    <x v="343"/>
    <x v="1"/>
    <x v="5"/>
    <d v="1900-01-10T00:00:00"/>
    <n v="37"/>
    <x v="5"/>
    <x v="7"/>
  </r>
  <r>
    <x v="1877"/>
    <n v="-10"/>
    <x v="3941"/>
    <n v="4639.49"/>
    <s v="Complete Access"/>
    <x v="213"/>
    <x v="1"/>
    <x v="23"/>
    <d v="1900-01-10T00:00:00"/>
    <n v="37"/>
    <x v="5"/>
    <x v="7"/>
  </r>
  <r>
    <x v="1878"/>
    <n v="-70"/>
    <x v="3942"/>
    <n v="4685.6899999999996"/>
    <s v="Complete Access"/>
    <x v="601"/>
    <x v="0"/>
    <x v="0"/>
    <d v="1900-01-09T00:00:00"/>
    <n v="37"/>
    <x v="5"/>
    <x v="7"/>
  </r>
  <r>
    <x v="1878"/>
    <n v="-20.100000000000001"/>
    <x v="3943"/>
    <n v="4755.6899999999996"/>
    <s v="Complete Access"/>
    <x v="880"/>
    <x v="8"/>
    <x v="29"/>
    <d v="1900-01-09T00:00:00"/>
    <n v="37"/>
    <x v="5"/>
    <x v="7"/>
  </r>
  <r>
    <x v="1879"/>
    <n v="-515"/>
    <x v="3404"/>
    <n v="4775.79"/>
    <s v="Complete Access"/>
    <x v="783"/>
    <x v="19"/>
    <x v="61"/>
    <d v="1900-01-07T00:00:00"/>
    <n v="36"/>
    <x v="5"/>
    <x v="7"/>
  </r>
  <r>
    <x v="1879"/>
    <n v="-100"/>
    <x v="2274"/>
    <n v="5290.79"/>
    <s v="Complete Access"/>
    <x v="552"/>
    <x v="0"/>
    <x v="74"/>
    <d v="1900-01-07T00:00:00"/>
    <n v="36"/>
    <x v="5"/>
    <x v="7"/>
  </r>
  <r>
    <x v="1880"/>
    <n v="-50"/>
    <x v="3764"/>
    <n v="5414.79"/>
    <s v="Complete Access"/>
    <x v="601"/>
    <x v="0"/>
    <x v="0"/>
    <d v="1900-01-06T00:00:00"/>
    <n v="36"/>
    <x v="5"/>
    <x v="7"/>
  </r>
  <r>
    <x v="1880"/>
    <n v="-7"/>
    <x v="3944"/>
    <n v="5464.79"/>
    <s v="Complete Access"/>
    <x v="1"/>
    <x v="1"/>
    <x v="1"/>
    <d v="1900-01-06T00:00:00"/>
    <n v="36"/>
    <x v="5"/>
    <x v="7"/>
  </r>
  <r>
    <x v="1880"/>
    <n v="-24"/>
    <x v="3835"/>
    <n v="5390.79"/>
    <s v="Complete Access"/>
    <x v="861"/>
    <x v="3"/>
    <x v="26"/>
    <d v="1900-01-06T00:00:00"/>
    <n v="36"/>
    <x v="5"/>
    <x v="7"/>
  </r>
  <r>
    <x v="1881"/>
    <n v="-9.35"/>
    <x v="3945"/>
    <n v="5487.69"/>
    <s v="Complete Access"/>
    <x v="27"/>
    <x v="1"/>
    <x v="5"/>
    <d v="1900-01-05T00:00:00"/>
    <n v="36"/>
    <x v="5"/>
    <x v="7"/>
  </r>
  <r>
    <x v="1881"/>
    <n v="-50"/>
    <x v="3946"/>
    <n v="5497.04"/>
    <s v="Complete Access"/>
    <x v="819"/>
    <x v="5"/>
    <x v="83"/>
    <d v="1900-01-05T00:00:00"/>
    <n v="36"/>
    <x v="5"/>
    <x v="7"/>
  </r>
  <r>
    <x v="1881"/>
    <n v="-15.9"/>
    <x v="3947"/>
    <n v="5471.79"/>
    <s v="Complete Access"/>
    <x v="609"/>
    <x v="1"/>
    <x v="1"/>
    <d v="1900-01-05T00:00:00"/>
    <n v="36"/>
    <x v="5"/>
    <x v="7"/>
  </r>
  <r>
    <x v="1882"/>
    <n v="1080.25"/>
    <x v="3188"/>
    <n v="5547.04"/>
    <s v="Complete Access"/>
    <x v="14"/>
    <x v="6"/>
    <x v="9"/>
    <d v="1900-01-04T00:00:00"/>
    <n v="36"/>
    <x v="5"/>
    <x v="7"/>
  </r>
  <r>
    <x v="1882"/>
    <n v="-17.8"/>
    <x v="3948"/>
    <n v="4496.8500000000004"/>
    <s v="Complete Access"/>
    <x v="881"/>
    <x v="1"/>
    <x v="5"/>
    <d v="1900-01-04T00:00:00"/>
    <n v="36"/>
    <x v="5"/>
    <x v="7"/>
  </r>
  <r>
    <x v="1882"/>
    <n v="-30.06"/>
    <x v="3949"/>
    <n v="4466.79"/>
    <s v="Complete Access"/>
    <x v="1"/>
    <x v="1"/>
    <x v="1"/>
    <d v="1900-01-04T00:00:00"/>
    <n v="36"/>
    <x v="5"/>
    <x v="7"/>
  </r>
  <r>
    <x v="1882"/>
    <n v="-12.95"/>
    <x v="3950"/>
    <n v="4574.6499999999996"/>
    <s v="Complete Access"/>
    <x v="1"/>
    <x v="1"/>
    <x v="1"/>
    <d v="1900-01-04T00:00:00"/>
    <n v="36"/>
    <x v="5"/>
    <x v="7"/>
  </r>
  <r>
    <x v="1882"/>
    <n v="-13.9"/>
    <x v="3951"/>
    <n v="4587.6000000000004"/>
    <s v="Complete Access"/>
    <x v="687"/>
    <x v="1"/>
    <x v="5"/>
    <d v="1900-01-04T00:00:00"/>
    <n v="36"/>
    <x v="5"/>
    <x v="7"/>
  </r>
  <r>
    <x v="1882"/>
    <n v="-60"/>
    <x v="3952"/>
    <n v="4514.6499999999996"/>
    <s v="Complete Access"/>
    <x v="219"/>
    <x v="7"/>
    <x v="53"/>
    <d v="1900-01-04T00:00:00"/>
    <n v="36"/>
    <x v="5"/>
    <x v="7"/>
  </r>
  <r>
    <x v="1883"/>
    <n v="-7.2"/>
    <x v="3953"/>
    <n v="4636.1000000000004"/>
    <s v="Complete Access"/>
    <x v="447"/>
    <x v="3"/>
    <x v="26"/>
    <d v="1900-01-03T00:00:00"/>
    <n v="36"/>
    <x v="5"/>
    <x v="7"/>
  </r>
  <r>
    <x v="1883"/>
    <n v="-17"/>
    <x v="3954"/>
    <n v="4601.5"/>
    <s v="Complete Access"/>
    <x v="842"/>
    <x v="8"/>
    <x v="29"/>
    <d v="1900-01-03T00:00:00"/>
    <n v="36"/>
    <x v="5"/>
    <x v="7"/>
  </r>
  <r>
    <x v="1883"/>
    <n v="-17.600000000000001"/>
    <x v="3955"/>
    <n v="4618.5"/>
    <s v="Complete Access"/>
    <x v="1"/>
    <x v="1"/>
    <x v="1"/>
    <d v="1900-01-03T00:00:00"/>
    <n v="36"/>
    <x v="5"/>
    <x v="7"/>
  </r>
  <r>
    <x v="1884"/>
    <n v="-12.5"/>
    <x v="3956"/>
    <n v="5004.7"/>
    <s v="Complete Access"/>
    <x v="843"/>
    <x v="1"/>
    <x v="5"/>
    <d v="1900-01-02T00:00:00"/>
    <n v="36"/>
    <x v="5"/>
    <x v="7"/>
  </r>
  <r>
    <x v="1884"/>
    <n v="-166.4"/>
    <x v="3957"/>
    <n v="4838.3"/>
    <s v="Complete Access"/>
    <x v="76"/>
    <x v="2"/>
    <x v="2"/>
    <d v="1900-01-02T00:00:00"/>
    <n v="36"/>
    <x v="5"/>
    <x v="7"/>
  </r>
  <r>
    <x v="1884"/>
    <n v="-65"/>
    <x v="3958"/>
    <n v="4773.3"/>
    <s v="Complete Access"/>
    <x v="741"/>
    <x v="16"/>
    <x v="81"/>
    <d v="1900-01-02T00:00:00"/>
    <n v="36"/>
    <x v="5"/>
    <x v="7"/>
  </r>
  <r>
    <x v="1884"/>
    <n v="-130"/>
    <x v="3959"/>
    <n v="4643.3"/>
    <s v="Complete Access"/>
    <x v="741"/>
    <x v="16"/>
    <x v="81"/>
    <d v="1900-01-02T00:00:00"/>
    <n v="36"/>
    <x v="5"/>
    <x v="7"/>
  </r>
  <r>
    <x v="1885"/>
    <n v="-515"/>
    <x v="3404"/>
    <n v="5040.68"/>
    <s v="Complete Access"/>
    <x v="783"/>
    <x v="19"/>
    <x v="61"/>
    <d v="1899-12-31T00:00:00"/>
    <n v="35"/>
    <x v="5"/>
    <x v="7"/>
  </r>
  <r>
    <x v="1885"/>
    <n v="-13.49"/>
    <x v="3960"/>
    <n v="5017.2"/>
    <s v="Complete Access"/>
    <x v="609"/>
    <x v="1"/>
    <x v="1"/>
    <d v="1899-12-31T00:00:00"/>
    <n v="35"/>
    <x v="5"/>
    <x v="7"/>
  </r>
  <r>
    <x v="1885"/>
    <n v="-9.99"/>
    <x v="3961"/>
    <n v="5030.6899999999996"/>
    <s v="Complete Access"/>
    <x v="373"/>
    <x v="8"/>
    <x v="7"/>
    <d v="1899-12-31T00:00:00"/>
    <n v="35"/>
    <x v="5"/>
    <x v="7"/>
  </r>
  <r>
    <x v="1885"/>
    <n v="-100"/>
    <x v="2274"/>
    <n v="5555.68"/>
    <s v="Complete Access"/>
    <x v="552"/>
    <x v="0"/>
    <x v="74"/>
    <d v="1899-12-31T00:00:00"/>
    <n v="35"/>
    <x v="5"/>
    <x v="7"/>
  </r>
  <r>
    <x v="1886"/>
    <n v="-13.35"/>
    <x v="3962"/>
    <n v="5727.88"/>
    <s v="Complete Access"/>
    <x v="27"/>
    <x v="1"/>
    <x v="5"/>
    <d v="1900-01-30T00:00:00"/>
    <n v="35"/>
    <x v="6"/>
    <x v="7"/>
  </r>
  <r>
    <x v="1886"/>
    <n v="-41.6"/>
    <x v="3963"/>
    <n v="5655.68"/>
    <s v="Complete Access"/>
    <x v="801"/>
    <x v="8"/>
    <x v="29"/>
    <d v="1900-01-30T00:00:00"/>
    <n v="35"/>
    <x v="6"/>
    <x v="7"/>
  </r>
  <r>
    <x v="1886"/>
    <n v="-30.6"/>
    <x v="3964"/>
    <n v="5697.28"/>
    <s v="Complete Access"/>
    <x v="1"/>
    <x v="1"/>
    <x v="1"/>
    <d v="1900-01-30T00:00:00"/>
    <n v="35"/>
    <x v="6"/>
    <x v="7"/>
  </r>
  <r>
    <x v="1887"/>
    <n v="-11.8"/>
    <x v="3965"/>
    <n v="5789.57"/>
    <s v="Complete Access"/>
    <x v="27"/>
    <x v="1"/>
    <x v="5"/>
    <d v="1900-01-29T00:00:00"/>
    <n v="35"/>
    <x v="6"/>
    <x v="7"/>
  </r>
  <r>
    <x v="1887"/>
    <n v="-19.09"/>
    <x v="3966"/>
    <n v="5770.48"/>
    <s v="Complete Access"/>
    <x v="609"/>
    <x v="1"/>
    <x v="1"/>
    <d v="1900-01-29T00:00:00"/>
    <n v="35"/>
    <x v="6"/>
    <x v="7"/>
  </r>
  <r>
    <x v="1887"/>
    <n v="-13.15"/>
    <x v="3967"/>
    <n v="5757.33"/>
    <s v="Complete Access"/>
    <x v="47"/>
    <x v="1"/>
    <x v="5"/>
    <d v="1900-01-29T00:00:00"/>
    <n v="35"/>
    <x v="6"/>
    <x v="7"/>
  </r>
  <r>
    <x v="1887"/>
    <n v="-16.100000000000001"/>
    <x v="3968"/>
    <n v="5741.23"/>
    <s v="Complete Access"/>
    <x v="1"/>
    <x v="1"/>
    <x v="1"/>
    <d v="1900-01-29T00:00:00"/>
    <n v="35"/>
    <x v="6"/>
    <x v="7"/>
  </r>
  <r>
    <x v="1888"/>
    <n v="-6"/>
    <x v="3969"/>
    <n v="4598.3500000000004"/>
    <s v="Complete Access"/>
    <x v="61"/>
    <x v="1"/>
    <x v="1"/>
    <d v="1900-01-28T00:00:00"/>
    <n v="35"/>
    <x v="6"/>
    <x v="7"/>
  </r>
  <r>
    <x v="1888"/>
    <n v="-20.16"/>
    <x v="3970"/>
    <n v="4604.3500000000004"/>
    <s v="Complete Access"/>
    <x v="882"/>
    <x v="9"/>
    <x v="32"/>
    <d v="1900-01-28T00:00:00"/>
    <n v="35"/>
    <x v="6"/>
    <x v="7"/>
  </r>
  <r>
    <x v="1888"/>
    <n v="1203.02"/>
    <x v="3188"/>
    <n v="5801.37"/>
    <s v="Complete Access"/>
    <x v="14"/>
    <x v="6"/>
    <x v="9"/>
    <d v="1900-01-28T00:00:00"/>
    <n v="35"/>
    <x v="6"/>
    <x v="7"/>
  </r>
  <r>
    <x v="1889"/>
    <n v="-17"/>
    <x v="3971"/>
    <n v="4624.51"/>
    <s v="Complete Access"/>
    <x v="842"/>
    <x v="8"/>
    <x v="29"/>
    <d v="1900-01-27T00:00:00"/>
    <n v="35"/>
    <x v="6"/>
    <x v="7"/>
  </r>
  <r>
    <x v="1889"/>
    <n v="-13.05"/>
    <x v="3972"/>
    <n v="4641.51"/>
    <s v="Complete Access"/>
    <x v="47"/>
    <x v="1"/>
    <x v="5"/>
    <d v="1900-01-27T00:00:00"/>
    <n v="35"/>
    <x v="6"/>
    <x v="7"/>
  </r>
  <r>
    <x v="1889"/>
    <n v="-6.05"/>
    <x v="3973"/>
    <n v="4681.67"/>
    <s v="Complete Access"/>
    <x v="27"/>
    <x v="1"/>
    <x v="5"/>
    <d v="1900-01-27T00:00:00"/>
    <n v="35"/>
    <x v="6"/>
    <x v="7"/>
  </r>
  <r>
    <x v="1889"/>
    <n v="-27.11"/>
    <x v="3974"/>
    <n v="4654.5600000000004"/>
    <s v="Complete Access"/>
    <x v="1"/>
    <x v="1"/>
    <x v="1"/>
    <d v="1900-01-27T00:00:00"/>
    <n v="35"/>
    <x v="6"/>
    <x v="7"/>
  </r>
  <r>
    <x v="1890"/>
    <n v="-13.5"/>
    <x v="3975"/>
    <n v="4687.72"/>
    <s v="Complete Access"/>
    <x v="687"/>
    <x v="1"/>
    <x v="5"/>
    <d v="1900-01-26T00:00:00"/>
    <n v="35"/>
    <x v="6"/>
    <x v="7"/>
  </r>
  <r>
    <x v="1891"/>
    <n v="-50"/>
    <x v="3403"/>
    <n v="4701.22"/>
    <s v="Complete Access"/>
    <x v="601"/>
    <x v="0"/>
    <x v="0"/>
    <d v="1900-01-24T00:00:00"/>
    <n v="34"/>
    <x v="6"/>
    <x v="7"/>
  </r>
  <r>
    <x v="1891"/>
    <n v="-50"/>
    <x v="3976"/>
    <n v="5714.54"/>
    <s v="Complete Access"/>
    <x v="819"/>
    <x v="5"/>
    <x v="83"/>
    <d v="1900-01-24T00:00:00"/>
    <n v="34"/>
    <x v="6"/>
    <x v="7"/>
  </r>
  <r>
    <x v="1891"/>
    <n v="-17"/>
    <x v="3977"/>
    <n v="5687.04"/>
    <s v="Complete Access"/>
    <x v="842"/>
    <x v="8"/>
    <x v="29"/>
    <d v="1900-01-24T00:00:00"/>
    <n v="34"/>
    <x v="6"/>
    <x v="7"/>
  </r>
  <r>
    <x v="1891"/>
    <n v="-515"/>
    <x v="3404"/>
    <n v="4751.22"/>
    <s v="Complete Access"/>
    <x v="783"/>
    <x v="19"/>
    <x v="61"/>
    <d v="1900-01-24T00:00:00"/>
    <n v="34"/>
    <x v="6"/>
    <x v="7"/>
  </r>
  <r>
    <x v="1891"/>
    <n v="-8.18"/>
    <x v="3978"/>
    <n v="5406.23"/>
    <s v="Complete Access"/>
    <x v="10"/>
    <x v="0"/>
    <x v="0"/>
    <d v="1900-01-24T00:00:00"/>
    <n v="34"/>
    <x v="6"/>
    <x v="7"/>
  </r>
  <r>
    <x v="1891"/>
    <n v="-100"/>
    <x v="2274"/>
    <n v="5266.22"/>
    <s v="Complete Access"/>
    <x v="552"/>
    <x v="0"/>
    <x v="74"/>
    <d v="1900-01-24T00:00:00"/>
    <n v="34"/>
    <x v="6"/>
    <x v="7"/>
  </r>
  <r>
    <x v="1891"/>
    <n v="-272.63"/>
    <x v="3979"/>
    <n v="5414.41"/>
    <s v="Complete Access"/>
    <x v="883"/>
    <x v="4"/>
    <x v="47"/>
    <d v="1900-01-24T00:00:00"/>
    <n v="34"/>
    <x v="6"/>
    <x v="7"/>
  </r>
  <r>
    <x v="1891"/>
    <n v="-7"/>
    <x v="3980"/>
    <n v="5704.04"/>
    <s v="Complete Access"/>
    <x v="884"/>
    <x v="1"/>
    <x v="5"/>
    <d v="1900-01-24T00:00:00"/>
    <n v="34"/>
    <x v="6"/>
    <x v="7"/>
  </r>
  <r>
    <x v="1891"/>
    <n v="-3.5"/>
    <x v="3980"/>
    <n v="5711.04"/>
    <s v="Complete Access"/>
    <x v="884"/>
    <x v="1"/>
    <x v="5"/>
    <d v="1900-01-24T00:00:00"/>
    <n v="34"/>
    <x v="6"/>
    <x v="7"/>
  </r>
  <r>
    <x v="1891"/>
    <n v="-40.01"/>
    <x v="3981"/>
    <n v="5366.22"/>
    <s v="Complete Access"/>
    <x v="34"/>
    <x v="9"/>
    <x v="12"/>
    <d v="1900-01-24T00:00:00"/>
    <n v="34"/>
    <x v="6"/>
    <x v="7"/>
  </r>
  <r>
    <x v="1892"/>
    <n v="-46.5"/>
    <x v="3982"/>
    <n v="5779.54"/>
    <s v="Complete Access"/>
    <x v="885"/>
    <x v="1"/>
    <x v="5"/>
    <d v="1900-01-23T00:00:00"/>
    <n v="34"/>
    <x v="6"/>
    <x v="7"/>
  </r>
  <r>
    <x v="1892"/>
    <n v="-15"/>
    <x v="3983"/>
    <n v="5764.54"/>
    <s v="Complete Access"/>
    <x v="884"/>
    <x v="1"/>
    <x v="5"/>
    <d v="1900-01-23T00:00:00"/>
    <n v="34"/>
    <x v="6"/>
    <x v="7"/>
  </r>
  <r>
    <x v="1893"/>
    <n v="-12.1"/>
    <x v="3984"/>
    <n v="6042.54"/>
    <s v="Complete Access"/>
    <x v="27"/>
    <x v="1"/>
    <x v="5"/>
    <d v="1900-01-22T00:00:00"/>
    <n v="34"/>
    <x v="6"/>
    <x v="7"/>
  </r>
  <r>
    <x v="1893"/>
    <n v="-20.45"/>
    <x v="3985"/>
    <n v="6022.09"/>
    <s v="Complete Access"/>
    <x v="609"/>
    <x v="1"/>
    <x v="1"/>
    <d v="1900-01-22T00:00:00"/>
    <n v="34"/>
    <x v="6"/>
    <x v="7"/>
  </r>
  <r>
    <x v="1893"/>
    <n v="-13.6"/>
    <x v="3986"/>
    <n v="5954.79"/>
    <s v="Complete Access"/>
    <x v="47"/>
    <x v="1"/>
    <x v="5"/>
    <d v="1900-01-22T00:00:00"/>
    <n v="34"/>
    <x v="6"/>
    <x v="7"/>
  </r>
  <r>
    <x v="1893"/>
    <n v="-95.55"/>
    <x v="3987"/>
    <n v="5844.04"/>
    <s v="Complete Access"/>
    <x v="237"/>
    <x v="15"/>
    <x v="34"/>
    <d v="1900-01-22T00:00:00"/>
    <n v="34"/>
    <x v="6"/>
    <x v="7"/>
  </r>
  <r>
    <x v="1893"/>
    <n v="-53.7"/>
    <x v="3988"/>
    <n v="5968.39"/>
    <s v="Complete Access"/>
    <x v="260"/>
    <x v="1"/>
    <x v="5"/>
    <d v="1900-01-22T00:00:00"/>
    <n v="34"/>
    <x v="6"/>
    <x v="7"/>
  </r>
  <r>
    <x v="1893"/>
    <n v="-6"/>
    <x v="3989"/>
    <n v="5826.04"/>
    <s v="Complete Access"/>
    <x v="886"/>
    <x v="8"/>
    <x v="29"/>
    <d v="1900-01-22T00:00:00"/>
    <n v="34"/>
    <x v="6"/>
    <x v="7"/>
  </r>
  <r>
    <x v="1893"/>
    <n v="-6"/>
    <x v="3989"/>
    <n v="5832.04"/>
    <s v="Complete Access"/>
    <x v="886"/>
    <x v="8"/>
    <x v="29"/>
    <d v="1900-01-22T00:00:00"/>
    <n v="34"/>
    <x v="6"/>
    <x v="7"/>
  </r>
  <r>
    <x v="1893"/>
    <n v="-6"/>
    <x v="3989"/>
    <n v="5838.04"/>
    <s v="Complete Access"/>
    <x v="886"/>
    <x v="8"/>
    <x v="29"/>
    <d v="1900-01-22T00:00:00"/>
    <n v="34"/>
    <x v="6"/>
    <x v="7"/>
  </r>
  <r>
    <x v="1893"/>
    <n v="-15.2"/>
    <x v="3990"/>
    <n v="5939.59"/>
    <s v="Complete Access"/>
    <x v="886"/>
    <x v="8"/>
    <x v="29"/>
    <d v="1900-01-22T00:00:00"/>
    <n v="34"/>
    <x v="6"/>
    <x v="7"/>
  </r>
  <r>
    <x v="1894"/>
    <n v="-78.86"/>
    <x v="3991"/>
    <n v="4969.75"/>
    <s v="Complete Access"/>
    <x v="668"/>
    <x v="15"/>
    <x v="34"/>
    <d v="1900-01-21T00:00:00"/>
    <n v="34"/>
    <x v="6"/>
    <x v="7"/>
  </r>
  <r>
    <x v="1894"/>
    <n v="-16.59"/>
    <x v="3992"/>
    <n v="5129.8100000000004"/>
    <s v="Complete Access"/>
    <x v="559"/>
    <x v="20"/>
    <x v="63"/>
    <d v="1900-01-21T00:00:00"/>
    <n v="34"/>
    <x v="6"/>
    <x v="7"/>
  </r>
  <r>
    <x v="1894"/>
    <n v="1080.25"/>
    <x v="3188"/>
    <n v="6040.64"/>
    <s v="Complete Access"/>
    <x v="14"/>
    <x v="6"/>
    <x v="9"/>
    <d v="1900-01-21T00:00:00"/>
    <n v="34"/>
    <x v="6"/>
    <x v="7"/>
  </r>
  <r>
    <x v="1894"/>
    <n v="-63"/>
    <x v="3993"/>
    <n v="5048.6099999999997"/>
    <s v="Complete Access"/>
    <x v="887"/>
    <x v="8"/>
    <x v="29"/>
    <d v="1900-01-21T00:00:00"/>
    <n v="34"/>
    <x v="6"/>
    <x v="7"/>
  </r>
  <r>
    <x v="1894"/>
    <n v="-18.2"/>
    <x v="3993"/>
    <n v="5111.6099999999997"/>
    <s v="Complete Access"/>
    <x v="887"/>
    <x v="8"/>
    <x v="29"/>
    <d v="1900-01-21T00:00:00"/>
    <n v="34"/>
    <x v="6"/>
    <x v="7"/>
  </r>
  <r>
    <x v="1894"/>
    <n v="14"/>
    <x v="2702"/>
    <n v="6054.64"/>
    <s v="Complete Access"/>
    <x v="6"/>
    <x v="4"/>
    <x v="4"/>
    <d v="1900-01-21T00:00:00"/>
    <n v="34"/>
    <x v="6"/>
    <x v="7"/>
  </r>
  <r>
    <x v="1894"/>
    <n v="13.44"/>
    <x v="3994"/>
    <n v="4960.3900000000003"/>
    <s v="Complete Access"/>
    <x v="67"/>
    <x v="0"/>
    <x v="0"/>
    <d v="1900-01-21T00:00:00"/>
    <n v="34"/>
    <x v="6"/>
    <x v="7"/>
  </r>
  <r>
    <x v="1894"/>
    <n v="-14.9"/>
    <x v="3990"/>
    <n v="4946.95"/>
    <s v="Complete Access"/>
    <x v="886"/>
    <x v="8"/>
    <x v="29"/>
    <d v="1900-01-21T00:00:00"/>
    <n v="34"/>
    <x v="6"/>
    <x v="7"/>
  </r>
  <r>
    <x v="1894"/>
    <n v="-7.9"/>
    <x v="3990"/>
    <n v="4961.8500000000004"/>
    <s v="Complete Access"/>
    <x v="886"/>
    <x v="8"/>
    <x v="29"/>
    <d v="1900-01-21T00:00:00"/>
    <n v="34"/>
    <x v="6"/>
    <x v="7"/>
  </r>
  <r>
    <x v="1895"/>
    <n v="-9.8000000000000007"/>
    <x v="3995"/>
    <n v="5327.29"/>
    <s v="Complete Access"/>
    <x v="61"/>
    <x v="1"/>
    <x v="1"/>
    <d v="1900-01-20T00:00:00"/>
    <n v="34"/>
    <x v="6"/>
    <x v="7"/>
  </r>
  <r>
    <x v="1895"/>
    <n v="-75"/>
    <x v="3996"/>
    <n v="5252.29"/>
    <s v="Complete Access"/>
    <x v="61"/>
    <x v="1"/>
    <x v="1"/>
    <d v="1900-01-20T00:00:00"/>
    <n v="34"/>
    <x v="6"/>
    <x v="7"/>
  </r>
  <r>
    <x v="1895"/>
    <n v="-10"/>
    <x v="3997"/>
    <n v="5161.3900000000003"/>
    <s v="Complete Access"/>
    <x v="42"/>
    <x v="8"/>
    <x v="22"/>
    <d v="1900-01-20T00:00:00"/>
    <n v="34"/>
    <x v="6"/>
    <x v="7"/>
  </r>
  <r>
    <x v="1895"/>
    <n v="-10"/>
    <x v="3998"/>
    <n v="5242.29"/>
    <s v="Complete Access"/>
    <x v="612"/>
    <x v="18"/>
    <x v="59"/>
    <d v="1900-01-20T00:00:00"/>
    <n v="34"/>
    <x v="6"/>
    <x v="7"/>
  </r>
  <r>
    <x v="1895"/>
    <n v="-30"/>
    <x v="3999"/>
    <n v="5174.8900000000003"/>
    <s v="Complete Access"/>
    <x v="888"/>
    <x v="3"/>
    <x v="60"/>
    <d v="1900-01-20T00:00:00"/>
    <n v="34"/>
    <x v="6"/>
    <x v="7"/>
  </r>
  <r>
    <x v="1895"/>
    <n v="-3.5"/>
    <x v="4000"/>
    <n v="5171.3900000000003"/>
    <s v="Complete Access"/>
    <x v="889"/>
    <x v="1"/>
    <x v="5"/>
    <d v="1900-01-20T00:00:00"/>
    <n v="34"/>
    <x v="6"/>
    <x v="7"/>
  </r>
  <r>
    <x v="1895"/>
    <n v="-25"/>
    <x v="4001"/>
    <n v="5204.8900000000003"/>
    <s v="Complete Access"/>
    <x v="796"/>
    <x v="20"/>
    <x v="63"/>
    <d v="1900-01-20T00:00:00"/>
    <n v="34"/>
    <x v="6"/>
    <x v="7"/>
  </r>
  <r>
    <x v="1895"/>
    <n v="-12.4"/>
    <x v="4002"/>
    <n v="5229.8900000000003"/>
    <s v="Complete Access"/>
    <x v="890"/>
    <x v="8"/>
    <x v="29"/>
    <d v="1900-01-20T00:00:00"/>
    <n v="34"/>
    <x v="6"/>
    <x v="7"/>
  </r>
  <r>
    <x v="1895"/>
    <n v="-14.99"/>
    <x v="4003"/>
    <n v="5146.3999999999996"/>
    <s v="Complete Access"/>
    <x v="213"/>
    <x v="1"/>
    <x v="23"/>
    <d v="1900-01-20T00:00:00"/>
    <n v="34"/>
    <x v="6"/>
    <x v="7"/>
  </r>
  <r>
    <x v="1896"/>
    <n v="-515"/>
    <x v="3404"/>
    <n v="5386.58"/>
    <s v="Complete Access"/>
    <x v="783"/>
    <x v="19"/>
    <x v="61"/>
    <d v="1900-01-17T00:00:00"/>
    <n v="33"/>
    <x v="6"/>
    <x v="7"/>
  </r>
  <r>
    <x v="1896"/>
    <n v="-100"/>
    <x v="2274"/>
    <n v="5901.58"/>
    <s v="Complete Access"/>
    <x v="552"/>
    <x v="0"/>
    <x v="74"/>
    <d v="1900-01-17T00:00:00"/>
    <n v="33"/>
    <x v="6"/>
    <x v="7"/>
  </r>
  <r>
    <x v="1896"/>
    <n v="-35.99"/>
    <x v="4004"/>
    <n v="5337.09"/>
    <s v="Complete Access"/>
    <x v="891"/>
    <x v="1"/>
    <x v="23"/>
    <d v="1900-01-17T00:00:00"/>
    <n v="33"/>
    <x v="6"/>
    <x v="7"/>
  </r>
  <r>
    <x v="1896"/>
    <n v="-13.5"/>
    <x v="4005"/>
    <n v="5373.08"/>
    <s v="Complete Access"/>
    <x v="687"/>
    <x v="1"/>
    <x v="5"/>
    <d v="1900-01-17T00:00:00"/>
    <n v="33"/>
    <x v="6"/>
    <x v="7"/>
  </r>
  <r>
    <x v="1897"/>
    <n v="-19.45"/>
    <x v="4006"/>
    <n v="6001.58"/>
    <s v="Complete Access"/>
    <x v="609"/>
    <x v="1"/>
    <x v="1"/>
    <d v="1900-01-16T00:00:00"/>
    <n v="33"/>
    <x v="6"/>
    <x v="7"/>
  </r>
  <r>
    <x v="1897"/>
    <n v="-14.9"/>
    <x v="4007"/>
    <n v="6021.03"/>
    <s v="Complete Access"/>
    <x v="687"/>
    <x v="1"/>
    <x v="5"/>
    <d v="1900-01-16T00:00:00"/>
    <n v="33"/>
    <x v="6"/>
    <x v="7"/>
  </r>
  <r>
    <x v="1898"/>
    <n v="-11.5"/>
    <x v="4008"/>
    <n v="6081.63"/>
    <s v="Complete Access"/>
    <x v="749"/>
    <x v="1"/>
    <x v="5"/>
    <d v="1900-01-15T00:00:00"/>
    <n v="33"/>
    <x v="6"/>
    <x v="7"/>
  </r>
  <r>
    <x v="1898"/>
    <n v="-19.7"/>
    <x v="4009"/>
    <n v="6061.93"/>
    <s v="Complete Access"/>
    <x v="27"/>
    <x v="1"/>
    <x v="5"/>
    <d v="1900-01-15T00:00:00"/>
    <n v="33"/>
    <x v="6"/>
    <x v="7"/>
  </r>
  <r>
    <x v="1898"/>
    <n v="-5.2"/>
    <x v="4010"/>
    <n v="6035.93"/>
    <s v="Complete Access"/>
    <x v="447"/>
    <x v="3"/>
    <x v="26"/>
    <d v="1900-01-15T00:00:00"/>
    <n v="33"/>
    <x v="6"/>
    <x v="7"/>
  </r>
  <r>
    <x v="1898"/>
    <n v="-20.8"/>
    <x v="4011"/>
    <n v="6041.13"/>
    <s v="Complete Access"/>
    <x v="47"/>
    <x v="1"/>
    <x v="5"/>
    <d v="1900-01-15T00:00:00"/>
    <n v="33"/>
    <x v="6"/>
    <x v="7"/>
  </r>
  <r>
    <x v="1899"/>
    <n v="-37.64"/>
    <x v="4012"/>
    <n v="5104.2700000000004"/>
    <s v="Complete Access"/>
    <x v="841"/>
    <x v="2"/>
    <x v="86"/>
    <d v="1900-01-14T00:00:00"/>
    <n v="33"/>
    <x v="6"/>
    <x v="7"/>
  </r>
  <r>
    <x v="1899"/>
    <n v="-7.2"/>
    <x v="4013"/>
    <n v="5084.57"/>
    <s v="Complete Access"/>
    <x v="61"/>
    <x v="1"/>
    <x v="1"/>
    <d v="1900-01-14T00:00:00"/>
    <n v="33"/>
    <x v="6"/>
    <x v="7"/>
  </r>
  <r>
    <x v="1899"/>
    <n v="-20.16"/>
    <x v="4014"/>
    <n v="5035.6099999999997"/>
    <s v="Complete Access"/>
    <x v="882"/>
    <x v="9"/>
    <x v="32"/>
    <d v="1900-01-14T00:00:00"/>
    <n v="33"/>
    <x v="6"/>
    <x v="7"/>
  </r>
  <r>
    <x v="1899"/>
    <n v="1081.47"/>
    <x v="3188"/>
    <n v="6093.13"/>
    <s v="Complete Access"/>
    <x v="14"/>
    <x v="6"/>
    <x v="9"/>
    <d v="1900-01-14T00:00:00"/>
    <n v="33"/>
    <x v="6"/>
    <x v="7"/>
  </r>
  <r>
    <x v="1899"/>
    <n v="-12.5"/>
    <x v="4015"/>
    <n v="5091.7700000000004"/>
    <s v="Complete Access"/>
    <x v="843"/>
    <x v="1"/>
    <x v="5"/>
    <d v="1900-01-14T00:00:00"/>
    <n v="33"/>
    <x v="6"/>
    <x v="7"/>
  </r>
  <r>
    <x v="1899"/>
    <n v="-28.8"/>
    <x v="4016"/>
    <n v="5055.7700000000004"/>
    <s v="Complete Access"/>
    <x v="343"/>
    <x v="1"/>
    <x v="5"/>
    <d v="1900-01-14T00:00:00"/>
    <n v="33"/>
    <x v="6"/>
    <x v="7"/>
  </r>
  <r>
    <x v="1899"/>
    <n v="-23.95"/>
    <x v="4017"/>
    <n v="5011.66"/>
    <s v="Complete Access"/>
    <x v="1"/>
    <x v="1"/>
    <x v="1"/>
    <d v="1900-01-14T00:00:00"/>
    <n v="33"/>
    <x v="6"/>
    <x v="7"/>
  </r>
  <r>
    <x v="1900"/>
    <n v="-3.9"/>
    <x v="4018"/>
    <n v="5237.91"/>
    <s v="Complete Access"/>
    <x v="447"/>
    <x v="3"/>
    <x v="26"/>
    <d v="1900-01-13T00:00:00"/>
    <n v="33"/>
    <x v="6"/>
    <x v="7"/>
  </r>
  <r>
    <x v="1900"/>
    <n v="-17"/>
    <x v="4019"/>
    <n v="5220.91"/>
    <s v="Complete Access"/>
    <x v="842"/>
    <x v="8"/>
    <x v="29"/>
    <d v="1900-01-13T00:00:00"/>
    <n v="33"/>
    <x v="6"/>
    <x v="7"/>
  </r>
  <r>
    <x v="1900"/>
    <n v="79"/>
    <x v="4020"/>
    <n v="5263.95"/>
    <s v="Complete Access"/>
    <x v="347"/>
    <x v="3"/>
    <x v="62"/>
    <d v="1900-01-13T00:00:00"/>
    <n v="33"/>
    <x v="6"/>
    <x v="7"/>
  </r>
  <r>
    <x v="1900"/>
    <n v="-7.5"/>
    <x v="4021"/>
    <n v="5241.8100000000004"/>
    <s v="Complete Access"/>
    <x v="827"/>
    <x v="1"/>
    <x v="1"/>
    <d v="1900-01-13T00:00:00"/>
    <n v="33"/>
    <x v="6"/>
    <x v="7"/>
  </r>
  <r>
    <x v="1900"/>
    <n v="-79"/>
    <x v="4022"/>
    <n v="5141.91"/>
    <s v="Complete Access"/>
    <x v="347"/>
    <x v="3"/>
    <x v="62"/>
    <d v="1900-01-13T00:00:00"/>
    <n v="33"/>
    <x v="6"/>
    <x v="7"/>
  </r>
  <r>
    <x v="1900"/>
    <n v="-0.12"/>
    <x v="4023"/>
    <n v="5259.71"/>
    <s v="Complete Access"/>
    <x v="10"/>
    <x v="0"/>
    <x v="0"/>
    <d v="1900-01-13T00:00:00"/>
    <n v="33"/>
    <x v="6"/>
    <x v="7"/>
  </r>
  <r>
    <x v="1900"/>
    <n v="-10.4"/>
    <x v="4024"/>
    <n v="5249.31"/>
    <s v="Complete Access"/>
    <x v="1"/>
    <x v="1"/>
    <x v="1"/>
    <d v="1900-01-13T00:00:00"/>
    <n v="33"/>
    <x v="6"/>
    <x v="7"/>
  </r>
  <r>
    <x v="1900"/>
    <n v="-13.5"/>
    <x v="4025"/>
    <n v="5184.95"/>
    <s v="Complete Access"/>
    <x v="687"/>
    <x v="1"/>
    <x v="5"/>
    <d v="1900-01-13T00:00:00"/>
    <n v="33"/>
    <x v="6"/>
    <x v="7"/>
  </r>
  <r>
    <x v="1900"/>
    <n v="-4.12"/>
    <x v="4026"/>
    <n v="5259.83"/>
    <s v="Complete Access"/>
    <x v="327"/>
    <x v="4"/>
    <x v="27"/>
    <d v="1900-01-13T00:00:00"/>
    <n v="33"/>
    <x v="6"/>
    <x v="7"/>
  </r>
  <r>
    <x v="1901"/>
    <n v="-515"/>
    <x v="3404"/>
    <n v="5344.45"/>
    <s v="Complete Access"/>
    <x v="783"/>
    <x v="19"/>
    <x v="61"/>
    <d v="1900-01-10T00:00:00"/>
    <n v="32"/>
    <x v="6"/>
    <x v="7"/>
  </r>
  <r>
    <x v="1901"/>
    <n v="-41"/>
    <x v="4027"/>
    <n v="5303.45"/>
    <s v="Complete Access"/>
    <x v="343"/>
    <x v="1"/>
    <x v="5"/>
    <d v="1900-01-10T00:00:00"/>
    <n v="32"/>
    <x v="6"/>
    <x v="7"/>
  </r>
  <r>
    <x v="1901"/>
    <n v="-9"/>
    <x v="4028"/>
    <n v="5215.45"/>
    <s v="Complete Access"/>
    <x v="269"/>
    <x v="1"/>
    <x v="1"/>
    <d v="1900-01-10T00:00:00"/>
    <n v="32"/>
    <x v="6"/>
    <x v="7"/>
  </r>
  <r>
    <x v="1901"/>
    <n v="-100"/>
    <x v="2274"/>
    <n v="5859.45"/>
    <s v="Complete Access"/>
    <x v="552"/>
    <x v="0"/>
    <x v="74"/>
    <d v="1900-01-10T00:00:00"/>
    <n v="32"/>
    <x v="6"/>
    <x v="7"/>
  </r>
  <r>
    <x v="1901"/>
    <n v="-17"/>
    <x v="3061"/>
    <n v="5198.45"/>
    <s v="Complete Access"/>
    <x v="27"/>
    <x v="1"/>
    <x v="5"/>
    <d v="1900-01-10T00:00:00"/>
    <n v="32"/>
    <x v="6"/>
    <x v="7"/>
  </r>
  <r>
    <x v="1901"/>
    <n v="-79"/>
    <x v="4029"/>
    <n v="5224.45"/>
    <s v="Complete Access"/>
    <x v="892"/>
    <x v="3"/>
    <x v="62"/>
    <d v="1900-01-10T00:00:00"/>
    <n v="32"/>
    <x v="6"/>
    <x v="7"/>
  </r>
  <r>
    <x v="1902"/>
    <n v="-50"/>
    <x v="4030"/>
    <n v="6076.45"/>
    <s v="Complete Access"/>
    <x v="819"/>
    <x v="5"/>
    <x v="83"/>
    <d v="1900-01-09T00:00:00"/>
    <n v="32"/>
    <x v="6"/>
    <x v="7"/>
  </r>
  <r>
    <x v="1902"/>
    <n v="-12.5"/>
    <x v="4031"/>
    <n v="6126.45"/>
    <s v="Complete Access"/>
    <x v="843"/>
    <x v="1"/>
    <x v="5"/>
    <d v="1900-01-09T00:00:00"/>
    <n v="32"/>
    <x v="6"/>
    <x v="7"/>
  </r>
  <r>
    <x v="1902"/>
    <n v="-14"/>
    <x v="4032"/>
    <n v="6062.45"/>
    <s v="Complete Access"/>
    <x v="254"/>
    <x v="16"/>
    <x v="35"/>
    <d v="1900-01-09T00:00:00"/>
    <n v="32"/>
    <x v="6"/>
    <x v="7"/>
  </r>
  <r>
    <x v="1902"/>
    <n v="-103"/>
    <x v="2543"/>
    <n v="5959.45"/>
    <s v="Complete Access"/>
    <x v="17"/>
    <x v="7"/>
    <x v="11"/>
    <d v="1900-01-09T00:00:00"/>
    <n v="32"/>
    <x v="6"/>
    <x v="7"/>
  </r>
  <r>
    <x v="1903"/>
    <n v="-17"/>
    <x v="4033"/>
    <n v="6138.95"/>
    <s v="Complete Access"/>
    <x v="842"/>
    <x v="8"/>
    <x v="29"/>
    <d v="1900-01-08T00:00:00"/>
    <n v="32"/>
    <x v="6"/>
    <x v="7"/>
  </r>
  <r>
    <x v="1903"/>
    <n v="-12.5"/>
    <x v="4034"/>
    <n v="6233.81"/>
    <s v="Complete Access"/>
    <x v="843"/>
    <x v="1"/>
    <x v="5"/>
    <d v="1900-01-08T00:00:00"/>
    <n v="32"/>
    <x v="6"/>
    <x v="7"/>
  </r>
  <r>
    <x v="1903"/>
    <n v="-77.86"/>
    <x v="4035"/>
    <n v="6155.95"/>
    <s v="Complete Access"/>
    <x v="1"/>
    <x v="1"/>
    <x v="1"/>
    <d v="1900-01-08T00:00:00"/>
    <n v="32"/>
    <x v="6"/>
    <x v="7"/>
  </r>
  <r>
    <x v="1904"/>
    <n v="1080.25"/>
    <x v="3188"/>
    <n v="6226.31"/>
    <s v="Complete Access"/>
    <x v="14"/>
    <x v="6"/>
    <x v="9"/>
    <d v="1900-01-07T00:00:00"/>
    <n v="32"/>
    <x v="6"/>
    <x v="7"/>
  </r>
  <r>
    <x v="1904"/>
    <n v="-25.5"/>
    <x v="4036"/>
    <n v="5146.0600000000004"/>
    <s v="Complete Access"/>
    <x v="849"/>
    <x v="8"/>
    <x v="29"/>
    <d v="1900-01-07T00:00:00"/>
    <n v="32"/>
    <x v="6"/>
    <x v="7"/>
  </r>
  <r>
    <x v="1904"/>
    <n v="-14"/>
    <x v="4037"/>
    <n v="5171.5600000000004"/>
    <s v="Complete Access"/>
    <x v="715"/>
    <x v="8"/>
    <x v="29"/>
    <d v="1900-01-07T00:00:00"/>
    <n v="32"/>
    <x v="6"/>
    <x v="7"/>
  </r>
  <r>
    <x v="1904"/>
    <n v="20"/>
    <x v="3024"/>
    <n v="6246.31"/>
    <s v="Complete Access"/>
    <x v="27"/>
    <x v="1"/>
    <x v="5"/>
    <d v="1900-01-07T00:00:00"/>
    <n v="32"/>
    <x v="6"/>
    <x v="7"/>
  </r>
  <r>
    <x v="1905"/>
    <n v="-50"/>
    <x v="3764"/>
    <n v="5185.5600000000004"/>
    <s v="Complete Access"/>
    <x v="601"/>
    <x v="0"/>
    <x v="0"/>
    <d v="1900-01-06T00:00:00"/>
    <n v="32"/>
    <x v="6"/>
    <x v="7"/>
  </r>
  <r>
    <x v="1905"/>
    <n v="-68.09"/>
    <x v="4038"/>
    <n v="5246.56"/>
    <s v="Complete Access"/>
    <x v="90"/>
    <x v="8"/>
    <x v="29"/>
    <d v="1900-01-06T00:00:00"/>
    <n v="32"/>
    <x v="6"/>
    <x v="7"/>
  </r>
  <r>
    <x v="1905"/>
    <n v="-13.65"/>
    <x v="4039"/>
    <n v="5360.71"/>
    <s v="Complete Access"/>
    <x v="893"/>
    <x v="9"/>
    <x v="31"/>
    <d v="1900-01-06T00:00:00"/>
    <n v="32"/>
    <x v="6"/>
    <x v="7"/>
  </r>
  <r>
    <x v="1905"/>
    <n v="-1.9"/>
    <x v="4040"/>
    <n v="5314.65"/>
    <s v="Complete Access"/>
    <x v="1"/>
    <x v="1"/>
    <x v="1"/>
    <d v="1900-01-06T00:00:00"/>
    <n v="32"/>
    <x v="6"/>
    <x v="7"/>
  </r>
  <r>
    <x v="1905"/>
    <n v="-4.8600000000000003"/>
    <x v="4040"/>
    <n v="5316.55"/>
    <s v="Complete Access"/>
    <x v="1"/>
    <x v="1"/>
    <x v="1"/>
    <d v="1900-01-06T00:00:00"/>
    <n v="32"/>
    <x v="6"/>
    <x v="7"/>
  </r>
  <r>
    <x v="1905"/>
    <n v="-25.8"/>
    <x v="4040"/>
    <n v="5321.41"/>
    <s v="Complete Access"/>
    <x v="1"/>
    <x v="1"/>
    <x v="1"/>
    <d v="1900-01-06T00:00:00"/>
    <n v="32"/>
    <x v="6"/>
    <x v="7"/>
  </r>
  <r>
    <x v="1905"/>
    <n v="-11"/>
    <x v="4041"/>
    <n v="5235.5600000000004"/>
    <s v="Complete Access"/>
    <x v="213"/>
    <x v="1"/>
    <x v="23"/>
    <d v="1900-01-06T00:00:00"/>
    <n v="32"/>
    <x v="6"/>
    <x v="7"/>
  </r>
  <r>
    <x v="1905"/>
    <n v="-13.5"/>
    <x v="4042"/>
    <n v="5347.21"/>
    <s v="Complete Access"/>
    <x v="687"/>
    <x v="1"/>
    <x v="5"/>
    <d v="1900-01-06T00:00:00"/>
    <n v="32"/>
    <x v="6"/>
    <x v="7"/>
  </r>
  <r>
    <x v="1906"/>
    <n v="400"/>
    <x v="3910"/>
    <n v="5374.36"/>
    <s v="Complete Access"/>
    <x v="67"/>
    <x v="0"/>
    <x v="0"/>
    <d v="1900-01-05T00:00:00"/>
    <n v="32"/>
    <x v="6"/>
    <x v="7"/>
  </r>
  <r>
    <x v="1907"/>
    <n v="18"/>
    <x v="3024"/>
    <n v="4974.3599999999997"/>
    <s v="Complete Access"/>
    <x v="27"/>
    <x v="1"/>
    <x v="5"/>
    <d v="1900-01-04T00:00:00"/>
    <n v="32"/>
    <x v="6"/>
    <x v="7"/>
  </r>
  <r>
    <x v="1908"/>
    <n v="-5.2"/>
    <x v="4043"/>
    <n v="5608.06"/>
    <s v="Complete Access"/>
    <x v="447"/>
    <x v="3"/>
    <x v="26"/>
    <d v="1900-01-03T00:00:00"/>
    <n v="31"/>
    <x v="6"/>
    <x v="7"/>
  </r>
  <r>
    <x v="1908"/>
    <n v="-515"/>
    <x v="3404"/>
    <n v="4956.3599999999997"/>
    <s v="Complete Access"/>
    <x v="783"/>
    <x v="19"/>
    <x v="61"/>
    <d v="1900-01-03T00:00:00"/>
    <n v="31"/>
    <x v="6"/>
    <x v="7"/>
  </r>
  <r>
    <x v="1908"/>
    <n v="-36.700000000000003"/>
    <x v="4044"/>
    <n v="5571.36"/>
    <s v="Complete Access"/>
    <x v="343"/>
    <x v="1"/>
    <x v="5"/>
    <d v="1900-01-03T00:00:00"/>
    <n v="31"/>
    <x v="6"/>
    <x v="7"/>
  </r>
  <r>
    <x v="1908"/>
    <n v="-14.96"/>
    <x v="4045"/>
    <n v="5613.26"/>
    <s v="Complete Access"/>
    <x v="893"/>
    <x v="9"/>
    <x v="31"/>
    <d v="1900-01-03T00:00:00"/>
    <n v="31"/>
    <x v="6"/>
    <x v="7"/>
  </r>
  <r>
    <x v="1908"/>
    <n v="-100"/>
    <x v="2274"/>
    <n v="5471.36"/>
    <s v="Complete Access"/>
    <x v="552"/>
    <x v="0"/>
    <x v="74"/>
    <d v="1900-01-03T00:00:00"/>
    <n v="31"/>
    <x v="6"/>
    <x v="7"/>
  </r>
  <r>
    <x v="1909"/>
    <n v="-17"/>
    <x v="4046"/>
    <n v="5688.22"/>
    <s v="Complete Access"/>
    <x v="842"/>
    <x v="8"/>
    <x v="29"/>
    <d v="1900-01-02T00:00:00"/>
    <n v="31"/>
    <x v="6"/>
    <x v="7"/>
  </r>
  <r>
    <x v="1909"/>
    <n v="-10.7"/>
    <x v="4047"/>
    <n v="5705.22"/>
    <s v="Complete Access"/>
    <x v="609"/>
    <x v="1"/>
    <x v="1"/>
    <d v="1900-01-02T00:00:00"/>
    <n v="31"/>
    <x v="6"/>
    <x v="7"/>
  </r>
  <r>
    <x v="1909"/>
    <n v="-13.5"/>
    <x v="4048"/>
    <n v="5715.92"/>
    <s v="Complete Access"/>
    <x v="687"/>
    <x v="1"/>
    <x v="5"/>
    <d v="1900-01-02T00:00:00"/>
    <n v="31"/>
    <x v="6"/>
    <x v="7"/>
  </r>
  <r>
    <x v="1909"/>
    <n v="-60"/>
    <x v="4049"/>
    <n v="5628.22"/>
    <s v="Complete Access"/>
    <x v="219"/>
    <x v="7"/>
    <x v="53"/>
    <d v="1900-01-02T00:00:00"/>
    <n v="31"/>
    <x v="6"/>
    <x v="7"/>
  </r>
  <r>
    <x v="1910"/>
    <n v="-10.199999999999999"/>
    <x v="4050"/>
    <n v="5730.42"/>
    <s v="Complete Access"/>
    <x v="27"/>
    <x v="1"/>
    <x v="5"/>
    <d v="1900-01-01T00:00:00"/>
    <n v="31"/>
    <x v="6"/>
    <x v="7"/>
  </r>
  <r>
    <x v="1910"/>
    <n v="-11.1"/>
    <x v="4051"/>
    <n v="5750.61"/>
    <s v="Complete Access"/>
    <x v="61"/>
    <x v="1"/>
    <x v="1"/>
    <d v="1900-01-01T00:00:00"/>
    <n v="31"/>
    <x v="6"/>
    <x v="7"/>
  </r>
  <r>
    <x v="1910"/>
    <n v="-9.99"/>
    <x v="4052"/>
    <n v="5740.62"/>
    <s v="Complete Access"/>
    <x v="373"/>
    <x v="8"/>
    <x v="7"/>
    <d v="1900-01-01T00:00:00"/>
    <n v="31"/>
    <x v="6"/>
    <x v="7"/>
  </r>
  <r>
    <x v="1910"/>
    <n v="-1"/>
    <x v="4053"/>
    <n v="5729.42"/>
    <s v="Complete Access"/>
    <x v="98"/>
    <x v="9"/>
    <x v="32"/>
    <d v="1900-01-01T00:00:00"/>
    <n v="31"/>
    <x v="6"/>
    <x v="7"/>
  </r>
  <r>
    <x v="1911"/>
    <n v="-12.3"/>
    <x v="4054"/>
    <n v="4888.3599999999997"/>
    <s v="Complete Access"/>
    <x v="61"/>
    <x v="1"/>
    <x v="1"/>
    <d v="1899-12-31T00:00:00"/>
    <n v="31"/>
    <x v="6"/>
    <x v="7"/>
  </r>
  <r>
    <x v="1911"/>
    <n v="-20.16"/>
    <x v="4055"/>
    <n v="4868.2"/>
    <s v="Complete Access"/>
    <x v="882"/>
    <x v="9"/>
    <x v="32"/>
    <d v="1899-12-31T00:00:00"/>
    <n v="31"/>
    <x v="6"/>
    <x v="7"/>
  </r>
  <r>
    <x v="1911"/>
    <n v="-144"/>
    <x v="4056"/>
    <m/>
    <s v="Complete Access"/>
    <x v="739"/>
    <x v="4"/>
    <x v="20"/>
    <d v="1899-12-31T00:00:00"/>
    <n v="31"/>
    <x v="6"/>
    <x v="7"/>
  </r>
  <r>
    <x v="1911"/>
    <n v="1080.25"/>
    <x v="3188"/>
    <n v="5761.71"/>
    <s v="Complete Access"/>
    <x v="14"/>
    <x v="6"/>
    <x v="9"/>
    <d v="1899-12-31T00:00:00"/>
    <n v="31"/>
    <x v="6"/>
    <x v="7"/>
  </r>
  <r>
    <x v="1911"/>
    <n v="-166.4"/>
    <x v="4057"/>
    <n v="4681.46"/>
    <s v="Complete Access"/>
    <x v="76"/>
    <x v="2"/>
    <x v="2"/>
    <d v="1899-12-31T00:00:00"/>
    <n v="31"/>
    <x v="6"/>
    <x v="7"/>
  </r>
  <r>
    <x v="1911"/>
    <n v="-16.34"/>
    <x v="4058"/>
    <n v="4847.8599999999997"/>
    <s v="Complete Access"/>
    <x v="1"/>
    <x v="1"/>
    <x v="1"/>
    <d v="1899-12-31T00:00:00"/>
    <n v="31"/>
    <x v="6"/>
    <x v="7"/>
  </r>
  <r>
    <x v="1911"/>
    <n v="-4"/>
    <x v="4059"/>
    <n v="4864.2"/>
    <s v="Complete Access"/>
    <x v="91"/>
    <x v="9"/>
    <x v="12"/>
    <d v="1899-12-31T00:00:00"/>
    <n v="31"/>
    <x v="6"/>
    <x v="7"/>
  </r>
  <r>
    <x v="1912"/>
    <n v="-14.2"/>
    <x v="4060"/>
    <n v="4937.6499999999996"/>
    <s v="Complete Access"/>
    <x v="61"/>
    <x v="1"/>
    <x v="1"/>
    <d v="1900-01-30T00:00:00"/>
    <n v="31"/>
    <x v="7"/>
    <x v="7"/>
  </r>
  <r>
    <x v="1912"/>
    <n v="-8.5500000000000007"/>
    <x v="4060"/>
    <n v="4951.8500000000004"/>
    <s v="Complete Access"/>
    <x v="61"/>
    <x v="1"/>
    <x v="1"/>
    <d v="1900-01-30T00:00:00"/>
    <n v="31"/>
    <x v="7"/>
    <x v="7"/>
  </r>
  <r>
    <x v="1912"/>
    <n v="-17"/>
    <x v="4061"/>
    <n v="4900.66"/>
    <s v="Complete Access"/>
    <x v="842"/>
    <x v="8"/>
    <x v="29"/>
    <d v="1900-01-30T00:00:00"/>
    <n v="31"/>
    <x v="7"/>
    <x v="7"/>
  </r>
  <r>
    <x v="1912"/>
    <n v="-15"/>
    <x v="4062"/>
    <n v="4917.66"/>
    <s v="Complete Access"/>
    <x v="213"/>
    <x v="1"/>
    <x v="23"/>
    <d v="1900-01-30T00:00:00"/>
    <n v="31"/>
    <x v="7"/>
    <x v="7"/>
  </r>
  <r>
    <x v="1912"/>
    <n v="-4.99"/>
    <x v="4063"/>
    <n v="4932.66"/>
    <s v="Complete Access"/>
    <x v="587"/>
    <x v="8"/>
    <x v="22"/>
    <d v="1900-01-30T00:00:00"/>
    <n v="31"/>
    <x v="7"/>
    <x v="7"/>
  </r>
  <r>
    <x v="1913"/>
    <n v="-515"/>
    <x v="3404"/>
    <n v="4960.3999999999996"/>
    <s v="Complete Access"/>
    <x v="783"/>
    <x v="19"/>
    <x v="61"/>
    <d v="1900-01-27T00:00:00"/>
    <n v="30"/>
    <x v="7"/>
    <x v="7"/>
  </r>
  <r>
    <x v="1913"/>
    <n v="-100"/>
    <x v="2274"/>
    <n v="5475.4"/>
    <s v="Complete Access"/>
    <x v="552"/>
    <x v="0"/>
    <x v="74"/>
    <d v="1900-01-27T00:00:00"/>
    <n v="30"/>
    <x v="7"/>
    <x v="7"/>
  </r>
  <r>
    <x v="1914"/>
    <n v="-12.5"/>
    <x v="4064"/>
    <n v="5575.4"/>
    <s v="Complete Access"/>
    <x v="780"/>
    <x v="9"/>
    <x v="31"/>
    <d v="1900-01-26T00:00:00"/>
    <n v="30"/>
    <x v="7"/>
    <x v="7"/>
  </r>
  <r>
    <x v="1914"/>
    <n v="-12.47"/>
    <x v="4065"/>
    <n v="5587.9"/>
    <s v="Complete Access"/>
    <x v="609"/>
    <x v="1"/>
    <x v="1"/>
    <d v="1900-01-26T00:00:00"/>
    <n v="30"/>
    <x v="7"/>
    <x v="7"/>
  </r>
  <r>
    <x v="1914"/>
    <n v="-13.5"/>
    <x v="4066"/>
    <n v="5600.37"/>
    <s v="Complete Access"/>
    <x v="687"/>
    <x v="1"/>
    <x v="5"/>
    <d v="1900-01-26T00:00:00"/>
    <n v="30"/>
    <x v="7"/>
    <x v="7"/>
  </r>
  <r>
    <x v="1915"/>
    <n v="-13"/>
    <x v="4067"/>
    <n v="5822.57"/>
    <s v="Complete Access"/>
    <x v="27"/>
    <x v="1"/>
    <x v="5"/>
    <d v="1900-01-25T00:00:00"/>
    <n v="30"/>
    <x v="7"/>
    <x v="7"/>
  </r>
  <r>
    <x v="1915"/>
    <n v="-14.8"/>
    <x v="4068"/>
    <n v="5835.57"/>
    <s v="Complete Access"/>
    <x v="61"/>
    <x v="1"/>
    <x v="1"/>
    <d v="1900-01-25T00:00:00"/>
    <n v="30"/>
    <x v="7"/>
    <x v="7"/>
  </r>
  <r>
    <x v="1915"/>
    <n v="-50"/>
    <x v="3591"/>
    <n v="5613.87"/>
    <s v="Complete Access"/>
    <x v="776"/>
    <x v="5"/>
    <x v="83"/>
    <d v="1900-01-25T00:00:00"/>
    <n v="30"/>
    <x v="7"/>
    <x v="7"/>
  </r>
  <r>
    <x v="1915"/>
    <n v="-14.7"/>
    <x v="4069"/>
    <n v="5663.87"/>
    <s v="Complete Access"/>
    <x v="47"/>
    <x v="1"/>
    <x v="5"/>
    <d v="1900-01-25T00:00:00"/>
    <n v="30"/>
    <x v="7"/>
    <x v="7"/>
  </r>
  <r>
    <x v="1915"/>
    <n v="-144"/>
    <x v="4070"/>
    <n v="5678.57"/>
    <s v="Complete Access"/>
    <x v="50"/>
    <x v="4"/>
    <x v="25"/>
    <d v="1900-01-25T00:00:00"/>
    <n v="30"/>
    <x v="7"/>
    <x v="7"/>
  </r>
  <r>
    <x v="1916"/>
    <n v="-20.16"/>
    <x v="4071"/>
    <n v="4727.6400000000003"/>
    <s v="Complete Access"/>
    <x v="882"/>
    <x v="9"/>
    <x v="32"/>
    <d v="1900-01-24T00:00:00"/>
    <n v="30"/>
    <x v="7"/>
    <x v="7"/>
  </r>
  <r>
    <x v="1916"/>
    <n v="-15.75"/>
    <x v="4072"/>
    <n v="4827.2299999999996"/>
    <s v="Complete Access"/>
    <x v="556"/>
    <x v="15"/>
    <x v="34"/>
    <d v="1900-01-24T00:00:00"/>
    <n v="30"/>
    <x v="7"/>
    <x v="7"/>
  </r>
  <r>
    <x v="1916"/>
    <n v="-17"/>
    <x v="4073"/>
    <n v="4854.53"/>
    <s v="Complete Access"/>
    <x v="842"/>
    <x v="8"/>
    <x v="29"/>
    <d v="1900-01-24T00:00:00"/>
    <n v="30"/>
    <x v="7"/>
    <x v="7"/>
  </r>
  <r>
    <x v="1916"/>
    <n v="1137.78"/>
    <x v="3188"/>
    <n v="5850.37"/>
    <s v="Complete Access"/>
    <x v="14"/>
    <x v="6"/>
    <x v="9"/>
    <d v="1900-01-24T00:00:00"/>
    <n v="30"/>
    <x v="7"/>
    <x v="7"/>
  </r>
  <r>
    <x v="1916"/>
    <n v="-27"/>
    <x v="4074"/>
    <n v="4871.53"/>
    <s v="Complete Access"/>
    <x v="343"/>
    <x v="1"/>
    <x v="5"/>
    <d v="1900-01-24T00:00:00"/>
    <n v="30"/>
    <x v="7"/>
    <x v="7"/>
  </r>
  <r>
    <x v="1916"/>
    <n v="-11.55"/>
    <x v="4075"/>
    <n v="4842.9799999999996"/>
    <s v="Complete Access"/>
    <x v="599"/>
    <x v="15"/>
    <x v="34"/>
    <d v="1900-01-24T00:00:00"/>
    <n v="30"/>
    <x v="7"/>
    <x v="7"/>
  </r>
  <r>
    <x v="1916"/>
    <n v="-54.63"/>
    <x v="4076"/>
    <n v="4749.4399999999996"/>
    <s v="Complete Access"/>
    <x v="894"/>
    <x v="4"/>
    <x v="47"/>
    <d v="1900-01-24T00:00:00"/>
    <n v="30"/>
    <x v="7"/>
    <x v="7"/>
  </r>
  <r>
    <x v="1916"/>
    <n v="-1.64"/>
    <x v="4077"/>
    <n v="4747.8"/>
    <s v="Complete Access"/>
    <x v="10"/>
    <x v="0"/>
    <x v="0"/>
    <d v="1900-01-24T00:00:00"/>
    <n v="30"/>
    <x v="7"/>
    <x v="7"/>
  </r>
  <r>
    <x v="1916"/>
    <n v="-15.05"/>
    <x v="4078"/>
    <n v="4712.59"/>
    <s v="Complete Access"/>
    <x v="1"/>
    <x v="1"/>
    <x v="1"/>
    <d v="1900-01-24T00:00:00"/>
    <n v="30"/>
    <x v="7"/>
    <x v="7"/>
  </r>
  <r>
    <x v="1916"/>
    <n v="-14.1"/>
    <x v="4079"/>
    <n v="4804.07"/>
    <s v="Complete Access"/>
    <x v="895"/>
    <x v="8"/>
    <x v="29"/>
    <d v="1900-01-24T00:00:00"/>
    <n v="30"/>
    <x v="7"/>
    <x v="7"/>
  </r>
  <r>
    <x v="1916"/>
    <n v="-9.06"/>
    <x v="4079"/>
    <n v="4818.17"/>
    <s v="Complete Access"/>
    <x v="895"/>
    <x v="8"/>
    <x v="29"/>
    <d v="1900-01-24T00:00:00"/>
    <n v="30"/>
    <x v="7"/>
    <x v="7"/>
  </r>
  <r>
    <x v="1916"/>
    <n v="-13.5"/>
    <x v="4080"/>
    <n v="4898.53"/>
    <s v="Complete Access"/>
    <x v="687"/>
    <x v="1"/>
    <x v="5"/>
    <d v="1900-01-24T00:00:00"/>
    <n v="30"/>
    <x v="7"/>
    <x v="7"/>
  </r>
  <r>
    <x v="1917"/>
    <n v="-9.0500000000000007"/>
    <x v="4081"/>
    <n v="4912.03"/>
    <s v="Complete Access"/>
    <x v="896"/>
    <x v="8"/>
    <x v="29"/>
    <d v="1900-01-23T00:00:00"/>
    <n v="30"/>
    <x v="7"/>
    <x v="7"/>
  </r>
  <r>
    <x v="1917"/>
    <n v="-9.8000000000000007"/>
    <x v="4082"/>
    <n v="4921.08"/>
    <s v="Complete Access"/>
    <x v="896"/>
    <x v="8"/>
    <x v="29"/>
    <d v="1900-01-23T00:00:00"/>
    <n v="30"/>
    <x v="7"/>
    <x v="7"/>
  </r>
  <r>
    <x v="1917"/>
    <n v="-7"/>
    <x v="4083"/>
    <n v="4930.88"/>
    <s v="Complete Access"/>
    <x v="767"/>
    <x v="8"/>
    <x v="29"/>
    <d v="1900-01-23T00:00:00"/>
    <n v="30"/>
    <x v="7"/>
    <x v="7"/>
  </r>
  <r>
    <x v="1917"/>
    <n v="-24"/>
    <x v="4083"/>
    <n v="4937.88"/>
    <s v="Complete Access"/>
    <x v="767"/>
    <x v="8"/>
    <x v="29"/>
    <d v="1900-01-23T00:00:00"/>
    <n v="30"/>
    <x v="7"/>
    <x v="7"/>
  </r>
  <r>
    <x v="1917"/>
    <n v="-25"/>
    <x v="4084"/>
    <n v="4961.88"/>
    <s v="Complete Access"/>
    <x v="796"/>
    <x v="20"/>
    <x v="63"/>
    <d v="1900-01-23T00:00:00"/>
    <n v="30"/>
    <x v="7"/>
    <x v="7"/>
  </r>
  <r>
    <x v="1917"/>
    <n v="-5.49"/>
    <x v="4085"/>
    <n v="5016.88"/>
    <s v="Complete Access"/>
    <x v="177"/>
    <x v="1"/>
    <x v="1"/>
    <d v="1900-01-23T00:00:00"/>
    <n v="30"/>
    <x v="7"/>
    <x v="7"/>
  </r>
  <r>
    <x v="1917"/>
    <n v="-30"/>
    <x v="4086"/>
    <n v="4986.88"/>
    <s v="Complete Access"/>
    <x v="785"/>
    <x v="9"/>
    <x v="12"/>
    <d v="1900-01-23T00:00:00"/>
    <n v="30"/>
    <x v="7"/>
    <x v="7"/>
  </r>
  <r>
    <x v="1918"/>
    <n v="-50"/>
    <x v="4087"/>
    <n v="5045.37"/>
    <s v="Complete Access"/>
    <x v="819"/>
    <x v="5"/>
    <x v="83"/>
    <d v="1900-01-20T00:00:00"/>
    <n v="29"/>
    <x v="7"/>
    <x v="7"/>
  </r>
  <r>
    <x v="1918"/>
    <n v="-515"/>
    <x v="3404"/>
    <n v="5095.37"/>
    <s v="Complete Access"/>
    <x v="783"/>
    <x v="19"/>
    <x v="61"/>
    <d v="1900-01-20T00:00:00"/>
    <n v="29"/>
    <x v="7"/>
    <x v="7"/>
  </r>
  <r>
    <x v="1918"/>
    <n v="-100"/>
    <x v="2274"/>
    <n v="5610.37"/>
    <s v="Complete Access"/>
    <x v="552"/>
    <x v="0"/>
    <x v="74"/>
    <d v="1900-01-20T00:00:00"/>
    <n v="29"/>
    <x v="7"/>
    <x v="7"/>
  </r>
  <r>
    <x v="1918"/>
    <n v="-9.5"/>
    <x v="4088"/>
    <n v="5022.37"/>
    <s v="Complete Access"/>
    <x v="897"/>
    <x v="1"/>
    <x v="1"/>
    <d v="1900-01-20T00:00:00"/>
    <n v="29"/>
    <x v="7"/>
    <x v="7"/>
  </r>
  <r>
    <x v="1918"/>
    <n v="-13.5"/>
    <x v="4089"/>
    <n v="5031.87"/>
    <s v="Complete Access"/>
    <x v="687"/>
    <x v="1"/>
    <x v="5"/>
    <d v="1900-01-20T00:00:00"/>
    <n v="29"/>
    <x v="7"/>
    <x v="7"/>
  </r>
  <r>
    <x v="1919"/>
    <n v="-20"/>
    <x v="4090"/>
    <n v="5712.87"/>
    <s v="Complete Access"/>
    <x v="601"/>
    <x v="0"/>
    <x v="0"/>
    <d v="1900-01-19T00:00:00"/>
    <n v="29"/>
    <x v="7"/>
    <x v="7"/>
  </r>
  <r>
    <x v="1919"/>
    <n v="-14.44"/>
    <x v="4091"/>
    <n v="5732.87"/>
    <s v="Complete Access"/>
    <x v="609"/>
    <x v="1"/>
    <x v="1"/>
    <d v="1900-01-19T00:00:00"/>
    <n v="29"/>
    <x v="7"/>
    <x v="7"/>
  </r>
  <r>
    <x v="1919"/>
    <n v="-2.5"/>
    <x v="4092"/>
    <n v="5710.37"/>
    <s v="Complete Access"/>
    <x v="37"/>
    <x v="0"/>
    <x v="0"/>
    <d v="1900-01-19T00:00:00"/>
    <n v="29"/>
    <x v="7"/>
    <x v="7"/>
  </r>
  <r>
    <x v="1920"/>
    <n v="-11.55"/>
    <x v="4093"/>
    <n v="5786.81"/>
    <s v="Complete Access"/>
    <x v="27"/>
    <x v="1"/>
    <x v="5"/>
    <d v="1900-01-18T00:00:00"/>
    <n v="29"/>
    <x v="7"/>
    <x v="7"/>
  </r>
  <r>
    <x v="1920"/>
    <n v="-16.36"/>
    <x v="4094"/>
    <n v="5798.36"/>
    <s v="Complete Access"/>
    <x v="61"/>
    <x v="1"/>
    <x v="1"/>
    <d v="1900-01-18T00:00:00"/>
    <n v="29"/>
    <x v="7"/>
    <x v="7"/>
  </r>
  <r>
    <x v="1920"/>
    <n v="-20"/>
    <x v="4095"/>
    <n v="5749.81"/>
    <s v="Complete Access"/>
    <x v="601"/>
    <x v="0"/>
    <x v="0"/>
    <d v="1900-01-18T00:00:00"/>
    <n v="29"/>
    <x v="7"/>
    <x v="7"/>
  </r>
  <r>
    <x v="1920"/>
    <n v="-17"/>
    <x v="4096"/>
    <n v="5769.81"/>
    <s v="Complete Access"/>
    <x v="842"/>
    <x v="8"/>
    <x v="29"/>
    <d v="1900-01-18T00:00:00"/>
    <n v="29"/>
    <x v="7"/>
    <x v="7"/>
  </r>
  <r>
    <x v="1920"/>
    <n v="-2.5"/>
    <x v="72"/>
    <n v="5747.31"/>
    <s v="Complete Access"/>
    <x v="37"/>
    <x v="0"/>
    <x v="0"/>
    <d v="1900-01-18T00:00:00"/>
    <n v="29"/>
    <x v="7"/>
    <x v="7"/>
  </r>
  <r>
    <x v="1920"/>
    <n v="-12.5"/>
    <x v="4097"/>
    <n v="5814.72"/>
    <s v="Complete Access"/>
    <x v="843"/>
    <x v="1"/>
    <x v="5"/>
    <d v="1900-01-18T00:00:00"/>
    <n v="29"/>
    <x v="7"/>
    <x v="7"/>
  </r>
  <r>
    <x v="1921"/>
    <n v="1124.71"/>
    <x v="3188"/>
    <n v="5827.22"/>
    <s v="Complete Access"/>
    <x v="14"/>
    <x v="6"/>
    <x v="9"/>
    <d v="1900-01-17T00:00:00"/>
    <n v="29"/>
    <x v="7"/>
    <x v="7"/>
  </r>
  <r>
    <x v="1921"/>
    <n v="-37"/>
    <x v="4098"/>
    <n v="4725.71"/>
    <s v="Complete Access"/>
    <x v="343"/>
    <x v="1"/>
    <x v="5"/>
    <d v="1900-01-17T00:00:00"/>
    <n v="29"/>
    <x v="7"/>
    <x v="7"/>
  </r>
  <r>
    <x v="1921"/>
    <n v="-26.46"/>
    <x v="4098"/>
    <n v="4762.71"/>
    <s v="Complete Access"/>
    <x v="343"/>
    <x v="1"/>
    <x v="5"/>
    <d v="1900-01-17T00:00:00"/>
    <n v="29"/>
    <x v="7"/>
    <x v="7"/>
  </r>
  <r>
    <x v="1921"/>
    <n v="-29.9"/>
    <x v="4099"/>
    <n v="4789.17"/>
    <s v="Complete Access"/>
    <x v="343"/>
    <x v="1"/>
    <x v="5"/>
    <d v="1900-01-17T00:00:00"/>
    <n v="29"/>
    <x v="7"/>
    <x v="7"/>
  </r>
  <r>
    <x v="1921"/>
    <n v="-23.2"/>
    <x v="4100"/>
    <n v="4702.51"/>
    <s v="Complete Access"/>
    <x v="1"/>
    <x v="1"/>
    <x v="1"/>
    <d v="1900-01-17T00:00:00"/>
    <n v="29"/>
    <x v="7"/>
    <x v="7"/>
  </r>
  <r>
    <x v="1922"/>
    <n v="-37.64"/>
    <x v="4101"/>
    <n v="4854.97"/>
    <s v="Complete Access"/>
    <x v="841"/>
    <x v="2"/>
    <x v="86"/>
    <d v="1900-01-16T00:00:00"/>
    <n v="29"/>
    <x v="7"/>
    <x v="7"/>
  </r>
  <r>
    <x v="1922"/>
    <n v="-13.9"/>
    <x v="4102"/>
    <n v="4841.07"/>
    <s v="Complete Access"/>
    <x v="687"/>
    <x v="1"/>
    <x v="5"/>
    <d v="1900-01-16T00:00:00"/>
    <n v="29"/>
    <x v="7"/>
    <x v="7"/>
  </r>
  <r>
    <x v="1923"/>
    <n v="-515"/>
    <x v="3404"/>
    <n v="4923.1099999999997"/>
    <s v="Complete Access"/>
    <x v="783"/>
    <x v="19"/>
    <x v="61"/>
    <d v="1900-01-13T00:00:00"/>
    <n v="28"/>
    <x v="7"/>
    <x v="7"/>
  </r>
  <r>
    <x v="1923"/>
    <n v="-100"/>
    <x v="2274"/>
    <n v="5438.11"/>
    <s v="Complete Access"/>
    <x v="552"/>
    <x v="0"/>
    <x v="74"/>
    <d v="1900-01-13T00:00:00"/>
    <n v="28"/>
    <x v="7"/>
    <x v="7"/>
  </r>
  <r>
    <x v="1923"/>
    <n v="-17"/>
    <x v="4103"/>
    <n v="4892.6099999999997"/>
    <s v="Complete Access"/>
    <x v="1"/>
    <x v="1"/>
    <x v="1"/>
    <d v="1900-01-13T00:00:00"/>
    <n v="28"/>
    <x v="7"/>
    <x v="7"/>
  </r>
  <r>
    <x v="1923"/>
    <n v="-13.5"/>
    <x v="4104"/>
    <n v="4909.6099999999997"/>
    <s v="Complete Access"/>
    <x v="687"/>
    <x v="1"/>
    <x v="5"/>
    <d v="1900-01-13T00:00:00"/>
    <n v="28"/>
    <x v="7"/>
    <x v="7"/>
  </r>
  <r>
    <x v="1924"/>
    <n v="-2.69"/>
    <x v="4105"/>
    <n v="5699.05"/>
    <s v="Complete Access"/>
    <x v="61"/>
    <x v="1"/>
    <x v="1"/>
    <d v="1900-01-12T00:00:00"/>
    <n v="28"/>
    <x v="7"/>
    <x v="7"/>
  </r>
  <r>
    <x v="1924"/>
    <n v="-17"/>
    <x v="4106"/>
    <n v="5656.79"/>
    <s v="Complete Access"/>
    <x v="842"/>
    <x v="8"/>
    <x v="29"/>
    <d v="1900-01-12T00:00:00"/>
    <n v="28"/>
    <x v="7"/>
    <x v="7"/>
  </r>
  <r>
    <x v="1924"/>
    <n v="-25.26"/>
    <x v="4107"/>
    <n v="5673.79"/>
    <s v="Complete Access"/>
    <x v="609"/>
    <x v="1"/>
    <x v="1"/>
    <d v="1900-01-12T00:00:00"/>
    <n v="28"/>
    <x v="7"/>
    <x v="7"/>
  </r>
  <r>
    <x v="1924"/>
    <n v="-100.68"/>
    <x v="2543"/>
    <n v="5538.11"/>
    <s v="Complete Access"/>
    <x v="17"/>
    <x v="7"/>
    <x v="11"/>
    <d v="1900-01-12T00:00:00"/>
    <n v="28"/>
    <x v="7"/>
    <x v="7"/>
  </r>
  <r>
    <x v="1924"/>
    <n v="-18"/>
    <x v="4108"/>
    <n v="5638.79"/>
    <s v="Complete Access"/>
    <x v="1"/>
    <x v="1"/>
    <x v="1"/>
    <d v="1900-01-12T00:00:00"/>
    <n v="28"/>
    <x v="7"/>
    <x v="7"/>
  </r>
  <r>
    <x v="1925"/>
    <n v="-14.5"/>
    <x v="4109"/>
    <n v="5715.74"/>
    <s v="Complete Access"/>
    <x v="27"/>
    <x v="1"/>
    <x v="5"/>
    <d v="1900-01-11T00:00:00"/>
    <n v="28"/>
    <x v="7"/>
    <x v="7"/>
  </r>
  <r>
    <x v="1925"/>
    <n v="-22"/>
    <x v="4110"/>
    <n v="4819.07"/>
    <s v="Complete Access"/>
    <x v="739"/>
    <x v="4"/>
    <x v="20"/>
    <d v="1900-01-11T00:00:00"/>
    <n v="28"/>
    <x v="7"/>
    <x v="7"/>
  </r>
  <r>
    <x v="1925"/>
    <n v="-150"/>
    <x v="4111"/>
    <m/>
    <s v="Complete Access"/>
    <x v="739"/>
    <x v="4"/>
    <x v="20"/>
    <d v="1900-01-11T00:00:00"/>
    <n v="28"/>
    <x v="7"/>
    <x v="7"/>
  </r>
  <r>
    <x v="1925"/>
    <n v="-14"/>
    <x v="4112"/>
    <n v="5701.74"/>
    <s v="Complete Access"/>
    <x v="842"/>
    <x v="8"/>
    <x v="29"/>
    <d v="1900-01-11T00:00:00"/>
    <n v="28"/>
    <x v="7"/>
    <x v="7"/>
  </r>
  <r>
    <x v="1926"/>
    <n v="-29.82"/>
    <x v="4113"/>
    <n v="4583.29"/>
    <s v="Complete Access"/>
    <x v="761"/>
    <x v="15"/>
    <x v="34"/>
    <d v="1900-01-10T00:00:00"/>
    <n v="28"/>
    <x v="7"/>
    <x v="7"/>
  </r>
  <r>
    <x v="1926"/>
    <n v="1182.25"/>
    <x v="3188"/>
    <n v="5730.24"/>
    <s v="Complete Access"/>
    <x v="14"/>
    <x v="6"/>
    <x v="9"/>
    <d v="1900-01-10T00:00:00"/>
    <n v="28"/>
    <x v="7"/>
    <x v="7"/>
  </r>
  <r>
    <x v="1926"/>
    <n v="-25.25"/>
    <x v="4114"/>
    <n v="4631.41"/>
    <s v="Complete Access"/>
    <x v="768"/>
    <x v="8"/>
    <x v="29"/>
    <d v="1900-01-10T00:00:00"/>
    <n v="28"/>
    <x v="7"/>
    <x v="7"/>
  </r>
  <r>
    <x v="1926"/>
    <n v="-10.1"/>
    <x v="4115"/>
    <n v="4656.66"/>
    <s v="Complete Access"/>
    <x v="768"/>
    <x v="8"/>
    <x v="29"/>
    <d v="1900-01-10T00:00:00"/>
    <n v="28"/>
    <x v="7"/>
    <x v="7"/>
  </r>
  <r>
    <x v="1926"/>
    <n v="-31.3"/>
    <x v="4116"/>
    <n v="4547.99"/>
    <s v="Complete Access"/>
    <x v="1"/>
    <x v="1"/>
    <x v="1"/>
    <d v="1900-01-10T00:00:00"/>
    <n v="28"/>
    <x v="7"/>
    <x v="7"/>
  </r>
  <r>
    <x v="1926"/>
    <n v="-18.3"/>
    <x v="4117"/>
    <n v="4613.1099999999997"/>
    <s v="Complete Access"/>
    <x v="213"/>
    <x v="1"/>
    <x v="23"/>
    <d v="1900-01-10T00:00:00"/>
    <n v="28"/>
    <x v="7"/>
    <x v="7"/>
  </r>
  <r>
    <x v="1926"/>
    <n v="-4"/>
    <x v="4118"/>
    <n v="4579.29"/>
    <s v="Complete Access"/>
    <x v="34"/>
    <x v="9"/>
    <x v="12"/>
    <d v="1900-01-10T00:00:00"/>
    <n v="28"/>
    <x v="7"/>
    <x v="7"/>
  </r>
  <r>
    <x v="1927"/>
    <n v="-256"/>
    <x v="4119"/>
    <n v="4495.71"/>
    <s v="Complete Access"/>
    <x v="0"/>
    <x v="0"/>
    <x v="0"/>
    <d v="1900-01-09T00:00:00"/>
    <n v="28"/>
    <x v="7"/>
    <x v="7"/>
  </r>
  <r>
    <x v="1927"/>
    <n v="-3.83"/>
    <x v="4120"/>
    <n v="4991.24"/>
    <s v="Complete Access"/>
    <x v="61"/>
    <x v="1"/>
    <x v="1"/>
    <d v="1900-01-09T00:00:00"/>
    <n v="28"/>
    <x v="7"/>
    <x v="7"/>
  </r>
  <r>
    <x v="1927"/>
    <n v="-50"/>
    <x v="4121"/>
    <n v="4864.1400000000003"/>
    <s v="Complete Access"/>
    <x v="819"/>
    <x v="5"/>
    <x v="83"/>
    <d v="1900-01-09T00:00:00"/>
    <n v="28"/>
    <x v="7"/>
    <x v="7"/>
  </r>
  <r>
    <x v="1927"/>
    <n v="-5.7"/>
    <x v="4122"/>
    <n v="4761.6899999999996"/>
    <s v="Complete Access"/>
    <x v="733"/>
    <x v="8"/>
    <x v="29"/>
    <d v="1900-01-09T00:00:00"/>
    <n v="28"/>
    <x v="7"/>
    <x v="7"/>
  </r>
  <r>
    <x v="1927"/>
    <n v="-19.600000000000001"/>
    <x v="4123"/>
    <n v="4921.28"/>
    <s v="Complete Access"/>
    <x v="898"/>
    <x v="8"/>
    <x v="29"/>
    <d v="1900-01-09T00:00:00"/>
    <n v="28"/>
    <x v="7"/>
    <x v="7"/>
  </r>
  <r>
    <x v="1927"/>
    <n v="-7.5"/>
    <x v="4123"/>
    <n v="4940.88"/>
    <s v="Complete Access"/>
    <x v="898"/>
    <x v="8"/>
    <x v="29"/>
    <d v="1900-01-09T00:00:00"/>
    <n v="28"/>
    <x v="7"/>
    <x v="7"/>
  </r>
  <r>
    <x v="1927"/>
    <n v="-14.7"/>
    <x v="4123"/>
    <n v="4948.38"/>
    <s v="Complete Access"/>
    <x v="898"/>
    <x v="8"/>
    <x v="29"/>
    <d v="1900-01-09T00:00:00"/>
    <n v="28"/>
    <x v="7"/>
    <x v="7"/>
  </r>
  <r>
    <x v="1927"/>
    <n v="-9.98"/>
    <x v="4124"/>
    <n v="4751.71"/>
    <s v="Complete Access"/>
    <x v="210"/>
    <x v="3"/>
    <x v="15"/>
    <d v="1900-01-09T00:00:00"/>
    <n v="28"/>
    <x v="7"/>
    <x v="7"/>
  </r>
  <r>
    <x v="1927"/>
    <n v="-14.66"/>
    <x v="4125"/>
    <n v="4963.08"/>
    <s v="Complete Access"/>
    <x v="792"/>
    <x v="1"/>
    <x v="5"/>
    <d v="1900-01-09T00:00:00"/>
    <n v="28"/>
    <x v="7"/>
    <x v="7"/>
  </r>
  <r>
    <x v="1927"/>
    <n v="-19.190000000000001"/>
    <x v="4115"/>
    <n v="4767.3900000000003"/>
    <s v="Complete Access"/>
    <x v="768"/>
    <x v="8"/>
    <x v="29"/>
    <d v="1900-01-09T00:00:00"/>
    <n v="28"/>
    <x v="7"/>
    <x v="7"/>
  </r>
  <r>
    <x v="1927"/>
    <n v="141.05000000000001"/>
    <x v="4126"/>
    <n v="4636.76"/>
    <s v="Complete Access"/>
    <x v="67"/>
    <x v="0"/>
    <x v="0"/>
    <d v="1900-01-09T00:00:00"/>
    <n v="28"/>
    <x v="7"/>
    <x v="7"/>
  </r>
  <r>
    <x v="1927"/>
    <n v="30"/>
    <x v="4127"/>
    <n v="4666.76"/>
    <s v="Complete Access"/>
    <x v="67"/>
    <x v="0"/>
    <x v="0"/>
    <d v="1900-01-09T00:00:00"/>
    <n v="28"/>
    <x v="7"/>
    <x v="7"/>
  </r>
  <r>
    <x v="1927"/>
    <n v="-6"/>
    <x v="4128"/>
    <n v="4858.1400000000003"/>
    <s v="Complete Access"/>
    <x v="587"/>
    <x v="8"/>
    <x v="22"/>
    <d v="1900-01-09T00:00:00"/>
    <n v="28"/>
    <x v="7"/>
    <x v="7"/>
  </r>
  <r>
    <x v="1927"/>
    <n v="-7.14"/>
    <x v="4129"/>
    <n v="4914.1400000000003"/>
    <s v="Complete Access"/>
    <x v="21"/>
    <x v="10"/>
    <x v="13"/>
    <d v="1900-01-09T00:00:00"/>
    <n v="28"/>
    <x v="7"/>
    <x v="7"/>
  </r>
  <r>
    <x v="1927"/>
    <n v="-13.5"/>
    <x v="4130"/>
    <n v="4977.74"/>
    <s v="Complete Access"/>
    <x v="687"/>
    <x v="1"/>
    <x v="5"/>
    <d v="1900-01-09T00:00:00"/>
    <n v="28"/>
    <x v="7"/>
    <x v="7"/>
  </r>
  <r>
    <x v="1927"/>
    <n v="-21.32"/>
    <x v="4131"/>
    <n v="4786.58"/>
    <s v="Complete Access"/>
    <x v="899"/>
    <x v="8"/>
    <x v="29"/>
    <d v="1900-01-09T00:00:00"/>
    <n v="28"/>
    <x v="7"/>
    <x v="7"/>
  </r>
  <r>
    <x v="1927"/>
    <n v="-21.32"/>
    <x v="4131"/>
    <n v="4807.8999999999996"/>
    <s v="Complete Access"/>
    <x v="899"/>
    <x v="8"/>
    <x v="29"/>
    <d v="1900-01-09T00:00:00"/>
    <n v="28"/>
    <x v="7"/>
    <x v="7"/>
  </r>
  <r>
    <x v="1927"/>
    <n v="-9.64"/>
    <x v="4131"/>
    <n v="4829.22"/>
    <s v="Complete Access"/>
    <x v="899"/>
    <x v="8"/>
    <x v="29"/>
    <d v="1900-01-09T00:00:00"/>
    <n v="28"/>
    <x v="7"/>
    <x v="7"/>
  </r>
  <r>
    <x v="1927"/>
    <n v="-19.28"/>
    <x v="4132"/>
    <n v="4838.8599999999997"/>
    <s v="Complete Access"/>
    <x v="899"/>
    <x v="8"/>
    <x v="29"/>
    <d v="1900-01-09T00:00:00"/>
    <n v="28"/>
    <x v="7"/>
    <x v="7"/>
  </r>
  <r>
    <x v="1928"/>
    <n v="900"/>
    <x v="3910"/>
    <n v="4995.07"/>
    <s v="Complete Access"/>
    <x v="67"/>
    <x v="0"/>
    <x v="0"/>
    <d v="1900-01-08T00:00:00"/>
    <n v="28"/>
    <x v="7"/>
    <x v="7"/>
  </r>
  <r>
    <x v="1929"/>
    <n v="-45.8"/>
    <x v="4133"/>
    <n v="4095.07"/>
    <s v="Complete Access"/>
    <x v="900"/>
    <x v="1"/>
    <x v="5"/>
    <d v="1900-01-06T00:00:00"/>
    <n v="27"/>
    <x v="7"/>
    <x v="7"/>
  </r>
  <r>
    <x v="1929"/>
    <n v="-4.9000000000000004"/>
    <x v="4123"/>
    <n v="4172.37"/>
    <s v="Complete Access"/>
    <x v="898"/>
    <x v="8"/>
    <x v="29"/>
    <d v="1900-01-06T00:00:00"/>
    <n v="27"/>
    <x v="7"/>
    <x v="7"/>
  </r>
  <r>
    <x v="1929"/>
    <n v="-14"/>
    <x v="4134"/>
    <n v="4140.87"/>
    <s v="Complete Access"/>
    <x v="842"/>
    <x v="8"/>
    <x v="29"/>
    <d v="1900-01-06T00:00:00"/>
    <n v="27"/>
    <x v="7"/>
    <x v="7"/>
  </r>
  <r>
    <x v="1929"/>
    <n v="-515"/>
    <x v="3404"/>
    <n v="4177.2700000000004"/>
    <s v="Complete Access"/>
    <x v="783"/>
    <x v="19"/>
    <x v="61"/>
    <d v="1900-01-06T00:00:00"/>
    <n v="27"/>
    <x v="7"/>
    <x v="7"/>
  </r>
  <r>
    <x v="1929"/>
    <n v="-100"/>
    <x v="2274"/>
    <n v="4692.2700000000004"/>
    <s v="Complete Access"/>
    <x v="552"/>
    <x v="0"/>
    <x v="74"/>
    <d v="1900-01-06T00:00:00"/>
    <n v="27"/>
    <x v="7"/>
    <x v="7"/>
  </r>
  <r>
    <x v="1929"/>
    <n v="-4"/>
    <x v="4135"/>
    <n v="4154.87"/>
    <s v="Complete Access"/>
    <x v="587"/>
    <x v="8"/>
    <x v="22"/>
    <d v="1900-01-06T00:00:00"/>
    <n v="27"/>
    <x v="7"/>
    <x v="7"/>
  </r>
  <r>
    <x v="1929"/>
    <n v="-13.5"/>
    <x v="4136"/>
    <n v="4158.87"/>
    <s v="Complete Access"/>
    <x v="687"/>
    <x v="1"/>
    <x v="5"/>
    <d v="1900-01-06T00:00:00"/>
    <n v="27"/>
    <x v="7"/>
    <x v="7"/>
  </r>
  <r>
    <x v="1930"/>
    <n v="-50"/>
    <x v="4137"/>
    <n v="4795.07"/>
    <s v="Complete Access"/>
    <x v="601"/>
    <x v="0"/>
    <x v="0"/>
    <d v="1900-01-05T00:00:00"/>
    <n v="27"/>
    <x v="7"/>
    <x v="7"/>
  </r>
  <r>
    <x v="1930"/>
    <n v="-20.2"/>
    <x v="4138"/>
    <n v="5176.01"/>
    <s v="Complete Access"/>
    <x v="901"/>
    <x v="9"/>
    <x v="32"/>
    <d v="1900-01-05T00:00:00"/>
    <n v="27"/>
    <x v="7"/>
    <x v="7"/>
  </r>
  <r>
    <x v="1930"/>
    <n v="-279.95"/>
    <x v="4139"/>
    <n v="4884.54"/>
    <s v="Complete Access"/>
    <x v="210"/>
    <x v="3"/>
    <x v="15"/>
    <d v="1900-01-05T00:00:00"/>
    <n v="27"/>
    <x v="7"/>
    <x v="7"/>
  </r>
  <r>
    <x v="1930"/>
    <n v="-11.52"/>
    <x v="4140"/>
    <n v="5164.49"/>
    <s v="Complete Access"/>
    <x v="609"/>
    <x v="1"/>
    <x v="1"/>
    <d v="1900-01-05T00:00:00"/>
    <n v="27"/>
    <x v="7"/>
    <x v="7"/>
  </r>
  <r>
    <x v="1930"/>
    <n v="-2.8"/>
    <x v="72"/>
    <n v="4792.2700000000004"/>
    <s v="Complete Access"/>
    <x v="37"/>
    <x v="0"/>
    <x v="0"/>
    <d v="1900-01-05T00:00:00"/>
    <n v="27"/>
    <x v="7"/>
    <x v="7"/>
  </r>
  <r>
    <x v="1930"/>
    <n v="-0.9"/>
    <x v="4141"/>
    <n v="4853.57"/>
    <s v="Complete Access"/>
    <x v="10"/>
    <x v="0"/>
    <x v="0"/>
    <d v="1900-01-05T00:00:00"/>
    <n v="27"/>
    <x v="7"/>
    <x v="7"/>
  </r>
  <r>
    <x v="1930"/>
    <n v="-151.27000000000001"/>
    <x v="4142"/>
    <n v="4541"/>
    <s v="Complete Access"/>
    <x v="552"/>
    <x v="0"/>
    <x v="74"/>
    <d v="1900-01-05T00:00:00"/>
    <n v="27"/>
    <x v="7"/>
    <x v="7"/>
  </r>
  <r>
    <x v="1930"/>
    <n v="-30.07"/>
    <x v="4143"/>
    <n v="4854.47"/>
    <s v="Complete Access"/>
    <x v="740"/>
    <x v="18"/>
    <x v="59"/>
    <d v="1900-01-05T00:00:00"/>
    <n v="27"/>
    <x v="7"/>
    <x v="7"/>
  </r>
  <r>
    <x v="1930"/>
    <n v="-8.5"/>
    <x v="4144"/>
    <n v="4845.07"/>
    <s v="Complete Access"/>
    <x v="897"/>
    <x v="1"/>
    <x v="1"/>
    <d v="1900-01-05T00:00:00"/>
    <n v="27"/>
    <x v="7"/>
    <x v="7"/>
  </r>
  <r>
    <x v="1931"/>
    <n v="-11.55"/>
    <x v="4145"/>
    <n v="5605.96"/>
    <s v="Complete Access"/>
    <x v="27"/>
    <x v="1"/>
    <x v="5"/>
    <d v="1900-01-04T00:00:00"/>
    <n v="27"/>
    <x v="7"/>
    <x v="7"/>
  </r>
  <r>
    <x v="1931"/>
    <n v="-15.75"/>
    <x v="4146"/>
    <n v="5590.21"/>
    <s v="Complete Access"/>
    <x v="47"/>
    <x v="1"/>
    <x v="5"/>
    <d v="1900-01-04T00:00:00"/>
    <n v="27"/>
    <x v="7"/>
    <x v="7"/>
  </r>
  <r>
    <x v="1931"/>
    <n v="-390"/>
    <x v="4147"/>
    <n v="5196.21"/>
    <s v="Complete Access"/>
    <x v="741"/>
    <x v="16"/>
    <x v="81"/>
    <d v="1900-01-04T00:00:00"/>
    <n v="27"/>
    <x v="7"/>
    <x v="7"/>
  </r>
  <r>
    <x v="1931"/>
    <n v="-4"/>
    <x v="4148"/>
    <n v="5586.21"/>
    <s v="Complete Access"/>
    <x v="587"/>
    <x v="8"/>
    <x v="22"/>
    <d v="1900-01-04T00:00:00"/>
    <n v="27"/>
    <x v="7"/>
    <x v="7"/>
  </r>
  <r>
    <x v="1932"/>
    <n v="-20.16"/>
    <x v="4149"/>
    <n v="4532.96"/>
    <s v="Complete Access"/>
    <x v="882"/>
    <x v="9"/>
    <x v="32"/>
    <d v="1900-01-03T00:00:00"/>
    <n v="27"/>
    <x v="7"/>
    <x v="7"/>
  </r>
  <r>
    <x v="1932"/>
    <n v="-500.16"/>
    <x v="4150"/>
    <n v="4894.5200000000004"/>
    <s v="Complete Access"/>
    <x v="256"/>
    <x v="4"/>
    <x v="47"/>
    <d v="1900-01-03T00:00:00"/>
    <n v="27"/>
    <x v="7"/>
    <x v="7"/>
  </r>
  <r>
    <x v="1932"/>
    <n v="1230.06"/>
    <x v="3188"/>
    <n v="5617.51"/>
    <s v="Complete Access"/>
    <x v="14"/>
    <x v="6"/>
    <x v="9"/>
    <d v="1900-01-03T00:00:00"/>
    <n v="27"/>
    <x v="7"/>
    <x v="7"/>
  </r>
  <r>
    <x v="1932"/>
    <n v="-12.5"/>
    <x v="4151"/>
    <n v="5394.68"/>
    <s v="Complete Access"/>
    <x v="843"/>
    <x v="1"/>
    <x v="5"/>
    <d v="1900-01-03T00:00:00"/>
    <n v="27"/>
    <x v="7"/>
    <x v="7"/>
  </r>
  <r>
    <x v="1932"/>
    <n v="-26.4"/>
    <x v="4152"/>
    <n v="4853.12"/>
    <s v="Complete Access"/>
    <x v="343"/>
    <x v="1"/>
    <x v="5"/>
    <d v="1900-01-03T00:00:00"/>
    <n v="27"/>
    <x v="7"/>
    <x v="7"/>
  </r>
  <r>
    <x v="1932"/>
    <n v="-46"/>
    <x v="4153"/>
    <n v="4387.45"/>
    <s v="Complete Access"/>
    <x v="27"/>
    <x v="1"/>
    <x v="5"/>
    <d v="1900-01-03T00:00:00"/>
    <n v="27"/>
    <x v="7"/>
    <x v="7"/>
  </r>
  <r>
    <x v="1932"/>
    <n v="-15"/>
    <x v="4154"/>
    <n v="4879.5200000000004"/>
    <s v="Complete Access"/>
    <x v="10"/>
    <x v="0"/>
    <x v="0"/>
    <d v="1900-01-03T00:00:00"/>
    <n v="27"/>
    <x v="7"/>
    <x v="7"/>
  </r>
  <r>
    <x v="1932"/>
    <n v="-300"/>
    <x v="4155"/>
    <n v="4553.12"/>
    <s v="Complete Access"/>
    <x v="741"/>
    <x v="16"/>
    <x v="81"/>
    <d v="1900-01-03T00:00:00"/>
    <n v="27"/>
    <x v="7"/>
    <x v="7"/>
  </r>
  <r>
    <x v="1932"/>
    <n v="-30.45"/>
    <x v="4156"/>
    <n v="4433.45"/>
    <s v="Complete Access"/>
    <x v="1"/>
    <x v="1"/>
    <x v="1"/>
    <d v="1900-01-03T00:00:00"/>
    <n v="27"/>
    <x v="7"/>
    <x v="7"/>
  </r>
  <r>
    <x v="1932"/>
    <n v="-9.06"/>
    <x v="4157"/>
    <n v="4463.8999999999996"/>
    <s v="Complete Access"/>
    <x v="895"/>
    <x v="8"/>
    <x v="29"/>
    <d v="1900-01-03T00:00:00"/>
    <n v="27"/>
    <x v="7"/>
    <x v="7"/>
  </r>
  <r>
    <x v="1932"/>
    <n v="-60"/>
    <x v="4158"/>
    <n v="4472.96"/>
    <s v="Complete Access"/>
    <x v="219"/>
    <x v="7"/>
    <x v="53"/>
    <d v="1900-01-03T00:00:00"/>
    <n v="27"/>
    <x v="7"/>
    <x v="7"/>
  </r>
  <r>
    <x v="1933"/>
    <n v="-50"/>
    <x v="4159"/>
    <n v="5417.17"/>
    <s v="Complete Access"/>
    <x v="819"/>
    <x v="5"/>
    <x v="83"/>
    <d v="1900-01-02T00:00:00"/>
    <n v="27"/>
    <x v="7"/>
    <x v="7"/>
  </r>
  <r>
    <x v="1933"/>
    <n v="-9.99"/>
    <x v="4160"/>
    <n v="5407.18"/>
    <s v="Complete Access"/>
    <x v="373"/>
    <x v="8"/>
    <x v="7"/>
    <d v="1900-01-02T00:00:00"/>
    <n v="27"/>
    <x v="7"/>
    <x v="7"/>
  </r>
  <r>
    <x v="1933"/>
    <n v="-13.9"/>
    <x v="4161"/>
    <n v="5467.17"/>
    <s v="Complete Access"/>
    <x v="687"/>
    <x v="1"/>
    <x v="5"/>
    <d v="1900-01-02T00:00:00"/>
    <n v="27"/>
    <x v="7"/>
    <x v="7"/>
  </r>
  <r>
    <x v="1934"/>
    <n v="-166.4"/>
    <x v="4162"/>
    <n v="5481.07"/>
    <s v="Complete Access"/>
    <x v="76"/>
    <x v="2"/>
    <x v="2"/>
    <d v="1900-01-01T00:00:00"/>
    <n v="27"/>
    <x v="7"/>
    <x v="7"/>
  </r>
  <r>
    <x v="1935"/>
    <n v="-6"/>
    <x v="4163"/>
    <n v="5647.47"/>
    <s v="Complete Access"/>
    <x v="902"/>
    <x v="0"/>
    <x v="0"/>
    <d v="1899-12-31T00:00:00"/>
    <n v="27"/>
    <x v="7"/>
    <x v="7"/>
  </r>
  <r>
    <x v="1936"/>
    <n v="1171.25"/>
    <x v="3188"/>
    <n v="6436.54"/>
    <s v="Complete Access"/>
    <x v="14"/>
    <x v="6"/>
    <x v="9"/>
    <d v="1900-01-26T00:00:00"/>
    <n v="26"/>
    <x v="8"/>
    <x v="7"/>
  </r>
  <r>
    <x v="1937"/>
    <n v="999.2"/>
    <x v="3188"/>
    <n v="6169.99"/>
    <s v="Complete Access"/>
    <x v="14"/>
    <x v="6"/>
    <x v="9"/>
    <d v="1900-01-19T00:00:00"/>
    <n v="25"/>
    <x v="8"/>
    <x v="7"/>
  </r>
  <r>
    <x v="1938"/>
    <n v="1211.25"/>
    <x v="3188"/>
    <n v="6299.3"/>
    <s v="Complete Access"/>
    <x v="14"/>
    <x v="6"/>
    <x v="9"/>
    <d v="1900-01-14T00:00:00"/>
    <n v="24"/>
    <x v="8"/>
    <x v="7"/>
  </r>
  <r>
    <x v="1939"/>
    <n v="-130"/>
    <x v="4164"/>
    <n v="1"/>
    <s v="Complete Access"/>
    <x v="739"/>
    <x v="4"/>
    <x v="20"/>
    <d v="1900-01-25T00:00:00"/>
    <n v="21"/>
    <x v="9"/>
    <x v="7"/>
  </r>
  <r>
    <x v="1940"/>
    <n v="-185"/>
    <x v="4165"/>
    <n v="1"/>
    <s v="Complete Access"/>
    <x v="739"/>
    <x v="4"/>
    <x v="20"/>
    <d v="1900-01-17T00:00:00"/>
    <n v="20"/>
    <x v="9"/>
    <x v="7"/>
  </r>
  <r>
    <x v="1940"/>
    <n v="-2990"/>
    <x v="4166"/>
    <n v="1"/>
    <s v="Complete Access"/>
    <x v="739"/>
    <x v="4"/>
    <x v="20"/>
    <d v="1900-01-17T00:00:00"/>
    <n v="20"/>
    <x v="9"/>
    <x v="7"/>
  </r>
  <r>
    <x v="1941"/>
    <n v="-20"/>
    <x v="4167"/>
    <n v="1"/>
    <s v="Complete Access"/>
    <x v="739"/>
    <x v="4"/>
    <x v="20"/>
    <d v="1900-01-23T00:00:00"/>
    <n v="17"/>
    <x v="10"/>
    <x v="7"/>
  </r>
  <r>
    <x v="1942"/>
    <n v="-600"/>
    <x v="4168"/>
    <n v="2865.68"/>
    <s v="Complete Access"/>
    <x v="504"/>
    <x v="0"/>
    <x v="72"/>
    <d v="1900-01-19T00:00:00"/>
    <n v="16"/>
    <x v="10"/>
    <x v="7"/>
  </r>
  <r>
    <x v="1943"/>
    <n v="-500"/>
    <x v="4169"/>
    <n v="3163.43"/>
    <s v="Complete Access"/>
    <x v="504"/>
    <x v="0"/>
    <x v="72"/>
    <d v="1900-01-08T00:00:00"/>
    <n v="10"/>
    <x v="11"/>
    <x v="7"/>
  </r>
  <r>
    <x v="1944"/>
    <n v="-500"/>
    <x v="4170"/>
    <n v="3685.03"/>
    <s v="Complete Access"/>
    <x v="504"/>
    <x v="0"/>
    <x v="72"/>
    <d v="1900-01-07T00:00:00"/>
    <n v="10"/>
    <x v="11"/>
    <x v="7"/>
  </r>
  <r>
    <x v="1945"/>
    <n v="-32"/>
    <x v="4171"/>
    <n v="1"/>
    <s v="Complete Access"/>
    <x v="739"/>
    <x v="4"/>
    <x v="20"/>
    <d v="1900-01-20T00:00:00"/>
    <n v="38"/>
    <x v="5"/>
    <x v="8"/>
  </r>
  <r>
    <x v="1946"/>
    <n v="-469"/>
    <x v="4172"/>
    <n v="1"/>
    <s v="Complete Access"/>
    <x v="739"/>
    <x v="4"/>
    <x v="20"/>
    <d v="1900-01-17T00:00:00"/>
    <n v="38"/>
    <x v="5"/>
    <x v="8"/>
  </r>
  <r>
    <x v="1947"/>
    <n v="-40"/>
    <x v="4173"/>
    <n v="1"/>
    <s v="Complete Access"/>
    <x v="739"/>
    <x v="4"/>
    <x v="20"/>
    <d v="1900-01-10T00:00:00"/>
    <n v="37"/>
    <x v="5"/>
    <x v="8"/>
  </r>
  <r>
    <x v="1947"/>
    <n v="-32"/>
    <x v="4174"/>
    <n v="1"/>
    <s v="Complete Access"/>
    <x v="739"/>
    <x v="4"/>
    <x v="20"/>
    <d v="1900-01-10T00:00:00"/>
    <n v="37"/>
    <x v="5"/>
    <x v="8"/>
  </r>
  <r>
    <x v="1948"/>
    <n v="-50"/>
    <x v="4175"/>
    <n v="1"/>
    <s v="Complete Access"/>
    <x v="739"/>
    <x v="4"/>
    <x v="20"/>
    <d v="1900-01-08T00:00:00"/>
    <n v="36"/>
    <x v="5"/>
    <x v="8"/>
  </r>
  <r>
    <x v="1949"/>
    <n v="-1170"/>
    <x v="4176"/>
    <n v="1"/>
    <s v="Complete Access"/>
    <x v="739"/>
    <x v="4"/>
    <x v="20"/>
    <d v="1900-01-04T00:00:00"/>
    <n v="31"/>
    <x v="6"/>
    <x v="8"/>
  </r>
  <r>
    <x v="1950"/>
    <n v="-4155"/>
    <x v="4177"/>
    <n v="1"/>
    <s v="Complete Access"/>
    <x v="739"/>
    <x v="4"/>
    <x v="20"/>
    <d v="1900-01-03T00:00:00"/>
    <n v="31"/>
    <x v="6"/>
    <x v="8"/>
  </r>
  <r>
    <x v="1951"/>
    <n v="-245"/>
    <x v="4178"/>
    <n v="1"/>
    <s v="Complete Access"/>
    <x v="739"/>
    <x v="4"/>
    <x v="20"/>
    <d v="1900-01-30T00:00:00"/>
    <n v="31"/>
    <x v="7"/>
    <x v="8"/>
  </r>
  <r>
    <x v="1952"/>
    <n v="-788.3"/>
    <x v="4179"/>
    <n v="1"/>
    <s v="Complete Access"/>
    <x v="903"/>
    <x v="4"/>
    <x v="20"/>
    <d v="1900-01-27T00:00:00"/>
    <n v="26"/>
    <x v="8"/>
    <x v="8"/>
  </r>
  <r>
    <x v="1953"/>
    <n v="-2588"/>
    <x v="4180"/>
    <n v="1"/>
    <s v="Complete Access"/>
    <x v="739"/>
    <x v="4"/>
    <x v="20"/>
    <d v="1900-01-08T00:00:00"/>
    <n v="23"/>
    <x v="8"/>
    <x v="8"/>
  </r>
  <r>
    <x v="1954"/>
    <n v="-212.5"/>
    <x v="4181"/>
    <n v="1"/>
    <s v="Complete Access"/>
    <x v="739"/>
    <x v="4"/>
    <x v="20"/>
    <d v="1900-01-08T00:00:00"/>
    <n v="19"/>
    <x v="9"/>
    <x v="8"/>
  </r>
  <r>
    <x v="1955"/>
    <n v="-38"/>
    <x v="4182"/>
    <n v="1"/>
    <s v="Complete Access"/>
    <x v="739"/>
    <x v="4"/>
    <x v="20"/>
    <d v="1900-01-21T00:00:00"/>
    <n v="4"/>
    <x v="1"/>
    <x v="9"/>
  </r>
  <r>
    <x v="1956"/>
    <n v="-78.62"/>
    <x v="4183"/>
    <n v="1"/>
    <s v="Complete Access"/>
    <x v="739"/>
    <x v="4"/>
    <x v="20"/>
    <d v="1900-01-18T00:00:00"/>
    <n v="47"/>
    <x v="3"/>
    <x v="10"/>
  </r>
  <r>
    <x v="1957"/>
    <n v="-232.22"/>
    <x v="4184"/>
    <n v="1"/>
    <s v="Complete Access"/>
    <x v="904"/>
    <x v="4"/>
    <x v="20"/>
    <d v="1900-01-28T00:00:00"/>
    <n v="18"/>
    <x v="10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B5F618-7B3D-4E4D-80D3-7910E4E2D2F1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outline="1" outlineData="1" multipleFieldFilters="0">
  <location ref="A3:CO27" firstHeaderRow="1" firstDataRow="3" firstDataCol="1"/>
  <pivotFields count="12">
    <pivotField numFmtId="170" subtotalTop="0" showAll="0" defaultSubtotal="0"/>
    <pivotField dataField="1"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axis="axisRow" subtotalTop="0" showAll="0" defaultSubtotal="0">
      <items count="27">
        <item x="20"/>
        <item x="17"/>
        <item x="4"/>
        <item x="8"/>
        <item x="0"/>
        <item x="1"/>
        <item x="11"/>
        <item x="13"/>
        <item x="10"/>
        <item x="2"/>
        <item x="18"/>
        <item m="1" x="25"/>
        <item m="1" x="26"/>
        <item x="19"/>
        <item x="6"/>
        <item m="1" x="24"/>
        <item m="1" x="23"/>
        <item x="14"/>
        <item x="21"/>
        <item x="3"/>
        <item m="1" x="22"/>
        <item x="15"/>
        <item x="9"/>
        <item x="5"/>
        <item x="12"/>
        <item x="16"/>
        <item x="7"/>
      </items>
    </pivotField>
    <pivotField subtotalTop="0" showAll="0" defaultSubtotal="0"/>
    <pivotField subtotalTop="0" showAll="0" defaultSubtotal="0"/>
    <pivotField numFmtId="167" subtotalTop="0" showAll="0" defaultSubtotal="0"/>
    <pivotField axis="axisCol" numFmtId="167" subtotalTop="0" showAll="0" defaultSubtotal="0">
      <items count="12">
        <item x="1"/>
        <item x="0"/>
        <item x="11"/>
        <item x="10"/>
        <item x="9"/>
        <item x="8"/>
        <item x="7"/>
        <item x="6"/>
        <item x="5"/>
        <item x="4"/>
        <item x="3"/>
        <item x="2"/>
      </items>
    </pivotField>
    <pivotField axis="axisCol" numFmtId="167" subtotalTop="0" showAll="0" defaultSubtotal="0">
      <items count="12">
        <item sd="0" x="11"/>
        <item sd="0" x="10"/>
        <item x="9"/>
        <item x="8"/>
        <item x="7"/>
        <item x="6"/>
        <item x="5"/>
        <item x="4"/>
        <item x="3"/>
        <item x="2"/>
        <item x="1"/>
        <item x="0"/>
      </items>
    </pivotField>
  </pivotFields>
  <rowFields count="1">
    <field x="6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4"/>
    </i>
    <i>
      <x v="17"/>
    </i>
    <i>
      <x v="18"/>
    </i>
    <i>
      <x v="19"/>
    </i>
    <i>
      <x v="21"/>
    </i>
    <i>
      <x v="22"/>
    </i>
    <i>
      <x v="23"/>
    </i>
    <i>
      <x v="24"/>
    </i>
    <i>
      <x v="25"/>
    </i>
    <i>
      <x v="26"/>
    </i>
  </rowItems>
  <colFields count="2">
    <field x="11"/>
    <field x="10"/>
  </colFields>
  <colItems count="92">
    <i>
      <x/>
    </i>
    <i>
      <x v="1"/>
    </i>
    <i>
      <x v="2"/>
      <x/>
    </i>
    <i>
      <x v="3"/>
      <x v="4"/>
    </i>
    <i r="1">
      <x v="5"/>
    </i>
    <i r="1">
      <x v="6"/>
    </i>
    <i r="1">
      <x v="7"/>
    </i>
    <i r="1">
      <x v="8"/>
    </i>
    <i>
      <x v="4"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1"/>
      <x/>
    </i>
    <i r="1">
      <x v="1"/>
    </i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2781EB-1611-4EB5-9162-CDFA16C4C376}" name="Table3" displayName="Table3" ref="A1:J5001" totalsRowShown="0">
  <autoFilter ref="A1:J5001" xr:uid="{9F2781EB-1611-4EB5-9162-CDFA16C4C376}"/>
  <tableColumns count="10">
    <tableColumn id="1" xr3:uid="{760909A3-9B13-4A06-8447-C1F02B22E9D9}" name="Call Id"/>
    <tableColumn id="2" xr3:uid="{515B1622-3B9F-4BCD-8E54-275F50DC3605}" name="Agent"/>
    <tableColumn id="3" xr3:uid="{CA469A68-D544-4957-B35B-494DDCD4C80E}" name="Date"/>
    <tableColumn id="4" xr3:uid="{39F0A61B-3FB4-466C-A508-A159F9B906C4}" name="Time" dataDxfId="11"/>
    <tableColumn id="5" xr3:uid="{B4CEE1DA-BEB1-4C76-A9E3-BE24014E91B8}" name="Topic"/>
    <tableColumn id="6" xr3:uid="{CB03F267-67B5-46F1-99AB-6183A72C6D85}" name="Answered (Y/N)"/>
    <tableColumn id="7" xr3:uid="{90F79474-E68A-4F0C-BF49-0391961485AE}" name="Resolved"/>
    <tableColumn id="8" xr3:uid="{EB32B169-6F93-47F9-AE9D-F4FC00251D68}" name="Speed of answer in seconds"/>
    <tableColumn id="9" xr3:uid="{FB923D2F-7F50-4AA6-B08C-B4E6E6F4AAF2}" name="AvgTalkDuration" dataDxfId="10"/>
    <tableColumn id="10" xr3:uid="{9696D5D8-7DE5-4977-9C28-3FAD15B1575F}" name="Satisfaction rat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53DEED-249C-4A12-99D5-821187581F59}" name="Table1" displayName="Table1" ref="B1:F19" totalsRowShown="0" headerRowDxfId="9" dataDxfId="8">
  <autoFilter ref="B1:F19" xr:uid="{AE53DEED-249C-4A12-99D5-821187581F59}"/>
  <tableColumns count="5">
    <tableColumn id="1" xr3:uid="{A64CED05-0BA1-435C-8574-1D3B6B20C685}" name="Criteria" dataDxfId="7"/>
    <tableColumn id="2" xr3:uid="{7F0EA63F-DA38-4DC0-A9AD-C8A9293BEB39}" name="NAB Qantas Business Signature Card" dataDxfId="6"/>
    <tableColumn id="3" xr3:uid="{4BBF9363-EBA3-4290-BBDC-7040505A2EAC}" name="ANZ Frequent Flyer Black credit card" dataDxfId="5"/>
    <tableColumn id="4" xr3:uid="{8615D33C-FD53-4D57-B3DA-68BA1EF8EA88}" name="NAB Qantas Rewards Signature Card" dataDxfId="4"/>
    <tableColumn id="5" xr3:uid="{19A9ACA2-9611-4EAB-AA79-D94C3F2FB3E8}" name="Westpac Altitude Qantas Black credit card" dataDxfId="3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926340-9B94-A245-B41D-65788E58B4A9}" name="Crypto_Dataset" displayName="Crypto_Dataset" ref="A1:M150" totalsRowShown="0">
  <autoFilter ref="A1:M150" xr:uid="{218A518A-89BE-3147-AA26-961F11FC1F6E}"/>
  <tableColumns count="13">
    <tableColumn id="1" xr3:uid="{2DBB614C-D195-8E49-9B83-0735628F0CEE}" name="Transaction Date" dataDxfId="2"/>
    <tableColumn id="2" xr3:uid="{0D2BECA8-2E02-104B-B9CE-109F77C8373D}" name="Type"/>
    <tableColumn id="3" xr3:uid="{697BA16D-222E-C34B-B954-DDDEB4CFD332}" name="Market"/>
    <tableColumn id="4" xr3:uid="{3584C07E-0E72-F643-A4F0-684F1CCDF3DE}" name="Amount"/>
    <tableColumn id="5" xr3:uid="{A4C9D894-6EBB-1042-A8C4-F2AD93074F39}" name="Rate inc. fee"/>
    <tableColumn id="6" xr3:uid="{150BC194-E784-2C4F-94E1-759616534EF2}" name="Rate ex. fee"/>
    <tableColumn id="7" xr3:uid="{092D4AD6-A8AC-AC4E-AF53-4869E8244272}" name="Fee"/>
    <tableColumn id="8" xr3:uid="{3DFC6E65-CA9C-4542-9621-6284D97FF7B8}" name="Fee AUD (inc GST)"/>
    <tableColumn id="9" xr3:uid="{514214F9-63D9-D24E-A7F7-45073F08F5DF}" name="GST AUD"/>
    <tableColumn id="10" xr3:uid="{A4449BF2-BF9B-7947-ABFD-144BE4C3BE0D}" name="Total AUD"/>
    <tableColumn id="11" xr3:uid="{F6E67D3D-07A2-F74D-B476-D7E9A5705321}" name="Total (inc GST)"/>
    <tableColumn id="12" xr3:uid="{704A644C-15AB-1A44-99E4-E40E7EADA4C1}" name="Total AUD Final" dataDxfId="1">
      <calculatedColumnFormula>VALUE(IF(Crypto_Dataset[[#This Row],[Type]]="Sell", _xlfn.CONCAT("-", Crypto_Dataset[[#This Row],[Total AUD]]), Crypto_Dataset[[#This Row],[Total AUD]]))</calculatedColumnFormula>
    </tableColumn>
    <tableColumn id="13" xr3:uid="{13ECD782-5F71-1842-B586-76BFE6B30CD0}" name="Total Amount Final" dataDxfId="0">
      <calculatedColumnFormula>VALUE(IF(Crypto_Dataset[[#This Row],[Type]]="Sell", _xlfn.CONCAT("-", Crypto_Dataset[[#This Row],[Amount]]), Crypto_Dataset[[#This Row],[Amount]]))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29AD6-DEE8-4CB1-B790-029EB622BA0B}">
  <sheetPr>
    <tabColor theme="7" tint="0.79998168889431442"/>
  </sheetPr>
  <dimension ref="A3:CO27"/>
  <sheetViews>
    <sheetView zoomScaleNormal="100" workbookViewId="0">
      <selection activeCell="Q12" sqref="Q12"/>
    </sheetView>
  </sheetViews>
  <sheetFormatPr defaultRowHeight="14.5" x14ac:dyDescent="0.35"/>
  <cols>
    <col min="1" max="1" width="28.6328125" bestFit="1" customWidth="1"/>
    <col min="2" max="2" width="15.26953125" bestFit="1" customWidth="1"/>
    <col min="3" max="3" width="6.453125" bestFit="1" customWidth="1"/>
    <col min="4" max="4" width="4.81640625" bestFit="1" customWidth="1"/>
    <col min="5" max="5" width="6.453125" bestFit="1" customWidth="1"/>
    <col min="6" max="6" width="7.453125" bestFit="1" customWidth="1"/>
    <col min="7" max="7" width="4.453125" bestFit="1" customWidth="1"/>
    <col min="8" max="8" width="5.453125" bestFit="1" customWidth="1"/>
    <col min="9" max="9" width="4.453125" bestFit="1" customWidth="1"/>
    <col min="10" max="10" width="5.453125" bestFit="1" customWidth="1"/>
    <col min="11" max="11" width="4.453125" bestFit="1" customWidth="1"/>
    <col min="12" max="12" width="5.453125" bestFit="1" customWidth="1"/>
    <col min="13" max="13" width="6.81640625" bestFit="1" customWidth="1"/>
    <col min="14" max="14" width="7.453125" bestFit="1" customWidth="1"/>
    <col min="15" max="16" width="7.81640625" bestFit="1" customWidth="1"/>
    <col min="17" max="17" width="7.453125" bestFit="1" customWidth="1"/>
    <col min="18" max="19" width="7.81640625" bestFit="1" customWidth="1"/>
    <col min="20" max="20" width="8.453125" bestFit="1" customWidth="1"/>
    <col min="21" max="23" width="7.81640625" bestFit="1" customWidth="1"/>
    <col min="24" max="24" width="8.453125" bestFit="1" customWidth="1"/>
    <col min="25" max="26" width="7.81640625" bestFit="1" customWidth="1"/>
    <col min="27" max="27" width="8.453125" bestFit="1" customWidth="1"/>
    <col min="28" max="28" width="7.81640625" bestFit="1" customWidth="1"/>
    <col min="29" max="29" width="8.453125" bestFit="1" customWidth="1"/>
    <col min="30" max="30" width="7.81640625" bestFit="1" customWidth="1"/>
    <col min="31" max="35" width="8.453125" bestFit="1" customWidth="1"/>
    <col min="36" max="36" width="7.81640625" bestFit="1" customWidth="1"/>
    <col min="37" max="37" width="8.453125" bestFit="1" customWidth="1"/>
    <col min="38" max="41" width="7.81640625" bestFit="1" customWidth="1"/>
    <col min="42" max="44" width="8.453125" bestFit="1" customWidth="1"/>
    <col min="45" max="45" width="7.81640625" bestFit="1" customWidth="1"/>
    <col min="46" max="49" width="8.453125" bestFit="1" customWidth="1"/>
    <col min="50" max="50" width="7.81640625" bestFit="1" customWidth="1"/>
    <col min="51" max="51" width="8.453125" bestFit="1" customWidth="1"/>
    <col min="52" max="53" width="7.81640625" bestFit="1" customWidth="1"/>
    <col min="54" max="59" width="8.453125" bestFit="1" customWidth="1"/>
    <col min="60" max="60" width="7.81640625" bestFit="1" customWidth="1"/>
    <col min="61" max="61" width="8.453125" bestFit="1" customWidth="1"/>
    <col min="62" max="62" width="7.81640625" bestFit="1" customWidth="1"/>
    <col min="63" max="67" width="8.453125" bestFit="1" customWidth="1"/>
    <col min="68" max="68" width="7.81640625" bestFit="1" customWidth="1"/>
    <col min="69" max="73" width="8.453125" bestFit="1" customWidth="1"/>
    <col min="74" max="74" width="7.81640625" bestFit="1" customWidth="1"/>
    <col min="75" max="75" width="8.453125" bestFit="1" customWidth="1"/>
    <col min="76" max="76" width="7.81640625" bestFit="1" customWidth="1"/>
    <col min="77" max="78" width="8.453125" bestFit="1" customWidth="1"/>
    <col min="79" max="79" width="7.81640625" bestFit="1" customWidth="1"/>
    <col min="80" max="82" width="8.453125" bestFit="1" customWidth="1"/>
    <col min="83" max="83" width="8.81640625" bestFit="1" customWidth="1"/>
    <col min="84" max="87" width="8.453125" bestFit="1" customWidth="1"/>
    <col min="88" max="88" width="7.81640625" bestFit="1" customWidth="1"/>
    <col min="89" max="90" width="8.453125" bestFit="1" customWidth="1"/>
    <col min="91" max="91" width="7.81640625" bestFit="1" customWidth="1"/>
    <col min="92" max="98" width="8.453125" bestFit="1" customWidth="1"/>
    <col min="99" max="99" width="7.453125" bestFit="1" customWidth="1"/>
  </cols>
  <sheetData>
    <row r="3" spans="1:93" x14ac:dyDescent="0.35">
      <c r="A3" s="2" t="s">
        <v>7</v>
      </c>
      <c r="B3" s="2" t="s">
        <v>6</v>
      </c>
    </row>
    <row r="4" spans="1:93" x14ac:dyDescent="0.35">
      <c r="B4" s="1">
        <v>2010</v>
      </c>
      <c r="C4" s="1">
        <v>2015</v>
      </c>
      <c r="D4" s="1">
        <v>2016</v>
      </c>
      <c r="E4" s="1">
        <v>2017</v>
      </c>
      <c r="J4" s="1">
        <v>2018</v>
      </c>
      <c r="T4" s="1">
        <v>2019</v>
      </c>
      <c r="AF4" s="1">
        <v>2020</v>
      </c>
      <c r="AR4" s="1">
        <v>2021</v>
      </c>
      <c r="BD4" s="1">
        <v>2022</v>
      </c>
      <c r="BP4" s="1">
        <v>2023</v>
      </c>
      <c r="CB4" s="1">
        <v>2024</v>
      </c>
      <c r="CN4" s="1">
        <v>2025</v>
      </c>
    </row>
    <row r="5" spans="1:93" x14ac:dyDescent="0.35">
      <c r="A5" s="2" t="s">
        <v>4</v>
      </c>
      <c r="D5" s="1">
        <v>1</v>
      </c>
      <c r="E5" s="1">
        <v>5</v>
      </c>
      <c r="F5" s="1">
        <v>6</v>
      </c>
      <c r="G5" s="1">
        <v>7</v>
      </c>
      <c r="H5" s="1">
        <v>8</v>
      </c>
      <c r="I5" s="1">
        <v>9</v>
      </c>
      <c r="J5" s="1">
        <v>3</v>
      </c>
      <c r="K5" s="1">
        <v>4</v>
      </c>
      <c r="L5" s="1">
        <v>5</v>
      </c>
      <c r="M5" s="1">
        <v>6</v>
      </c>
      <c r="N5" s="1">
        <v>7</v>
      </c>
      <c r="O5" s="1">
        <v>8</v>
      </c>
      <c r="P5" s="1">
        <v>9</v>
      </c>
      <c r="Q5" s="1">
        <v>10</v>
      </c>
      <c r="R5" s="1">
        <v>11</v>
      </c>
      <c r="S5" s="1">
        <v>12</v>
      </c>
      <c r="T5" s="1">
        <v>1</v>
      </c>
      <c r="U5" s="1">
        <v>2</v>
      </c>
      <c r="V5" s="1">
        <v>3</v>
      </c>
      <c r="W5" s="1">
        <v>4</v>
      </c>
      <c r="X5" s="1">
        <v>5</v>
      </c>
      <c r="Y5" s="1">
        <v>6</v>
      </c>
      <c r="Z5" s="1">
        <v>7</v>
      </c>
      <c r="AA5" s="1">
        <v>8</v>
      </c>
      <c r="AB5" s="1">
        <v>9</v>
      </c>
      <c r="AC5" s="1">
        <v>10</v>
      </c>
      <c r="AD5" s="1">
        <v>11</v>
      </c>
      <c r="AE5" s="1">
        <v>12</v>
      </c>
      <c r="AF5" s="1">
        <v>1</v>
      </c>
      <c r="AG5" s="1">
        <v>2</v>
      </c>
      <c r="AH5" s="1">
        <v>3</v>
      </c>
      <c r="AI5" s="1">
        <v>4</v>
      </c>
      <c r="AJ5" s="1">
        <v>5</v>
      </c>
      <c r="AK5" s="1">
        <v>6</v>
      </c>
      <c r="AL5" s="1">
        <v>7</v>
      </c>
      <c r="AM5" s="1">
        <v>8</v>
      </c>
      <c r="AN5" s="1">
        <v>9</v>
      </c>
      <c r="AO5" s="1">
        <v>10</v>
      </c>
      <c r="AP5" s="1">
        <v>11</v>
      </c>
      <c r="AQ5" s="1">
        <v>12</v>
      </c>
      <c r="AR5" s="1">
        <v>1</v>
      </c>
      <c r="AS5" s="1">
        <v>2</v>
      </c>
      <c r="AT5" s="1">
        <v>3</v>
      </c>
      <c r="AU5" s="1">
        <v>4</v>
      </c>
      <c r="AV5" s="1">
        <v>5</v>
      </c>
      <c r="AW5" s="1">
        <v>6</v>
      </c>
      <c r="AX5" s="1">
        <v>7</v>
      </c>
      <c r="AY5" s="1">
        <v>8</v>
      </c>
      <c r="AZ5" s="1">
        <v>9</v>
      </c>
      <c r="BA5" s="1">
        <v>10</v>
      </c>
      <c r="BB5" s="1">
        <v>11</v>
      </c>
      <c r="BC5" s="1">
        <v>12</v>
      </c>
      <c r="BD5" s="1">
        <v>1</v>
      </c>
      <c r="BE5" s="1">
        <v>2</v>
      </c>
      <c r="BF5" s="1">
        <v>3</v>
      </c>
      <c r="BG5" s="1">
        <v>4</v>
      </c>
      <c r="BH5" s="1">
        <v>5</v>
      </c>
      <c r="BI5" s="1">
        <v>6</v>
      </c>
      <c r="BJ5" s="1">
        <v>7</v>
      </c>
      <c r="BK5" s="1">
        <v>8</v>
      </c>
      <c r="BL5" s="1">
        <v>9</v>
      </c>
      <c r="BM5" s="1">
        <v>10</v>
      </c>
      <c r="BN5" s="1">
        <v>11</v>
      </c>
      <c r="BO5" s="1">
        <v>12</v>
      </c>
      <c r="BP5" s="1">
        <v>1</v>
      </c>
      <c r="BQ5" s="1">
        <v>2</v>
      </c>
      <c r="BR5" s="1">
        <v>3</v>
      </c>
      <c r="BS5" s="1">
        <v>4</v>
      </c>
      <c r="BT5" s="1">
        <v>5</v>
      </c>
      <c r="BU5" s="1">
        <v>6</v>
      </c>
      <c r="BV5" s="1">
        <v>7</v>
      </c>
      <c r="BW5" s="1">
        <v>8</v>
      </c>
      <c r="BX5" s="1">
        <v>9</v>
      </c>
      <c r="BY5" s="1">
        <v>10</v>
      </c>
      <c r="BZ5" s="1">
        <v>11</v>
      </c>
      <c r="CA5" s="1">
        <v>12</v>
      </c>
      <c r="CB5" s="1">
        <v>1</v>
      </c>
      <c r="CC5" s="1">
        <v>2</v>
      </c>
      <c r="CD5" s="1">
        <v>3</v>
      </c>
      <c r="CE5" s="1">
        <v>4</v>
      </c>
      <c r="CF5" s="1">
        <v>5</v>
      </c>
      <c r="CG5" s="1">
        <v>6</v>
      </c>
      <c r="CH5" s="1">
        <v>7</v>
      </c>
      <c r="CI5" s="1">
        <v>8</v>
      </c>
      <c r="CJ5" s="1">
        <v>9</v>
      </c>
      <c r="CK5" s="1">
        <v>10</v>
      </c>
      <c r="CL5" s="1">
        <v>11</v>
      </c>
      <c r="CM5" s="1">
        <v>12</v>
      </c>
      <c r="CN5" s="1">
        <v>1</v>
      </c>
      <c r="CO5" s="1">
        <v>2</v>
      </c>
    </row>
    <row r="6" spans="1:93" x14ac:dyDescent="0.35">
      <c r="A6" s="3" t="s">
        <v>3</v>
      </c>
      <c r="N6">
        <v>-25</v>
      </c>
      <c r="O6">
        <v>-41.59</v>
      </c>
      <c r="P6">
        <v>-47</v>
      </c>
      <c r="Q6">
        <v>-20.5</v>
      </c>
      <c r="R6">
        <v>-5.95</v>
      </c>
      <c r="S6">
        <v>-26.95</v>
      </c>
      <c r="T6">
        <v>-38.5</v>
      </c>
      <c r="W6">
        <v>-22.67</v>
      </c>
      <c r="X6">
        <v>-90.95</v>
      </c>
      <c r="Y6">
        <v>-45.849999999999994</v>
      </c>
      <c r="AA6">
        <v>-35.83</v>
      </c>
      <c r="AC6">
        <v>-39.369999999999997</v>
      </c>
      <c r="AE6">
        <v>-34</v>
      </c>
      <c r="AF6">
        <v>-103.56</v>
      </c>
      <c r="AG6">
        <v>-10.5</v>
      </c>
      <c r="AH6">
        <v>-31.5</v>
      </c>
      <c r="AQ6">
        <v>-33.9</v>
      </c>
      <c r="AR6">
        <v>-15.23</v>
      </c>
      <c r="AT6">
        <v>-41.400000000000006</v>
      </c>
      <c r="AU6">
        <v>-11.5</v>
      </c>
      <c r="AV6">
        <v>-9.98</v>
      </c>
      <c r="AX6">
        <v>-3.8</v>
      </c>
      <c r="BA6">
        <v>-36</v>
      </c>
      <c r="BE6">
        <v>-24</v>
      </c>
      <c r="BF6">
        <v>-124.15</v>
      </c>
      <c r="BG6">
        <v>-206.87</v>
      </c>
      <c r="BH6">
        <v>-47.709999999999994</v>
      </c>
      <c r="BI6">
        <v>-24</v>
      </c>
      <c r="BJ6">
        <v>-40.29</v>
      </c>
      <c r="BK6">
        <v>-13.8</v>
      </c>
      <c r="BM6">
        <v>-20.059999999999999</v>
      </c>
      <c r="BN6">
        <v>-102.35</v>
      </c>
      <c r="BP6">
        <v>-104</v>
      </c>
      <c r="BT6">
        <v>-46</v>
      </c>
      <c r="BW6">
        <v>-93.08</v>
      </c>
      <c r="BX6">
        <v>-34.61</v>
      </c>
      <c r="BZ6">
        <v>-84.96</v>
      </c>
    </row>
    <row r="7" spans="1:93" x14ac:dyDescent="0.35">
      <c r="A7" s="3" t="s">
        <v>275</v>
      </c>
      <c r="AG7">
        <v>-110</v>
      </c>
      <c r="AN7">
        <v>-560</v>
      </c>
      <c r="AT7">
        <v>0</v>
      </c>
      <c r="AU7">
        <v>-245</v>
      </c>
      <c r="BA7">
        <v>-350</v>
      </c>
      <c r="BG7">
        <v>-1005.1</v>
      </c>
      <c r="BH7">
        <v>15</v>
      </c>
      <c r="CH7">
        <v>-1929.62</v>
      </c>
    </row>
    <row r="8" spans="1:93" x14ac:dyDescent="0.35">
      <c r="A8" s="3" t="s">
        <v>277</v>
      </c>
      <c r="B8">
        <v>-232.22</v>
      </c>
      <c r="C8">
        <v>-78.62</v>
      </c>
      <c r="D8">
        <v>-38</v>
      </c>
      <c r="E8">
        <v>-212.5</v>
      </c>
      <c r="F8">
        <v>-3376.3</v>
      </c>
      <c r="G8">
        <v>-245</v>
      </c>
      <c r="H8">
        <v>-5325</v>
      </c>
      <c r="I8">
        <v>-623</v>
      </c>
      <c r="K8">
        <v>-20</v>
      </c>
      <c r="L8">
        <v>-3305</v>
      </c>
      <c r="N8">
        <v>-870.79</v>
      </c>
      <c r="O8">
        <v>-406.75</v>
      </c>
      <c r="Q8">
        <v>-153.12</v>
      </c>
      <c r="R8">
        <v>-58.5</v>
      </c>
      <c r="S8">
        <v>-133.21</v>
      </c>
      <c r="T8">
        <v>-1213.75</v>
      </c>
      <c r="U8">
        <v>-34.85</v>
      </c>
      <c r="V8">
        <v>-31.88</v>
      </c>
      <c r="W8">
        <v>-66.73</v>
      </c>
      <c r="X8">
        <v>-673</v>
      </c>
      <c r="Z8">
        <v>-55.07</v>
      </c>
      <c r="AA8">
        <v>-5.8500000000000005</v>
      </c>
      <c r="AB8">
        <v>1815.39</v>
      </c>
      <c r="AC8">
        <v>-26.09</v>
      </c>
      <c r="AD8">
        <v>-421.26</v>
      </c>
      <c r="AE8">
        <v>-456.61</v>
      </c>
      <c r="AG8">
        <v>-21.099999999999998</v>
      </c>
      <c r="AH8">
        <v>-386.98</v>
      </c>
      <c r="AI8">
        <v>-2685.44</v>
      </c>
      <c r="AJ8">
        <v>-537.19000000000005</v>
      </c>
      <c r="AK8">
        <v>-2056</v>
      </c>
      <c r="AL8">
        <v>-20</v>
      </c>
      <c r="AM8">
        <v>-611.65</v>
      </c>
      <c r="AN8">
        <v>-21.95</v>
      </c>
      <c r="AO8">
        <v>20.12</v>
      </c>
      <c r="AP8">
        <v>-139.91000000000003</v>
      </c>
      <c r="AQ8">
        <v>-530.1</v>
      </c>
      <c r="AT8">
        <v>-242.35</v>
      </c>
      <c r="AU8">
        <v>2345.94</v>
      </c>
      <c r="AX8">
        <v>-559.76</v>
      </c>
      <c r="AY8">
        <v>-436.99</v>
      </c>
      <c r="BA8">
        <v>-1.86</v>
      </c>
      <c r="BC8">
        <v>-1433.9599999999998</v>
      </c>
      <c r="BD8">
        <v>-976.0200000000001</v>
      </c>
      <c r="BE8">
        <v>-823.20999999999992</v>
      </c>
      <c r="BF8">
        <v>-988.55000000000007</v>
      </c>
      <c r="BG8">
        <v>-383.58</v>
      </c>
      <c r="BH8">
        <v>-21.98</v>
      </c>
      <c r="BI8">
        <v>-60.07</v>
      </c>
      <c r="BJ8">
        <v>-30.33</v>
      </c>
      <c r="BK8">
        <v>-22.439999999999998</v>
      </c>
      <c r="BL8">
        <v>-3974.44</v>
      </c>
      <c r="BM8">
        <v>-178.96</v>
      </c>
      <c r="BN8">
        <v>-90.429999999999836</v>
      </c>
      <c r="BO8">
        <v>-1108.72</v>
      </c>
      <c r="BP8">
        <v>-258.95</v>
      </c>
      <c r="BQ8">
        <v>-171.12999999999997</v>
      </c>
      <c r="BR8">
        <v>-46.510000000000034</v>
      </c>
      <c r="BS8">
        <v>-298.5</v>
      </c>
      <c r="BT8">
        <v>-1883.49</v>
      </c>
      <c r="BU8">
        <v>-35.21</v>
      </c>
      <c r="BV8">
        <v>1761.68</v>
      </c>
      <c r="BW8">
        <v>-1627.58</v>
      </c>
      <c r="BX8">
        <v>-519.88</v>
      </c>
      <c r="BY8">
        <v>-2086.75</v>
      </c>
      <c r="BZ8">
        <v>-97.44</v>
      </c>
      <c r="CA8">
        <v>-332.85</v>
      </c>
      <c r="CB8">
        <v>-712.5</v>
      </c>
      <c r="CC8">
        <v>-127.95999999999998</v>
      </c>
      <c r="CD8">
        <v>-42.06</v>
      </c>
      <c r="CE8">
        <v>-206.91</v>
      </c>
      <c r="CF8">
        <v>-4710.62</v>
      </c>
      <c r="CG8">
        <v>-56.17</v>
      </c>
      <c r="CH8">
        <v>-101.71999999999998</v>
      </c>
      <c r="CI8">
        <v>-81.910000000000011</v>
      </c>
      <c r="CJ8">
        <v>83.26</v>
      </c>
      <c r="CK8">
        <v>-6668.3799999999992</v>
      </c>
      <c r="CL8">
        <v>-2276.1999999999998</v>
      </c>
      <c r="CM8">
        <v>-127.42</v>
      </c>
      <c r="CN8">
        <v>-22.82</v>
      </c>
      <c r="CO8">
        <v>-78.339999999999989</v>
      </c>
    </row>
    <row r="9" spans="1:93" x14ac:dyDescent="0.35">
      <c r="A9" s="3" t="s">
        <v>273</v>
      </c>
      <c r="N9">
        <v>-385.5499999999999</v>
      </c>
      <c r="O9">
        <v>-403.78000000000009</v>
      </c>
      <c r="P9">
        <v>-456.24000000000007</v>
      </c>
      <c r="Q9">
        <v>-352.47</v>
      </c>
      <c r="R9">
        <v>-149.85</v>
      </c>
      <c r="S9">
        <v>-62.99</v>
      </c>
      <c r="T9">
        <v>-167.87</v>
      </c>
      <c r="U9">
        <v>-13.1</v>
      </c>
      <c r="V9">
        <v>-173.4</v>
      </c>
      <c r="W9">
        <v>-710.49</v>
      </c>
      <c r="X9">
        <v>-363.04</v>
      </c>
      <c r="Y9">
        <v>-263.32</v>
      </c>
      <c r="Z9">
        <v>-317.27999999999997</v>
      </c>
      <c r="AA9">
        <v>-118.58</v>
      </c>
      <c r="AB9">
        <v>-105.4</v>
      </c>
      <c r="AC9">
        <v>-1392.3300000000002</v>
      </c>
      <c r="AD9">
        <v>-195.35</v>
      </c>
      <c r="AE9">
        <v>-227.64000000000001</v>
      </c>
      <c r="AF9">
        <v>-105.04000000000002</v>
      </c>
      <c r="AG9">
        <v>-284.08</v>
      </c>
      <c r="AH9">
        <v>-366.56</v>
      </c>
      <c r="AJ9">
        <v>-9.99</v>
      </c>
      <c r="AK9">
        <v>-16.89</v>
      </c>
      <c r="AL9">
        <v>-49.580000000000005</v>
      </c>
      <c r="AM9">
        <v>-141.67000000000002</v>
      </c>
      <c r="AN9">
        <v>-9.99</v>
      </c>
      <c r="AO9">
        <v>-366.78000000000003</v>
      </c>
      <c r="AP9">
        <v>-34.99</v>
      </c>
      <c r="AR9">
        <v>-296.90000000000009</v>
      </c>
      <c r="AS9">
        <v>-107.2</v>
      </c>
      <c r="AT9">
        <v>-38.090000000000003</v>
      </c>
      <c r="AU9">
        <v>-225.64000000000001</v>
      </c>
      <c r="AV9">
        <v>-166</v>
      </c>
      <c r="AW9">
        <v>-283.25</v>
      </c>
      <c r="AZ9">
        <v>-4</v>
      </c>
      <c r="BA9">
        <v>-72.06</v>
      </c>
      <c r="BB9">
        <v>-158.47</v>
      </c>
      <c r="BC9">
        <v>-74.31</v>
      </c>
      <c r="BD9">
        <v>-36.36</v>
      </c>
      <c r="BF9">
        <v>-7</v>
      </c>
      <c r="BG9">
        <v>-609.59</v>
      </c>
      <c r="BH9">
        <v>-131.05000000000001</v>
      </c>
      <c r="BI9">
        <v>-109.4</v>
      </c>
      <c r="BJ9">
        <v>-23.1</v>
      </c>
      <c r="BK9">
        <v>-213.89</v>
      </c>
      <c r="BL9">
        <v>-709.5</v>
      </c>
      <c r="BN9">
        <v>-98.5</v>
      </c>
      <c r="BO9">
        <v>-76.039999999999992</v>
      </c>
      <c r="BP9">
        <v>-221.01</v>
      </c>
      <c r="BQ9">
        <v>-79.42</v>
      </c>
      <c r="BR9">
        <v>-18.399999999999999</v>
      </c>
      <c r="BS9">
        <v>-27.599999999999998</v>
      </c>
      <c r="BT9">
        <v>-91.8</v>
      </c>
      <c r="BU9">
        <v>-13.7</v>
      </c>
      <c r="BW9">
        <v>-39.799999999999997</v>
      </c>
      <c r="BX9">
        <v>-784.53000000000031</v>
      </c>
      <c r="BY9">
        <v>-228.37</v>
      </c>
      <c r="BZ9">
        <v>-127.99000000000001</v>
      </c>
      <c r="CA9">
        <v>-196.51</v>
      </c>
      <c r="CB9">
        <v>-290.02999999999997</v>
      </c>
      <c r="CC9">
        <v>-33.85</v>
      </c>
      <c r="CD9">
        <v>-114.84</v>
      </c>
      <c r="CE9">
        <v>-93.3</v>
      </c>
      <c r="CF9">
        <v>-132.07</v>
      </c>
      <c r="CG9">
        <v>-136.84</v>
      </c>
      <c r="CH9">
        <v>-1933.7499999999998</v>
      </c>
      <c r="CI9">
        <v>-4464.9500000000016</v>
      </c>
      <c r="CJ9">
        <v>-358.71000000000004</v>
      </c>
      <c r="CK9">
        <v>-76.900000000000006</v>
      </c>
      <c r="CL9">
        <v>-114.07999999999998</v>
      </c>
      <c r="CM9">
        <v>-146.62</v>
      </c>
      <c r="CN9">
        <v>-38.260000000000005</v>
      </c>
      <c r="CO9">
        <v>0.43999999999999773</v>
      </c>
    </row>
    <row r="10" spans="1:93" x14ac:dyDescent="0.35">
      <c r="A10" s="3" t="s">
        <v>205</v>
      </c>
      <c r="J10">
        <v>-1000</v>
      </c>
      <c r="K10">
        <v>-600</v>
      </c>
      <c r="N10">
        <v>142.44000000000003</v>
      </c>
      <c r="O10">
        <v>-94.860000000000014</v>
      </c>
      <c r="P10">
        <v>-688.78</v>
      </c>
      <c r="Q10">
        <v>-237.09000000000003</v>
      </c>
      <c r="R10">
        <v>-590</v>
      </c>
      <c r="S10">
        <v>-30.430000000000007</v>
      </c>
      <c r="T10">
        <v>230</v>
      </c>
      <c r="U10">
        <v>-235</v>
      </c>
      <c r="V10">
        <v>-92.009999999999991</v>
      </c>
      <c r="W10">
        <v>-172</v>
      </c>
      <c r="X10">
        <v>745</v>
      </c>
      <c r="Y10">
        <v>2438.15</v>
      </c>
      <c r="Z10">
        <v>-3256</v>
      </c>
      <c r="AA10">
        <v>-667</v>
      </c>
      <c r="AB10">
        <v>-817.48</v>
      </c>
      <c r="AC10">
        <v>1521.32</v>
      </c>
      <c r="AD10">
        <v>-925.87</v>
      </c>
      <c r="AE10">
        <v>-476.91999999999996</v>
      </c>
      <c r="AF10">
        <v>-874.81999999999994</v>
      </c>
      <c r="AG10">
        <v>-5150</v>
      </c>
      <c r="AH10">
        <v>-1240.72</v>
      </c>
      <c r="AI10">
        <v>855.52</v>
      </c>
      <c r="AJ10">
        <v>-529.35</v>
      </c>
      <c r="AK10">
        <v>-1027.1300000000001</v>
      </c>
      <c r="AL10">
        <v>-756.52</v>
      </c>
      <c r="AM10">
        <v>-506.94</v>
      </c>
      <c r="AN10">
        <v>-471.5</v>
      </c>
      <c r="AO10">
        <v>-818</v>
      </c>
      <c r="AP10">
        <v>-8038.64</v>
      </c>
      <c r="AQ10">
        <v>1295.8300000000002</v>
      </c>
      <c r="AR10">
        <v>-1861.88</v>
      </c>
      <c r="AS10">
        <v>-3100</v>
      </c>
      <c r="AT10">
        <v>-5161.4400000000005</v>
      </c>
      <c r="AU10">
        <v>-3206.96</v>
      </c>
      <c r="AV10">
        <v>-2022.04</v>
      </c>
      <c r="AW10">
        <v>-1320.1599999999999</v>
      </c>
      <c r="AX10">
        <v>-555.6</v>
      </c>
      <c r="AY10">
        <v>-3625.94</v>
      </c>
      <c r="AZ10">
        <v>-4000.4</v>
      </c>
      <c r="BA10">
        <v>-1479</v>
      </c>
      <c r="BB10">
        <v>-2061.5</v>
      </c>
      <c r="BC10">
        <v>-3879</v>
      </c>
      <c r="BD10">
        <v>-1481.65</v>
      </c>
      <c r="BE10">
        <v>-4348.04</v>
      </c>
      <c r="BF10">
        <v>-1456.6599999999999</v>
      </c>
      <c r="BG10">
        <v>-684.7</v>
      </c>
      <c r="BH10">
        <v>-1956</v>
      </c>
      <c r="BI10">
        <v>2030.61</v>
      </c>
      <c r="BJ10">
        <v>-1140.5999999999999</v>
      </c>
      <c r="BK10">
        <v>-114.29999999999995</v>
      </c>
      <c r="BL10">
        <v>-1682</v>
      </c>
      <c r="BM10">
        <v>-1222.8399999999999</v>
      </c>
      <c r="BN10">
        <v>-1200.17</v>
      </c>
      <c r="BO10">
        <v>-1164.6500000000001</v>
      </c>
      <c r="BP10">
        <v>-323.33999999999997</v>
      </c>
      <c r="BQ10">
        <v>-1316.51</v>
      </c>
      <c r="BR10">
        <v>-1536.08</v>
      </c>
      <c r="BS10">
        <v>-1391.3600000000001</v>
      </c>
      <c r="BT10">
        <v>-310.67</v>
      </c>
      <c r="BU10">
        <v>-1155.6600000000001</v>
      </c>
      <c r="BV10">
        <v>-833.1400000000001</v>
      </c>
      <c r="BW10">
        <v>-1873.2900000000041</v>
      </c>
      <c r="BX10">
        <v>-934.89000000000033</v>
      </c>
      <c r="BY10">
        <v>84.369999999999933</v>
      </c>
      <c r="BZ10">
        <v>-1127.54</v>
      </c>
      <c r="CA10">
        <v>-448.93000000000006</v>
      </c>
      <c r="CB10">
        <v>-118.08000000000006</v>
      </c>
      <c r="CC10">
        <v>-1910.69</v>
      </c>
      <c r="CD10">
        <v>4993.7400000000016</v>
      </c>
      <c r="CE10">
        <v>12343.119999999995</v>
      </c>
      <c r="CF10">
        <v>-3148.24</v>
      </c>
      <c r="CG10">
        <v>-2891.41</v>
      </c>
      <c r="CH10">
        <v>-1845.9699999999998</v>
      </c>
      <c r="CI10">
        <v>-2405.1699999999996</v>
      </c>
      <c r="CJ10">
        <v>-1888.3999999999996</v>
      </c>
      <c r="CK10">
        <v>793.34000000000071</v>
      </c>
      <c r="CL10">
        <v>-916.74999999999955</v>
      </c>
      <c r="CM10">
        <v>-2936.0999999999995</v>
      </c>
      <c r="CN10">
        <v>-4568.4599999999991</v>
      </c>
      <c r="CO10">
        <v>-1929.0299999999997</v>
      </c>
    </row>
    <row r="11" spans="1:93" x14ac:dyDescent="0.35">
      <c r="A11" s="3" t="s">
        <v>270</v>
      </c>
      <c r="N11">
        <v>-783.97999999999979</v>
      </c>
      <c r="O11">
        <v>-984.39000000000021</v>
      </c>
      <c r="P11">
        <v>-701.46999999999991</v>
      </c>
      <c r="Q11">
        <v>-796.1</v>
      </c>
      <c r="R11">
        <v>-982.9799999999999</v>
      </c>
      <c r="S11">
        <v>-851.11</v>
      </c>
      <c r="T11">
        <v>-874.99</v>
      </c>
      <c r="U11">
        <v>-712.61000000000013</v>
      </c>
      <c r="V11">
        <v>-696.92</v>
      </c>
      <c r="W11">
        <v>-994.13999999999976</v>
      </c>
      <c r="X11">
        <v>-1164.1399999999994</v>
      </c>
      <c r="Y11">
        <v>-808.37999999999988</v>
      </c>
      <c r="Z11">
        <v>-689.13999999999987</v>
      </c>
      <c r="AA11">
        <v>-1133.3500000000001</v>
      </c>
      <c r="AB11">
        <v>-888.80999999999983</v>
      </c>
      <c r="AC11">
        <v>-1220.56</v>
      </c>
      <c r="AD11">
        <v>-908.40999999999974</v>
      </c>
      <c r="AE11">
        <v>-1208.8800000000003</v>
      </c>
      <c r="AF11">
        <v>-1359.7099999999998</v>
      </c>
      <c r="AG11">
        <v>-1047.3699999999999</v>
      </c>
      <c r="AH11">
        <v>-1043.9199999999996</v>
      </c>
      <c r="AI11">
        <v>-718.96</v>
      </c>
      <c r="AJ11">
        <v>-587.79</v>
      </c>
      <c r="AK11">
        <v>-587.92999999999995</v>
      </c>
      <c r="AL11">
        <v>-714.69000000000017</v>
      </c>
      <c r="AM11">
        <v>-865.89999999999986</v>
      </c>
      <c r="AN11">
        <v>-849.63000000000011</v>
      </c>
      <c r="AO11">
        <v>-987.87999999999988</v>
      </c>
      <c r="AP11">
        <v>-715.97</v>
      </c>
      <c r="AQ11">
        <v>-1089.7200000000003</v>
      </c>
      <c r="AR11">
        <v>-810.1099999999999</v>
      </c>
      <c r="AS11">
        <v>-738.24</v>
      </c>
      <c r="AT11">
        <v>-639.63</v>
      </c>
      <c r="AU11">
        <v>-921.93000000000006</v>
      </c>
      <c r="AV11">
        <v>-490.20000000000005</v>
      </c>
      <c r="AW11">
        <v>-887.17</v>
      </c>
      <c r="AX11">
        <v>-468.96000000000004</v>
      </c>
      <c r="AY11">
        <v>-509.02</v>
      </c>
      <c r="AZ11">
        <v>-609.89</v>
      </c>
      <c r="BA11">
        <v>-700.32</v>
      </c>
      <c r="BB11">
        <v>-1246.8699999999999</v>
      </c>
      <c r="BC11">
        <v>-760.4</v>
      </c>
      <c r="BD11">
        <v>-859.03999999999985</v>
      </c>
      <c r="BE11">
        <v>-1243.9100000000001</v>
      </c>
      <c r="BF11">
        <v>-1157.2400000000002</v>
      </c>
      <c r="BG11">
        <v>-1189.2100000000003</v>
      </c>
      <c r="BH11">
        <v>-934.19000000000017</v>
      </c>
      <c r="BI11">
        <v>-1482.9199999999998</v>
      </c>
      <c r="BJ11">
        <v>-544.44999999999993</v>
      </c>
      <c r="BK11">
        <v>-941.77999999999986</v>
      </c>
      <c r="BL11">
        <v>-663.06000000000006</v>
      </c>
      <c r="BM11">
        <v>-1100.3799999999999</v>
      </c>
      <c r="BN11">
        <v>-920.32999999999993</v>
      </c>
      <c r="BO11">
        <v>-757.54</v>
      </c>
      <c r="BP11">
        <v>-908.8499999999998</v>
      </c>
      <c r="BQ11">
        <v>-1245.1499999999996</v>
      </c>
      <c r="BR11">
        <v>-900.82999999999993</v>
      </c>
      <c r="BS11">
        <v>-933.02000000000021</v>
      </c>
      <c r="BT11">
        <v>-1253.5400000000002</v>
      </c>
      <c r="BU11">
        <v>-745.12999999999988</v>
      </c>
      <c r="BV11">
        <v>-790.48000000000013</v>
      </c>
      <c r="BW11">
        <v>-989.01</v>
      </c>
      <c r="BX11">
        <v>-823.12999999999988</v>
      </c>
      <c r="BY11">
        <v>-859.7</v>
      </c>
      <c r="BZ11">
        <v>-891.84999999999991</v>
      </c>
      <c r="CA11">
        <v>-817.67000000000007</v>
      </c>
      <c r="CB11">
        <v>-1087.1300000000001</v>
      </c>
      <c r="CC11">
        <v>-781.83</v>
      </c>
      <c r="CD11">
        <v>-662.56999999999994</v>
      </c>
      <c r="CE11">
        <v>-613.47</v>
      </c>
      <c r="CF11">
        <v>-561.4799999999999</v>
      </c>
      <c r="CG11">
        <v>-544.24</v>
      </c>
      <c r="CH11">
        <v>-803.88</v>
      </c>
      <c r="CI11">
        <v>-578.89</v>
      </c>
      <c r="CJ11">
        <v>-785.04</v>
      </c>
      <c r="CK11">
        <v>-1073.6500000000001</v>
      </c>
      <c r="CL11">
        <v>-1168.5900000000001</v>
      </c>
      <c r="CM11">
        <v>-842.65999999999985</v>
      </c>
      <c r="CN11">
        <v>-361.88999999999993</v>
      </c>
      <c r="CO11">
        <v>-270.02999999999997</v>
      </c>
    </row>
    <row r="12" spans="1:93" x14ac:dyDescent="0.35">
      <c r="A12" s="3" t="s">
        <v>271</v>
      </c>
      <c r="R12">
        <v>-70</v>
      </c>
      <c r="S12">
        <v>-54.1</v>
      </c>
      <c r="V12">
        <v>-12.95</v>
      </c>
      <c r="W12">
        <v>-5</v>
      </c>
      <c r="X12">
        <v>-95.56</v>
      </c>
      <c r="Y12">
        <v>-6.9</v>
      </c>
      <c r="Z12">
        <v>-23</v>
      </c>
      <c r="AD12">
        <v>-80</v>
      </c>
      <c r="AE12">
        <v>-29.99</v>
      </c>
      <c r="AG12">
        <v>-55.99</v>
      </c>
      <c r="AN12">
        <v>-84.38</v>
      </c>
      <c r="AP12">
        <v>-14.99</v>
      </c>
      <c r="AR12">
        <v>-5.98</v>
      </c>
      <c r="AY12">
        <v>-12.99</v>
      </c>
      <c r="BC12">
        <v>-102.63</v>
      </c>
      <c r="BD12">
        <v>-9.99</v>
      </c>
      <c r="BE12">
        <v>-35.86</v>
      </c>
      <c r="BG12">
        <v>-18.48</v>
      </c>
      <c r="BJ12">
        <v>-90.929999999999993</v>
      </c>
      <c r="BM12">
        <v>-6.99</v>
      </c>
      <c r="BN12">
        <v>-95.789999999999992</v>
      </c>
      <c r="BO12">
        <v>-60.99</v>
      </c>
      <c r="BP12">
        <v>-16.98</v>
      </c>
      <c r="BQ12">
        <v>-40.25</v>
      </c>
      <c r="BW12">
        <v>-12.98</v>
      </c>
      <c r="CA12">
        <v>-56.2</v>
      </c>
      <c r="CD12">
        <v>-42.97</v>
      </c>
      <c r="CE12">
        <v>-60.18</v>
      </c>
      <c r="CF12">
        <v>-50.98</v>
      </c>
      <c r="CH12">
        <v>-28.29</v>
      </c>
      <c r="CK12">
        <v>-119.85000000000001</v>
      </c>
      <c r="CL12">
        <v>-25</v>
      </c>
      <c r="CN12">
        <v>-57.12</v>
      </c>
    </row>
    <row r="13" spans="1:93" x14ac:dyDescent="0.35">
      <c r="A13" s="3" t="s">
        <v>279</v>
      </c>
      <c r="CA13">
        <v>-49</v>
      </c>
      <c r="CB13">
        <v>-328</v>
      </c>
      <c r="CC13">
        <v>-1755.5</v>
      </c>
      <c r="CD13">
        <v>-34323.5</v>
      </c>
      <c r="CE13">
        <v>-3787.9</v>
      </c>
      <c r="CF13">
        <v>-1514.59</v>
      </c>
      <c r="CH13">
        <v>-447.26</v>
      </c>
      <c r="CM13">
        <v>-391.65</v>
      </c>
    </row>
    <row r="14" spans="1:93" x14ac:dyDescent="0.35">
      <c r="A14" s="3" t="s">
        <v>276</v>
      </c>
      <c r="N14">
        <v>-7.14</v>
      </c>
      <c r="X14">
        <v>-118.8</v>
      </c>
      <c r="Y14">
        <v>-589.34</v>
      </c>
      <c r="AF14">
        <v>-57</v>
      </c>
      <c r="AH14">
        <v>-269</v>
      </c>
      <c r="AQ14">
        <v>707.40000000000009</v>
      </c>
      <c r="AV14">
        <v>-425.75</v>
      </c>
      <c r="AW14">
        <v>-1526.08</v>
      </c>
      <c r="AX14">
        <v>-3.1</v>
      </c>
      <c r="BC14">
        <v>-35.950000000000003</v>
      </c>
      <c r="BH14">
        <v>-50</v>
      </c>
      <c r="BL14">
        <v>-35</v>
      </c>
      <c r="BZ14">
        <v>-341.09</v>
      </c>
      <c r="CA14">
        <v>-3.8600000000000003</v>
      </c>
      <c r="CB14">
        <v>-27.88</v>
      </c>
      <c r="CE14">
        <v>-311.52</v>
      </c>
      <c r="CF14">
        <v>-950.81000000000006</v>
      </c>
      <c r="CG14">
        <v>-44.37</v>
      </c>
      <c r="CH14">
        <v>-12.94</v>
      </c>
      <c r="CJ14">
        <v>-35.880000000000003</v>
      </c>
      <c r="CL14">
        <v>-9.57</v>
      </c>
      <c r="CM14">
        <v>-65.14</v>
      </c>
      <c r="CN14">
        <v>-93.559999999999988</v>
      </c>
    </row>
    <row r="15" spans="1:93" x14ac:dyDescent="0.35">
      <c r="A15" s="3" t="s">
        <v>207</v>
      </c>
      <c r="N15">
        <v>-204.04000000000002</v>
      </c>
      <c r="O15">
        <v>-204.04000000000002</v>
      </c>
      <c r="P15">
        <v>-204.04000000000002</v>
      </c>
      <c r="Q15">
        <v>-204.04000000000002</v>
      </c>
      <c r="R15">
        <v>-174.04000000000002</v>
      </c>
      <c r="S15">
        <v>-204.04000000000002</v>
      </c>
      <c r="T15">
        <v>-204.04000000000002</v>
      </c>
      <c r="U15">
        <v>-166.4</v>
      </c>
      <c r="V15">
        <v>-166.4</v>
      </c>
      <c r="W15">
        <v>-172.3</v>
      </c>
      <c r="X15">
        <v>-172.3</v>
      </c>
      <c r="Y15">
        <v>-172.3</v>
      </c>
      <c r="Z15">
        <v>-172.3</v>
      </c>
      <c r="AA15">
        <v>-172.3</v>
      </c>
      <c r="AB15">
        <v>-172.3</v>
      </c>
      <c r="AC15">
        <v>-172.3</v>
      </c>
      <c r="AD15">
        <v>-155.30000000000001</v>
      </c>
      <c r="AE15">
        <v>-172.3</v>
      </c>
      <c r="AF15">
        <v>-172.3</v>
      </c>
      <c r="AG15">
        <v>-172.3</v>
      </c>
      <c r="AH15">
        <v>-172.3</v>
      </c>
      <c r="AI15">
        <v>-172.3</v>
      </c>
      <c r="AJ15">
        <v>-172.3</v>
      </c>
      <c r="AK15">
        <v>-172.3</v>
      </c>
      <c r="AL15">
        <v>-172.3</v>
      </c>
      <c r="AM15">
        <v>-172.3</v>
      </c>
      <c r="AN15">
        <v>-172.3</v>
      </c>
      <c r="AO15">
        <v>-172.3</v>
      </c>
      <c r="AP15">
        <v>-172.99</v>
      </c>
      <c r="AQ15">
        <v>-176.6</v>
      </c>
      <c r="AR15">
        <v>-176.6</v>
      </c>
      <c r="AS15">
        <v>-176.6</v>
      </c>
      <c r="AT15">
        <v>-176.6</v>
      </c>
      <c r="AU15">
        <v>-179.45</v>
      </c>
      <c r="AV15">
        <v>-179.45</v>
      </c>
      <c r="AW15">
        <v>-179.45</v>
      </c>
      <c r="AX15">
        <v>-179.45</v>
      </c>
      <c r="AY15">
        <v>-179.45</v>
      </c>
      <c r="AZ15">
        <v>-180.55</v>
      </c>
      <c r="BA15">
        <v>-180.55</v>
      </c>
      <c r="BB15">
        <v>-180.55</v>
      </c>
      <c r="BC15">
        <v>-180.55</v>
      </c>
      <c r="BD15">
        <v>-180.55</v>
      </c>
      <c r="BE15">
        <v>-180.55</v>
      </c>
      <c r="BF15">
        <v>-180.55</v>
      </c>
      <c r="BG15">
        <v>-180.55</v>
      </c>
      <c r="BH15">
        <v>-180.55</v>
      </c>
      <c r="BI15">
        <v>-180.55</v>
      </c>
      <c r="BJ15">
        <v>-180.55</v>
      </c>
      <c r="BK15">
        <v>-180.55</v>
      </c>
      <c r="BL15">
        <v>-180.55</v>
      </c>
      <c r="BM15">
        <v>-180.55</v>
      </c>
      <c r="BN15">
        <v>-186.7</v>
      </c>
      <c r="BO15">
        <v>-186.7</v>
      </c>
      <c r="BP15">
        <v>-186.7</v>
      </c>
      <c r="BQ15">
        <v>-186.7</v>
      </c>
      <c r="BR15">
        <v>-186.7</v>
      </c>
      <c r="BS15">
        <v>-186.7</v>
      </c>
      <c r="BT15">
        <v>-186.7</v>
      </c>
      <c r="BU15">
        <v>-186.7</v>
      </c>
      <c r="BV15">
        <v>-186.7</v>
      </c>
      <c r="BW15">
        <v>-186.7</v>
      </c>
      <c r="BX15">
        <v>-195.05</v>
      </c>
      <c r="BY15">
        <v>-30.050000000000011</v>
      </c>
      <c r="BZ15">
        <v>-195.05</v>
      </c>
      <c r="CA15">
        <v>-195.05</v>
      </c>
      <c r="CB15">
        <v>-195.05</v>
      </c>
      <c r="CC15">
        <v>-195.05</v>
      </c>
      <c r="CD15">
        <v>-329.78</v>
      </c>
      <c r="CE15">
        <v>-331.49</v>
      </c>
      <c r="CF15">
        <v>270.98</v>
      </c>
      <c r="CG15">
        <v>-144.27000000000001</v>
      </c>
      <c r="CH15">
        <v>-616.87</v>
      </c>
      <c r="CI15">
        <v>-144.27000000000001</v>
      </c>
      <c r="CJ15">
        <v>-144.27000000000001</v>
      </c>
      <c r="CK15">
        <v>-144.27000000000001</v>
      </c>
      <c r="CL15">
        <v>-138.87</v>
      </c>
      <c r="CM15">
        <v>-138.87</v>
      </c>
      <c r="CN15">
        <v>-138.87</v>
      </c>
      <c r="CO15">
        <v>-138.87</v>
      </c>
    </row>
    <row r="16" spans="1:93" x14ac:dyDescent="0.35">
      <c r="A16" s="3" t="s">
        <v>274</v>
      </c>
      <c r="N16">
        <v>-30.07</v>
      </c>
      <c r="O16">
        <v>-10</v>
      </c>
      <c r="Q16">
        <v>-35</v>
      </c>
      <c r="S16">
        <v>-50</v>
      </c>
      <c r="W16">
        <v>250</v>
      </c>
      <c r="AA16">
        <v>-483.32</v>
      </c>
      <c r="AB16">
        <v>-28.75</v>
      </c>
      <c r="AE16">
        <v>-130</v>
      </c>
      <c r="AQ16">
        <v>-67</v>
      </c>
      <c r="BK16">
        <v>-250</v>
      </c>
      <c r="CB16">
        <v>-105.75</v>
      </c>
    </row>
    <row r="17" spans="1:93" x14ac:dyDescent="0.35">
      <c r="A17" s="3" t="s">
        <v>206</v>
      </c>
      <c r="N17">
        <v>-2060</v>
      </c>
      <c r="O17">
        <v>-2060</v>
      </c>
      <c r="P17">
        <v>-2575</v>
      </c>
      <c r="Q17">
        <v>-2060</v>
      </c>
      <c r="R17">
        <v>-2060</v>
      </c>
      <c r="S17">
        <v>-2575</v>
      </c>
      <c r="T17">
        <v>-2060</v>
      </c>
      <c r="U17">
        <v>-2060</v>
      </c>
      <c r="V17">
        <v>-2575</v>
      </c>
      <c r="W17">
        <v>-2060</v>
      </c>
      <c r="X17">
        <v>-2560</v>
      </c>
      <c r="Y17">
        <v>-1515</v>
      </c>
      <c r="Z17">
        <v>-1000</v>
      </c>
      <c r="AA17">
        <v>-1000</v>
      </c>
      <c r="AB17">
        <v>-1000</v>
      </c>
      <c r="AC17">
        <v>-1500</v>
      </c>
      <c r="AD17">
        <v>-1000</v>
      </c>
      <c r="AE17">
        <v>-1000</v>
      </c>
      <c r="AF17">
        <v>-1000</v>
      </c>
      <c r="AG17">
        <v>-1000</v>
      </c>
      <c r="AH17">
        <v>-1000</v>
      </c>
      <c r="AI17">
        <v>-1500</v>
      </c>
      <c r="AJ17">
        <v>-1000</v>
      </c>
      <c r="AK17">
        <v>-1000</v>
      </c>
      <c r="AL17">
        <v>-1000</v>
      </c>
      <c r="AM17">
        <v>-1000</v>
      </c>
      <c r="AN17">
        <v>-1000</v>
      </c>
      <c r="AO17">
        <v>-1500</v>
      </c>
      <c r="AP17">
        <v>-1000</v>
      </c>
      <c r="AQ17">
        <v>-1000</v>
      </c>
      <c r="AR17">
        <v>-1000</v>
      </c>
      <c r="AS17">
        <v>-1000</v>
      </c>
      <c r="AT17">
        <v>-1000</v>
      </c>
      <c r="AU17">
        <v>-1500</v>
      </c>
      <c r="BH17">
        <v>-500</v>
      </c>
      <c r="BZ17">
        <v>-250</v>
      </c>
      <c r="CB17">
        <v>-500</v>
      </c>
    </row>
    <row r="18" spans="1:93" x14ac:dyDescent="0.35">
      <c r="A18" s="3" t="s">
        <v>2</v>
      </c>
      <c r="M18">
        <v>3381.7</v>
      </c>
      <c r="N18">
        <v>4674.7999999999993</v>
      </c>
      <c r="O18">
        <v>5525.24</v>
      </c>
      <c r="P18">
        <v>4311.7700000000004</v>
      </c>
      <c r="Q18">
        <v>5211.2</v>
      </c>
      <c r="R18">
        <v>4292.8599999999997</v>
      </c>
      <c r="S18">
        <v>4130.95</v>
      </c>
      <c r="T18">
        <v>3546.75</v>
      </c>
      <c r="U18">
        <v>4555.17</v>
      </c>
      <c r="V18">
        <v>4795.42</v>
      </c>
      <c r="W18">
        <v>3546.75</v>
      </c>
      <c r="X18">
        <v>6509.67</v>
      </c>
      <c r="Y18">
        <v>4611.99</v>
      </c>
      <c r="Z18">
        <v>6031.17</v>
      </c>
      <c r="AA18">
        <v>4729.16</v>
      </c>
      <c r="AB18">
        <v>4597.99</v>
      </c>
      <c r="AC18">
        <v>5719.02</v>
      </c>
      <c r="AD18">
        <v>4106.9799999999996</v>
      </c>
      <c r="AE18">
        <v>4106.9799999999996</v>
      </c>
      <c r="AF18">
        <v>3805.8900000000003</v>
      </c>
      <c r="AG18">
        <v>4106.9799999999996</v>
      </c>
      <c r="AH18">
        <v>4106.9799999999996</v>
      </c>
      <c r="AI18">
        <v>6160.4699999999993</v>
      </c>
      <c r="AJ18">
        <v>4106.9799999999996</v>
      </c>
      <c r="AK18">
        <v>4106.9799999999996</v>
      </c>
      <c r="AL18">
        <v>4106.9799999999996</v>
      </c>
      <c r="AM18">
        <v>4106.9799999999996</v>
      </c>
      <c r="AN18">
        <v>4164.5599999999995</v>
      </c>
      <c r="AO18">
        <v>6304.41</v>
      </c>
      <c r="AP18">
        <v>4370.9399999999996</v>
      </c>
      <c r="AQ18">
        <v>4486.5200000000004</v>
      </c>
      <c r="AR18">
        <v>4497.6000000000004</v>
      </c>
      <c r="AS18">
        <v>4366.66</v>
      </c>
      <c r="AT18">
        <v>4286.9399999999996</v>
      </c>
      <c r="AU18">
        <v>6430.41</v>
      </c>
      <c r="AV18">
        <v>4319.82</v>
      </c>
      <c r="AW18">
        <v>4327.4799999999996</v>
      </c>
      <c r="AX18">
        <v>4490.26</v>
      </c>
      <c r="AY18">
        <v>4953.4400000000005</v>
      </c>
      <c r="AZ18">
        <v>6675.77</v>
      </c>
      <c r="BA18">
        <v>4426.96</v>
      </c>
      <c r="BB18">
        <v>4713.96</v>
      </c>
      <c r="BC18">
        <v>4497.13</v>
      </c>
      <c r="BD18">
        <v>4497.1100000000006</v>
      </c>
      <c r="BE18">
        <v>5693.92</v>
      </c>
      <c r="BF18">
        <v>7612.8099999999995</v>
      </c>
      <c r="BG18">
        <v>4508.2299999999996</v>
      </c>
      <c r="BH18">
        <v>4794.3799999999992</v>
      </c>
      <c r="BI18">
        <v>4651.3</v>
      </c>
      <c r="BJ18">
        <v>4567.1100000000006</v>
      </c>
      <c r="BK18">
        <v>4651.29</v>
      </c>
      <c r="BL18">
        <v>7432.23</v>
      </c>
      <c r="BM18">
        <v>4922.51</v>
      </c>
      <c r="BN18">
        <v>4832</v>
      </c>
      <c r="BO18">
        <v>4844.32</v>
      </c>
      <c r="BP18">
        <v>4844.32</v>
      </c>
      <c r="BQ18">
        <v>5443.27</v>
      </c>
      <c r="BR18">
        <v>9798.52</v>
      </c>
      <c r="BS18">
        <v>6565.68</v>
      </c>
      <c r="BT18">
        <v>5265.68</v>
      </c>
      <c r="BU18">
        <v>5465.68</v>
      </c>
      <c r="BV18">
        <v>4697.67</v>
      </c>
      <c r="BW18">
        <v>8046.51</v>
      </c>
      <c r="BX18">
        <v>4697.68</v>
      </c>
      <c r="BY18">
        <v>4697.67</v>
      </c>
      <c r="BZ18">
        <v>6679.09</v>
      </c>
      <c r="CA18">
        <v>4697.68</v>
      </c>
      <c r="CB18">
        <v>4697.67</v>
      </c>
      <c r="CC18">
        <v>7046.52</v>
      </c>
      <c r="CD18">
        <v>5803.83</v>
      </c>
      <c r="CE18">
        <v>5199.9699999999993</v>
      </c>
      <c r="CF18">
        <v>5199.9799999999996</v>
      </c>
      <c r="CG18">
        <v>5199.9799999999996</v>
      </c>
      <c r="CH18">
        <v>5343.98</v>
      </c>
      <c r="CI18">
        <v>8016</v>
      </c>
      <c r="CJ18">
        <v>5688.04</v>
      </c>
      <c r="CK18">
        <v>5730.54</v>
      </c>
      <c r="CL18">
        <v>5730.5400000000009</v>
      </c>
      <c r="CM18">
        <v>5730.54</v>
      </c>
      <c r="CN18">
        <v>8595.81</v>
      </c>
      <c r="CO18">
        <v>2865.27</v>
      </c>
    </row>
    <row r="19" spans="1:93" x14ac:dyDescent="0.35">
      <c r="A19" s="3" t="s">
        <v>278</v>
      </c>
      <c r="Q19">
        <v>-4.3</v>
      </c>
      <c r="W19">
        <v>-919.79</v>
      </c>
      <c r="AE19">
        <v>-2.99</v>
      </c>
      <c r="AJ19">
        <v>-514.17000000000007</v>
      </c>
      <c r="AP19">
        <v>859.54000000000019</v>
      </c>
      <c r="AQ19">
        <v>-195.78</v>
      </c>
      <c r="AR19">
        <v>-188.83</v>
      </c>
      <c r="AS19">
        <v>3412.26</v>
      </c>
      <c r="AX19">
        <v>326.43</v>
      </c>
      <c r="BI19">
        <v>-745.86</v>
      </c>
      <c r="BJ19">
        <v>-4</v>
      </c>
      <c r="BK19">
        <v>-1573.64</v>
      </c>
      <c r="BL19">
        <v>-770.92</v>
      </c>
      <c r="BN19">
        <v>2635.41</v>
      </c>
      <c r="BS19">
        <v>-567.41999999999996</v>
      </c>
      <c r="BT19">
        <v>-13</v>
      </c>
      <c r="BU19">
        <v>-362.91</v>
      </c>
      <c r="BW19">
        <v>-342.5</v>
      </c>
      <c r="BY19">
        <v>-129.32</v>
      </c>
      <c r="BZ19">
        <v>-325</v>
      </c>
      <c r="CE19">
        <v>-8</v>
      </c>
      <c r="CF19">
        <v>-53.4</v>
      </c>
      <c r="CH19">
        <v>-1.5</v>
      </c>
      <c r="CI19">
        <v>-375.65</v>
      </c>
      <c r="CK19">
        <v>-8.5</v>
      </c>
      <c r="CL19">
        <v>-4.5</v>
      </c>
    </row>
    <row r="20" spans="1:93" x14ac:dyDescent="0.35">
      <c r="A20" s="3" t="s">
        <v>285</v>
      </c>
      <c r="AU20">
        <v>-23.25</v>
      </c>
    </row>
    <row r="21" spans="1:93" x14ac:dyDescent="0.35">
      <c r="A21" s="3" t="s">
        <v>272</v>
      </c>
      <c r="N21">
        <v>-289.93</v>
      </c>
      <c r="O21">
        <v>-123.3</v>
      </c>
      <c r="P21">
        <v>-31.2</v>
      </c>
      <c r="Q21">
        <v>-76.650000000000006</v>
      </c>
      <c r="R21">
        <v>-65.25</v>
      </c>
      <c r="S21">
        <v>-296.45</v>
      </c>
      <c r="T21">
        <v>-45.36</v>
      </c>
      <c r="U21">
        <v>-178.98000000000002</v>
      </c>
      <c r="W21">
        <v>-43.9</v>
      </c>
      <c r="X21">
        <v>-44.99</v>
      </c>
      <c r="Z21">
        <v>-76.95</v>
      </c>
      <c r="AA21">
        <v>-282.94</v>
      </c>
      <c r="AB21">
        <v>269.99</v>
      </c>
      <c r="AC21">
        <v>-635.36</v>
      </c>
      <c r="AE21">
        <v>-510.98</v>
      </c>
      <c r="AF21">
        <v>-274.95</v>
      </c>
      <c r="AG21">
        <v>-51.989999999999995</v>
      </c>
      <c r="AI21">
        <v>-67</v>
      </c>
      <c r="AJ21">
        <v>-13.12</v>
      </c>
      <c r="AK21">
        <v>-15</v>
      </c>
      <c r="AO21">
        <v>-139</v>
      </c>
      <c r="AQ21">
        <v>-1687.1000000000001</v>
      </c>
      <c r="AR21">
        <v>-902.49</v>
      </c>
      <c r="AT21">
        <v>-3.2</v>
      </c>
      <c r="AU21">
        <v>-815.94</v>
      </c>
      <c r="AW21">
        <v>-5.95</v>
      </c>
      <c r="AY21">
        <v>-113.93</v>
      </c>
      <c r="AZ21">
        <v>-45.7</v>
      </c>
      <c r="BB21">
        <v>-111.80000000000001</v>
      </c>
      <c r="BC21">
        <v>-307.96999999999997</v>
      </c>
      <c r="BE21">
        <v>-60.1</v>
      </c>
      <c r="BF21">
        <v>-526.48</v>
      </c>
      <c r="BG21">
        <v>-35</v>
      </c>
      <c r="BH21">
        <v>-119.6</v>
      </c>
      <c r="BI21">
        <v>-63.39</v>
      </c>
      <c r="BK21">
        <v>-417</v>
      </c>
      <c r="BL21">
        <v>-169</v>
      </c>
      <c r="BN21">
        <v>-66.38</v>
      </c>
      <c r="BO21">
        <v>-7.82</v>
      </c>
      <c r="BP21">
        <v>-492.07000000000005</v>
      </c>
      <c r="BQ21">
        <v>-26.02</v>
      </c>
      <c r="BS21">
        <v>-134.97999999999999</v>
      </c>
      <c r="BY21">
        <v>-290.04000000000002</v>
      </c>
      <c r="BZ21">
        <v>-418</v>
      </c>
      <c r="CA21">
        <v>-410.92999999999995</v>
      </c>
      <c r="CB21">
        <v>-60.160000000000004</v>
      </c>
      <c r="CC21">
        <v>-14.99</v>
      </c>
      <c r="CD21">
        <v>-78.5</v>
      </c>
      <c r="CE21">
        <v>-216.78000000000003</v>
      </c>
      <c r="CF21">
        <v>-199.92</v>
      </c>
      <c r="CH21">
        <v>-212.2</v>
      </c>
      <c r="CJ21">
        <v>-756.64</v>
      </c>
      <c r="CL21">
        <v>-202.74</v>
      </c>
      <c r="CM21">
        <v>-398.03</v>
      </c>
      <c r="CN21">
        <v>-1073.92</v>
      </c>
      <c r="CO21">
        <v>735.3</v>
      </c>
    </row>
    <row r="22" spans="1:93" x14ac:dyDescent="0.35">
      <c r="A22" s="3" t="s">
        <v>8</v>
      </c>
      <c r="N22">
        <v>-57.120000000000005</v>
      </c>
      <c r="O22">
        <v>-174.41</v>
      </c>
      <c r="P22">
        <v>-77.080000000000013</v>
      </c>
      <c r="Q22">
        <v>-40.32</v>
      </c>
      <c r="R22">
        <v>-15.54</v>
      </c>
      <c r="S22">
        <v>-48.620000000000005</v>
      </c>
      <c r="T22">
        <v>-30.979999999999997</v>
      </c>
      <c r="V22">
        <v>-29.3</v>
      </c>
      <c r="W22">
        <v>-72.45</v>
      </c>
      <c r="X22">
        <v>-36.65</v>
      </c>
      <c r="Y22">
        <v>-103.33000000000001</v>
      </c>
      <c r="Z22">
        <v>-73.5</v>
      </c>
      <c r="AA22">
        <v>-178.19</v>
      </c>
      <c r="AB22">
        <v>-44</v>
      </c>
      <c r="AD22">
        <v>-91.67</v>
      </c>
      <c r="AE22">
        <v>-26.560000000000002</v>
      </c>
      <c r="AF22">
        <v>-87.110000000000014</v>
      </c>
      <c r="AG22">
        <v>-61.64</v>
      </c>
      <c r="AH22">
        <v>-77.91</v>
      </c>
      <c r="AK22">
        <v>-35.39</v>
      </c>
      <c r="AL22">
        <v>-141.65</v>
      </c>
      <c r="AO22">
        <v>-39.69</v>
      </c>
      <c r="AP22">
        <v>-50.4</v>
      </c>
      <c r="AR22">
        <v>-46.519999999999996</v>
      </c>
      <c r="AU22">
        <v>-32.24</v>
      </c>
      <c r="AW22">
        <v>-14.39</v>
      </c>
      <c r="BB22">
        <v>-60.8</v>
      </c>
      <c r="BE22">
        <v>-49.56</v>
      </c>
      <c r="BF22">
        <v>-1074.97</v>
      </c>
      <c r="BG22">
        <v>-128.75</v>
      </c>
      <c r="BH22">
        <v>-26.25</v>
      </c>
      <c r="BI22">
        <v>-11.65</v>
      </c>
      <c r="BK22">
        <v>-12.18</v>
      </c>
      <c r="BL22">
        <v>-68.680000000000007</v>
      </c>
      <c r="BO22">
        <v>-9.4499999999999993</v>
      </c>
      <c r="BR22">
        <v>-37.49</v>
      </c>
      <c r="BX22">
        <v>-53.17</v>
      </c>
      <c r="BY22">
        <v>-105.83</v>
      </c>
      <c r="CA22">
        <v>-30.58</v>
      </c>
      <c r="CB22">
        <v>-25.64</v>
      </c>
      <c r="CC22">
        <v>-1329.87</v>
      </c>
      <c r="CD22">
        <v>-88.39</v>
      </c>
      <c r="CH22">
        <v>-38.14</v>
      </c>
      <c r="CJ22">
        <v>-94.5</v>
      </c>
    </row>
    <row r="23" spans="1:93" x14ac:dyDescent="0.35">
      <c r="A23" s="3" t="s">
        <v>281</v>
      </c>
      <c r="N23">
        <v>-107.02</v>
      </c>
      <c r="O23">
        <v>-134.1</v>
      </c>
      <c r="P23">
        <v>-50.99</v>
      </c>
      <c r="S23">
        <v>-82.84</v>
      </c>
      <c r="T23">
        <v>-109.53999999999999</v>
      </c>
      <c r="U23">
        <v>-41.489999999999995</v>
      </c>
      <c r="V23">
        <v>-129.26</v>
      </c>
      <c r="W23">
        <v>-607.11</v>
      </c>
      <c r="X23">
        <v>-154.12</v>
      </c>
      <c r="Y23">
        <v>-260.22000000000003</v>
      </c>
      <c r="Z23">
        <v>-52.92</v>
      </c>
      <c r="AA23">
        <v>-32</v>
      </c>
      <c r="AB23">
        <v>-47</v>
      </c>
      <c r="AC23">
        <v>-36.870000000000005</v>
      </c>
      <c r="AE23">
        <v>-32.9</v>
      </c>
      <c r="AF23">
        <v>-39.69</v>
      </c>
      <c r="AG23">
        <v>-71.319999999999993</v>
      </c>
      <c r="AH23">
        <v>-17.399999999999999</v>
      </c>
      <c r="AI23">
        <v>-707.13000000000011</v>
      </c>
      <c r="AK23">
        <v>-58.04</v>
      </c>
      <c r="AM23">
        <v>-18.41</v>
      </c>
      <c r="AN23">
        <v>-29.14</v>
      </c>
      <c r="AO23">
        <v>-95.87</v>
      </c>
      <c r="AP23">
        <v>-20.68</v>
      </c>
      <c r="AQ23">
        <v>-191.87</v>
      </c>
      <c r="AR23">
        <v>-24</v>
      </c>
      <c r="AS23">
        <v>-39.989999999999995</v>
      </c>
      <c r="AT23">
        <v>-3</v>
      </c>
      <c r="AU23">
        <v>-56.09</v>
      </c>
      <c r="AV23">
        <v>-82.31</v>
      </c>
      <c r="AW23">
        <v>-616.42999999999995</v>
      </c>
      <c r="AX23">
        <v>-649.44999999999993</v>
      </c>
      <c r="AY23">
        <v>-4.5999999999999996</v>
      </c>
      <c r="BA23">
        <v>-75.7</v>
      </c>
      <c r="BB23">
        <v>-162.5</v>
      </c>
      <c r="BC23">
        <v>-41.089999999999996</v>
      </c>
      <c r="BE23">
        <v>-20.170000000000002</v>
      </c>
      <c r="BF23">
        <v>-111.05</v>
      </c>
      <c r="BG23">
        <v>-3.5</v>
      </c>
      <c r="BH23">
        <v>-140.85</v>
      </c>
      <c r="BI23">
        <v>-102.08</v>
      </c>
      <c r="BJ23">
        <v>-8.5</v>
      </c>
      <c r="BK23">
        <v>-1661.28</v>
      </c>
      <c r="BM23">
        <v>-60.05</v>
      </c>
      <c r="BN23">
        <v>-99.39</v>
      </c>
      <c r="BO23">
        <v>-57.2</v>
      </c>
      <c r="BP23">
        <v>-42.63</v>
      </c>
      <c r="BQ23">
        <v>-380.11</v>
      </c>
      <c r="BR23">
        <v>-38.07</v>
      </c>
      <c r="BS23">
        <v>-41.56</v>
      </c>
      <c r="BT23">
        <v>-51.62</v>
      </c>
      <c r="BU23">
        <v>-50.19</v>
      </c>
      <c r="BV23">
        <v>-22.759999999999998</v>
      </c>
      <c r="BW23">
        <v>-803.73</v>
      </c>
      <c r="BX23">
        <v>-100</v>
      </c>
      <c r="BY23">
        <v>-105.99000000000001</v>
      </c>
      <c r="CA23">
        <v>-84.740000000000009</v>
      </c>
      <c r="CB23">
        <v>-109.38</v>
      </c>
      <c r="CC23">
        <v>-70.039999999999992</v>
      </c>
      <c r="CD23">
        <v>-75.990000000000009</v>
      </c>
      <c r="CE23">
        <v>-1216.3400000000001</v>
      </c>
      <c r="CF23">
        <v>-120.57</v>
      </c>
      <c r="CG23">
        <v>-67.81</v>
      </c>
      <c r="CI23">
        <v>-952.57999999999993</v>
      </c>
      <c r="CJ23">
        <v>-902.41000000000008</v>
      </c>
      <c r="CK23">
        <v>-32.17</v>
      </c>
      <c r="CL23">
        <v>-50.19</v>
      </c>
      <c r="CM23">
        <v>-97.75</v>
      </c>
      <c r="CN23">
        <v>-10</v>
      </c>
      <c r="CO23">
        <v>-57.02</v>
      </c>
    </row>
    <row r="24" spans="1:93" x14ac:dyDescent="0.35">
      <c r="A24" s="3" t="s">
        <v>280</v>
      </c>
      <c r="N24">
        <v>-200</v>
      </c>
      <c r="O24">
        <v>-100</v>
      </c>
      <c r="P24">
        <v>-150</v>
      </c>
      <c r="Q24">
        <v>-100</v>
      </c>
      <c r="R24">
        <v>-158.80000000000001</v>
      </c>
      <c r="S24">
        <v>-120</v>
      </c>
      <c r="T24">
        <v>-158.80000000000001</v>
      </c>
      <c r="U24">
        <v>-100</v>
      </c>
      <c r="V24">
        <v>-150</v>
      </c>
      <c r="W24">
        <v>-150</v>
      </c>
      <c r="X24">
        <v>-100</v>
      </c>
      <c r="Y24">
        <v>-229.5</v>
      </c>
      <c r="Z24">
        <v>-245.35000000000002</v>
      </c>
      <c r="AA24">
        <v>-200</v>
      </c>
      <c r="AB24">
        <v>-160</v>
      </c>
      <c r="AC24">
        <v>-213.87</v>
      </c>
      <c r="AD24">
        <v>-200</v>
      </c>
      <c r="AE24">
        <v>-120</v>
      </c>
      <c r="AF24">
        <v>-160</v>
      </c>
      <c r="AG24">
        <v>-225.15</v>
      </c>
      <c r="AH24">
        <v>-139.75</v>
      </c>
      <c r="AR24">
        <v>-80</v>
      </c>
      <c r="AS24">
        <v>-120</v>
      </c>
      <c r="AT24">
        <v>-80</v>
      </c>
      <c r="AU24">
        <v>-120</v>
      </c>
      <c r="AV24">
        <v>-80</v>
      </c>
      <c r="AW24">
        <v>-40</v>
      </c>
      <c r="BA24">
        <v>-7.76</v>
      </c>
      <c r="BF24">
        <v>-63.970000000000006</v>
      </c>
      <c r="BG24">
        <v>-23.310000000000002</v>
      </c>
      <c r="BH24">
        <v>-43.27</v>
      </c>
      <c r="BI24">
        <v>-55.190000000000005</v>
      </c>
      <c r="BJ24">
        <v>-28.950000000000003</v>
      </c>
      <c r="BK24">
        <v>-83.600000000000009</v>
      </c>
      <c r="BL24">
        <v>-77.2</v>
      </c>
      <c r="BM24">
        <v>-69.78</v>
      </c>
      <c r="BN24">
        <v>-54.26</v>
      </c>
      <c r="BO24">
        <v>-46.199999999999996</v>
      </c>
      <c r="BP24">
        <v>-48.25</v>
      </c>
      <c r="BQ24">
        <v>-130.41000000000003</v>
      </c>
      <c r="BR24">
        <v>-103.93</v>
      </c>
      <c r="BS24">
        <v>-80</v>
      </c>
      <c r="BT24">
        <v>-100</v>
      </c>
      <c r="BU24">
        <v>-43.93</v>
      </c>
      <c r="BV24">
        <v>-60</v>
      </c>
      <c r="BW24">
        <v>-83.93</v>
      </c>
      <c r="BX24">
        <v>-80</v>
      </c>
      <c r="BY24">
        <v>-80</v>
      </c>
      <c r="BZ24">
        <v>-100.6</v>
      </c>
      <c r="CA24">
        <v>-40</v>
      </c>
      <c r="CB24">
        <v>-80</v>
      </c>
      <c r="CC24">
        <v>-80</v>
      </c>
      <c r="CD24">
        <v>-40</v>
      </c>
      <c r="CE24">
        <v>-80</v>
      </c>
      <c r="CF24">
        <v>-80</v>
      </c>
      <c r="CG24">
        <v>-80</v>
      </c>
      <c r="CH24">
        <v>-40</v>
      </c>
      <c r="CI24">
        <v>-363.31</v>
      </c>
      <c r="CJ24">
        <v>-40</v>
      </c>
      <c r="CK24">
        <v>-80</v>
      </c>
      <c r="CL24">
        <v>-40</v>
      </c>
      <c r="CM24">
        <v>-40</v>
      </c>
      <c r="CN24">
        <v>-40</v>
      </c>
      <c r="CO24">
        <v>-40</v>
      </c>
    </row>
    <row r="25" spans="1:93" x14ac:dyDescent="0.35">
      <c r="A25" s="3" t="s">
        <v>204</v>
      </c>
      <c r="Q25">
        <v>-114.44</v>
      </c>
      <c r="S25">
        <v>-159.46</v>
      </c>
      <c r="X25">
        <v>-232.61</v>
      </c>
      <c r="Z25">
        <v>-215.19</v>
      </c>
      <c r="AA25">
        <v>-171.1</v>
      </c>
      <c r="AE25">
        <v>-179.79</v>
      </c>
      <c r="AF25">
        <v>-180.11</v>
      </c>
      <c r="AG25">
        <v>-186.05</v>
      </c>
      <c r="AH25">
        <v>-172.55</v>
      </c>
      <c r="AI25">
        <v>-185.33</v>
      </c>
      <c r="AJ25">
        <v>-199.41</v>
      </c>
      <c r="AK25">
        <v>-181.02</v>
      </c>
      <c r="AL25">
        <v>-160.46</v>
      </c>
      <c r="AM25">
        <v>-337.7</v>
      </c>
      <c r="AN25">
        <v>-191.63</v>
      </c>
      <c r="AO25">
        <v>-186.15</v>
      </c>
      <c r="AP25">
        <v>-174.2</v>
      </c>
      <c r="AQ25">
        <v>-203.39</v>
      </c>
      <c r="AR25">
        <v>-138.73000000000002</v>
      </c>
      <c r="AS25">
        <v>-138.28</v>
      </c>
      <c r="AT25">
        <v>-348.19</v>
      </c>
      <c r="AV25">
        <v>-187.88</v>
      </c>
      <c r="AW25">
        <v>-201.58</v>
      </c>
      <c r="AX25">
        <v>-61.85</v>
      </c>
      <c r="AY25">
        <v>-86.6</v>
      </c>
      <c r="AZ25">
        <v>-641.85</v>
      </c>
      <c r="BA25">
        <v>-243.67</v>
      </c>
      <c r="BB25">
        <v>-128.16</v>
      </c>
      <c r="BC25">
        <v>-355.61</v>
      </c>
      <c r="BD25">
        <v>-82.17</v>
      </c>
      <c r="BE25">
        <v>-77.540000000000006</v>
      </c>
      <c r="BF25">
        <v>-245.11</v>
      </c>
      <c r="BH25">
        <v>-90</v>
      </c>
      <c r="BI25">
        <v>-176</v>
      </c>
      <c r="BK25">
        <v>-55.53</v>
      </c>
      <c r="CK25">
        <v>-649.16999999999996</v>
      </c>
      <c r="CM25">
        <v>-272.64</v>
      </c>
      <c r="CN25">
        <v>-364.17</v>
      </c>
    </row>
    <row r="26" spans="1:93" x14ac:dyDescent="0.35">
      <c r="A26" s="3" t="s">
        <v>282</v>
      </c>
      <c r="N26">
        <v>-690</v>
      </c>
      <c r="O26">
        <v>-14</v>
      </c>
      <c r="P26">
        <v>-455</v>
      </c>
      <c r="Q26">
        <v>-274</v>
      </c>
      <c r="R26">
        <v>-260</v>
      </c>
      <c r="S26">
        <v>-350.8</v>
      </c>
      <c r="T26">
        <v>-410.2</v>
      </c>
      <c r="U26">
        <v>-350.8</v>
      </c>
      <c r="V26">
        <v>-370.8</v>
      </c>
      <c r="W26">
        <v>-90.8</v>
      </c>
      <c r="X26">
        <v>-122.80000000000001</v>
      </c>
      <c r="Y26">
        <v>-90.8</v>
      </c>
      <c r="Z26">
        <v>-90.8</v>
      </c>
      <c r="AA26">
        <v>-151.19999999999999</v>
      </c>
      <c r="AC26">
        <v>-15</v>
      </c>
      <c r="AE26">
        <v>-60</v>
      </c>
      <c r="BK26">
        <v>-40.799999999999997</v>
      </c>
      <c r="BP26">
        <v>-20</v>
      </c>
      <c r="BS26">
        <v>-25</v>
      </c>
      <c r="CB26">
        <v>-28.5</v>
      </c>
      <c r="CE26">
        <v>-21</v>
      </c>
      <c r="CH26">
        <v>-76.98</v>
      </c>
      <c r="CI26">
        <v>-84.98</v>
      </c>
      <c r="CJ26">
        <v>-30</v>
      </c>
    </row>
    <row r="27" spans="1:93" x14ac:dyDescent="0.35">
      <c r="A27" s="3" t="s">
        <v>283</v>
      </c>
      <c r="N27">
        <v>-160.68</v>
      </c>
      <c r="O27">
        <v>-163</v>
      </c>
      <c r="P27">
        <v>-133</v>
      </c>
      <c r="Q27">
        <v>-133</v>
      </c>
      <c r="R27">
        <v>-133</v>
      </c>
      <c r="S27">
        <v>-133</v>
      </c>
      <c r="T27">
        <v>-133</v>
      </c>
      <c r="U27">
        <v>-133</v>
      </c>
      <c r="V27">
        <v>-133.5</v>
      </c>
      <c r="W27">
        <v>-133.5</v>
      </c>
      <c r="X27">
        <v>-134</v>
      </c>
      <c r="Y27">
        <v>-74</v>
      </c>
      <c r="Z27">
        <v>-114.5</v>
      </c>
      <c r="AA27">
        <v>-93</v>
      </c>
      <c r="AB27">
        <v>-93</v>
      </c>
      <c r="AC27">
        <v>-93</v>
      </c>
      <c r="AD27">
        <v>-93</v>
      </c>
      <c r="AE27">
        <v>-93.5</v>
      </c>
      <c r="AF27">
        <v>-93</v>
      </c>
      <c r="AG27">
        <v>-101.43</v>
      </c>
      <c r="AH27">
        <v>-130.1</v>
      </c>
      <c r="AI27">
        <v>-95.5</v>
      </c>
      <c r="AJ27">
        <v>-93</v>
      </c>
      <c r="AK27">
        <v>-93</v>
      </c>
      <c r="AL27">
        <v>-67.259999999999991</v>
      </c>
      <c r="AM27">
        <v>-79.5</v>
      </c>
      <c r="AN27">
        <v>-310</v>
      </c>
      <c r="AO27">
        <v>-79.5</v>
      </c>
      <c r="AP27">
        <v>-79</v>
      </c>
      <c r="AQ27">
        <v>-66.28</v>
      </c>
      <c r="AR27">
        <v>-98.8</v>
      </c>
      <c r="AS27">
        <v>-79.2</v>
      </c>
      <c r="AT27">
        <v>-79</v>
      </c>
      <c r="AU27">
        <v>-79</v>
      </c>
      <c r="AV27">
        <v>-79</v>
      </c>
      <c r="AW27">
        <v>-89</v>
      </c>
      <c r="AX27">
        <v>-132.4</v>
      </c>
      <c r="AY27">
        <v>-114.50999999999999</v>
      </c>
      <c r="AZ27">
        <v>-114.39</v>
      </c>
      <c r="BA27">
        <v>-55.39</v>
      </c>
      <c r="BB27">
        <v>-65.39</v>
      </c>
      <c r="BC27">
        <v>-65</v>
      </c>
      <c r="BD27">
        <v>-55</v>
      </c>
      <c r="BE27">
        <v>-55</v>
      </c>
      <c r="BF27">
        <v>-331</v>
      </c>
      <c r="BG27">
        <v>-124</v>
      </c>
      <c r="BH27">
        <v>-124</v>
      </c>
      <c r="BI27">
        <v>-124</v>
      </c>
      <c r="BJ27">
        <v>-295.66999999999996</v>
      </c>
      <c r="BK27">
        <v>-69</v>
      </c>
      <c r="BL27">
        <v>-69</v>
      </c>
      <c r="BM27">
        <v>-69</v>
      </c>
      <c r="BN27">
        <v>-69</v>
      </c>
      <c r="BO27">
        <v>-69</v>
      </c>
      <c r="BP27">
        <v>-69</v>
      </c>
      <c r="BQ27">
        <v>-108.5</v>
      </c>
      <c r="BR27">
        <v>-69</v>
      </c>
      <c r="BS27">
        <v>-69</v>
      </c>
      <c r="BT27">
        <v>-69</v>
      </c>
      <c r="BU27">
        <v>-69</v>
      </c>
      <c r="BV27">
        <v>-69</v>
      </c>
      <c r="BX27">
        <v>-138</v>
      </c>
      <c r="BY27">
        <v>-108.96</v>
      </c>
      <c r="BZ27">
        <v>-108.5</v>
      </c>
      <c r="CA27">
        <v>-108.5</v>
      </c>
      <c r="CB27">
        <v>-108.5</v>
      </c>
      <c r="CC27">
        <v>-112</v>
      </c>
      <c r="CD27">
        <v>-112</v>
      </c>
      <c r="CE27">
        <v>-58.36</v>
      </c>
      <c r="CF27">
        <v>-131.5</v>
      </c>
      <c r="CG27">
        <v>-113.04</v>
      </c>
      <c r="CH27">
        <v>-123.5</v>
      </c>
      <c r="CI27">
        <v>-120</v>
      </c>
      <c r="CJ27">
        <v>-120</v>
      </c>
      <c r="CK27">
        <v>-120</v>
      </c>
      <c r="CL27">
        <v>-120</v>
      </c>
      <c r="CM27">
        <v>-120</v>
      </c>
      <c r="CN27">
        <v>-120</v>
      </c>
      <c r="CO27">
        <v>-89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5D6A3-9F34-492E-BF49-5A898F4FE591}">
  <dimension ref="A1:J5001"/>
  <sheetViews>
    <sheetView tabSelected="1" topLeftCell="A66" workbookViewId="0">
      <selection activeCell="H76" sqref="H76"/>
    </sheetView>
  </sheetViews>
  <sheetFormatPr defaultRowHeight="14.5" x14ac:dyDescent="0.35"/>
  <cols>
    <col min="3" max="3" width="10.08984375" bestFit="1" customWidth="1"/>
    <col min="5" max="5" width="15.7265625" bestFit="1" customWidth="1"/>
    <col min="6" max="6" width="16" customWidth="1"/>
    <col min="7" max="7" width="10.26953125" customWidth="1"/>
    <col min="8" max="8" width="25.81640625" customWidth="1"/>
    <col min="9" max="9" width="16.7265625" customWidth="1"/>
    <col min="10" max="10" width="17.90625" customWidth="1"/>
  </cols>
  <sheetData>
    <row r="1" spans="1:10" x14ac:dyDescent="0.35">
      <c r="A1" t="s">
        <v>286</v>
      </c>
      <c r="B1" t="s">
        <v>287</v>
      </c>
      <c r="C1" t="s">
        <v>0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  <c r="I1" t="s">
        <v>293</v>
      </c>
      <c r="J1" t="s">
        <v>294</v>
      </c>
    </row>
    <row r="2" spans="1:10" x14ac:dyDescent="0.35">
      <c r="A2" s="31" t="s">
        <v>295</v>
      </c>
      <c r="B2" s="31" t="s">
        <v>296</v>
      </c>
      <c r="C2" s="31" t="s">
        <v>297</v>
      </c>
      <c r="D2" s="32">
        <v>0.38400462962962961</v>
      </c>
      <c r="E2" s="31" t="s">
        <v>298</v>
      </c>
      <c r="F2" s="31" t="s">
        <v>299</v>
      </c>
      <c r="G2" s="31" t="s">
        <v>299</v>
      </c>
      <c r="H2" s="31">
        <v>109</v>
      </c>
      <c r="I2" s="32">
        <v>1.6550925925925926E-3</v>
      </c>
      <c r="J2" s="31">
        <v>3</v>
      </c>
    </row>
    <row r="3" spans="1:10" x14ac:dyDescent="0.35">
      <c r="A3" s="31" t="s">
        <v>300</v>
      </c>
      <c r="B3" s="31" t="s">
        <v>301</v>
      </c>
      <c r="C3" s="31" t="s">
        <v>297</v>
      </c>
      <c r="D3" s="32">
        <v>0.38400462962962961</v>
      </c>
      <c r="E3" s="31" t="s">
        <v>302</v>
      </c>
      <c r="F3" s="31" t="s">
        <v>299</v>
      </c>
      <c r="G3" s="31" t="s">
        <v>303</v>
      </c>
      <c r="H3" s="31">
        <v>70</v>
      </c>
      <c r="I3" s="32">
        <v>2.8009259259259259E-3</v>
      </c>
      <c r="J3" s="31">
        <v>3</v>
      </c>
    </row>
    <row r="4" spans="1:10" x14ac:dyDescent="0.35">
      <c r="A4" s="31" t="s">
        <v>304</v>
      </c>
      <c r="B4" s="31" t="s">
        <v>305</v>
      </c>
      <c r="C4" s="31" t="s">
        <v>297</v>
      </c>
      <c r="D4" s="32">
        <v>0.4079976851851852</v>
      </c>
      <c r="E4" s="31" t="s">
        <v>298</v>
      </c>
      <c r="F4" s="31" t="s">
        <v>299</v>
      </c>
      <c r="G4" s="31" t="s">
        <v>299</v>
      </c>
      <c r="H4" s="31">
        <v>10</v>
      </c>
      <c r="I4" s="32">
        <v>1.5162037037037036E-3</v>
      </c>
      <c r="J4" s="31">
        <v>3</v>
      </c>
    </row>
    <row r="5" spans="1:10" x14ac:dyDescent="0.35">
      <c r="A5" s="31" t="s">
        <v>306</v>
      </c>
      <c r="B5" s="31" t="s">
        <v>307</v>
      </c>
      <c r="C5" s="31" t="s">
        <v>297</v>
      </c>
      <c r="D5" s="32">
        <v>0.4079976851851852</v>
      </c>
      <c r="E5" s="31" t="s">
        <v>298</v>
      </c>
      <c r="F5" s="31" t="s">
        <v>299</v>
      </c>
      <c r="G5" s="31" t="s">
        <v>299</v>
      </c>
      <c r="H5" s="31">
        <v>53</v>
      </c>
      <c r="I5" s="32">
        <v>4.2824074074074081E-4</v>
      </c>
      <c r="J5" s="31">
        <v>2</v>
      </c>
    </row>
    <row r="6" spans="1:10" x14ac:dyDescent="0.35">
      <c r="A6" s="31" t="s">
        <v>308</v>
      </c>
      <c r="B6" s="31" t="s">
        <v>301</v>
      </c>
      <c r="C6" s="31" t="s">
        <v>297</v>
      </c>
      <c r="D6" s="32">
        <v>0.41700231481481481</v>
      </c>
      <c r="E6" s="31" t="s">
        <v>309</v>
      </c>
      <c r="F6" s="31" t="s">
        <v>299</v>
      </c>
      <c r="G6" s="31" t="s">
        <v>299</v>
      </c>
      <c r="H6" s="31">
        <v>95</v>
      </c>
      <c r="I6" s="32">
        <v>6.9444444444444447E-4</v>
      </c>
      <c r="J6" s="31">
        <v>3</v>
      </c>
    </row>
    <row r="7" spans="1:10" x14ac:dyDescent="0.35">
      <c r="A7" s="31" t="s">
        <v>310</v>
      </c>
      <c r="B7" s="31" t="s">
        <v>305</v>
      </c>
      <c r="C7" s="31" t="s">
        <v>297</v>
      </c>
      <c r="D7" s="32">
        <v>0.41700231481481481</v>
      </c>
      <c r="E7" s="31" t="s">
        <v>302</v>
      </c>
      <c r="F7" s="31" t="s">
        <v>303</v>
      </c>
      <c r="G7" s="31" t="s">
        <v>303</v>
      </c>
      <c r="H7" s="31"/>
      <c r="I7" s="31"/>
      <c r="J7" s="31"/>
    </row>
    <row r="8" spans="1:10" x14ac:dyDescent="0.35">
      <c r="A8" s="31" t="s">
        <v>311</v>
      </c>
      <c r="B8" s="31" t="s">
        <v>296</v>
      </c>
      <c r="C8" s="31" t="s">
        <v>297</v>
      </c>
      <c r="D8" s="32">
        <v>0.43200231481481483</v>
      </c>
      <c r="E8" s="31" t="s">
        <v>309</v>
      </c>
      <c r="F8" s="31" t="s">
        <v>299</v>
      </c>
      <c r="G8" s="31" t="s">
        <v>299</v>
      </c>
      <c r="H8" s="31">
        <v>24</v>
      </c>
      <c r="I8" s="32">
        <v>2.5462962962962965E-3</v>
      </c>
      <c r="J8" s="31">
        <v>2</v>
      </c>
    </row>
    <row r="9" spans="1:10" x14ac:dyDescent="0.35">
      <c r="A9" s="31" t="s">
        <v>312</v>
      </c>
      <c r="B9" s="31" t="s">
        <v>296</v>
      </c>
      <c r="C9" s="31" t="s">
        <v>297</v>
      </c>
      <c r="D9" s="32">
        <v>0.43200231481481483</v>
      </c>
      <c r="E9" s="31" t="s">
        <v>309</v>
      </c>
      <c r="F9" s="31" t="s">
        <v>299</v>
      </c>
      <c r="G9" s="31" t="s">
        <v>299</v>
      </c>
      <c r="H9" s="31">
        <v>22</v>
      </c>
      <c r="I9" s="32">
        <v>4.3981481481481481E-4</v>
      </c>
      <c r="J9" s="31">
        <v>4</v>
      </c>
    </row>
    <row r="10" spans="1:10" x14ac:dyDescent="0.35">
      <c r="A10" s="31" t="s">
        <v>313</v>
      </c>
      <c r="B10" s="31" t="s">
        <v>307</v>
      </c>
      <c r="C10" s="31" t="s">
        <v>297</v>
      </c>
      <c r="D10" s="32">
        <v>0.4679976851851852</v>
      </c>
      <c r="E10" s="31" t="s">
        <v>314</v>
      </c>
      <c r="F10" s="31" t="s">
        <v>299</v>
      </c>
      <c r="G10" s="31" t="s">
        <v>299</v>
      </c>
      <c r="H10" s="31">
        <v>15</v>
      </c>
      <c r="I10" s="32">
        <v>4.6064814814814814E-3</v>
      </c>
      <c r="J10" s="31">
        <v>4</v>
      </c>
    </row>
    <row r="11" spans="1:10" x14ac:dyDescent="0.35">
      <c r="A11" s="31" t="s">
        <v>315</v>
      </c>
      <c r="B11" s="31" t="s">
        <v>316</v>
      </c>
      <c r="C11" s="31" t="s">
        <v>297</v>
      </c>
      <c r="D11" s="32">
        <v>0.4679976851851852</v>
      </c>
      <c r="E11" s="31" t="s">
        <v>317</v>
      </c>
      <c r="F11" s="31" t="s">
        <v>299</v>
      </c>
      <c r="G11" s="31" t="s">
        <v>299</v>
      </c>
      <c r="H11" s="31">
        <v>78</v>
      </c>
      <c r="I11" s="32">
        <v>7.407407407407407E-4</v>
      </c>
      <c r="J11" s="31">
        <v>3</v>
      </c>
    </row>
    <row r="12" spans="1:10" x14ac:dyDescent="0.35">
      <c r="A12" s="31" t="s">
        <v>318</v>
      </c>
      <c r="B12" s="31" t="s">
        <v>319</v>
      </c>
      <c r="C12" s="31" t="s">
        <v>297</v>
      </c>
      <c r="D12" s="32">
        <v>0.46900462962962963</v>
      </c>
      <c r="E12" s="31" t="s">
        <v>309</v>
      </c>
      <c r="F12" s="31" t="s">
        <v>303</v>
      </c>
      <c r="G12" s="31" t="s">
        <v>303</v>
      </c>
      <c r="H12" s="31"/>
      <c r="I12" s="31"/>
      <c r="J12" s="31"/>
    </row>
    <row r="13" spans="1:10" x14ac:dyDescent="0.35">
      <c r="A13" s="31" t="s">
        <v>320</v>
      </c>
      <c r="B13" s="31" t="s">
        <v>307</v>
      </c>
      <c r="C13" s="31" t="s">
        <v>297</v>
      </c>
      <c r="D13" s="32">
        <v>0.46900462962962963</v>
      </c>
      <c r="E13" s="31" t="s">
        <v>309</v>
      </c>
      <c r="F13" s="31" t="s">
        <v>299</v>
      </c>
      <c r="G13" s="31" t="s">
        <v>299</v>
      </c>
      <c r="H13" s="31">
        <v>50</v>
      </c>
      <c r="I13" s="32">
        <v>3.7037037037037041E-4</v>
      </c>
      <c r="J13" s="31">
        <v>4</v>
      </c>
    </row>
    <row r="14" spans="1:10" x14ac:dyDescent="0.35">
      <c r="A14" s="31" t="s">
        <v>321</v>
      </c>
      <c r="B14" s="31" t="s">
        <v>319</v>
      </c>
      <c r="C14" s="31" t="s">
        <v>297</v>
      </c>
      <c r="D14" s="32">
        <v>0.495</v>
      </c>
      <c r="E14" s="31" t="s">
        <v>309</v>
      </c>
      <c r="F14" s="31" t="s">
        <v>299</v>
      </c>
      <c r="G14" s="31" t="s">
        <v>299</v>
      </c>
      <c r="H14" s="31">
        <v>84</v>
      </c>
      <c r="I14" s="32">
        <v>2.476851851851852E-3</v>
      </c>
      <c r="J14" s="31">
        <v>3</v>
      </c>
    </row>
    <row r="15" spans="1:10" x14ac:dyDescent="0.35">
      <c r="A15" s="31" t="s">
        <v>322</v>
      </c>
      <c r="B15" s="31" t="s">
        <v>323</v>
      </c>
      <c r="C15" s="31" t="s">
        <v>297</v>
      </c>
      <c r="D15" s="32">
        <v>0.495</v>
      </c>
      <c r="E15" s="31" t="s">
        <v>298</v>
      </c>
      <c r="F15" s="31" t="s">
        <v>299</v>
      </c>
      <c r="G15" s="31" t="s">
        <v>299</v>
      </c>
      <c r="H15" s="31">
        <v>89</v>
      </c>
      <c r="I15" s="32">
        <v>3.9814814814814817E-3</v>
      </c>
      <c r="J15" s="31">
        <v>3</v>
      </c>
    </row>
    <row r="16" spans="1:10" x14ac:dyDescent="0.35">
      <c r="A16" s="31" t="s">
        <v>324</v>
      </c>
      <c r="B16" s="31" t="s">
        <v>301</v>
      </c>
      <c r="C16" s="31" t="s">
        <v>297</v>
      </c>
      <c r="D16" s="32">
        <v>0.49700231481481483</v>
      </c>
      <c r="E16" s="31" t="s">
        <v>314</v>
      </c>
      <c r="F16" s="31" t="s">
        <v>299</v>
      </c>
      <c r="G16" s="31" t="s">
        <v>299</v>
      </c>
      <c r="H16" s="31">
        <v>48</v>
      </c>
      <c r="I16" s="32">
        <v>2.627314814814815E-3</v>
      </c>
      <c r="J16" s="31">
        <v>4</v>
      </c>
    </row>
    <row r="17" spans="1:10" x14ac:dyDescent="0.35">
      <c r="A17" s="31" t="s">
        <v>325</v>
      </c>
      <c r="B17" s="31" t="s">
        <v>301</v>
      </c>
      <c r="C17" s="31" t="s">
        <v>297</v>
      </c>
      <c r="D17" s="32">
        <v>0.49700231481481483</v>
      </c>
      <c r="E17" s="31" t="s">
        <v>314</v>
      </c>
      <c r="F17" s="31" t="s">
        <v>299</v>
      </c>
      <c r="G17" s="31" t="s">
        <v>299</v>
      </c>
      <c r="H17" s="31">
        <v>63</v>
      </c>
      <c r="I17" s="32">
        <v>3.7731481481481483E-3</v>
      </c>
      <c r="J17" s="31">
        <v>2</v>
      </c>
    </row>
    <row r="18" spans="1:10" x14ac:dyDescent="0.35">
      <c r="A18" s="31" t="s">
        <v>326</v>
      </c>
      <c r="B18" s="31" t="s">
        <v>307</v>
      </c>
      <c r="C18" s="31" t="s">
        <v>297</v>
      </c>
      <c r="D18" s="32">
        <v>0.49799768518518517</v>
      </c>
      <c r="E18" s="31" t="s">
        <v>302</v>
      </c>
      <c r="F18" s="31" t="s">
        <v>299</v>
      </c>
      <c r="G18" s="31" t="s">
        <v>299</v>
      </c>
      <c r="H18" s="31">
        <v>45</v>
      </c>
      <c r="I18" s="32">
        <v>3.8425925925925928E-3</v>
      </c>
      <c r="J18" s="31">
        <v>5</v>
      </c>
    </row>
    <row r="19" spans="1:10" x14ac:dyDescent="0.35">
      <c r="A19" s="31" t="s">
        <v>327</v>
      </c>
      <c r="B19" s="31" t="s">
        <v>301</v>
      </c>
      <c r="C19" s="31" t="s">
        <v>297</v>
      </c>
      <c r="D19" s="32">
        <v>0.49799768518518517</v>
      </c>
      <c r="E19" s="31" t="s">
        <v>314</v>
      </c>
      <c r="F19" s="31" t="s">
        <v>303</v>
      </c>
      <c r="G19" s="31" t="s">
        <v>303</v>
      </c>
      <c r="H19" s="31"/>
      <c r="I19" s="31"/>
      <c r="J19" s="31"/>
    </row>
    <row r="20" spans="1:10" x14ac:dyDescent="0.35">
      <c r="A20" s="31" t="s">
        <v>328</v>
      </c>
      <c r="B20" s="31" t="s">
        <v>316</v>
      </c>
      <c r="C20" s="31" t="s">
        <v>297</v>
      </c>
      <c r="D20" s="32">
        <v>0.50099537037037034</v>
      </c>
      <c r="E20" s="31" t="s">
        <v>317</v>
      </c>
      <c r="F20" s="31" t="s">
        <v>303</v>
      </c>
      <c r="G20" s="31" t="s">
        <v>303</v>
      </c>
      <c r="H20" s="31"/>
      <c r="I20" s="31"/>
      <c r="J20" s="31"/>
    </row>
    <row r="21" spans="1:10" x14ac:dyDescent="0.35">
      <c r="A21" s="31" t="s">
        <v>329</v>
      </c>
      <c r="B21" s="31" t="s">
        <v>316</v>
      </c>
      <c r="C21" s="31" t="s">
        <v>297</v>
      </c>
      <c r="D21" s="32">
        <v>0.50099537037037034</v>
      </c>
      <c r="E21" s="31" t="s">
        <v>298</v>
      </c>
      <c r="F21" s="31" t="s">
        <v>299</v>
      </c>
      <c r="G21" s="31" t="s">
        <v>299</v>
      </c>
      <c r="H21" s="31">
        <v>101</v>
      </c>
      <c r="I21" s="32">
        <v>1.7013888888888888E-3</v>
      </c>
      <c r="J21" s="31">
        <v>3</v>
      </c>
    </row>
    <row r="22" spans="1:10" x14ac:dyDescent="0.35">
      <c r="A22" s="31" t="s">
        <v>330</v>
      </c>
      <c r="B22" s="31" t="s">
        <v>316</v>
      </c>
      <c r="C22" s="31" t="s">
        <v>297</v>
      </c>
      <c r="D22" s="32">
        <v>0.50200231481481483</v>
      </c>
      <c r="E22" s="31" t="s">
        <v>302</v>
      </c>
      <c r="F22" s="31" t="s">
        <v>299</v>
      </c>
      <c r="G22" s="31" t="s">
        <v>299</v>
      </c>
      <c r="H22" s="31">
        <v>74</v>
      </c>
      <c r="I22" s="32">
        <v>3.7268518518518519E-3</v>
      </c>
      <c r="J22" s="31">
        <v>5</v>
      </c>
    </row>
    <row r="23" spans="1:10" x14ac:dyDescent="0.35">
      <c r="A23" s="31" t="s">
        <v>331</v>
      </c>
      <c r="B23" s="31" t="s">
        <v>332</v>
      </c>
      <c r="C23" s="31" t="s">
        <v>297</v>
      </c>
      <c r="D23" s="32">
        <v>0.50200231481481483</v>
      </c>
      <c r="E23" s="31" t="s">
        <v>314</v>
      </c>
      <c r="F23" s="31" t="s">
        <v>299</v>
      </c>
      <c r="G23" s="31" t="s">
        <v>299</v>
      </c>
      <c r="H23" s="31">
        <v>89</v>
      </c>
      <c r="I23" s="32">
        <v>4.0509259259259257E-3</v>
      </c>
      <c r="J23" s="31">
        <v>5</v>
      </c>
    </row>
    <row r="24" spans="1:10" x14ac:dyDescent="0.35">
      <c r="A24" s="31" t="s">
        <v>333</v>
      </c>
      <c r="B24" s="31" t="s">
        <v>323</v>
      </c>
      <c r="C24" s="31" t="s">
        <v>297</v>
      </c>
      <c r="D24" s="32">
        <v>0.50200231481481483</v>
      </c>
      <c r="E24" s="31" t="s">
        <v>302</v>
      </c>
      <c r="F24" s="31" t="s">
        <v>303</v>
      </c>
      <c r="G24" s="31" t="s">
        <v>303</v>
      </c>
      <c r="H24" s="31"/>
      <c r="I24" s="31"/>
      <c r="J24" s="31"/>
    </row>
    <row r="25" spans="1:10" x14ac:dyDescent="0.35">
      <c r="A25" s="31" t="s">
        <v>334</v>
      </c>
      <c r="B25" s="31" t="s">
        <v>319</v>
      </c>
      <c r="C25" s="31" t="s">
        <v>297</v>
      </c>
      <c r="D25" s="32">
        <v>0.50200231481481483</v>
      </c>
      <c r="E25" s="31" t="s">
        <v>302</v>
      </c>
      <c r="F25" s="31" t="s">
        <v>299</v>
      </c>
      <c r="G25" s="31" t="s">
        <v>299</v>
      </c>
      <c r="H25" s="31">
        <v>68</v>
      </c>
      <c r="I25" s="32">
        <v>3.7615740740740739E-3</v>
      </c>
      <c r="J25" s="31">
        <v>2</v>
      </c>
    </row>
    <row r="26" spans="1:10" x14ac:dyDescent="0.35">
      <c r="A26" s="31" t="s">
        <v>335</v>
      </c>
      <c r="B26" s="31" t="s">
        <v>296</v>
      </c>
      <c r="C26" s="31" t="s">
        <v>297</v>
      </c>
      <c r="D26" s="32">
        <v>0.52099537037037036</v>
      </c>
      <c r="E26" s="31" t="s">
        <v>317</v>
      </c>
      <c r="F26" s="31" t="s">
        <v>299</v>
      </c>
      <c r="G26" s="31" t="s">
        <v>299</v>
      </c>
      <c r="H26" s="31">
        <v>97</v>
      </c>
      <c r="I26" s="32">
        <v>2.8819444444444444E-3</v>
      </c>
      <c r="J26" s="31">
        <v>3</v>
      </c>
    </row>
    <row r="27" spans="1:10" x14ac:dyDescent="0.35">
      <c r="A27" s="31" t="s">
        <v>336</v>
      </c>
      <c r="B27" s="31" t="s">
        <v>332</v>
      </c>
      <c r="C27" s="31" t="s">
        <v>297</v>
      </c>
      <c r="D27" s="32">
        <v>0.52099537037037036</v>
      </c>
      <c r="E27" s="31" t="s">
        <v>309</v>
      </c>
      <c r="F27" s="31" t="s">
        <v>303</v>
      </c>
      <c r="G27" s="31" t="s">
        <v>303</v>
      </c>
      <c r="H27" s="31"/>
      <c r="I27" s="31"/>
      <c r="J27" s="31"/>
    </row>
    <row r="28" spans="1:10" x14ac:dyDescent="0.35">
      <c r="A28" s="31" t="s">
        <v>337</v>
      </c>
      <c r="B28" s="31" t="s">
        <v>319</v>
      </c>
      <c r="C28" s="31" t="s">
        <v>297</v>
      </c>
      <c r="D28" s="32">
        <v>0.52799768518518519</v>
      </c>
      <c r="E28" s="31" t="s">
        <v>317</v>
      </c>
      <c r="F28" s="31" t="s">
        <v>299</v>
      </c>
      <c r="G28" s="31" t="s">
        <v>299</v>
      </c>
      <c r="H28" s="31">
        <v>39</v>
      </c>
      <c r="I28" s="32">
        <v>2.7777777777777779E-3</v>
      </c>
      <c r="J28" s="31">
        <v>3</v>
      </c>
    </row>
    <row r="29" spans="1:10" x14ac:dyDescent="0.35">
      <c r="A29" s="31" t="s">
        <v>338</v>
      </c>
      <c r="B29" s="31" t="s">
        <v>323</v>
      </c>
      <c r="C29" s="31" t="s">
        <v>297</v>
      </c>
      <c r="D29" s="32">
        <v>0.52799768518518519</v>
      </c>
      <c r="E29" s="31" t="s">
        <v>298</v>
      </c>
      <c r="F29" s="31" t="s">
        <v>299</v>
      </c>
      <c r="G29" s="31" t="s">
        <v>299</v>
      </c>
      <c r="H29" s="31">
        <v>51</v>
      </c>
      <c r="I29" s="32">
        <v>1.7824074074074075E-3</v>
      </c>
      <c r="J29" s="31">
        <v>4</v>
      </c>
    </row>
    <row r="30" spans="1:10" x14ac:dyDescent="0.35">
      <c r="A30" s="31" t="s">
        <v>339</v>
      </c>
      <c r="B30" s="31" t="s">
        <v>319</v>
      </c>
      <c r="C30" s="31" t="s">
        <v>297</v>
      </c>
      <c r="D30" s="32">
        <v>0.52799768518518519</v>
      </c>
      <c r="E30" s="31" t="s">
        <v>302</v>
      </c>
      <c r="F30" s="31" t="s">
        <v>299</v>
      </c>
      <c r="G30" s="31" t="s">
        <v>299</v>
      </c>
      <c r="H30" s="31">
        <v>106</v>
      </c>
      <c r="I30" s="32">
        <v>1.4930555555555556E-3</v>
      </c>
      <c r="J30" s="31">
        <v>4</v>
      </c>
    </row>
    <row r="31" spans="1:10" x14ac:dyDescent="0.35">
      <c r="A31" s="31" t="s">
        <v>340</v>
      </c>
      <c r="B31" s="31" t="s">
        <v>305</v>
      </c>
      <c r="C31" s="31" t="s">
        <v>297</v>
      </c>
      <c r="D31" s="32">
        <v>0.52799768518518519</v>
      </c>
      <c r="E31" s="31" t="s">
        <v>317</v>
      </c>
      <c r="F31" s="31" t="s">
        <v>299</v>
      </c>
      <c r="G31" s="31" t="s">
        <v>299</v>
      </c>
      <c r="H31" s="31">
        <v>107</v>
      </c>
      <c r="I31" s="32">
        <v>4.1087962962962962E-3</v>
      </c>
      <c r="J31" s="31">
        <v>3</v>
      </c>
    </row>
    <row r="32" spans="1:10" x14ac:dyDescent="0.35">
      <c r="A32" s="31" t="s">
        <v>341</v>
      </c>
      <c r="B32" s="31" t="s">
        <v>319</v>
      </c>
      <c r="C32" s="31" t="s">
        <v>297</v>
      </c>
      <c r="D32" s="32">
        <v>0.5590046296296296</v>
      </c>
      <c r="E32" s="31" t="s">
        <v>314</v>
      </c>
      <c r="F32" s="31" t="s">
        <v>299</v>
      </c>
      <c r="G32" s="31" t="s">
        <v>299</v>
      </c>
      <c r="H32" s="31">
        <v>22</v>
      </c>
      <c r="I32" s="32">
        <v>3.5648148148148149E-3</v>
      </c>
      <c r="J32" s="31">
        <v>3</v>
      </c>
    </row>
    <row r="33" spans="1:10" x14ac:dyDescent="0.35">
      <c r="A33" s="31" t="s">
        <v>342</v>
      </c>
      <c r="B33" s="31" t="s">
        <v>319</v>
      </c>
      <c r="C33" s="31" t="s">
        <v>297</v>
      </c>
      <c r="D33" s="32">
        <v>0.5590046296296296</v>
      </c>
      <c r="E33" s="31" t="s">
        <v>317</v>
      </c>
      <c r="F33" s="31" t="s">
        <v>299</v>
      </c>
      <c r="G33" s="31" t="s">
        <v>299</v>
      </c>
      <c r="H33" s="31">
        <v>122</v>
      </c>
      <c r="I33" s="32">
        <v>1.4814814814814814E-3</v>
      </c>
      <c r="J33" s="31">
        <v>4</v>
      </c>
    </row>
    <row r="34" spans="1:10" x14ac:dyDescent="0.35">
      <c r="A34" s="31" t="s">
        <v>343</v>
      </c>
      <c r="B34" s="31" t="s">
        <v>296</v>
      </c>
      <c r="C34" s="31" t="s">
        <v>297</v>
      </c>
      <c r="D34" s="32">
        <v>0.56499999999999995</v>
      </c>
      <c r="E34" s="31" t="s">
        <v>302</v>
      </c>
      <c r="F34" s="31" t="s">
        <v>299</v>
      </c>
      <c r="G34" s="31" t="s">
        <v>299</v>
      </c>
      <c r="H34" s="31">
        <v>57</v>
      </c>
      <c r="I34" s="32">
        <v>4.7337962962962967E-3</v>
      </c>
      <c r="J34" s="31">
        <v>3</v>
      </c>
    </row>
    <row r="35" spans="1:10" x14ac:dyDescent="0.35">
      <c r="A35" s="31" t="s">
        <v>344</v>
      </c>
      <c r="B35" s="31" t="s">
        <v>316</v>
      </c>
      <c r="C35" s="31" t="s">
        <v>297</v>
      </c>
      <c r="D35" s="32">
        <v>0.56499999999999995</v>
      </c>
      <c r="E35" s="31" t="s">
        <v>309</v>
      </c>
      <c r="F35" s="31" t="s">
        <v>299</v>
      </c>
      <c r="G35" s="31" t="s">
        <v>303</v>
      </c>
      <c r="H35" s="31">
        <v>53</v>
      </c>
      <c r="I35" s="32">
        <v>1.2037037037037038E-3</v>
      </c>
      <c r="J35" s="31">
        <v>2</v>
      </c>
    </row>
    <row r="36" spans="1:10" x14ac:dyDescent="0.35">
      <c r="A36" s="31" t="s">
        <v>345</v>
      </c>
      <c r="B36" s="31" t="s">
        <v>301</v>
      </c>
      <c r="C36" s="31" t="s">
        <v>297</v>
      </c>
      <c r="D36" s="32">
        <v>0.5709953703703704</v>
      </c>
      <c r="E36" s="31" t="s">
        <v>317</v>
      </c>
      <c r="F36" s="31" t="s">
        <v>299</v>
      </c>
      <c r="G36" s="31" t="s">
        <v>299</v>
      </c>
      <c r="H36" s="31">
        <v>119</v>
      </c>
      <c r="I36" s="32">
        <v>1.0532407407407407E-3</v>
      </c>
      <c r="J36" s="31">
        <v>5</v>
      </c>
    </row>
    <row r="37" spans="1:10" x14ac:dyDescent="0.35">
      <c r="A37" s="31" t="s">
        <v>346</v>
      </c>
      <c r="B37" s="31" t="s">
        <v>296</v>
      </c>
      <c r="C37" s="31" t="s">
        <v>297</v>
      </c>
      <c r="D37" s="32">
        <v>0.5709953703703704</v>
      </c>
      <c r="E37" s="31" t="s">
        <v>317</v>
      </c>
      <c r="F37" s="31" t="s">
        <v>303</v>
      </c>
      <c r="G37" s="31" t="s">
        <v>303</v>
      </c>
      <c r="H37" s="31"/>
      <c r="I37" s="31"/>
      <c r="J37" s="31"/>
    </row>
    <row r="38" spans="1:10" x14ac:dyDescent="0.35">
      <c r="A38" s="31" t="s">
        <v>347</v>
      </c>
      <c r="B38" s="31" t="s">
        <v>323</v>
      </c>
      <c r="C38" s="31" t="s">
        <v>297</v>
      </c>
      <c r="D38" s="32">
        <v>0.5709953703703704</v>
      </c>
      <c r="E38" s="31" t="s">
        <v>302</v>
      </c>
      <c r="F38" s="31" t="s">
        <v>299</v>
      </c>
      <c r="G38" s="31" t="s">
        <v>303</v>
      </c>
      <c r="H38" s="31">
        <v>20</v>
      </c>
      <c r="I38" s="32">
        <v>8.3333333333333339E-4</v>
      </c>
      <c r="J38" s="31">
        <v>2</v>
      </c>
    </row>
    <row r="39" spans="1:10" x14ac:dyDescent="0.35">
      <c r="A39" s="31" t="s">
        <v>348</v>
      </c>
      <c r="B39" s="31" t="s">
        <v>319</v>
      </c>
      <c r="C39" s="31" t="s">
        <v>297</v>
      </c>
      <c r="D39" s="32">
        <v>0.5709953703703704</v>
      </c>
      <c r="E39" s="31" t="s">
        <v>302</v>
      </c>
      <c r="F39" s="31" t="s">
        <v>299</v>
      </c>
      <c r="G39" s="31" t="s">
        <v>299</v>
      </c>
      <c r="H39" s="31">
        <v>52</v>
      </c>
      <c r="I39" s="32">
        <v>4.1666666666666669E-4</v>
      </c>
      <c r="J39" s="31">
        <v>3</v>
      </c>
    </row>
    <row r="40" spans="1:10" x14ac:dyDescent="0.35">
      <c r="A40" s="31" t="s">
        <v>349</v>
      </c>
      <c r="B40" s="31" t="s">
        <v>305</v>
      </c>
      <c r="C40" s="31" t="s">
        <v>297</v>
      </c>
      <c r="D40" s="32">
        <v>0.61</v>
      </c>
      <c r="E40" s="31" t="s">
        <v>298</v>
      </c>
      <c r="F40" s="31" t="s">
        <v>299</v>
      </c>
      <c r="G40" s="31" t="s">
        <v>299</v>
      </c>
      <c r="H40" s="31">
        <v>74</v>
      </c>
      <c r="I40" s="32">
        <v>4.6412037037037038E-3</v>
      </c>
      <c r="J40" s="31">
        <v>1</v>
      </c>
    </row>
    <row r="41" spans="1:10" x14ac:dyDescent="0.35">
      <c r="A41" s="31" t="s">
        <v>350</v>
      </c>
      <c r="B41" s="31" t="s">
        <v>307</v>
      </c>
      <c r="C41" s="31" t="s">
        <v>297</v>
      </c>
      <c r="D41" s="32">
        <v>0.61</v>
      </c>
      <c r="E41" s="31" t="s">
        <v>302</v>
      </c>
      <c r="F41" s="31" t="s">
        <v>299</v>
      </c>
      <c r="G41" s="31" t="s">
        <v>299</v>
      </c>
      <c r="H41" s="31">
        <v>49</v>
      </c>
      <c r="I41" s="32">
        <v>1.724537037037037E-3</v>
      </c>
      <c r="J41" s="31">
        <v>3</v>
      </c>
    </row>
    <row r="42" spans="1:10" x14ac:dyDescent="0.35">
      <c r="A42" s="31" t="s">
        <v>351</v>
      </c>
      <c r="B42" s="31" t="s">
        <v>316</v>
      </c>
      <c r="C42" s="31" t="s">
        <v>297</v>
      </c>
      <c r="D42" s="32">
        <v>0.61599537037037033</v>
      </c>
      <c r="E42" s="31" t="s">
        <v>302</v>
      </c>
      <c r="F42" s="31" t="s">
        <v>299</v>
      </c>
      <c r="G42" s="31" t="s">
        <v>299</v>
      </c>
      <c r="H42" s="31">
        <v>27</v>
      </c>
      <c r="I42" s="32">
        <v>1.4930555555555556E-3</v>
      </c>
      <c r="J42" s="31">
        <v>5</v>
      </c>
    </row>
    <row r="43" spans="1:10" x14ac:dyDescent="0.35">
      <c r="A43" s="31" t="s">
        <v>352</v>
      </c>
      <c r="B43" s="31" t="s">
        <v>307</v>
      </c>
      <c r="C43" s="31" t="s">
        <v>297</v>
      </c>
      <c r="D43" s="32">
        <v>0.61599537037037033</v>
      </c>
      <c r="E43" s="31" t="s">
        <v>298</v>
      </c>
      <c r="F43" s="31" t="s">
        <v>299</v>
      </c>
      <c r="G43" s="31" t="s">
        <v>299</v>
      </c>
      <c r="H43" s="31">
        <v>100</v>
      </c>
      <c r="I43" s="32">
        <v>3.4027777777777776E-3</v>
      </c>
      <c r="J43" s="31">
        <v>5</v>
      </c>
    </row>
    <row r="44" spans="1:10" x14ac:dyDescent="0.35">
      <c r="A44" s="31" t="s">
        <v>353</v>
      </c>
      <c r="B44" s="31" t="s">
        <v>296</v>
      </c>
      <c r="C44" s="31" t="s">
        <v>297</v>
      </c>
      <c r="D44" s="32">
        <v>0.61599537037037033</v>
      </c>
      <c r="E44" s="31" t="s">
        <v>302</v>
      </c>
      <c r="F44" s="31" t="s">
        <v>299</v>
      </c>
      <c r="G44" s="31" t="s">
        <v>299</v>
      </c>
      <c r="H44" s="31">
        <v>45</v>
      </c>
      <c r="I44" s="32">
        <v>4.409722222222222E-3</v>
      </c>
      <c r="J44" s="31">
        <v>3</v>
      </c>
    </row>
    <row r="45" spans="1:10" x14ac:dyDescent="0.35">
      <c r="A45" s="31" t="s">
        <v>354</v>
      </c>
      <c r="B45" s="31" t="s">
        <v>301</v>
      </c>
      <c r="C45" s="31" t="s">
        <v>297</v>
      </c>
      <c r="D45" s="32">
        <v>0.61599537037037033</v>
      </c>
      <c r="E45" s="31" t="s">
        <v>309</v>
      </c>
      <c r="F45" s="31" t="s">
        <v>299</v>
      </c>
      <c r="G45" s="31" t="s">
        <v>299</v>
      </c>
      <c r="H45" s="31">
        <v>98</v>
      </c>
      <c r="I45" s="32">
        <v>2.2453703703703702E-3</v>
      </c>
      <c r="J45" s="31">
        <v>5</v>
      </c>
    </row>
    <row r="46" spans="1:10" x14ac:dyDescent="0.35">
      <c r="A46" s="31" t="s">
        <v>355</v>
      </c>
      <c r="B46" s="31" t="s">
        <v>296</v>
      </c>
      <c r="C46" s="31" t="s">
        <v>297</v>
      </c>
      <c r="D46" s="32">
        <v>0.65599537037037037</v>
      </c>
      <c r="E46" s="31" t="s">
        <v>314</v>
      </c>
      <c r="F46" s="31" t="s">
        <v>299</v>
      </c>
      <c r="G46" s="31" t="s">
        <v>299</v>
      </c>
      <c r="H46" s="31">
        <v>25</v>
      </c>
      <c r="I46" s="32">
        <v>3.6226851851851854E-3</v>
      </c>
      <c r="J46" s="31">
        <v>5</v>
      </c>
    </row>
    <row r="47" spans="1:10" x14ac:dyDescent="0.35">
      <c r="A47" s="31" t="s">
        <v>356</v>
      </c>
      <c r="B47" s="31" t="s">
        <v>316</v>
      </c>
      <c r="C47" s="31" t="s">
        <v>297</v>
      </c>
      <c r="D47" s="32">
        <v>0.65599537037037037</v>
      </c>
      <c r="E47" s="31" t="s">
        <v>298</v>
      </c>
      <c r="F47" s="31" t="s">
        <v>303</v>
      </c>
      <c r="G47" s="31" t="s">
        <v>303</v>
      </c>
      <c r="H47" s="31"/>
      <c r="I47" s="31"/>
      <c r="J47" s="31"/>
    </row>
    <row r="48" spans="1:10" x14ac:dyDescent="0.35">
      <c r="A48" s="31" t="s">
        <v>357</v>
      </c>
      <c r="B48" s="31" t="s">
        <v>332</v>
      </c>
      <c r="C48" s="31" t="s">
        <v>297</v>
      </c>
      <c r="D48" s="32">
        <v>0.71799768518518514</v>
      </c>
      <c r="E48" s="31" t="s">
        <v>314</v>
      </c>
      <c r="F48" s="31" t="s">
        <v>299</v>
      </c>
      <c r="G48" s="31" t="s">
        <v>299</v>
      </c>
      <c r="H48" s="31">
        <v>107</v>
      </c>
      <c r="I48" s="32">
        <v>1.6435185185185185E-3</v>
      </c>
      <c r="J48" s="31">
        <v>3</v>
      </c>
    </row>
    <row r="49" spans="1:10" x14ac:dyDescent="0.35">
      <c r="A49" s="31" t="s">
        <v>358</v>
      </c>
      <c r="B49" s="31" t="s">
        <v>323</v>
      </c>
      <c r="C49" s="31" t="s">
        <v>297</v>
      </c>
      <c r="D49" s="32">
        <v>0.71799768518518514</v>
      </c>
      <c r="E49" s="31" t="s">
        <v>298</v>
      </c>
      <c r="F49" s="31" t="s">
        <v>303</v>
      </c>
      <c r="G49" s="31" t="s">
        <v>303</v>
      </c>
      <c r="H49" s="31"/>
      <c r="I49" s="31"/>
      <c r="J49" s="31"/>
    </row>
    <row r="50" spans="1:10" x14ac:dyDescent="0.35">
      <c r="A50" s="31" t="s">
        <v>359</v>
      </c>
      <c r="B50" s="31" t="s">
        <v>319</v>
      </c>
      <c r="C50" s="31" t="s">
        <v>297</v>
      </c>
      <c r="D50" s="32">
        <v>0.72599537037037032</v>
      </c>
      <c r="E50" s="31" t="s">
        <v>302</v>
      </c>
      <c r="F50" s="31" t="s">
        <v>299</v>
      </c>
      <c r="G50" s="31" t="s">
        <v>299</v>
      </c>
      <c r="H50" s="31">
        <v>104</v>
      </c>
      <c r="I50" s="32">
        <v>2.488425925925926E-3</v>
      </c>
      <c r="J50" s="31">
        <v>5</v>
      </c>
    </row>
    <row r="51" spans="1:10" x14ac:dyDescent="0.35">
      <c r="A51" s="31" t="s">
        <v>360</v>
      </c>
      <c r="B51" s="31" t="s">
        <v>332</v>
      </c>
      <c r="C51" s="31" t="s">
        <v>297</v>
      </c>
      <c r="D51" s="32">
        <v>0.72599537037037032</v>
      </c>
      <c r="E51" s="31" t="s">
        <v>302</v>
      </c>
      <c r="F51" s="31" t="s">
        <v>303</v>
      </c>
      <c r="G51" s="31" t="s">
        <v>303</v>
      </c>
      <c r="H51" s="31"/>
      <c r="I51" s="31"/>
      <c r="J51" s="31"/>
    </row>
    <row r="52" spans="1:10" x14ac:dyDescent="0.35">
      <c r="A52" s="31" t="s">
        <v>361</v>
      </c>
      <c r="B52" s="31" t="s">
        <v>323</v>
      </c>
      <c r="C52" s="31" t="s">
        <v>297</v>
      </c>
      <c r="D52" s="32">
        <v>0.73299768518518515</v>
      </c>
      <c r="E52" s="31" t="s">
        <v>298</v>
      </c>
      <c r="F52" s="31" t="s">
        <v>303</v>
      </c>
      <c r="G52" s="31" t="s">
        <v>303</v>
      </c>
      <c r="H52" s="31"/>
      <c r="I52" s="31"/>
      <c r="J52" s="31"/>
    </row>
    <row r="53" spans="1:10" x14ac:dyDescent="0.35">
      <c r="A53" s="31" t="s">
        <v>362</v>
      </c>
      <c r="B53" s="31" t="s">
        <v>316</v>
      </c>
      <c r="C53" s="31" t="s">
        <v>297</v>
      </c>
      <c r="D53" s="32">
        <v>0.73299768518518515</v>
      </c>
      <c r="E53" s="31" t="s">
        <v>314</v>
      </c>
      <c r="F53" s="31" t="s">
        <v>303</v>
      </c>
      <c r="G53" s="31" t="s">
        <v>303</v>
      </c>
      <c r="H53" s="31"/>
      <c r="I53" s="31"/>
      <c r="J53" s="31"/>
    </row>
    <row r="54" spans="1:10" x14ac:dyDescent="0.35">
      <c r="A54" s="31" t="s">
        <v>363</v>
      </c>
      <c r="B54" s="31" t="s">
        <v>305</v>
      </c>
      <c r="C54" s="31" t="s">
        <v>297</v>
      </c>
      <c r="D54" s="32">
        <v>0.73400462962962965</v>
      </c>
      <c r="E54" s="31" t="s">
        <v>309</v>
      </c>
      <c r="F54" s="31" t="s">
        <v>299</v>
      </c>
      <c r="G54" s="31" t="s">
        <v>299</v>
      </c>
      <c r="H54" s="31">
        <v>13</v>
      </c>
      <c r="I54" s="32">
        <v>8.6805555555555551E-4</v>
      </c>
      <c r="J54" s="31">
        <v>5</v>
      </c>
    </row>
    <row r="55" spans="1:10" x14ac:dyDescent="0.35">
      <c r="A55" s="31" t="s">
        <v>364</v>
      </c>
      <c r="B55" s="31" t="s">
        <v>332</v>
      </c>
      <c r="C55" s="31" t="s">
        <v>297</v>
      </c>
      <c r="D55" s="32">
        <v>0.73400462962962965</v>
      </c>
      <c r="E55" s="31" t="s">
        <v>309</v>
      </c>
      <c r="F55" s="31" t="s">
        <v>299</v>
      </c>
      <c r="G55" s="31" t="s">
        <v>299</v>
      </c>
      <c r="H55" s="31">
        <v>119</v>
      </c>
      <c r="I55" s="32">
        <v>1.7592592592592592E-3</v>
      </c>
      <c r="J55" s="31">
        <v>5</v>
      </c>
    </row>
    <row r="56" spans="1:10" x14ac:dyDescent="0.35">
      <c r="A56" s="31" t="s">
        <v>365</v>
      </c>
      <c r="B56" s="31" t="s">
        <v>301</v>
      </c>
      <c r="C56" s="31" t="s">
        <v>297</v>
      </c>
      <c r="D56" s="32">
        <v>0.73900462962962965</v>
      </c>
      <c r="E56" s="31" t="s">
        <v>317</v>
      </c>
      <c r="F56" s="31" t="s">
        <v>299</v>
      </c>
      <c r="G56" s="31" t="s">
        <v>299</v>
      </c>
      <c r="H56" s="31">
        <v>35</v>
      </c>
      <c r="I56" s="32">
        <v>9.1435185185185185E-4</v>
      </c>
      <c r="J56" s="31">
        <v>3</v>
      </c>
    </row>
    <row r="57" spans="1:10" x14ac:dyDescent="0.35">
      <c r="A57" s="31" t="s">
        <v>366</v>
      </c>
      <c r="B57" s="31" t="s">
        <v>332</v>
      </c>
      <c r="C57" s="31" t="s">
        <v>297</v>
      </c>
      <c r="D57" s="32">
        <v>0.73900462962962965</v>
      </c>
      <c r="E57" s="31" t="s">
        <v>317</v>
      </c>
      <c r="F57" s="31" t="s">
        <v>299</v>
      </c>
      <c r="G57" s="31" t="s">
        <v>299</v>
      </c>
      <c r="H57" s="31">
        <v>83</v>
      </c>
      <c r="I57" s="32">
        <v>4.6874999999999998E-3</v>
      </c>
      <c r="J57" s="31">
        <v>4</v>
      </c>
    </row>
    <row r="58" spans="1:10" x14ac:dyDescent="0.35">
      <c r="A58" s="31" t="s">
        <v>367</v>
      </c>
      <c r="B58" s="31" t="s">
        <v>316</v>
      </c>
      <c r="C58" s="31" t="s">
        <v>297</v>
      </c>
      <c r="D58" s="32">
        <v>0.74799768518518517</v>
      </c>
      <c r="E58" s="31" t="s">
        <v>302</v>
      </c>
      <c r="F58" s="31" t="s">
        <v>299</v>
      </c>
      <c r="G58" s="31" t="s">
        <v>299</v>
      </c>
      <c r="H58" s="31">
        <v>48</v>
      </c>
      <c r="I58" s="32">
        <v>1.9907407407407408E-3</v>
      </c>
      <c r="J58" s="31">
        <v>2</v>
      </c>
    </row>
    <row r="59" spans="1:10" x14ac:dyDescent="0.35">
      <c r="A59" s="31" t="s">
        <v>368</v>
      </c>
      <c r="B59" s="31" t="s">
        <v>305</v>
      </c>
      <c r="C59" s="31" t="s">
        <v>297</v>
      </c>
      <c r="D59" s="32">
        <v>0.74799768518518517</v>
      </c>
      <c r="E59" s="31" t="s">
        <v>314</v>
      </c>
      <c r="F59" s="31" t="s">
        <v>299</v>
      </c>
      <c r="G59" s="31" t="s">
        <v>299</v>
      </c>
      <c r="H59" s="31">
        <v>45</v>
      </c>
      <c r="I59" s="32">
        <v>2.3495370370370371E-3</v>
      </c>
      <c r="J59" s="31">
        <v>5</v>
      </c>
    </row>
    <row r="60" spans="1:10" x14ac:dyDescent="0.35">
      <c r="A60" s="31" t="s">
        <v>369</v>
      </c>
      <c r="B60" s="31" t="s">
        <v>332</v>
      </c>
      <c r="C60" s="31" t="s">
        <v>370</v>
      </c>
      <c r="D60" s="32">
        <v>0.37900462962962961</v>
      </c>
      <c r="E60" s="31" t="s">
        <v>302</v>
      </c>
      <c r="F60" s="31" t="s">
        <v>299</v>
      </c>
      <c r="G60" s="31" t="s">
        <v>299</v>
      </c>
      <c r="H60" s="31">
        <v>65</v>
      </c>
      <c r="I60" s="32">
        <v>4.1666666666666666E-3</v>
      </c>
      <c r="J60" s="31">
        <v>5</v>
      </c>
    </row>
    <row r="61" spans="1:10" x14ac:dyDescent="0.35">
      <c r="A61" s="31" t="s">
        <v>371</v>
      </c>
      <c r="B61" s="31" t="s">
        <v>332</v>
      </c>
      <c r="C61" s="31" t="s">
        <v>370</v>
      </c>
      <c r="D61" s="32">
        <v>0.37900462962962961</v>
      </c>
      <c r="E61" s="31" t="s">
        <v>298</v>
      </c>
      <c r="F61" s="31" t="s">
        <v>299</v>
      </c>
      <c r="G61" s="31" t="s">
        <v>299</v>
      </c>
      <c r="H61" s="31">
        <v>50</v>
      </c>
      <c r="I61" s="32">
        <v>3.0787037037037037E-3</v>
      </c>
      <c r="J61" s="31">
        <v>3</v>
      </c>
    </row>
    <row r="62" spans="1:10" x14ac:dyDescent="0.35">
      <c r="A62" s="31" t="s">
        <v>372</v>
      </c>
      <c r="B62" s="31" t="s">
        <v>296</v>
      </c>
      <c r="C62" s="31" t="s">
        <v>370</v>
      </c>
      <c r="D62" s="32">
        <v>0.38799768518518518</v>
      </c>
      <c r="E62" s="31" t="s">
        <v>317</v>
      </c>
      <c r="F62" s="31" t="s">
        <v>299</v>
      </c>
      <c r="G62" s="31" t="s">
        <v>299</v>
      </c>
      <c r="H62" s="31">
        <v>17</v>
      </c>
      <c r="I62" s="32">
        <v>4.340277777777778E-3</v>
      </c>
      <c r="J62" s="31">
        <v>3</v>
      </c>
    </row>
    <row r="63" spans="1:10" x14ac:dyDescent="0.35">
      <c r="A63" s="31" t="s">
        <v>373</v>
      </c>
      <c r="B63" s="31" t="s">
        <v>319</v>
      </c>
      <c r="C63" s="31" t="s">
        <v>370</v>
      </c>
      <c r="D63" s="32">
        <v>0.38799768518518518</v>
      </c>
      <c r="E63" s="31" t="s">
        <v>302</v>
      </c>
      <c r="F63" s="31" t="s">
        <v>303</v>
      </c>
      <c r="G63" s="31" t="s">
        <v>303</v>
      </c>
      <c r="H63" s="31"/>
      <c r="I63" s="31"/>
      <c r="J63" s="31"/>
    </row>
    <row r="64" spans="1:10" x14ac:dyDescent="0.35">
      <c r="A64" s="31" t="s">
        <v>374</v>
      </c>
      <c r="B64" s="31" t="s">
        <v>332</v>
      </c>
      <c r="C64" s="31" t="s">
        <v>370</v>
      </c>
      <c r="D64" s="32">
        <v>0.38900462962962962</v>
      </c>
      <c r="E64" s="31" t="s">
        <v>317</v>
      </c>
      <c r="F64" s="31" t="s">
        <v>299</v>
      </c>
      <c r="G64" s="31" t="s">
        <v>299</v>
      </c>
      <c r="H64" s="31">
        <v>96</v>
      </c>
      <c r="I64" s="32">
        <v>4.6990740740740743E-3</v>
      </c>
      <c r="J64" s="31">
        <v>1</v>
      </c>
    </row>
    <row r="65" spans="1:10" x14ac:dyDescent="0.35">
      <c r="A65" s="31" t="s">
        <v>375</v>
      </c>
      <c r="B65" s="31" t="s">
        <v>305</v>
      </c>
      <c r="C65" s="31" t="s">
        <v>370</v>
      </c>
      <c r="D65" s="32">
        <v>0.38900462962962962</v>
      </c>
      <c r="E65" s="31" t="s">
        <v>317</v>
      </c>
      <c r="F65" s="31" t="s">
        <v>299</v>
      </c>
      <c r="G65" s="31" t="s">
        <v>299</v>
      </c>
      <c r="H65" s="31">
        <v>90</v>
      </c>
      <c r="I65" s="32">
        <v>4.43287037037037E-3</v>
      </c>
      <c r="J65" s="31">
        <v>3</v>
      </c>
    </row>
    <row r="66" spans="1:10" x14ac:dyDescent="0.35">
      <c r="A66" s="31" t="s">
        <v>376</v>
      </c>
      <c r="B66" s="31" t="s">
        <v>316</v>
      </c>
      <c r="C66" s="31" t="s">
        <v>370</v>
      </c>
      <c r="D66" s="32">
        <v>0.4020023148148148</v>
      </c>
      <c r="E66" s="31" t="s">
        <v>298</v>
      </c>
      <c r="F66" s="31" t="s">
        <v>299</v>
      </c>
      <c r="G66" s="31" t="s">
        <v>299</v>
      </c>
      <c r="H66" s="31">
        <v>98</v>
      </c>
      <c r="I66" s="32">
        <v>4.4560185185185189E-3</v>
      </c>
      <c r="J66" s="31">
        <v>2</v>
      </c>
    </row>
    <row r="67" spans="1:10" x14ac:dyDescent="0.35">
      <c r="A67" s="31" t="s">
        <v>377</v>
      </c>
      <c r="B67" s="31" t="s">
        <v>296</v>
      </c>
      <c r="C67" s="31" t="s">
        <v>370</v>
      </c>
      <c r="D67" s="32">
        <v>0.4020023148148148</v>
      </c>
      <c r="E67" s="31" t="s">
        <v>302</v>
      </c>
      <c r="F67" s="31" t="s">
        <v>299</v>
      </c>
      <c r="G67" s="31" t="s">
        <v>303</v>
      </c>
      <c r="H67" s="31">
        <v>90</v>
      </c>
      <c r="I67" s="32">
        <v>9.6064814814814819E-4</v>
      </c>
      <c r="J67" s="31">
        <v>4</v>
      </c>
    </row>
    <row r="68" spans="1:10" x14ac:dyDescent="0.35">
      <c r="A68" s="31" t="s">
        <v>378</v>
      </c>
      <c r="B68" s="31" t="s">
        <v>316</v>
      </c>
      <c r="C68" s="31" t="s">
        <v>370</v>
      </c>
      <c r="D68" s="32">
        <v>0.42</v>
      </c>
      <c r="E68" s="31" t="s">
        <v>298</v>
      </c>
      <c r="F68" s="31" t="s">
        <v>299</v>
      </c>
      <c r="G68" s="31" t="s">
        <v>299</v>
      </c>
      <c r="H68" s="31">
        <v>98</v>
      </c>
      <c r="I68" s="32">
        <v>4.0393518518518521E-3</v>
      </c>
      <c r="J68" s="31">
        <v>5</v>
      </c>
    </row>
    <row r="69" spans="1:10" x14ac:dyDescent="0.35">
      <c r="A69" s="31" t="s">
        <v>379</v>
      </c>
      <c r="B69" s="31" t="s">
        <v>316</v>
      </c>
      <c r="C69" s="31" t="s">
        <v>370</v>
      </c>
      <c r="D69" s="32">
        <v>0.42</v>
      </c>
      <c r="E69" s="31" t="s">
        <v>298</v>
      </c>
      <c r="F69" s="31" t="s">
        <v>299</v>
      </c>
      <c r="G69" s="31" t="s">
        <v>299</v>
      </c>
      <c r="H69" s="31">
        <v>70</v>
      </c>
      <c r="I69" s="32">
        <v>2.2222222222222222E-3</v>
      </c>
      <c r="J69" s="31">
        <v>5</v>
      </c>
    </row>
    <row r="70" spans="1:10" x14ac:dyDescent="0.35">
      <c r="A70" s="31" t="s">
        <v>380</v>
      </c>
      <c r="B70" s="31" t="s">
        <v>296</v>
      </c>
      <c r="C70" s="31" t="s">
        <v>370</v>
      </c>
      <c r="D70" s="32">
        <v>0.44</v>
      </c>
      <c r="E70" s="31" t="s">
        <v>298</v>
      </c>
      <c r="F70" s="31" t="s">
        <v>299</v>
      </c>
      <c r="G70" s="31" t="s">
        <v>299</v>
      </c>
      <c r="H70" s="31">
        <v>69</v>
      </c>
      <c r="I70" s="32">
        <v>3.2986111111111111E-3</v>
      </c>
      <c r="J70" s="31">
        <v>4</v>
      </c>
    </row>
    <row r="71" spans="1:10" x14ac:dyDescent="0.35">
      <c r="A71" s="31" t="s">
        <v>381</v>
      </c>
      <c r="B71" s="31" t="s">
        <v>296</v>
      </c>
      <c r="C71" s="31" t="s">
        <v>370</v>
      </c>
      <c r="D71" s="32">
        <v>0.44</v>
      </c>
      <c r="E71" s="31" t="s">
        <v>314</v>
      </c>
      <c r="F71" s="31" t="s">
        <v>303</v>
      </c>
      <c r="G71" s="31" t="s">
        <v>303</v>
      </c>
      <c r="H71" s="31"/>
      <c r="I71" s="31"/>
      <c r="J71" s="31"/>
    </row>
    <row r="72" spans="1:10" x14ac:dyDescent="0.35">
      <c r="A72" s="31" t="s">
        <v>382</v>
      </c>
      <c r="B72" s="31" t="s">
        <v>319</v>
      </c>
      <c r="C72" s="31" t="s">
        <v>370</v>
      </c>
      <c r="D72" s="32">
        <v>0.46400462962962963</v>
      </c>
      <c r="E72" s="31" t="s">
        <v>302</v>
      </c>
      <c r="F72" s="31" t="s">
        <v>299</v>
      </c>
      <c r="G72" s="31" t="s">
        <v>299</v>
      </c>
      <c r="H72" s="31">
        <v>120</v>
      </c>
      <c r="I72" s="32">
        <v>1.5162037037037036E-3</v>
      </c>
      <c r="J72" s="31">
        <v>4</v>
      </c>
    </row>
    <row r="73" spans="1:10" x14ac:dyDescent="0.35">
      <c r="A73" s="31" t="s">
        <v>383</v>
      </c>
      <c r="B73" s="31" t="s">
        <v>305</v>
      </c>
      <c r="C73" s="31" t="s">
        <v>370</v>
      </c>
      <c r="D73" s="32">
        <v>0.46400462962962963</v>
      </c>
      <c r="E73" s="31" t="s">
        <v>314</v>
      </c>
      <c r="F73" s="31" t="s">
        <v>299</v>
      </c>
      <c r="G73" s="31" t="s">
        <v>299</v>
      </c>
      <c r="H73" s="31">
        <v>113</v>
      </c>
      <c r="I73" s="32">
        <v>4.0625000000000001E-3</v>
      </c>
      <c r="J73" s="31">
        <v>5</v>
      </c>
    </row>
    <row r="74" spans="1:10" x14ac:dyDescent="0.35">
      <c r="A74" s="31" t="s">
        <v>384</v>
      </c>
      <c r="B74" s="31" t="s">
        <v>307</v>
      </c>
      <c r="C74" s="31" t="s">
        <v>370</v>
      </c>
      <c r="D74" s="32">
        <v>0.47700231481481481</v>
      </c>
      <c r="E74" s="31" t="s">
        <v>309</v>
      </c>
      <c r="F74" s="31" t="s">
        <v>299</v>
      </c>
      <c r="G74" s="31" t="s">
        <v>303</v>
      </c>
      <c r="H74" s="31">
        <v>10</v>
      </c>
      <c r="I74" s="32">
        <v>1.6087962962962963E-3</v>
      </c>
      <c r="J74" s="31">
        <v>5</v>
      </c>
    </row>
    <row r="75" spans="1:10" x14ac:dyDescent="0.35">
      <c r="A75" s="31" t="s">
        <v>385</v>
      </c>
      <c r="B75" s="31" t="s">
        <v>301</v>
      </c>
      <c r="C75" s="31" t="s">
        <v>370</v>
      </c>
      <c r="D75" s="32">
        <v>0.47700231481481481</v>
      </c>
      <c r="E75" s="31" t="s">
        <v>298</v>
      </c>
      <c r="F75" s="31" t="s">
        <v>299</v>
      </c>
      <c r="G75" s="31" t="s">
        <v>299</v>
      </c>
      <c r="H75" s="31">
        <v>122</v>
      </c>
      <c r="I75" s="32">
        <v>3.3912037037037036E-3</v>
      </c>
      <c r="J75" s="31">
        <v>1</v>
      </c>
    </row>
    <row r="76" spans="1:10" x14ac:dyDescent="0.35">
      <c r="A76" s="31" t="s">
        <v>386</v>
      </c>
      <c r="B76" s="31" t="s">
        <v>305</v>
      </c>
      <c r="C76" s="31" t="s">
        <v>370</v>
      </c>
      <c r="D76" s="32">
        <v>0.48799768518518516</v>
      </c>
      <c r="E76" s="31" t="s">
        <v>302</v>
      </c>
      <c r="F76" s="31" t="s">
        <v>299</v>
      </c>
      <c r="G76" s="31" t="s">
        <v>303</v>
      </c>
      <c r="H76" s="31">
        <v>125</v>
      </c>
      <c r="I76" s="32">
        <v>1.1342592592592593E-3</v>
      </c>
      <c r="J76" s="31">
        <v>3</v>
      </c>
    </row>
    <row r="77" spans="1:10" x14ac:dyDescent="0.35">
      <c r="A77" s="31" t="s">
        <v>387</v>
      </c>
      <c r="B77" s="31" t="s">
        <v>296</v>
      </c>
      <c r="C77" s="31" t="s">
        <v>370</v>
      </c>
      <c r="D77" s="32">
        <v>0.48799768518518516</v>
      </c>
      <c r="E77" s="31" t="s">
        <v>314</v>
      </c>
      <c r="F77" s="31" t="s">
        <v>303</v>
      </c>
      <c r="G77" s="31" t="s">
        <v>303</v>
      </c>
      <c r="H77" s="31"/>
      <c r="I77" s="31"/>
      <c r="J77" s="31"/>
    </row>
    <row r="78" spans="1:10" x14ac:dyDescent="0.35">
      <c r="A78" s="31" t="s">
        <v>388</v>
      </c>
      <c r="B78" s="31" t="s">
        <v>323</v>
      </c>
      <c r="C78" s="31" t="s">
        <v>370</v>
      </c>
      <c r="D78" s="32">
        <v>0.49099537037037039</v>
      </c>
      <c r="E78" s="31" t="s">
        <v>302</v>
      </c>
      <c r="F78" s="31" t="s">
        <v>299</v>
      </c>
      <c r="G78" s="31" t="s">
        <v>299</v>
      </c>
      <c r="H78" s="31">
        <v>33</v>
      </c>
      <c r="I78" s="32">
        <v>4.6064814814814814E-3</v>
      </c>
      <c r="J78" s="31">
        <v>2</v>
      </c>
    </row>
    <row r="79" spans="1:10" x14ac:dyDescent="0.35">
      <c r="A79" s="31" t="s">
        <v>389</v>
      </c>
      <c r="B79" s="31" t="s">
        <v>332</v>
      </c>
      <c r="C79" s="31" t="s">
        <v>370</v>
      </c>
      <c r="D79" s="32">
        <v>0.49099537037037039</v>
      </c>
      <c r="E79" s="31" t="s">
        <v>298</v>
      </c>
      <c r="F79" s="31" t="s">
        <v>299</v>
      </c>
      <c r="G79" s="31" t="s">
        <v>299</v>
      </c>
      <c r="H79" s="31">
        <v>51</v>
      </c>
      <c r="I79" s="32">
        <v>4.4212962962962964E-3</v>
      </c>
      <c r="J79" s="31">
        <v>2</v>
      </c>
    </row>
    <row r="80" spans="1:10" x14ac:dyDescent="0.35">
      <c r="A80" s="31" t="s">
        <v>390</v>
      </c>
      <c r="B80" s="31" t="s">
        <v>301</v>
      </c>
      <c r="C80" s="31" t="s">
        <v>370</v>
      </c>
      <c r="D80" s="32">
        <v>0.49599537037037039</v>
      </c>
      <c r="E80" s="31" t="s">
        <v>298</v>
      </c>
      <c r="F80" s="31" t="s">
        <v>299</v>
      </c>
      <c r="G80" s="31" t="s">
        <v>299</v>
      </c>
      <c r="H80" s="31">
        <v>58</v>
      </c>
      <c r="I80" s="32">
        <v>2.4074074074074076E-3</v>
      </c>
      <c r="J80" s="31">
        <v>3</v>
      </c>
    </row>
    <row r="81" spans="1:10" x14ac:dyDescent="0.35">
      <c r="A81" s="31" t="s">
        <v>391</v>
      </c>
      <c r="B81" s="31" t="s">
        <v>332</v>
      </c>
      <c r="C81" s="31" t="s">
        <v>370</v>
      </c>
      <c r="D81" s="32">
        <v>0.49599537037037039</v>
      </c>
      <c r="E81" s="31" t="s">
        <v>314</v>
      </c>
      <c r="F81" s="31" t="s">
        <v>299</v>
      </c>
      <c r="G81" s="31" t="s">
        <v>299</v>
      </c>
      <c r="H81" s="31">
        <v>121</v>
      </c>
      <c r="I81" s="32">
        <v>3.3217592592592591E-3</v>
      </c>
      <c r="J81" s="31">
        <v>5</v>
      </c>
    </row>
    <row r="82" spans="1:10" x14ac:dyDescent="0.35">
      <c r="A82" s="31" t="s">
        <v>392</v>
      </c>
      <c r="B82" s="31" t="s">
        <v>296</v>
      </c>
      <c r="C82" s="31" t="s">
        <v>370</v>
      </c>
      <c r="D82" s="32">
        <v>0.5</v>
      </c>
      <c r="E82" s="31" t="s">
        <v>314</v>
      </c>
      <c r="F82" s="31" t="s">
        <v>299</v>
      </c>
      <c r="G82" s="31" t="s">
        <v>299</v>
      </c>
      <c r="H82" s="31">
        <v>118</v>
      </c>
      <c r="I82" s="32">
        <v>1.4583333333333334E-3</v>
      </c>
      <c r="J82" s="31">
        <v>4</v>
      </c>
    </row>
    <row r="83" spans="1:10" x14ac:dyDescent="0.35">
      <c r="A83" s="31" t="s">
        <v>393</v>
      </c>
      <c r="B83" s="31" t="s">
        <v>307</v>
      </c>
      <c r="C83" s="31" t="s">
        <v>370</v>
      </c>
      <c r="D83" s="32">
        <v>0.5</v>
      </c>
      <c r="E83" s="31" t="s">
        <v>309</v>
      </c>
      <c r="F83" s="31" t="s">
        <v>299</v>
      </c>
      <c r="G83" s="31" t="s">
        <v>299</v>
      </c>
      <c r="H83" s="31">
        <v>52</v>
      </c>
      <c r="I83" s="32">
        <v>4.8148148148148152E-3</v>
      </c>
      <c r="J83" s="31">
        <v>4</v>
      </c>
    </row>
    <row r="84" spans="1:10" x14ac:dyDescent="0.35">
      <c r="A84" s="31" t="s">
        <v>394</v>
      </c>
      <c r="B84" s="31" t="s">
        <v>305</v>
      </c>
      <c r="C84" s="31" t="s">
        <v>370</v>
      </c>
      <c r="D84" s="32">
        <v>0.51400462962962967</v>
      </c>
      <c r="E84" s="31" t="s">
        <v>314</v>
      </c>
      <c r="F84" s="31" t="s">
        <v>299</v>
      </c>
      <c r="G84" s="31" t="s">
        <v>299</v>
      </c>
      <c r="H84" s="31">
        <v>55</v>
      </c>
      <c r="I84" s="32">
        <v>3.2870370370370371E-3</v>
      </c>
      <c r="J84" s="31">
        <v>3</v>
      </c>
    </row>
    <row r="85" spans="1:10" x14ac:dyDescent="0.35">
      <c r="A85" s="31" t="s">
        <v>395</v>
      </c>
      <c r="B85" s="31" t="s">
        <v>332</v>
      </c>
      <c r="C85" s="31" t="s">
        <v>370</v>
      </c>
      <c r="D85" s="32">
        <v>0.51400462962962967</v>
      </c>
      <c r="E85" s="31" t="s">
        <v>298</v>
      </c>
      <c r="F85" s="31" t="s">
        <v>299</v>
      </c>
      <c r="G85" s="31" t="s">
        <v>299</v>
      </c>
      <c r="H85" s="31">
        <v>68</v>
      </c>
      <c r="I85" s="32">
        <v>4.1550925925925922E-3</v>
      </c>
      <c r="J85" s="31">
        <v>4</v>
      </c>
    </row>
    <row r="86" spans="1:10" x14ac:dyDescent="0.35">
      <c r="A86" s="31" t="s">
        <v>396</v>
      </c>
      <c r="B86" s="31" t="s">
        <v>301</v>
      </c>
      <c r="C86" s="31" t="s">
        <v>370</v>
      </c>
      <c r="D86" s="32">
        <v>0.52900462962962957</v>
      </c>
      <c r="E86" s="31" t="s">
        <v>302</v>
      </c>
      <c r="F86" s="31" t="s">
        <v>299</v>
      </c>
      <c r="G86" s="31" t="s">
        <v>299</v>
      </c>
      <c r="H86" s="31">
        <v>106</v>
      </c>
      <c r="I86" s="32">
        <v>3.0324074074074073E-3</v>
      </c>
      <c r="J86" s="31">
        <v>5</v>
      </c>
    </row>
    <row r="87" spans="1:10" x14ac:dyDescent="0.35">
      <c r="A87" s="31" t="s">
        <v>397</v>
      </c>
      <c r="B87" s="31" t="s">
        <v>323</v>
      </c>
      <c r="C87" s="31" t="s">
        <v>370</v>
      </c>
      <c r="D87" s="32">
        <v>0.52900462962962957</v>
      </c>
      <c r="E87" s="31" t="s">
        <v>302</v>
      </c>
      <c r="F87" s="31" t="s">
        <v>299</v>
      </c>
      <c r="G87" s="31" t="s">
        <v>299</v>
      </c>
      <c r="H87" s="31">
        <v>32</v>
      </c>
      <c r="I87" s="32">
        <v>3.1944444444444446E-3</v>
      </c>
      <c r="J87" s="31">
        <v>3</v>
      </c>
    </row>
    <row r="88" spans="1:10" x14ac:dyDescent="0.35">
      <c r="A88" s="31" t="s">
        <v>398</v>
      </c>
      <c r="B88" s="31" t="s">
        <v>316</v>
      </c>
      <c r="C88" s="31" t="s">
        <v>370</v>
      </c>
      <c r="D88" s="32">
        <v>0.53099537037037037</v>
      </c>
      <c r="E88" s="31" t="s">
        <v>309</v>
      </c>
      <c r="F88" s="31" t="s">
        <v>303</v>
      </c>
      <c r="G88" s="31" t="s">
        <v>303</v>
      </c>
      <c r="H88" s="31"/>
      <c r="I88" s="31"/>
      <c r="J88" s="31"/>
    </row>
    <row r="89" spans="1:10" x14ac:dyDescent="0.35">
      <c r="A89" s="31" t="s">
        <v>399</v>
      </c>
      <c r="B89" s="31" t="s">
        <v>323</v>
      </c>
      <c r="C89" s="31" t="s">
        <v>370</v>
      </c>
      <c r="D89" s="32">
        <v>0.53099537037037037</v>
      </c>
      <c r="E89" s="31" t="s">
        <v>314</v>
      </c>
      <c r="F89" s="31" t="s">
        <v>299</v>
      </c>
      <c r="G89" s="31" t="s">
        <v>303</v>
      </c>
      <c r="H89" s="31">
        <v>45</v>
      </c>
      <c r="I89" s="32">
        <v>9.9537037037037042E-4</v>
      </c>
      <c r="J89" s="31">
        <v>4</v>
      </c>
    </row>
    <row r="90" spans="1:10" x14ac:dyDescent="0.35">
      <c r="A90" s="31" t="s">
        <v>400</v>
      </c>
      <c r="B90" s="31" t="s">
        <v>319</v>
      </c>
      <c r="C90" s="31" t="s">
        <v>370</v>
      </c>
      <c r="D90" s="32">
        <v>0.54099537037037038</v>
      </c>
      <c r="E90" s="31" t="s">
        <v>302</v>
      </c>
      <c r="F90" s="31" t="s">
        <v>299</v>
      </c>
      <c r="G90" s="31" t="s">
        <v>299</v>
      </c>
      <c r="H90" s="31">
        <v>119</v>
      </c>
      <c r="I90" s="32">
        <v>2.4537037037037036E-3</v>
      </c>
      <c r="J90" s="31">
        <v>4</v>
      </c>
    </row>
    <row r="91" spans="1:10" x14ac:dyDescent="0.35">
      <c r="A91" s="31" t="s">
        <v>401</v>
      </c>
      <c r="B91" s="31" t="s">
        <v>332</v>
      </c>
      <c r="C91" s="31" t="s">
        <v>370</v>
      </c>
      <c r="D91" s="32">
        <v>0.54099537037037038</v>
      </c>
      <c r="E91" s="31" t="s">
        <v>317</v>
      </c>
      <c r="F91" s="31" t="s">
        <v>303</v>
      </c>
      <c r="G91" s="31" t="s">
        <v>303</v>
      </c>
      <c r="H91" s="31"/>
      <c r="I91" s="31"/>
      <c r="J91" s="31"/>
    </row>
    <row r="92" spans="1:10" x14ac:dyDescent="0.35">
      <c r="A92" s="31" t="s">
        <v>402</v>
      </c>
      <c r="B92" s="31" t="s">
        <v>316</v>
      </c>
      <c r="C92" s="31" t="s">
        <v>370</v>
      </c>
      <c r="D92" s="32">
        <v>0.54400462962962959</v>
      </c>
      <c r="E92" s="31" t="s">
        <v>298</v>
      </c>
      <c r="F92" s="31" t="s">
        <v>299</v>
      </c>
      <c r="G92" s="31" t="s">
        <v>299</v>
      </c>
      <c r="H92" s="31">
        <v>46</v>
      </c>
      <c r="I92" s="32">
        <v>3.9467592592592592E-3</v>
      </c>
      <c r="J92" s="31">
        <v>1</v>
      </c>
    </row>
    <row r="93" spans="1:10" x14ac:dyDescent="0.35">
      <c r="A93" s="31" t="s">
        <v>403</v>
      </c>
      <c r="B93" s="31" t="s">
        <v>305</v>
      </c>
      <c r="C93" s="31" t="s">
        <v>370</v>
      </c>
      <c r="D93" s="32">
        <v>0.54400462962962959</v>
      </c>
      <c r="E93" s="31" t="s">
        <v>302</v>
      </c>
      <c r="F93" s="31" t="s">
        <v>299</v>
      </c>
      <c r="G93" s="31" t="s">
        <v>299</v>
      </c>
      <c r="H93" s="31">
        <v>101</v>
      </c>
      <c r="I93" s="32">
        <v>1.0185185185185184E-3</v>
      </c>
      <c r="J93" s="31">
        <v>3</v>
      </c>
    </row>
    <row r="94" spans="1:10" x14ac:dyDescent="0.35">
      <c r="A94" s="31" t="s">
        <v>404</v>
      </c>
      <c r="B94" s="31" t="s">
        <v>316</v>
      </c>
      <c r="C94" s="31" t="s">
        <v>370</v>
      </c>
      <c r="D94" s="32">
        <v>0.54500000000000004</v>
      </c>
      <c r="E94" s="31" t="s">
        <v>302</v>
      </c>
      <c r="F94" s="31" t="s">
        <v>299</v>
      </c>
      <c r="G94" s="31" t="s">
        <v>299</v>
      </c>
      <c r="H94" s="31">
        <v>56</v>
      </c>
      <c r="I94" s="32">
        <v>1.9907407407407408E-3</v>
      </c>
      <c r="J94" s="31">
        <v>3</v>
      </c>
    </row>
    <row r="95" spans="1:10" x14ac:dyDescent="0.35">
      <c r="A95" s="31" t="s">
        <v>405</v>
      </c>
      <c r="B95" s="31" t="s">
        <v>301</v>
      </c>
      <c r="C95" s="31" t="s">
        <v>370</v>
      </c>
      <c r="D95" s="32">
        <v>0.54500000000000004</v>
      </c>
      <c r="E95" s="31" t="s">
        <v>302</v>
      </c>
      <c r="F95" s="31" t="s">
        <v>299</v>
      </c>
      <c r="G95" s="31" t="s">
        <v>299</v>
      </c>
      <c r="H95" s="31">
        <v>80</v>
      </c>
      <c r="I95" s="32">
        <v>6.134259259259259E-4</v>
      </c>
      <c r="J95" s="31">
        <v>3</v>
      </c>
    </row>
    <row r="96" spans="1:10" x14ac:dyDescent="0.35">
      <c r="A96" s="31" t="s">
        <v>406</v>
      </c>
      <c r="B96" s="31" t="s">
        <v>296</v>
      </c>
      <c r="C96" s="31" t="s">
        <v>370</v>
      </c>
      <c r="D96" s="32">
        <v>0.55099537037037039</v>
      </c>
      <c r="E96" s="31" t="s">
        <v>317</v>
      </c>
      <c r="F96" s="31" t="s">
        <v>299</v>
      </c>
      <c r="G96" s="31" t="s">
        <v>299</v>
      </c>
      <c r="H96" s="31">
        <v>24</v>
      </c>
      <c r="I96" s="32">
        <v>1.1111111111111111E-3</v>
      </c>
      <c r="J96" s="31">
        <v>3</v>
      </c>
    </row>
    <row r="97" spans="1:10" x14ac:dyDescent="0.35">
      <c r="A97" s="31" t="s">
        <v>407</v>
      </c>
      <c r="B97" s="31" t="s">
        <v>305</v>
      </c>
      <c r="C97" s="31" t="s">
        <v>370</v>
      </c>
      <c r="D97" s="32">
        <v>0.55099537037037039</v>
      </c>
      <c r="E97" s="31" t="s">
        <v>309</v>
      </c>
      <c r="F97" s="31" t="s">
        <v>299</v>
      </c>
      <c r="G97" s="31" t="s">
        <v>299</v>
      </c>
      <c r="H97" s="31">
        <v>113</v>
      </c>
      <c r="I97" s="32">
        <v>2.7083333333333334E-3</v>
      </c>
      <c r="J97" s="31">
        <v>2</v>
      </c>
    </row>
    <row r="98" spans="1:10" x14ac:dyDescent="0.35">
      <c r="A98" s="31" t="s">
        <v>408</v>
      </c>
      <c r="B98" s="31" t="s">
        <v>307</v>
      </c>
      <c r="C98" s="31" t="s">
        <v>370</v>
      </c>
      <c r="D98" s="32">
        <v>0.55599537037037039</v>
      </c>
      <c r="E98" s="31" t="s">
        <v>298</v>
      </c>
      <c r="F98" s="31" t="s">
        <v>299</v>
      </c>
      <c r="G98" s="31" t="s">
        <v>299</v>
      </c>
      <c r="H98" s="31">
        <v>19</v>
      </c>
      <c r="I98" s="32">
        <v>1.4236111111111112E-3</v>
      </c>
      <c r="J98" s="31">
        <v>4</v>
      </c>
    </row>
    <row r="99" spans="1:10" x14ac:dyDescent="0.35">
      <c r="A99" s="31" t="s">
        <v>409</v>
      </c>
      <c r="B99" s="31" t="s">
        <v>323</v>
      </c>
      <c r="C99" s="31" t="s">
        <v>370</v>
      </c>
      <c r="D99" s="32">
        <v>0.55599537037037039</v>
      </c>
      <c r="E99" s="31" t="s">
        <v>317</v>
      </c>
      <c r="F99" s="31" t="s">
        <v>303</v>
      </c>
      <c r="G99" s="31" t="s">
        <v>303</v>
      </c>
      <c r="H99" s="31"/>
      <c r="I99" s="31"/>
      <c r="J99" s="31"/>
    </row>
    <row r="100" spans="1:10" x14ac:dyDescent="0.35">
      <c r="A100" s="31" t="s">
        <v>410</v>
      </c>
      <c r="B100" s="31" t="s">
        <v>332</v>
      </c>
      <c r="C100" s="31" t="s">
        <v>370</v>
      </c>
      <c r="D100" s="32">
        <v>0.55599537037037039</v>
      </c>
      <c r="E100" s="31" t="s">
        <v>298</v>
      </c>
      <c r="F100" s="31" t="s">
        <v>299</v>
      </c>
      <c r="G100" s="31" t="s">
        <v>299</v>
      </c>
      <c r="H100" s="31">
        <v>45</v>
      </c>
      <c r="I100" s="32">
        <v>4.5949074074074078E-3</v>
      </c>
      <c r="J100" s="31">
        <v>3</v>
      </c>
    </row>
    <row r="101" spans="1:10" x14ac:dyDescent="0.35">
      <c r="A101" s="31" t="s">
        <v>411</v>
      </c>
      <c r="B101" s="31" t="s">
        <v>296</v>
      </c>
      <c r="C101" s="31" t="s">
        <v>370</v>
      </c>
      <c r="D101" s="32">
        <v>0.55599537037037039</v>
      </c>
      <c r="E101" s="31" t="s">
        <v>302</v>
      </c>
      <c r="F101" s="31" t="s">
        <v>299</v>
      </c>
      <c r="G101" s="31" t="s">
        <v>299</v>
      </c>
      <c r="H101" s="31">
        <v>95</v>
      </c>
      <c r="I101" s="32">
        <v>3.5995370370370369E-3</v>
      </c>
      <c r="J101" s="31">
        <v>1</v>
      </c>
    </row>
    <row r="102" spans="1:10" x14ac:dyDescent="0.35">
      <c r="A102" s="31" t="s">
        <v>412</v>
      </c>
      <c r="B102" s="31" t="s">
        <v>301</v>
      </c>
      <c r="C102" s="31" t="s">
        <v>370</v>
      </c>
      <c r="D102" s="32">
        <v>0.57299768518518523</v>
      </c>
      <c r="E102" s="31" t="s">
        <v>302</v>
      </c>
      <c r="F102" s="31" t="s">
        <v>303</v>
      </c>
      <c r="G102" s="31" t="s">
        <v>303</v>
      </c>
      <c r="H102" s="31"/>
      <c r="I102" s="31"/>
      <c r="J102" s="31"/>
    </row>
    <row r="103" spans="1:10" x14ac:dyDescent="0.35">
      <c r="A103" s="31" t="s">
        <v>413</v>
      </c>
      <c r="B103" s="31" t="s">
        <v>323</v>
      </c>
      <c r="C103" s="31" t="s">
        <v>370</v>
      </c>
      <c r="D103" s="32">
        <v>0.57299768518518523</v>
      </c>
      <c r="E103" s="31" t="s">
        <v>302</v>
      </c>
      <c r="F103" s="31" t="s">
        <v>299</v>
      </c>
      <c r="G103" s="31" t="s">
        <v>303</v>
      </c>
      <c r="H103" s="31">
        <v>79</v>
      </c>
      <c r="I103" s="32">
        <v>3.8310185185185183E-3</v>
      </c>
      <c r="J103" s="31">
        <v>1</v>
      </c>
    </row>
    <row r="104" spans="1:10" x14ac:dyDescent="0.35">
      <c r="A104" s="31" t="s">
        <v>414</v>
      </c>
      <c r="B104" s="31" t="s">
        <v>296</v>
      </c>
      <c r="C104" s="31" t="s">
        <v>370</v>
      </c>
      <c r="D104" s="32">
        <v>0.57599537037037041</v>
      </c>
      <c r="E104" s="31" t="s">
        <v>309</v>
      </c>
      <c r="F104" s="31" t="s">
        <v>299</v>
      </c>
      <c r="G104" s="31" t="s">
        <v>299</v>
      </c>
      <c r="H104" s="31">
        <v>22</v>
      </c>
      <c r="I104" s="32">
        <v>2.7314814814814814E-3</v>
      </c>
      <c r="J104" s="31">
        <v>2</v>
      </c>
    </row>
    <row r="105" spans="1:10" x14ac:dyDescent="0.35">
      <c r="A105" s="31" t="s">
        <v>415</v>
      </c>
      <c r="B105" s="31" t="s">
        <v>323</v>
      </c>
      <c r="C105" s="31" t="s">
        <v>370</v>
      </c>
      <c r="D105" s="32">
        <v>0.57599537037037041</v>
      </c>
      <c r="E105" s="31" t="s">
        <v>298</v>
      </c>
      <c r="F105" s="31" t="s">
        <v>299</v>
      </c>
      <c r="G105" s="31" t="s">
        <v>299</v>
      </c>
      <c r="H105" s="31">
        <v>38</v>
      </c>
      <c r="I105" s="32">
        <v>4.5833333333333334E-3</v>
      </c>
      <c r="J105" s="31">
        <v>1</v>
      </c>
    </row>
    <row r="106" spans="1:10" x14ac:dyDescent="0.35">
      <c r="A106" s="31" t="s">
        <v>416</v>
      </c>
      <c r="B106" s="31" t="s">
        <v>301</v>
      </c>
      <c r="C106" s="31" t="s">
        <v>370</v>
      </c>
      <c r="D106" s="32">
        <v>0.57900462962962962</v>
      </c>
      <c r="E106" s="31" t="s">
        <v>302</v>
      </c>
      <c r="F106" s="31" t="s">
        <v>299</v>
      </c>
      <c r="G106" s="31" t="s">
        <v>299</v>
      </c>
      <c r="H106" s="31">
        <v>112</v>
      </c>
      <c r="I106" s="32">
        <v>2.3726851851851851E-3</v>
      </c>
      <c r="J106" s="31">
        <v>5</v>
      </c>
    </row>
    <row r="107" spans="1:10" x14ac:dyDescent="0.35">
      <c r="A107" s="31" t="s">
        <v>417</v>
      </c>
      <c r="B107" s="31" t="s">
        <v>301</v>
      </c>
      <c r="C107" s="31" t="s">
        <v>370</v>
      </c>
      <c r="D107" s="32">
        <v>0.57900462962962962</v>
      </c>
      <c r="E107" s="31" t="s">
        <v>309</v>
      </c>
      <c r="F107" s="31" t="s">
        <v>299</v>
      </c>
      <c r="G107" s="31" t="s">
        <v>299</v>
      </c>
      <c r="H107" s="31">
        <v>65</v>
      </c>
      <c r="I107" s="32">
        <v>3.4375E-3</v>
      </c>
      <c r="J107" s="31">
        <v>3</v>
      </c>
    </row>
    <row r="108" spans="1:10" x14ac:dyDescent="0.35">
      <c r="A108" s="31" t="s">
        <v>418</v>
      </c>
      <c r="B108" s="31" t="s">
        <v>319</v>
      </c>
      <c r="C108" s="31" t="s">
        <v>370</v>
      </c>
      <c r="D108" s="32">
        <v>0.59900462962962964</v>
      </c>
      <c r="E108" s="31" t="s">
        <v>317</v>
      </c>
      <c r="F108" s="31" t="s">
        <v>303</v>
      </c>
      <c r="G108" s="31" t="s">
        <v>303</v>
      </c>
      <c r="H108" s="31"/>
      <c r="I108" s="31"/>
      <c r="J108" s="31"/>
    </row>
    <row r="109" spans="1:10" x14ac:dyDescent="0.35">
      <c r="A109" s="31" t="s">
        <v>419</v>
      </c>
      <c r="B109" s="31" t="s">
        <v>301</v>
      </c>
      <c r="C109" s="31" t="s">
        <v>370</v>
      </c>
      <c r="D109" s="32">
        <v>0.59900462962962964</v>
      </c>
      <c r="E109" s="31" t="s">
        <v>298</v>
      </c>
      <c r="F109" s="31" t="s">
        <v>299</v>
      </c>
      <c r="G109" s="31" t="s">
        <v>303</v>
      </c>
      <c r="H109" s="31">
        <v>55</v>
      </c>
      <c r="I109" s="32">
        <v>1.7592592592592592E-3</v>
      </c>
      <c r="J109" s="31">
        <v>1</v>
      </c>
    </row>
    <row r="110" spans="1:10" x14ac:dyDescent="0.35">
      <c r="A110" s="31" t="s">
        <v>420</v>
      </c>
      <c r="B110" s="31" t="s">
        <v>305</v>
      </c>
      <c r="C110" s="31" t="s">
        <v>370</v>
      </c>
      <c r="D110" s="32">
        <v>0.62</v>
      </c>
      <c r="E110" s="31" t="s">
        <v>314</v>
      </c>
      <c r="F110" s="31" t="s">
        <v>303</v>
      </c>
      <c r="G110" s="31" t="s">
        <v>303</v>
      </c>
      <c r="H110" s="31"/>
      <c r="I110" s="31"/>
      <c r="J110" s="31"/>
    </row>
    <row r="111" spans="1:10" x14ac:dyDescent="0.35">
      <c r="A111" s="31" t="s">
        <v>421</v>
      </c>
      <c r="B111" s="31" t="s">
        <v>319</v>
      </c>
      <c r="C111" s="31" t="s">
        <v>370</v>
      </c>
      <c r="D111" s="32">
        <v>0.62</v>
      </c>
      <c r="E111" s="31" t="s">
        <v>317</v>
      </c>
      <c r="F111" s="31" t="s">
        <v>299</v>
      </c>
      <c r="G111" s="31" t="s">
        <v>299</v>
      </c>
      <c r="H111" s="31">
        <v>19</v>
      </c>
      <c r="I111" s="32">
        <v>1.8287037037037037E-3</v>
      </c>
      <c r="J111" s="31">
        <v>2</v>
      </c>
    </row>
    <row r="112" spans="1:10" x14ac:dyDescent="0.35">
      <c r="A112" s="31" t="s">
        <v>422</v>
      </c>
      <c r="B112" s="31" t="s">
        <v>301</v>
      </c>
      <c r="C112" s="31" t="s">
        <v>370</v>
      </c>
      <c r="D112" s="32">
        <v>0.63200231481481484</v>
      </c>
      <c r="E112" s="31" t="s">
        <v>302</v>
      </c>
      <c r="F112" s="31" t="s">
        <v>299</v>
      </c>
      <c r="G112" s="31" t="s">
        <v>299</v>
      </c>
      <c r="H112" s="31">
        <v>53</v>
      </c>
      <c r="I112" s="32">
        <v>6.4814814814814813E-4</v>
      </c>
      <c r="J112" s="31">
        <v>3</v>
      </c>
    </row>
    <row r="113" spans="1:10" x14ac:dyDescent="0.35">
      <c r="A113" s="31" t="s">
        <v>423</v>
      </c>
      <c r="B113" s="31" t="s">
        <v>296</v>
      </c>
      <c r="C113" s="31" t="s">
        <v>370</v>
      </c>
      <c r="D113" s="32">
        <v>0.63200231481481484</v>
      </c>
      <c r="E113" s="31" t="s">
        <v>302</v>
      </c>
      <c r="F113" s="31" t="s">
        <v>299</v>
      </c>
      <c r="G113" s="31" t="s">
        <v>299</v>
      </c>
      <c r="H113" s="31">
        <v>24</v>
      </c>
      <c r="I113" s="32">
        <v>4.2361111111111115E-3</v>
      </c>
      <c r="J113" s="31">
        <v>5</v>
      </c>
    </row>
    <row r="114" spans="1:10" x14ac:dyDescent="0.35">
      <c r="A114" s="31" t="s">
        <v>424</v>
      </c>
      <c r="B114" s="31" t="s">
        <v>323</v>
      </c>
      <c r="C114" s="31" t="s">
        <v>370</v>
      </c>
      <c r="D114" s="32">
        <v>0.65</v>
      </c>
      <c r="E114" s="31" t="s">
        <v>317</v>
      </c>
      <c r="F114" s="31" t="s">
        <v>299</v>
      </c>
      <c r="G114" s="31" t="s">
        <v>299</v>
      </c>
      <c r="H114" s="31">
        <v>73</v>
      </c>
      <c r="I114" s="32">
        <v>4.178240740740741E-3</v>
      </c>
      <c r="J114" s="31">
        <v>3</v>
      </c>
    </row>
    <row r="115" spans="1:10" x14ac:dyDescent="0.35">
      <c r="A115" s="31" t="s">
        <v>425</v>
      </c>
      <c r="B115" s="31" t="s">
        <v>305</v>
      </c>
      <c r="C115" s="31" t="s">
        <v>370</v>
      </c>
      <c r="D115" s="32">
        <v>0.65</v>
      </c>
      <c r="E115" s="31" t="s">
        <v>302</v>
      </c>
      <c r="F115" s="31" t="s">
        <v>303</v>
      </c>
      <c r="G115" s="31" t="s">
        <v>303</v>
      </c>
      <c r="H115" s="31"/>
      <c r="I115" s="31"/>
      <c r="J115" s="31"/>
    </row>
    <row r="116" spans="1:10" x14ac:dyDescent="0.35">
      <c r="A116" s="31" t="s">
        <v>426</v>
      </c>
      <c r="B116" s="31" t="s">
        <v>316</v>
      </c>
      <c r="C116" s="31" t="s">
        <v>370</v>
      </c>
      <c r="D116" s="32">
        <v>0.73400462962962965</v>
      </c>
      <c r="E116" s="31" t="s">
        <v>302</v>
      </c>
      <c r="F116" s="31" t="s">
        <v>299</v>
      </c>
      <c r="G116" s="31" t="s">
        <v>299</v>
      </c>
      <c r="H116" s="31">
        <v>55</v>
      </c>
      <c r="I116" s="32">
        <v>4.0162037037037041E-3</v>
      </c>
      <c r="J116" s="31">
        <v>5</v>
      </c>
    </row>
    <row r="117" spans="1:10" x14ac:dyDescent="0.35">
      <c r="A117" s="31" t="s">
        <v>427</v>
      </c>
      <c r="B117" s="31" t="s">
        <v>307</v>
      </c>
      <c r="C117" s="31" t="s">
        <v>370</v>
      </c>
      <c r="D117" s="32">
        <v>0.73400462962962965</v>
      </c>
      <c r="E117" s="31" t="s">
        <v>309</v>
      </c>
      <c r="F117" s="31" t="s">
        <v>303</v>
      </c>
      <c r="G117" s="31" t="s">
        <v>303</v>
      </c>
      <c r="H117" s="31"/>
      <c r="I117" s="31"/>
      <c r="J117" s="31"/>
    </row>
    <row r="118" spans="1:10" x14ac:dyDescent="0.35">
      <c r="A118" s="31" t="s">
        <v>428</v>
      </c>
      <c r="B118" s="31" t="s">
        <v>296</v>
      </c>
      <c r="C118" s="31" t="s">
        <v>370</v>
      </c>
      <c r="D118" s="32">
        <v>0.74099537037037033</v>
      </c>
      <c r="E118" s="31" t="s">
        <v>317</v>
      </c>
      <c r="F118" s="31" t="s">
        <v>303</v>
      </c>
      <c r="G118" s="31" t="s">
        <v>303</v>
      </c>
      <c r="H118" s="31"/>
      <c r="I118" s="31"/>
      <c r="J118" s="31"/>
    </row>
    <row r="119" spans="1:10" x14ac:dyDescent="0.35">
      <c r="A119" s="31" t="s">
        <v>429</v>
      </c>
      <c r="B119" s="31" t="s">
        <v>323</v>
      </c>
      <c r="C119" s="31" t="s">
        <v>370</v>
      </c>
      <c r="D119" s="32">
        <v>0.74099537037037033</v>
      </c>
      <c r="E119" s="31" t="s">
        <v>317</v>
      </c>
      <c r="F119" s="31" t="s">
        <v>299</v>
      </c>
      <c r="G119" s="31" t="s">
        <v>299</v>
      </c>
      <c r="H119" s="31">
        <v>23</v>
      </c>
      <c r="I119" s="32">
        <v>3.6805555555555554E-3</v>
      </c>
      <c r="J119" s="31">
        <v>4</v>
      </c>
    </row>
    <row r="120" spans="1:10" x14ac:dyDescent="0.35">
      <c r="A120" s="31" t="s">
        <v>430</v>
      </c>
      <c r="B120" s="31" t="s">
        <v>332</v>
      </c>
      <c r="C120" s="31" t="s">
        <v>431</v>
      </c>
      <c r="D120" s="32">
        <v>0.38200231481481484</v>
      </c>
      <c r="E120" s="31" t="s">
        <v>309</v>
      </c>
      <c r="F120" s="31" t="s">
        <v>299</v>
      </c>
      <c r="G120" s="31" t="s">
        <v>303</v>
      </c>
      <c r="H120" s="31">
        <v>124</v>
      </c>
      <c r="I120" s="32">
        <v>1.6550925925925926E-3</v>
      </c>
      <c r="J120" s="31">
        <v>5</v>
      </c>
    </row>
    <row r="121" spans="1:10" x14ac:dyDescent="0.35">
      <c r="A121" s="31" t="s">
        <v>432</v>
      </c>
      <c r="B121" s="31" t="s">
        <v>332</v>
      </c>
      <c r="C121" s="31" t="s">
        <v>431</v>
      </c>
      <c r="D121" s="32">
        <v>0.38200231481481484</v>
      </c>
      <c r="E121" s="31" t="s">
        <v>298</v>
      </c>
      <c r="F121" s="31" t="s">
        <v>303</v>
      </c>
      <c r="G121" s="31" t="s">
        <v>303</v>
      </c>
      <c r="H121" s="31"/>
      <c r="I121" s="31"/>
      <c r="J121" s="31"/>
    </row>
    <row r="122" spans="1:10" x14ac:dyDescent="0.35">
      <c r="A122" s="31" t="s">
        <v>433</v>
      </c>
      <c r="B122" s="31" t="s">
        <v>332</v>
      </c>
      <c r="C122" s="31" t="s">
        <v>431</v>
      </c>
      <c r="D122" s="32">
        <v>0.4079976851851852</v>
      </c>
      <c r="E122" s="31" t="s">
        <v>302</v>
      </c>
      <c r="F122" s="31" t="s">
        <v>299</v>
      </c>
      <c r="G122" s="31" t="s">
        <v>299</v>
      </c>
      <c r="H122" s="31">
        <v>103</v>
      </c>
      <c r="I122" s="32">
        <v>7.0601851851851847E-4</v>
      </c>
      <c r="J122" s="31">
        <v>4</v>
      </c>
    </row>
    <row r="123" spans="1:10" x14ac:dyDescent="0.35">
      <c r="A123" s="31" t="s">
        <v>434</v>
      </c>
      <c r="B123" s="31" t="s">
        <v>323</v>
      </c>
      <c r="C123" s="31" t="s">
        <v>431</v>
      </c>
      <c r="D123" s="32">
        <v>0.4079976851851852</v>
      </c>
      <c r="E123" s="31" t="s">
        <v>298</v>
      </c>
      <c r="F123" s="31" t="s">
        <v>299</v>
      </c>
      <c r="G123" s="31" t="s">
        <v>299</v>
      </c>
      <c r="H123" s="31">
        <v>69</v>
      </c>
      <c r="I123" s="32">
        <v>2.6041666666666665E-3</v>
      </c>
      <c r="J123" s="31">
        <v>4</v>
      </c>
    </row>
    <row r="124" spans="1:10" x14ac:dyDescent="0.35">
      <c r="A124" s="31" t="s">
        <v>435</v>
      </c>
      <c r="B124" s="31" t="s">
        <v>319</v>
      </c>
      <c r="C124" s="31" t="s">
        <v>431</v>
      </c>
      <c r="D124" s="32">
        <v>0.43700231481481483</v>
      </c>
      <c r="E124" s="31" t="s">
        <v>317</v>
      </c>
      <c r="F124" s="31" t="s">
        <v>299</v>
      </c>
      <c r="G124" s="31" t="s">
        <v>299</v>
      </c>
      <c r="H124" s="31">
        <v>78</v>
      </c>
      <c r="I124" s="32">
        <v>8.3333333333333339E-4</v>
      </c>
      <c r="J124" s="31">
        <v>3</v>
      </c>
    </row>
    <row r="125" spans="1:10" x14ac:dyDescent="0.35">
      <c r="A125" s="31" t="s">
        <v>436</v>
      </c>
      <c r="B125" s="31" t="s">
        <v>323</v>
      </c>
      <c r="C125" s="31" t="s">
        <v>431</v>
      </c>
      <c r="D125" s="32">
        <v>0.43700231481481483</v>
      </c>
      <c r="E125" s="31" t="s">
        <v>302</v>
      </c>
      <c r="F125" s="31" t="s">
        <v>299</v>
      </c>
      <c r="G125" s="31" t="s">
        <v>299</v>
      </c>
      <c r="H125" s="31">
        <v>78</v>
      </c>
      <c r="I125" s="32">
        <v>2.3842592592592591E-3</v>
      </c>
      <c r="J125" s="31">
        <v>5</v>
      </c>
    </row>
    <row r="126" spans="1:10" x14ac:dyDescent="0.35">
      <c r="A126" s="31" t="s">
        <v>437</v>
      </c>
      <c r="B126" s="31" t="s">
        <v>323</v>
      </c>
      <c r="C126" s="31" t="s">
        <v>431</v>
      </c>
      <c r="D126" s="32">
        <v>0.44299768518518517</v>
      </c>
      <c r="E126" s="31" t="s">
        <v>302</v>
      </c>
      <c r="F126" s="31" t="s">
        <v>303</v>
      </c>
      <c r="G126" s="31" t="s">
        <v>303</v>
      </c>
      <c r="H126" s="31"/>
      <c r="I126" s="31"/>
      <c r="J126" s="31"/>
    </row>
    <row r="127" spans="1:10" x14ac:dyDescent="0.35">
      <c r="A127" s="31" t="s">
        <v>438</v>
      </c>
      <c r="B127" s="31" t="s">
        <v>296</v>
      </c>
      <c r="C127" s="31" t="s">
        <v>431</v>
      </c>
      <c r="D127" s="32">
        <v>0.44299768518518517</v>
      </c>
      <c r="E127" s="31" t="s">
        <v>309</v>
      </c>
      <c r="F127" s="31" t="s">
        <v>299</v>
      </c>
      <c r="G127" s="31" t="s">
        <v>299</v>
      </c>
      <c r="H127" s="31">
        <v>44</v>
      </c>
      <c r="I127" s="32">
        <v>3.9120370370370368E-3</v>
      </c>
      <c r="J127" s="31">
        <v>4</v>
      </c>
    </row>
    <row r="128" spans="1:10" x14ac:dyDescent="0.35">
      <c r="A128" s="31" t="s">
        <v>439</v>
      </c>
      <c r="B128" s="31" t="s">
        <v>323</v>
      </c>
      <c r="C128" s="31" t="s">
        <v>431</v>
      </c>
      <c r="D128" s="32">
        <v>0.45299768518518518</v>
      </c>
      <c r="E128" s="31" t="s">
        <v>314</v>
      </c>
      <c r="F128" s="31" t="s">
        <v>299</v>
      </c>
      <c r="G128" s="31" t="s">
        <v>299</v>
      </c>
      <c r="H128" s="31">
        <v>35</v>
      </c>
      <c r="I128" s="32">
        <v>1.9212962962962964E-3</v>
      </c>
      <c r="J128" s="31">
        <v>4</v>
      </c>
    </row>
    <row r="129" spans="1:10" x14ac:dyDescent="0.35">
      <c r="A129" s="31" t="s">
        <v>440</v>
      </c>
      <c r="B129" s="31" t="s">
        <v>301</v>
      </c>
      <c r="C129" s="31" t="s">
        <v>431</v>
      </c>
      <c r="D129" s="32">
        <v>0.45299768518518518</v>
      </c>
      <c r="E129" s="31" t="s">
        <v>314</v>
      </c>
      <c r="F129" s="31" t="s">
        <v>299</v>
      </c>
      <c r="G129" s="31" t="s">
        <v>299</v>
      </c>
      <c r="H129" s="31">
        <v>102</v>
      </c>
      <c r="I129" s="32">
        <v>3.7731481481481483E-3</v>
      </c>
      <c r="J129" s="31">
        <v>4</v>
      </c>
    </row>
    <row r="130" spans="1:10" x14ac:dyDescent="0.35">
      <c r="A130" s="31" t="s">
        <v>441</v>
      </c>
      <c r="B130" s="31" t="s">
        <v>316</v>
      </c>
      <c r="C130" s="31" t="s">
        <v>431</v>
      </c>
      <c r="D130" s="32">
        <v>0.45299768518518518</v>
      </c>
      <c r="E130" s="31" t="s">
        <v>298</v>
      </c>
      <c r="F130" s="31" t="s">
        <v>299</v>
      </c>
      <c r="G130" s="31" t="s">
        <v>299</v>
      </c>
      <c r="H130" s="31">
        <v>99</v>
      </c>
      <c r="I130" s="32">
        <v>4.0625000000000001E-3</v>
      </c>
      <c r="J130" s="31">
        <v>3</v>
      </c>
    </row>
    <row r="131" spans="1:10" x14ac:dyDescent="0.35">
      <c r="A131" s="31" t="s">
        <v>442</v>
      </c>
      <c r="B131" s="31" t="s">
        <v>316</v>
      </c>
      <c r="C131" s="31" t="s">
        <v>431</v>
      </c>
      <c r="D131" s="32">
        <v>0.45299768518518518</v>
      </c>
      <c r="E131" s="31" t="s">
        <v>314</v>
      </c>
      <c r="F131" s="31" t="s">
        <v>299</v>
      </c>
      <c r="G131" s="31" t="s">
        <v>299</v>
      </c>
      <c r="H131" s="31">
        <v>29</v>
      </c>
      <c r="I131" s="32">
        <v>2.8819444444444444E-3</v>
      </c>
      <c r="J131" s="31">
        <v>3</v>
      </c>
    </row>
    <row r="132" spans="1:10" x14ac:dyDescent="0.35">
      <c r="A132" s="31" t="s">
        <v>443</v>
      </c>
      <c r="B132" s="31" t="s">
        <v>301</v>
      </c>
      <c r="C132" s="31" t="s">
        <v>431</v>
      </c>
      <c r="D132" s="32">
        <v>0.45700231481481479</v>
      </c>
      <c r="E132" s="31" t="s">
        <v>314</v>
      </c>
      <c r="F132" s="31" t="s">
        <v>299</v>
      </c>
      <c r="G132" s="31" t="s">
        <v>303</v>
      </c>
      <c r="H132" s="31">
        <v>42</v>
      </c>
      <c r="I132" s="32">
        <v>6.8287037037037036E-4</v>
      </c>
      <c r="J132" s="31">
        <v>5</v>
      </c>
    </row>
    <row r="133" spans="1:10" x14ac:dyDescent="0.35">
      <c r="A133" s="31" t="s">
        <v>444</v>
      </c>
      <c r="B133" s="31" t="s">
        <v>296</v>
      </c>
      <c r="C133" s="31" t="s">
        <v>431</v>
      </c>
      <c r="D133" s="32">
        <v>0.45700231481481479</v>
      </c>
      <c r="E133" s="31" t="s">
        <v>309</v>
      </c>
      <c r="F133" s="31" t="s">
        <v>299</v>
      </c>
      <c r="G133" s="31" t="s">
        <v>299</v>
      </c>
      <c r="H133" s="31">
        <v>113</v>
      </c>
      <c r="I133" s="32">
        <v>3.9351851851851848E-3</v>
      </c>
      <c r="J133" s="31">
        <v>4</v>
      </c>
    </row>
    <row r="134" spans="1:10" x14ac:dyDescent="0.35">
      <c r="A134" s="31" t="s">
        <v>445</v>
      </c>
      <c r="B134" s="31" t="s">
        <v>332</v>
      </c>
      <c r="C134" s="31" t="s">
        <v>431</v>
      </c>
      <c r="D134" s="32">
        <v>0.46</v>
      </c>
      <c r="E134" s="31" t="s">
        <v>314</v>
      </c>
      <c r="F134" s="31" t="s">
        <v>299</v>
      </c>
      <c r="G134" s="31" t="s">
        <v>299</v>
      </c>
      <c r="H134" s="31">
        <v>124</v>
      </c>
      <c r="I134" s="32">
        <v>6.134259259259259E-4</v>
      </c>
      <c r="J134" s="31">
        <v>2</v>
      </c>
    </row>
    <row r="135" spans="1:10" x14ac:dyDescent="0.35">
      <c r="A135" s="31" t="s">
        <v>446</v>
      </c>
      <c r="B135" s="31" t="s">
        <v>316</v>
      </c>
      <c r="C135" s="31" t="s">
        <v>431</v>
      </c>
      <c r="D135" s="32">
        <v>0.46</v>
      </c>
      <c r="E135" s="31" t="s">
        <v>302</v>
      </c>
      <c r="F135" s="31" t="s">
        <v>303</v>
      </c>
      <c r="G135" s="31" t="s">
        <v>303</v>
      </c>
      <c r="H135" s="31"/>
      <c r="I135" s="31"/>
      <c r="J135" s="31"/>
    </row>
    <row r="136" spans="1:10" x14ac:dyDescent="0.35">
      <c r="A136" s="31" t="s">
        <v>447</v>
      </c>
      <c r="B136" s="31" t="s">
        <v>332</v>
      </c>
      <c r="C136" s="31" t="s">
        <v>431</v>
      </c>
      <c r="D136" s="32">
        <v>0.46099537037037036</v>
      </c>
      <c r="E136" s="31" t="s">
        <v>309</v>
      </c>
      <c r="F136" s="31" t="s">
        <v>299</v>
      </c>
      <c r="G136" s="31" t="s">
        <v>299</v>
      </c>
      <c r="H136" s="31">
        <v>55</v>
      </c>
      <c r="I136" s="32">
        <v>1.5393518518518519E-3</v>
      </c>
      <c r="J136" s="31">
        <v>1</v>
      </c>
    </row>
    <row r="137" spans="1:10" x14ac:dyDescent="0.35">
      <c r="A137" s="31" t="s">
        <v>448</v>
      </c>
      <c r="B137" s="31" t="s">
        <v>307</v>
      </c>
      <c r="C137" s="31" t="s">
        <v>431</v>
      </c>
      <c r="D137" s="32">
        <v>0.46099537037037036</v>
      </c>
      <c r="E137" s="31" t="s">
        <v>302</v>
      </c>
      <c r="F137" s="31" t="s">
        <v>299</v>
      </c>
      <c r="G137" s="31" t="s">
        <v>303</v>
      </c>
      <c r="H137" s="31">
        <v>105</v>
      </c>
      <c r="I137" s="32">
        <v>4.1550925925925922E-3</v>
      </c>
      <c r="J137" s="31">
        <v>3</v>
      </c>
    </row>
    <row r="138" spans="1:10" x14ac:dyDescent="0.35">
      <c r="A138" s="31" t="s">
        <v>449</v>
      </c>
      <c r="B138" s="31" t="s">
        <v>305</v>
      </c>
      <c r="C138" s="31" t="s">
        <v>431</v>
      </c>
      <c r="D138" s="32">
        <v>0.46299768518518519</v>
      </c>
      <c r="E138" s="31" t="s">
        <v>298</v>
      </c>
      <c r="F138" s="31" t="s">
        <v>299</v>
      </c>
      <c r="G138" s="31" t="s">
        <v>303</v>
      </c>
      <c r="H138" s="31">
        <v>112</v>
      </c>
      <c r="I138" s="32">
        <v>2.2222222222222222E-3</v>
      </c>
      <c r="J138" s="31">
        <v>5</v>
      </c>
    </row>
    <row r="139" spans="1:10" x14ac:dyDescent="0.35">
      <c r="A139" s="31" t="s">
        <v>450</v>
      </c>
      <c r="B139" s="31" t="s">
        <v>323</v>
      </c>
      <c r="C139" s="31" t="s">
        <v>431</v>
      </c>
      <c r="D139" s="32">
        <v>0.46299768518518519</v>
      </c>
      <c r="E139" s="31" t="s">
        <v>298</v>
      </c>
      <c r="F139" s="31" t="s">
        <v>303</v>
      </c>
      <c r="G139" s="31" t="s">
        <v>303</v>
      </c>
      <c r="H139" s="31"/>
      <c r="I139" s="31"/>
      <c r="J139" s="31"/>
    </row>
    <row r="140" spans="1:10" x14ac:dyDescent="0.35">
      <c r="A140" s="31" t="s">
        <v>451</v>
      </c>
      <c r="B140" s="31" t="s">
        <v>301</v>
      </c>
      <c r="C140" s="31" t="s">
        <v>431</v>
      </c>
      <c r="D140" s="32">
        <v>0.47</v>
      </c>
      <c r="E140" s="31" t="s">
        <v>302</v>
      </c>
      <c r="F140" s="31" t="s">
        <v>299</v>
      </c>
      <c r="G140" s="31" t="s">
        <v>299</v>
      </c>
      <c r="H140" s="31">
        <v>43</v>
      </c>
      <c r="I140" s="32">
        <v>4.3981481481481484E-3</v>
      </c>
      <c r="J140" s="31">
        <v>5</v>
      </c>
    </row>
    <row r="141" spans="1:10" x14ac:dyDescent="0.35">
      <c r="A141" s="31" t="s">
        <v>452</v>
      </c>
      <c r="B141" s="31" t="s">
        <v>319</v>
      </c>
      <c r="C141" s="31" t="s">
        <v>431</v>
      </c>
      <c r="D141" s="32">
        <v>0.47</v>
      </c>
      <c r="E141" s="31" t="s">
        <v>309</v>
      </c>
      <c r="F141" s="31" t="s">
        <v>299</v>
      </c>
      <c r="G141" s="31" t="s">
        <v>299</v>
      </c>
      <c r="H141" s="31">
        <v>20</v>
      </c>
      <c r="I141" s="32">
        <v>1.2037037037037038E-3</v>
      </c>
      <c r="J141" s="31">
        <v>3</v>
      </c>
    </row>
    <row r="142" spans="1:10" x14ac:dyDescent="0.35">
      <c r="A142" t="s">
        <v>453</v>
      </c>
      <c r="B142" t="s">
        <v>307</v>
      </c>
      <c r="C142" t="s">
        <v>431</v>
      </c>
      <c r="D142" s="30">
        <v>0.47700231481481481</v>
      </c>
      <c r="E142" t="s">
        <v>302</v>
      </c>
      <c r="F142" t="s">
        <v>299</v>
      </c>
      <c r="G142" t="s">
        <v>299</v>
      </c>
      <c r="H142">
        <v>84</v>
      </c>
      <c r="I142" s="30">
        <v>1.1921296296296296E-3</v>
      </c>
      <c r="J142">
        <v>5</v>
      </c>
    </row>
    <row r="143" spans="1:10" x14ac:dyDescent="0.35">
      <c r="A143" t="s">
        <v>454</v>
      </c>
      <c r="B143" t="s">
        <v>316</v>
      </c>
      <c r="C143" t="s">
        <v>431</v>
      </c>
      <c r="D143" s="30">
        <v>0.47700231481481481</v>
      </c>
      <c r="E143" t="s">
        <v>298</v>
      </c>
      <c r="F143" t="s">
        <v>299</v>
      </c>
      <c r="G143" t="s">
        <v>299</v>
      </c>
      <c r="H143">
        <v>20</v>
      </c>
      <c r="I143" s="30">
        <v>1.8981481481481482E-3</v>
      </c>
      <c r="J143">
        <v>4</v>
      </c>
    </row>
    <row r="144" spans="1:10" x14ac:dyDescent="0.35">
      <c r="A144" t="s">
        <v>455</v>
      </c>
      <c r="B144" t="s">
        <v>307</v>
      </c>
      <c r="C144" t="s">
        <v>431</v>
      </c>
      <c r="D144" s="30">
        <v>0.48499999999999999</v>
      </c>
      <c r="E144" t="s">
        <v>317</v>
      </c>
      <c r="F144" t="s">
        <v>299</v>
      </c>
      <c r="G144" t="s">
        <v>299</v>
      </c>
      <c r="H144">
        <v>101</v>
      </c>
      <c r="I144" s="30">
        <v>1.5740740740740741E-3</v>
      </c>
      <c r="J144">
        <v>3</v>
      </c>
    </row>
    <row r="145" spans="1:10" x14ac:dyDescent="0.35">
      <c r="A145" t="s">
        <v>456</v>
      </c>
      <c r="B145" t="s">
        <v>296</v>
      </c>
      <c r="C145" t="s">
        <v>431</v>
      </c>
      <c r="D145" s="30">
        <v>0.48499999999999999</v>
      </c>
      <c r="E145" t="s">
        <v>302</v>
      </c>
      <c r="F145" t="s">
        <v>299</v>
      </c>
      <c r="G145" t="s">
        <v>299</v>
      </c>
      <c r="H145">
        <v>31</v>
      </c>
      <c r="I145" s="30">
        <v>2.0254629629629629E-3</v>
      </c>
      <c r="J145">
        <v>5</v>
      </c>
    </row>
    <row r="146" spans="1:10" x14ac:dyDescent="0.35">
      <c r="A146" t="s">
        <v>457</v>
      </c>
      <c r="B146" t="s">
        <v>316</v>
      </c>
      <c r="C146" t="s">
        <v>431</v>
      </c>
      <c r="D146" s="30">
        <v>0.495</v>
      </c>
      <c r="E146" t="s">
        <v>298</v>
      </c>
      <c r="F146" t="s">
        <v>299</v>
      </c>
      <c r="G146" t="s">
        <v>299</v>
      </c>
      <c r="H146">
        <v>56</v>
      </c>
      <c r="I146" s="30">
        <v>2.8819444444444444E-3</v>
      </c>
      <c r="J146">
        <v>5</v>
      </c>
    </row>
    <row r="147" spans="1:10" x14ac:dyDescent="0.35">
      <c r="A147" t="s">
        <v>458</v>
      </c>
      <c r="B147" t="s">
        <v>319</v>
      </c>
      <c r="C147" t="s">
        <v>431</v>
      </c>
      <c r="D147" s="30">
        <v>0.495</v>
      </c>
      <c r="E147" t="s">
        <v>298</v>
      </c>
      <c r="F147" t="s">
        <v>303</v>
      </c>
      <c r="G147" t="s">
        <v>303</v>
      </c>
    </row>
    <row r="148" spans="1:10" x14ac:dyDescent="0.35">
      <c r="A148" t="s">
        <v>459</v>
      </c>
      <c r="B148" t="s">
        <v>319</v>
      </c>
      <c r="C148" t="s">
        <v>431</v>
      </c>
      <c r="D148" s="30">
        <v>0.49700231481481483</v>
      </c>
      <c r="E148" t="s">
        <v>309</v>
      </c>
      <c r="F148" t="s">
        <v>299</v>
      </c>
      <c r="G148" t="s">
        <v>299</v>
      </c>
      <c r="H148">
        <v>77</v>
      </c>
      <c r="I148" s="30">
        <v>1.0069444444444444E-3</v>
      </c>
      <c r="J148">
        <v>5</v>
      </c>
    </row>
    <row r="149" spans="1:10" x14ac:dyDescent="0.35">
      <c r="A149" t="s">
        <v>460</v>
      </c>
      <c r="B149" t="s">
        <v>316</v>
      </c>
      <c r="C149" t="s">
        <v>431</v>
      </c>
      <c r="D149" s="30">
        <v>0.49700231481481483</v>
      </c>
      <c r="E149" t="s">
        <v>309</v>
      </c>
      <c r="F149" t="s">
        <v>299</v>
      </c>
      <c r="G149" t="s">
        <v>299</v>
      </c>
      <c r="H149">
        <v>46</v>
      </c>
      <c r="I149" s="30">
        <v>5.7870370370370367E-4</v>
      </c>
      <c r="J149">
        <v>4</v>
      </c>
    </row>
    <row r="150" spans="1:10" x14ac:dyDescent="0.35">
      <c r="A150" t="s">
        <v>461</v>
      </c>
      <c r="B150" t="s">
        <v>305</v>
      </c>
      <c r="C150" t="s">
        <v>431</v>
      </c>
      <c r="D150" s="30">
        <v>0.4990046296296296</v>
      </c>
      <c r="E150" t="s">
        <v>314</v>
      </c>
      <c r="F150" t="s">
        <v>299</v>
      </c>
      <c r="G150" t="s">
        <v>299</v>
      </c>
      <c r="H150">
        <v>88</v>
      </c>
      <c r="I150" s="30">
        <v>3.0787037037037037E-3</v>
      </c>
      <c r="J150">
        <v>3</v>
      </c>
    </row>
    <row r="151" spans="1:10" x14ac:dyDescent="0.35">
      <c r="A151" t="s">
        <v>462</v>
      </c>
      <c r="B151" t="s">
        <v>296</v>
      </c>
      <c r="C151" t="s">
        <v>431</v>
      </c>
      <c r="D151" s="30">
        <v>0.4990046296296296</v>
      </c>
      <c r="E151" t="s">
        <v>309</v>
      </c>
      <c r="F151" t="s">
        <v>299</v>
      </c>
      <c r="G151" t="s">
        <v>299</v>
      </c>
      <c r="H151">
        <v>88</v>
      </c>
      <c r="I151" s="30">
        <v>6.7129629629629625E-4</v>
      </c>
      <c r="J151">
        <v>1</v>
      </c>
    </row>
    <row r="152" spans="1:10" x14ac:dyDescent="0.35">
      <c r="A152" t="s">
        <v>463</v>
      </c>
      <c r="B152" t="s">
        <v>319</v>
      </c>
      <c r="C152" t="s">
        <v>431</v>
      </c>
      <c r="D152" s="30">
        <v>0.52299768518518519</v>
      </c>
      <c r="E152" t="s">
        <v>302</v>
      </c>
      <c r="F152" t="s">
        <v>299</v>
      </c>
      <c r="G152" t="s">
        <v>299</v>
      </c>
      <c r="H152">
        <v>124</v>
      </c>
      <c r="I152" s="30">
        <v>4.2013888888888891E-3</v>
      </c>
      <c r="J152">
        <v>1</v>
      </c>
    </row>
    <row r="153" spans="1:10" x14ac:dyDescent="0.35">
      <c r="A153" t="s">
        <v>464</v>
      </c>
      <c r="B153" t="s">
        <v>305</v>
      </c>
      <c r="C153" t="s">
        <v>431</v>
      </c>
      <c r="D153" s="30">
        <v>0.52299768518518519</v>
      </c>
      <c r="E153" t="s">
        <v>298</v>
      </c>
      <c r="F153" t="s">
        <v>303</v>
      </c>
      <c r="G153" t="s">
        <v>303</v>
      </c>
    </row>
    <row r="154" spans="1:10" x14ac:dyDescent="0.35">
      <c r="A154" t="s">
        <v>465</v>
      </c>
      <c r="B154" t="s">
        <v>323</v>
      </c>
      <c r="C154" t="s">
        <v>431</v>
      </c>
      <c r="D154" s="30">
        <v>0.5379976851851852</v>
      </c>
      <c r="E154" t="s">
        <v>309</v>
      </c>
      <c r="F154" t="s">
        <v>299</v>
      </c>
      <c r="G154" t="s">
        <v>303</v>
      </c>
      <c r="H154">
        <v>52</v>
      </c>
      <c r="I154" s="30">
        <v>4.8495370370370368E-3</v>
      </c>
      <c r="J154">
        <v>4</v>
      </c>
    </row>
    <row r="155" spans="1:10" x14ac:dyDescent="0.35">
      <c r="A155" t="s">
        <v>466</v>
      </c>
      <c r="B155" t="s">
        <v>319</v>
      </c>
      <c r="C155" t="s">
        <v>431</v>
      </c>
      <c r="D155" s="30">
        <v>0.5379976851851852</v>
      </c>
      <c r="E155" t="s">
        <v>314</v>
      </c>
      <c r="F155" t="s">
        <v>299</v>
      </c>
      <c r="G155" t="s">
        <v>299</v>
      </c>
      <c r="H155">
        <v>67</v>
      </c>
      <c r="I155" s="30">
        <v>4.2824074074074075E-3</v>
      </c>
      <c r="J155">
        <v>5</v>
      </c>
    </row>
    <row r="156" spans="1:10" x14ac:dyDescent="0.35">
      <c r="A156" t="s">
        <v>467</v>
      </c>
      <c r="B156" t="s">
        <v>323</v>
      </c>
      <c r="C156" t="s">
        <v>431</v>
      </c>
      <c r="D156" s="30">
        <v>0.55000000000000004</v>
      </c>
      <c r="E156" t="s">
        <v>309</v>
      </c>
      <c r="F156" t="s">
        <v>299</v>
      </c>
      <c r="G156" t="s">
        <v>299</v>
      </c>
      <c r="H156">
        <v>119</v>
      </c>
      <c r="I156" s="30">
        <v>2.9629629629629628E-3</v>
      </c>
      <c r="J156">
        <v>3</v>
      </c>
    </row>
    <row r="157" spans="1:10" x14ac:dyDescent="0.35">
      <c r="A157" t="s">
        <v>468</v>
      </c>
      <c r="B157" t="s">
        <v>332</v>
      </c>
      <c r="C157" t="s">
        <v>431</v>
      </c>
      <c r="D157" s="30">
        <v>0.55000000000000004</v>
      </c>
      <c r="E157" t="s">
        <v>314</v>
      </c>
      <c r="F157" t="s">
        <v>299</v>
      </c>
      <c r="G157" t="s">
        <v>299</v>
      </c>
      <c r="H157">
        <v>98</v>
      </c>
      <c r="I157" s="30">
        <v>3.2060185185185186E-3</v>
      </c>
      <c r="J157">
        <v>2</v>
      </c>
    </row>
    <row r="158" spans="1:10" x14ac:dyDescent="0.35">
      <c r="A158" t="s">
        <v>469</v>
      </c>
      <c r="B158" t="s">
        <v>316</v>
      </c>
      <c r="C158" t="s">
        <v>431</v>
      </c>
      <c r="D158" s="30">
        <v>0.55200231481481477</v>
      </c>
      <c r="E158" t="s">
        <v>302</v>
      </c>
      <c r="F158" t="s">
        <v>303</v>
      </c>
      <c r="G158" t="s">
        <v>303</v>
      </c>
    </row>
    <row r="159" spans="1:10" x14ac:dyDescent="0.35">
      <c r="A159" t="s">
        <v>470</v>
      </c>
      <c r="B159" t="s">
        <v>319</v>
      </c>
      <c r="C159" t="s">
        <v>431</v>
      </c>
      <c r="D159" s="30">
        <v>0.55200231481481477</v>
      </c>
      <c r="E159" t="s">
        <v>302</v>
      </c>
      <c r="F159" t="s">
        <v>299</v>
      </c>
      <c r="G159" t="s">
        <v>299</v>
      </c>
      <c r="H159">
        <v>118</v>
      </c>
      <c r="I159" s="30">
        <v>2.9861111111111113E-3</v>
      </c>
      <c r="J159">
        <v>3</v>
      </c>
    </row>
    <row r="160" spans="1:10" x14ac:dyDescent="0.35">
      <c r="A160" t="s">
        <v>471</v>
      </c>
      <c r="B160" t="s">
        <v>301</v>
      </c>
      <c r="C160" t="s">
        <v>431</v>
      </c>
      <c r="D160" s="30">
        <v>0.56099537037037039</v>
      </c>
      <c r="E160" t="s">
        <v>314</v>
      </c>
      <c r="F160" t="s">
        <v>299</v>
      </c>
      <c r="G160" t="s">
        <v>299</v>
      </c>
      <c r="H160">
        <v>123</v>
      </c>
      <c r="I160" s="30">
        <v>8.6805555555555551E-4</v>
      </c>
      <c r="J160">
        <v>3</v>
      </c>
    </row>
    <row r="161" spans="1:10" x14ac:dyDescent="0.35">
      <c r="A161" t="s">
        <v>472</v>
      </c>
      <c r="B161" t="s">
        <v>301</v>
      </c>
      <c r="C161" t="s">
        <v>431</v>
      </c>
      <c r="D161" s="30">
        <v>0.56099537037037039</v>
      </c>
      <c r="E161" t="s">
        <v>317</v>
      </c>
      <c r="F161" t="s">
        <v>299</v>
      </c>
      <c r="G161" t="s">
        <v>303</v>
      </c>
      <c r="H161">
        <v>86</v>
      </c>
      <c r="I161" s="30">
        <v>3.9004629629629628E-3</v>
      </c>
      <c r="J161">
        <v>1</v>
      </c>
    </row>
    <row r="162" spans="1:10" x14ac:dyDescent="0.35">
      <c r="A162" t="s">
        <v>473</v>
      </c>
      <c r="B162" t="s">
        <v>307</v>
      </c>
      <c r="C162" t="s">
        <v>431</v>
      </c>
      <c r="D162" s="30">
        <v>0.5659953703703704</v>
      </c>
      <c r="E162" t="s">
        <v>314</v>
      </c>
      <c r="F162" t="s">
        <v>299</v>
      </c>
      <c r="G162" t="s">
        <v>299</v>
      </c>
      <c r="H162">
        <v>104</v>
      </c>
      <c r="I162" s="30">
        <v>1.4930555555555556E-3</v>
      </c>
      <c r="J162">
        <v>3</v>
      </c>
    </row>
    <row r="163" spans="1:10" x14ac:dyDescent="0.35">
      <c r="A163" t="s">
        <v>474</v>
      </c>
      <c r="B163" t="s">
        <v>307</v>
      </c>
      <c r="C163" t="s">
        <v>431</v>
      </c>
      <c r="D163" s="30">
        <v>0.5659953703703704</v>
      </c>
      <c r="E163" t="s">
        <v>309</v>
      </c>
      <c r="F163" t="s">
        <v>299</v>
      </c>
      <c r="G163" t="s">
        <v>299</v>
      </c>
      <c r="H163">
        <v>69</v>
      </c>
      <c r="I163" s="30">
        <v>1.0763888888888889E-3</v>
      </c>
      <c r="J163">
        <v>2</v>
      </c>
    </row>
    <row r="164" spans="1:10" x14ac:dyDescent="0.35">
      <c r="A164" t="s">
        <v>475</v>
      </c>
      <c r="B164" t="s">
        <v>332</v>
      </c>
      <c r="C164" t="s">
        <v>431</v>
      </c>
      <c r="D164" s="30">
        <v>0.58200231481481479</v>
      </c>
      <c r="E164" t="s">
        <v>298</v>
      </c>
      <c r="F164" t="s">
        <v>299</v>
      </c>
      <c r="G164" t="s">
        <v>299</v>
      </c>
      <c r="H164">
        <v>113</v>
      </c>
      <c r="I164" s="30">
        <v>1.8287037037037037E-3</v>
      </c>
      <c r="J164">
        <v>1</v>
      </c>
    </row>
    <row r="165" spans="1:10" x14ac:dyDescent="0.35">
      <c r="A165" t="s">
        <v>476</v>
      </c>
      <c r="B165" t="s">
        <v>319</v>
      </c>
      <c r="C165" t="s">
        <v>431</v>
      </c>
      <c r="D165" s="30">
        <v>0.58200231481481479</v>
      </c>
      <c r="E165" t="s">
        <v>317</v>
      </c>
      <c r="F165" t="s">
        <v>299</v>
      </c>
      <c r="G165" t="s">
        <v>299</v>
      </c>
      <c r="H165">
        <v>88</v>
      </c>
      <c r="I165" s="30">
        <v>2.3495370370370371E-3</v>
      </c>
      <c r="J165">
        <v>5</v>
      </c>
    </row>
    <row r="166" spans="1:10" x14ac:dyDescent="0.35">
      <c r="A166" t="s">
        <v>477</v>
      </c>
      <c r="B166" t="s">
        <v>319</v>
      </c>
      <c r="C166" t="s">
        <v>431</v>
      </c>
      <c r="D166" s="30">
        <v>0.58200231481481479</v>
      </c>
      <c r="E166" t="s">
        <v>317</v>
      </c>
      <c r="F166" t="s">
        <v>303</v>
      </c>
      <c r="G166" t="s">
        <v>303</v>
      </c>
    </row>
    <row r="167" spans="1:10" x14ac:dyDescent="0.35">
      <c r="A167" t="s">
        <v>478</v>
      </c>
      <c r="B167" t="s">
        <v>305</v>
      </c>
      <c r="C167" t="s">
        <v>431</v>
      </c>
      <c r="D167" s="30">
        <v>0.58200231481481479</v>
      </c>
      <c r="E167" t="s">
        <v>309</v>
      </c>
      <c r="F167" t="s">
        <v>303</v>
      </c>
      <c r="G167" t="s">
        <v>303</v>
      </c>
    </row>
    <row r="168" spans="1:10" x14ac:dyDescent="0.35">
      <c r="A168" t="s">
        <v>479</v>
      </c>
      <c r="B168" t="s">
        <v>319</v>
      </c>
      <c r="C168" t="s">
        <v>431</v>
      </c>
      <c r="D168" s="30">
        <v>0.58599537037037042</v>
      </c>
      <c r="E168" t="s">
        <v>309</v>
      </c>
      <c r="F168" t="s">
        <v>299</v>
      </c>
      <c r="G168" t="s">
        <v>299</v>
      </c>
      <c r="H168">
        <v>84</v>
      </c>
      <c r="I168" s="30">
        <v>6.7129629629629625E-4</v>
      </c>
      <c r="J168">
        <v>2</v>
      </c>
    </row>
    <row r="169" spans="1:10" x14ac:dyDescent="0.35">
      <c r="A169" t="s">
        <v>480</v>
      </c>
      <c r="B169" t="s">
        <v>296</v>
      </c>
      <c r="C169" t="s">
        <v>431</v>
      </c>
      <c r="D169" s="30">
        <v>0.58599537037037042</v>
      </c>
      <c r="E169" t="s">
        <v>317</v>
      </c>
      <c r="F169" t="s">
        <v>299</v>
      </c>
      <c r="G169" t="s">
        <v>299</v>
      </c>
      <c r="H169">
        <v>113</v>
      </c>
      <c r="I169" s="30">
        <v>9.4907407407407408E-4</v>
      </c>
      <c r="J169">
        <v>3</v>
      </c>
    </row>
    <row r="170" spans="1:10" x14ac:dyDescent="0.35">
      <c r="A170" t="s">
        <v>481</v>
      </c>
      <c r="B170" t="s">
        <v>319</v>
      </c>
      <c r="C170" t="s">
        <v>431</v>
      </c>
      <c r="D170" s="30">
        <v>0.61599537037037033</v>
      </c>
      <c r="E170" t="s">
        <v>317</v>
      </c>
      <c r="F170" t="s">
        <v>299</v>
      </c>
      <c r="G170" t="s">
        <v>299</v>
      </c>
      <c r="H170">
        <v>38</v>
      </c>
      <c r="I170" s="30">
        <v>3.8310185185185183E-3</v>
      </c>
      <c r="J170">
        <v>4</v>
      </c>
    </row>
    <row r="171" spans="1:10" x14ac:dyDescent="0.35">
      <c r="A171" t="s">
        <v>482</v>
      </c>
      <c r="B171" t="s">
        <v>332</v>
      </c>
      <c r="C171" t="s">
        <v>431</v>
      </c>
      <c r="D171" s="30">
        <v>0.61599537037037033</v>
      </c>
      <c r="E171" t="s">
        <v>317</v>
      </c>
      <c r="F171" t="s">
        <v>299</v>
      </c>
      <c r="G171" t="s">
        <v>299</v>
      </c>
      <c r="H171">
        <v>14</v>
      </c>
      <c r="I171" s="30">
        <v>4.3287037037037035E-3</v>
      </c>
      <c r="J171">
        <v>4</v>
      </c>
    </row>
    <row r="172" spans="1:10" x14ac:dyDescent="0.35">
      <c r="A172" t="s">
        <v>483</v>
      </c>
      <c r="B172" t="s">
        <v>323</v>
      </c>
      <c r="C172" t="s">
        <v>431</v>
      </c>
      <c r="D172" s="30">
        <v>0.64900462962962968</v>
      </c>
      <c r="E172" t="s">
        <v>317</v>
      </c>
      <c r="F172" t="s">
        <v>299</v>
      </c>
      <c r="G172" t="s">
        <v>303</v>
      </c>
      <c r="H172">
        <v>25</v>
      </c>
      <c r="I172" s="30">
        <v>3.8425925925925928E-3</v>
      </c>
      <c r="J172">
        <v>4</v>
      </c>
    </row>
    <row r="173" spans="1:10" x14ac:dyDescent="0.35">
      <c r="A173" t="s">
        <v>484</v>
      </c>
      <c r="B173" t="s">
        <v>332</v>
      </c>
      <c r="C173" t="s">
        <v>431</v>
      </c>
      <c r="D173" s="30">
        <v>0.64900462962962968</v>
      </c>
      <c r="E173" t="s">
        <v>298</v>
      </c>
      <c r="F173" t="s">
        <v>303</v>
      </c>
      <c r="G173" t="s">
        <v>303</v>
      </c>
    </row>
    <row r="174" spans="1:10" x14ac:dyDescent="0.35">
      <c r="A174" t="s">
        <v>485</v>
      </c>
      <c r="B174" t="s">
        <v>296</v>
      </c>
      <c r="C174" t="s">
        <v>431</v>
      </c>
      <c r="D174" s="30">
        <v>0.68700231481481477</v>
      </c>
      <c r="E174" t="s">
        <v>302</v>
      </c>
      <c r="F174" t="s">
        <v>303</v>
      </c>
      <c r="G174" t="s">
        <v>303</v>
      </c>
    </row>
    <row r="175" spans="1:10" x14ac:dyDescent="0.35">
      <c r="A175" t="s">
        <v>486</v>
      </c>
      <c r="B175" t="s">
        <v>319</v>
      </c>
      <c r="C175" t="s">
        <v>431</v>
      </c>
      <c r="D175" s="30">
        <v>0.68700231481481477</v>
      </c>
      <c r="E175" t="s">
        <v>309</v>
      </c>
      <c r="F175" t="s">
        <v>299</v>
      </c>
      <c r="G175" t="s">
        <v>299</v>
      </c>
      <c r="H175">
        <v>117</v>
      </c>
      <c r="I175" s="30">
        <v>1.4699074074074074E-3</v>
      </c>
      <c r="J175">
        <v>4</v>
      </c>
    </row>
    <row r="176" spans="1:10" x14ac:dyDescent="0.35">
      <c r="A176" t="s">
        <v>487</v>
      </c>
      <c r="B176" t="s">
        <v>305</v>
      </c>
      <c r="C176" t="s">
        <v>431</v>
      </c>
      <c r="D176" s="30">
        <v>0.73</v>
      </c>
      <c r="E176" t="s">
        <v>309</v>
      </c>
      <c r="F176" t="s">
        <v>299</v>
      </c>
      <c r="G176" t="s">
        <v>303</v>
      </c>
      <c r="H176">
        <v>57</v>
      </c>
      <c r="I176" s="30">
        <v>4.178240740740741E-3</v>
      </c>
      <c r="J176">
        <v>2</v>
      </c>
    </row>
    <row r="177" spans="1:10" x14ac:dyDescent="0.35">
      <c r="A177" t="s">
        <v>488</v>
      </c>
      <c r="B177" t="s">
        <v>323</v>
      </c>
      <c r="C177" t="s">
        <v>431</v>
      </c>
      <c r="D177" s="30">
        <v>0.73</v>
      </c>
      <c r="E177" t="s">
        <v>302</v>
      </c>
      <c r="F177" t="s">
        <v>299</v>
      </c>
      <c r="G177" t="s">
        <v>299</v>
      </c>
      <c r="H177">
        <v>119</v>
      </c>
      <c r="I177" s="30">
        <v>3.6921296296296298E-3</v>
      </c>
      <c r="J177">
        <v>5</v>
      </c>
    </row>
    <row r="178" spans="1:10" x14ac:dyDescent="0.35">
      <c r="A178" t="s">
        <v>489</v>
      </c>
      <c r="B178" t="s">
        <v>323</v>
      </c>
      <c r="C178" t="s">
        <v>490</v>
      </c>
      <c r="D178" s="30">
        <v>0.3759953703703704</v>
      </c>
      <c r="E178" t="s">
        <v>298</v>
      </c>
      <c r="F178" t="s">
        <v>303</v>
      </c>
      <c r="G178" t="s">
        <v>303</v>
      </c>
    </row>
    <row r="179" spans="1:10" x14ac:dyDescent="0.35">
      <c r="A179" t="s">
        <v>491</v>
      </c>
      <c r="B179" t="s">
        <v>296</v>
      </c>
      <c r="C179" t="s">
        <v>490</v>
      </c>
      <c r="D179" s="30">
        <v>0.3759953703703704</v>
      </c>
      <c r="E179" t="s">
        <v>317</v>
      </c>
      <c r="F179" t="s">
        <v>299</v>
      </c>
      <c r="G179" t="s">
        <v>299</v>
      </c>
      <c r="H179">
        <v>93</v>
      </c>
      <c r="I179" s="30">
        <v>4.5370370370370373E-3</v>
      </c>
      <c r="J179">
        <v>5</v>
      </c>
    </row>
    <row r="180" spans="1:10" x14ac:dyDescent="0.35">
      <c r="A180" t="s">
        <v>492</v>
      </c>
      <c r="B180" t="s">
        <v>323</v>
      </c>
      <c r="C180" t="s">
        <v>490</v>
      </c>
      <c r="D180" s="30">
        <v>0.39700231481481479</v>
      </c>
      <c r="E180" t="s">
        <v>309</v>
      </c>
      <c r="F180" t="s">
        <v>299</v>
      </c>
      <c r="G180" t="s">
        <v>299</v>
      </c>
      <c r="H180">
        <v>86</v>
      </c>
      <c r="I180" s="30">
        <v>7.407407407407407E-4</v>
      </c>
      <c r="J180">
        <v>4</v>
      </c>
    </row>
    <row r="181" spans="1:10" x14ac:dyDescent="0.35">
      <c r="A181" t="s">
        <v>493</v>
      </c>
      <c r="B181" t="s">
        <v>319</v>
      </c>
      <c r="C181" t="s">
        <v>490</v>
      </c>
      <c r="D181" s="30">
        <v>0.39700231481481479</v>
      </c>
      <c r="E181" t="s">
        <v>317</v>
      </c>
      <c r="F181" t="s">
        <v>303</v>
      </c>
      <c r="G181" t="s">
        <v>303</v>
      </c>
    </row>
    <row r="182" spans="1:10" x14ac:dyDescent="0.35">
      <c r="A182" t="s">
        <v>494</v>
      </c>
      <c r="B182" t="s">
        <v>332</v>
      </c>
      <c r="C182" t="s">
        <v>490</v>
      </c>
      <c r="D182" s="30">
        <v>0.40500000000000003</v>
      </c>
      <c r="E182" t="s">
        <v>298</v>
      </c>
      <c r="F182" t="s">
        <v>299</v>
      </c>
      <c r="G182" t="s">
        <v>299</v>
      </c>
      <c r="H182">
        <v>92</v>
      </c>
      <c r="I182" s="30">
        <v>2.0717592592592593E-3</v>
      </c>
      <c r="J182">
        <v>3</v>
      </c>
    </row>
    <row r="183" spans="1:10" x14ac:dyDescent="0.35">
      <c r="A183" t="s">
        <v>495</v>
      </c>
      <c r="B183" t="s">
        <v>307</v>
      </c>
      <c r="C183" t="s">
        <v>490</v>
      </c>
      <c r="D183" s="30">
        <v>0.40500000000000003</v>
      </c>
      <c r="E183" t="s">
        <v>317</v>
      </c>
      <c r="F183" t="s">
        <v>303</v>
      </c>
      <c r="G183" t="s">
        <v>303</v>
      </c>
    </row>
    <row r="184" spans="1:10" x14ac:dyDescent="0.35">
      <c r="A184" t="s">
        <v>496</v>
      </c>
      <c r="B184" t="s">
        <v>323</v>
      </c>
      <c r="C184" t="s">
        <v>490</v>
      </c>
      <c r="D184" s="30">
        <v>0.41900462962962964</v>
      </c>
      <c r="E184" t="s">
        <v>302</v>
      </c>
      <c r="F184" t="s">
        <v>299</v>
      </c>
      <c r="G184" t="s">
        <v>299</v>
      </c>
      <c r="H184">
        <v>106</v>
      </c>
      <c r="I184" s="30">
        <v>3.9583333333333337E-3</v>
      </c>
      <c r="J184">
        <v>3</v>
      </c>
    </row>
    <row r="185" spans="1:10" x14ac:dyDescent="0.35">
      <c r="A185" t="s">
        <v>497</v>
      </c>
      <c r="B185" t="s">
        <v>305</v>
      </c>
      <c r="C185" t="s">
        <v>490</v>
      </c>
      <c r="D185" s="30">
        <v>0.41900462962962964</v>
      </c>
      <c r="E185" t="s">
        <v>302</v>
      </c>
      <c r="F185" t="s">
        <v>299</v>
      </c>
      <c r="G185" t="s">
        <v>299</v>
      </c>
      <c r="H185">
        <v>67</v>
      </c>
      <c r="I185" s="30">
        <v>1.8981481481481482E-3</v>
      </c>
      <c r="J185">
        <v>3</v>
      </c>
    </row>
    <row r="186" spans="1:10" x14ac:dyDescent="0.35">
      <c r="A186" t="s">
        <v>498</v>
      </c>
      <c r="B186" t="s">
        <v>316</v>
      </c>
      <c r="C186" t="s">
        <v>490</v>
      </c>
      <c r="D186" s="30">
        <v>0.43599537037037039</v>
      </c>
      <c r="E186" t="s">
        <v>317</v>
      </c>
      <c r="F186" t="s">
        <v>299</v>
      </c>
      <c r="G186" t="s">
        <v>299</v>
      </c>
      <c r="H186">
        <v>90</v>
      </c>
      <c r="I186" s="30">
        <v>2.9745370370370373E-3</v>
      </c>
      <c r="J186">
        <v>3</v>
      </c>
    </row>
    <row r="187" spans="1:10" x14ac:dyDescent="0.35">
      <c r="A187" t="s">
        <v>499</v>
      </c>
      <c r="B187" t="s">
        <v>296</v>
      </c>
      <c r="C187" t="s">
        <v>490</v>
      </c>
      <c r="D187" s="30">
        <v>0.43599537037037039</v>
      </c>
      <c r="E187" t="s">
        <v>302</v>
      </c>
      <c r="F187" t="s">
        <v>303</v>
      </c>
      <c r="G187" t="s">
        <v>303</v>
      </c>
    </row>
    <row r="188" spans="1:10" x14ac:dyDescent="0.35">
      <c r="A188" t="s">
        <v>500</v>
      </c>
      <c r="B188" t="s">
        <v>301</v>
      </c>
      <c r="C188" t="s">
        <v>490</v>
      </c>
      <c r="D188" s="30">
        <v>0.46500000000000002</v>
      </c>
      <c r="E188" t="s">
        <v>317</v>
      </c>
      <c r="F188" t="s">
        <v>299</v>
      </c>
      <c r="G188" t="s">
        <v>303</v>
      </c>
      <c r="H188">
        <v>50</v>
      </c>
      <c r="I188" s="30">
        <v>2.650462962962963E-3</v>
      </c>
      <c r="J188">
        <v>4</v>
      </c>
    </row>
    <row r="189" spans="1:10" x14ac:dyDescent="0.35">
      <c r="A189" t="s">
        <v>501</v>
      </c>
      <c r="B189" t="s">
        <v>296</v>
      </c>
      <c r="C189" t="s">
        <v>490</v>
      </c>
      <c r="D189" s="30">
        <v>0.46500000000000002</v>
      </c>
      <c r="E189" t="s">
        <v>314</v>
      </c>
      <c r="F189" t="s">
        <v>299</v>
      </c>
      <c r="G189" t="s">
        <v>303</v>
      </c>
      <c r="H189">
        <v>89</v>
      </c>
      <c r="I189" s="30">
        <v>2.9629629629629628E-3</v>
      </c>
      <c r="J189">
        <v>3</v>
      </c>
    </row>
    <row r="190" spans="1:10" x14ac:dyDescent="0.35">
      <c r="A190" t="s">
        <v>502</v>
      </c>
      <c r="B190" t="s">
        <v>316</v>
      </c>
      <c r="C190" t="s">
        <v>490</v>
      </c>
      <c r="D190" s="30">
        <v>0.4679976851851852</v>
      </c>
      <c r="E190" t="s">
        <v>314</v>
      </c>
      <c r="F190" t="s">
        <v>299</v>
      </c>
      <c r="G190" t="s">
        <v>299</v>
      </c>
      <c r="H190">
        <v>74</v>
      </c>
      <c r="I190" s="30">
        <v>4.3750000000000004E-3</v>
      </c>
      <c r="J190">
        <v>3</v>
      </c>
    </row>
    <row r="191" spans="1:10" x14ac:dyDescent="0.35">
      <c r="A191" t="s">
        <v>503</v>
      </c>
      <c r="B191" t="s">
        <v>323</v>
      </c>
      <c r="C191" t="s">
        <v>490</v>
      </c>
      <c r="D191" s="30">
        <v>0.4679976851851852</v>
      </c>
      <c r="E191" t="s">
        <v>309</v>
      </c>
      <c r="F191" t="s">
        <v>299</v>
      </c>
      <c r="G191" t="s">
        <v>299</v>
      </c>
      <c r="H191">
        <v>63</v>
      </c>
      <c r="I191" s="30">
        <v>1.6435185185185185E-3</v>
      </c>
      <c r="J191">
        <v>2</v>
      </c>
    </row>
    <row r="192" spans="1:10" x14ac:dyDescent="0.35">
      <c r="A192" t="s">
        <v>504</v>
      </c>
      <c r="B192" t="s">
        <v>301</v>
      </c>
      <c r="C192" t="s">
        <v>490</v>
      </c>
      <c r="D192" s="30">
        <v>0.47099537037037037</v>
      </c>
      <c r="E192" t="s">
        <v>298</v>
      </c>
      <c r="F192" t="s">
        <v>299</v>
      </c>
      <c r="G192" t="s">
        <v>299</v>
      </c>
      <c r="H192">
        <v>45</v>
      </c>
      <c r="I192" s="30">
        <v>4.5254629629629629E-3</v>
      </c>
      <c r="J192">
        <v>5</v>
      </c>
    </row>
    <row r="193" spans="1:10" x14ac:dyDescent="0.35">
      <c r="A193" t="s">
        <v>505</v>
      </c>
      <c r="B193" t="s">
        <v>323</v>
      </c>
      <c r="C193" t="s">
        <v>490</v>
      </c>
      <c r="D193" s="30">
        <v>0.47099537037037037</v>
      </c>
      <c r="E193" t="s">
        <v>302</v>
      </c>
      <c r="F193" t="s">
        <v>303</v>
      </c>
      <c r="G193" t="s">
        <v>303</v>
      </c>
    </row>
    <row r="194" spans="1:10" x14ac:dyDescent="0.35">
      <c r="A194" t="s">
        <v>506</v>
      </c>
      <c r="B194" t="s">
        <v>332</v>
      </c>
      <c r="C194" t="s">
        <v>490</v>
      </c>
      <c r="D194" s="30">
        <v>0.47400462962962964</v>
      </c>
      <c r="E194" t="s">
        <v>309</v>
      </c>
      <c r="F194" t="s">
        <v>299</v>
      </c>
      <c r="G194" t="s">
        <v>299</v>
      </c>
      <c r="H194">
        <v>31</v>
      </c>
      <c r="I194" s="30">
        <v>4.6643518518518518E-3</v>
      </c>
      <c r="J194">
        <v>2</v>
      </c>
    </row>
    <row r="195" spans="1:10" x14ac:dyDescent="0.35">
      <c r="A195" t="s">
        <v>507</v>
      </c>
      <c r="B195" t="s">
        <v>319</v>
      </c>
      <c r="C195" t="s">
        <v>490</v>
      </c>
      <c r="D195" s="30">
        <v>0.47400462962962964</v>
      </c>
      <c r="E195" t="s">
        <v>317</v>
      </c>
      <c r="F195" t="s">
        <v>303</v>
      </c>
      <c r="G195" t="s">
        <v>303</v>
      </c>
    </row>
    <row r="196" spans="1:10" x14ac:dyDescent="0.35">
      <c r="A196" t="s">
        <v>508</v>
      </c>
      <c r="B196" t="s">
        <v>319</v>
      </c>
      <c r="C196" t="s">
        <v>490</v>
      </c>
      <c r="D196" s="30">
        <v>0.48099537037037038</v>
      </c>
      <c r="E196" t="s">
        <v>298</v>
      </c>
      <c r="F196" t="s">
        <v>299</v>
      </c>
      <c r="G196" t="s">
        <v>299</v>
      </c>
      <c r="H196">
        <v>43</v>
      </c>
      <c r="I196" s="30">
        <v>2.5925925925925925E-3</v>
      </c>
      <c r="J196">
        <v>5</v>
      </c>
    </row>
    <row r="197" spans="1:10" x14ac:dyDescent="0.35">
      <c r="A197" t="s">
        <v>509</v>
      </c>
      <c r="B197" t="s">
        <v>323</v>
      </c>
      <c r="C197" t="s">
        <v>490</v>
      </c>
      <c r="D197" s="30">
        <v>0.48099537037037038</v>
      </c>
      <c r="E197" t="s">
        <v>317</v>
      </c>
      <c r="F197" t="s">
        <v>299</v>
      </c>
      <c r="G197" t="s">
        <v>299</v>
      </c>
      <c r="H197">
        <v>50</v>
      </c>
      <c r="I197" s="30">
        <v>3.9583333333333337E-3</v>
      </c>
      <c r="J197">
        <v>4</v>
      </c>
    </row>
    <row r="198" spans="1:10" x14ac:dyDescent="0.35">
      <c r="A198" t="s">
        <v>510</v>
      </c>
      <c r="B198" t="s">
        <v>332</v>
      </c>
      <c r="C198" t="s">
        <v>490</v>
      </c>
      <c r="D198" s="30">
        <v>0.50200231481481483</v>
      </c>
      <c r="E198" t="s">
        <v>302</v>
      </c>
      <c r="F198" t="s">
        <v>299</v>
      </c>
      <c r="G198" t="s">
        <v>299</v>
      </c>
      <c r="H198">
        <v>48</v>
      </c>
      <c r="I198" s="30">
        <v>3.6111111111111109E-3</v>
      </c>
      <c r="J198">
        <v>4</v>
      </c>
    </row>
    <row r="199" spans="1:10" x14ac:dyDescent="0.35">
      <c r="A199" t="s">
        <v>511</v>
      </c>
      <c r="B199" t="s">
        <v>323</v>
      </c>
      <c r="C199" t="s">
        <v>490</v>
      </c>
      <c r="D199" s="30">
        <v>0.50200231481481483</v>
      </c>
      <c r="E199" t="s">
        <v>314</v>
      </c>
      <c r="F199" t="s">
        <v>299</v>
      </c>
      <c r="G199" t="s">
        <v>299</v>
      </c>
      <c r="H199">
        <v>113</v>
      </c>
      <c r="I199" s="30">
        <v>1.8981481481481482E-3</v>
      </c>
      <c r="J199">
        <v>5</v>
      </c>
    </row>
    <row r="200" spans="1:10" x14ac:dyDescent="0.35">
      <c r="A200" t="s">
        <v>512</v>
      </c>
      <c r="B200" t="s">
        <v>316</v>
      </c>
      <c r="C200" t="s">
        <v>490</v>
      </c>
      <c r="D200" s="30">
        <v>0.51099537037037035</v>
      </c>
      <c r="E200" t="s">
        <v>317</v>
      </c>
      <c r="F200" t="s">
        <v>303</v>
      </c>
      <c r="G200" t="s">
        <v>303</v>
      </c>
    </row>
    <row r="201" spans="1:10" x14ac:dyDescent="0.35">
      <c r="A201" t="s">
        <v>513</v>
      </c>
      <c r="B201" t="s">
        <v>319</v>
      </c>
      <c r="C201" t="s">
        <v>490</v>
      </c>
      <c r="D201" s="30">
        <v>0.51099537037037035</v>
      </c>
      <c r="E201" t="s">
        <v>302</v>
      </c>
      <c r="F201" t="s">
        <v>299</v>
      </c>
      <c r="G201" t="s">
        <v>299</v>
      </c>
      <c r="H201">
        <v>103</v>
      </c>
      <c r="I201" s="30">
        <v>4.6296296296296294E-3</v>
      </c>
      <c r="J201">
        <v>5</v>
      </c>
    </row>
    <row r="202" spans="1:10" x14ac:dyDescent="0.35">
      <c r="A202" t="s">
        <v>514</v>
      </c>
      <c r="B202" t="s">
        <v>301</v>
      </c>
      <c r="C202" t="s">
        <v>490</v>
      </c>
      <c r="D202" s="30">
        <v>0.51099537037037035</v>
      </c>
      <c r="E202" t="s">
        <v>302</v>
      </c>
      <c r="F202" t="s">
        <v>299</v>
      </c>
      <c r="G202" t="s">
        <v>303</v>
      </c>
      <c r="H202">
        <v>95</v>
      </c>
      <c r="I202" s="30">
        <v>3.0902777777777777E-3</v>
      </c>
      <c r="J202">
        <v>3</v>
      </c>
    </row>
    <row r="203" spans="1:10" x14ac:dyDescent="0.35">
      <c r="A203" t="s">
        <v>515</v>
      </c>
      <c r="B203" t="s">
        <v>319</v>
      </c>
      <c r="C203" t="s">
        <v>490</v>
      </c>
      <c r="D203" s="30">
        <v>0.51099537037037035</v>
      </c>
      <c r="E203" t="s">
        <v>314</v>
      </c>
      <c r="F203" t="s">
        <v>299</v>
      </c>
      <c r="G203" t="s">
        <v>299</v>
      </c>
      <c r="H203">
        <v>30</v>
      </c>
      <c r="I203" s="30">
        <v>3.5185185185185185E-3</v>
      </c>
      <c r="J203">
        <v>1</v>
      </c>
    </row>
    <row r="204" spans="1:10" x14ac:dyDescent="0.35">
      <c r="A204" t="s">
        <v>516</v>
      </c>
      <c r="B204" t="s">
        <v>307</v>
      </c>
      <c r="C204" t="s">
        <v>490</v>
      </c>
      <c r="D204" s="30">
        <v>0.56400462962962961</v>
      </c>
      <c r="E204" t="s">
        <v>314</v>
      </c>
      <c r="F204" t="s">
        <v>299</v>
      </c>
      <c r="G204" t="s">
        <v>299</v>
      </c>
      <c r="H204">
        <v>124</v>
      </c>
      <c r="I204" s="30">
        <v>2.3032407407407407E-3</v>
      </c>
      <c r="J204">
        <v>3</v>
      </c>
    </row>
    <row r="205" spans="1:10" x14ac:dyDescent="0.35">
      <c r="A205" t="s">
        <v>517</v>
      </c>
      <c r="B205" t="s">
        <v>296</v>
      </c>
      <c r="C205" t="s">
        <v>490</v>
      </c>
      <c r="D205" s="30">
        <v>0.56400462962962961</v>
      </c>
      <c r="E205" t="s">
        <v>314</v>
      </c>
      <c r="F205" t="s">
        <v>299</v>
      </c>
      <c r="G205" t="s">
        <v>299</v>
      </c>
      <c r="H205">
        <v>17</v>
      </c>
      <c r="I205" s="30">
        <v>1.4236111111111112E-3</v>
      </c>
      <c r="J205">
        <v>5</v>
      </c>
    </row>
    <row r="206" spans="1:10" x14ac:dyDescent="0.35">
      <c r="A206" t="s">
        <v>518</v>
      </c>
      <c r="B206" t="s">
        <v>305</v>
      </c>
      <c r="C206" t="s">
        <v>490</v>
      </c>
      <c r="D206" s="30">
        <v>0.57299768518518523</v>
      </c>
      <c r="E206" t="s">
        <v>317</v>
      </c>
      <c r="F206" t="s">
        <v>299</v>
      </c>
      <c r="G206" t="s">
        <v>299</v>
      </c>
      <c r="H206">
        <v>113</v>
      </c>
      <c r="I206" s="30">
        <v>4.1666666666666666E-3</v>
      </c>
      <c r="J206">
        <v>3</v>
      </c>
    </row>
    <row r="207" spans="1:10" x14ac:dyDescent="0.35">
      <c r="A207" t="s">
        <v>519</v>
      </c>
      <c r="B207" t="s">
        <v>316</v>
      </c>
      <c r="C207" t="s">
        <v>490</v>
      </c>
      <c r="D207" s="30">
        <v>0.57299768518518523</v>
      </c>
      <c r="E207" t="s">
        <v>302</v>
      </c>
      <c r="F207" t="s">
        <v>299</v>
      </c>
      <c r="G207" t="s">
        <v>299</v>
      </c>
      <c r="H207">
        <v>25</v>
      </c>
      <c r="I207" s="30">
        <v>1.7013888888888888E-3</v>
      </c>
      <c r="J207">
        <v>5</v>
      </c>
    </row>
    <row r="208" spans="1:10" x14ac:dyDescent="0.35">
      <c r="A208" t="s">
        <v>520</v>
      </c>
      <c r="B208" t="s">
        <v>316</v>
      </c>
      <c r="C208" t="s">
        <v>490</v>
      </c>
      <c r="D208" s="30">
        <v>0.58099537037037041</v>
      </c>
      <c r="E208" t="s">
        <v>314</v>
      </c>
      <c r="F208" t="s">
        <v>299</v>
      </c>
      <c r="G208" t="s">
        <v>299</v>
      </c>
      <c r="H208">
        <v>52</v>
      </c>
      <c r="I208" s="30">
        <v>3.0324074074074073E-3</v>
      </c>
      <c r="J208">
        <v>5</v>
      </c>
    </row>
    <row r="209" spans="1:10" x14ac:dyDescent="0.35">
      <c r="A209" t="s">
        <v>521</v>
      </c>
      <c r="B209" t="s">
        <v>332</v>
      </c>
      <c r="C209" t="s">
        <v>490</v>
      </c>
      <c r="D209" s="30">
        <v>0.58099537037037041</v>
      </c>
      <c r="E209" t="s">
        <v>314</v>
      </c>
      <c r="F209" t="s">
        <v>299</v>
      </c>
      <c r="G209" t="s">
        <v>299</v>
      </c>
      <c r="H209">
        <v>28</v>
      </c>
      <c r="I209" s="30">
        <v>1.8981481481481482E-3</v>
      </c>
      <c r="J209">
        <v>5</v>
      </c>
    </row>
    <row r="210" spans="1:10" x14ac:dyDescent="0.35">
      <c r="A210" t="s">
        <v>522</v>
      </c>
      <c r="B210" t="s">
        <v>307</v>
      </c>
      <c r="C210" t="s">
        <v>490</v>
      </c>
      <c r="D210" s="30">
        <v>0.60099537037037032</v>
      </c>
      <c r="E210" t="s">
        <v>302</v>
      </c>
      <c r="F210" t="s">
        <v>299</v>
      </c>
      <c r="G210" t="s">
        <v>299</v>
      </c>
      <c r="H210">
        <v>69</v>
      </c>
      <c r="I210" s="30">
        <v>2.1412037037037038E-3</v>
      </c>
      <c r="J210">
        <v>3</v>
      </c>
    </row>
    <row r="211" spans="1:10" x14ac:dyDescent="0.35">
      <c r="A211" t="s">
        <v>523</v>
      </c>
      <c r="B211" t="s">
        <v>323</v>
      </c>
      <c r="C211" t="s">
        <v>490</v>
      </c>
      <c r="D211" s="30">
        <v>0.60099537037037032</v>
      </c>
      <c r="E211" t="s">
        <v>317</v>
      </c>
      <c r="F211" t="s">
        <v>299</v>
      </c>
      <c r="G211" t="s">
        <v>299</v>
      </c>
      <c r="H211">
        <v>106</v>
      </c>
      <c r="I211" s="30">
        <v>2.685185185185185E-3</v>
      </c>
      <c r="J211">
        <v>3</v>
      </c>
    </row>
    <row r="212" spans="1:10" x14ac:dyDescent="0.35">
      <c r="A212" t="s">
        <v>524</v>
      </c>
      <c r="B212" t="s">
        <v>316</v>
      </c>
      <c r="C212" t="s">
        <v>490</v>
      </c>
      <c r="D212" s="30">
        <v>0.60299768518518515</v>
      </c>
      <c r="E212" t="s">
        <v>302</v>
      </c>
      <c r="F212" t="s">
        <v>303</v>
      </c>
      <c r="G212" t="s">
        <v>303</v>
      </c>
    </row>
    <row r="213" spans="1:10" x14ac:dyDescent="0.35">
      <c r="A213" t="s">
        <v>525</v>
      </c>
      <c r="B213" t="s">
        <v>319</v>
      </c>
      <c r="C213" t="s">
        <v>490</v>
      </c>
      <c r="D213" s="30">
        <v>0.60299768518518515</v>
      </c>
      <c r="E213" t="s">
        <v>309</v>
      </c>
      <c r="F213" t="s">
        <v>299</v>
      </c>
      <c r="G213" t="s">
        <v>299</v>
      </c>
      <c r="H213">
        <v>26</v>
      </c>
      <c r="I213" s="30">
        <v>3.460648148148148E-3</v>
      </c>
      <c r="J213">
        <v>3</v>
      </c>
    </row>
    <row r="214" spans="1:10" x14ac:dyDescent="0.35">
      <c r="A214" t="s">
        <v>526</v>
      </c>
      <c r="B214" t="s">
        <v>319</v>
      </c>
      <c r="C214" t="s">
        <v>490</v>
      </c>
      <c r="D214" s="30">
        <v>0.60499999999999998</v>
      </c>
      <c r="E214" t="s">
        <v>309</v>
      </c>
      <c r="F214" t="s">
        <v>299</v>
      </c>
      <c r="G214" t="s">
        <v>299</v>
      </c>
      <c r="H214">
        <v>53</v>
      </c>
      <c r="I214" s="30">
        <v>4.1087962962962962E-3</v>
      </c>
      <c r="J214">
        <v>4</v>
      </c>
    </row>
    <row r="215" spans="1:10" x14ac:dyDescent="0.35">
      <c r="A215" t="s">
        <v>527</v>
      </c>
      <c r="B215" t="s">
        <v>323</v>
      </c>
      <c r="C215" t="s">
        <v>490</v>
      </c>
      <c r="D215" s="30">
        <v>0.60499999999999998</v>
      </c>
      <c r="E215" t="s">
        <v>302</v>
      </c>
      <c r="F215" t="s">
        <v>299</v>
      </c>
      <c r="G215" t="s">
        <v>299</v>
      </c>
      <c r="H215">
        <v>77</v>
      </c>
      <c r="I215" s="30">
        <v>2.8935185185185184E-3</v>
      </c>
      <c r="J215">
        <v>2</v>
      </c>
    </row>
    <row r="216" spans="1:10" x14ac:dyDescent="0.35">
      <c r="A216" t="s">
        <v>528</v>
      </c>
      <c r="B216" t="s">
        <v>316</v>
      </c>
      <c r="C216" t="s">
        <v>490</v>
      </c>
      <c r="D216" s="30">
        <v>0.61799768518518516</v>
      </c>
      <c r="E216" t="s">
        <v>298</v>
      </c>
      <c r="F216" t="s">
        <v>299</v>
      </c>
      <c r="G216" t="s">
        <v>299</v>
      </c>
      <c r="H216">
        <v>45</v>
      </c>
      <c r="I216" s="30">
        <v>2.1064814814814813E-3</v>
      </c>
      <c r="J216">
        <v>3</v>
      </c>
    </row>
    <row r="217" spans="1:10" x14ac:dyDescent="0.35">
      <c r="A217" t="s">
        <v>529</v>
      </c>
      <c r="B217" t="s">
        <v>301</v>
      </c>
      <c r="C217" t="s">
        <v>490</v>
      </c>
      <c r="D217" s="30">
        <v>0.61799768518518516</v>
      </c>
      <c r="E217" t="s">
        <v>302</v>
      </c>
      <c r="F217" t="s">
        <v>303</v>
      </c>
      <c r="G217" t="s">
        <v>303</v>
      </c>
    </row>
    <row r="218" spans="1:10" x14ac:dyDescent="0.35">
      <c r="A218" t="s">
        <v>530</v>
      </c>
      <c r="B218" t="s">
        <v>307</v>
      </c>
      <c r="C218" t="s">
        <v>490</v>
      </c>
      <c r="D218" s="30">
        <v>0.64099537037037035</v>
      </c>
      <c r="E218" t="s">
        <v>317</v>
      </c>
      <c r="F218" t="s">
        <v>299</v>
      </c>
      <c r="G218" t="s">
        <v>299</v>
      </c>
      <c r="H218">
        <v>56</v>
      </c>
      <c r="I218" s="30">
        <v>2.9629629629629628E-3</v>
      </c>
      <c r="J218">
        <v>4</v>
      </c>
    </row>
    <row r="219" spans="1:10" x14ac:dyDescent="0.35">
      <c r="A219" t="s">
        <v>531</v>
      </c>
      <c r="B219" t="s">
        <v>305</v>
      </c>
      <c r="C219" t="s">
        <v>490</v>
      </c>
      <c r="D219" s="30">
        <v>0.64099537037037035</v>
      </c>
      <c r="E219" t="s">
        <v>314</v>
      </c>
      <c r="F219" t="s">
        <v>299</v>
      </c>
      <c r="G219" t="s">
        <v>299</v>
      </c>
      <c r="H219">
        <v>13</v>
      </c>
      <c r="I219" s="30">
        <v>2.7314814814814814E-3</v>
      </c>
      <c r="J219">
        <v>2</v>
      </c>
    </row>
    <row r="220" spans="1:10" x14ac:dyDescent="0.35">
      <c r="A220" t="s">
        <v>532</v>
      </c>
      <c r="B220" t="s">
        <v>305</v>
      </c>
      <c r="C220" t="s">
        <v>490</v>
      </c>
      <c r="D220" s="30">
        <v>0.65900462962962958</v>
      </c>
      <c r="E220" t="s">
        <v>314</v>
      </c>
      <c r="F220" t="s">
        <v>299</v>
      </c>
      <c r="G220" t="s">
        <v>299</v>
      </c>
      <c r="H220">
        <v>120</v>
      </c>
      <c r="I220" s="30">
        <v>4.7453703703703703E-3</v>
      </c>
      <c r="J220">
        <v>5</v>
      </c>
    </row>
    <row r="221" spans="1:10" x14ac:dyDescent="0.35">
      <c r="A221" t="s">
        <v>533</v>
      </c>
      <c r="B221" t="s">
        <v>296</v>
      </c>
      <c r="C221" t="s">
        <v>490</v>
      </c>
      <c r="D221" s="30">
        <v>0.65900462962962958</v>
      </c>
      <c r="E221" t="s">
        <v>309</v>
      </c>
      <c r="F221" t="s">
        <v>299</v>
      </c>
      <c r="G221" t="s">
        <v>299</v>
      </c>
      <c r="H221">
        <v>22</v>
      </c>
      <c r="I221" s="30">
        <v>5.7870370370370367E-4</v>
      </c>
      <c r="J221">
        <v>1</v>
      </c>
    </row>
    <row r="222" spans="1:10" x14ac:dyDescent="0.35">
      <c r="A222" t="s">
        <v>534</v>
      </c>
      <c r="B222" t="s">
        <v>323</v>
      </c>
      <c r="C222" t="s">
        <v>490</v>
      </c>
      <c r="D222" s="30">
        <v>0.7</v>
      </c>
      <c r="E222" t="s">
        <v>309</v>
      </c>
      <c r="F222" t="s">
        <v>299</v>
      </c>
      <c r="G222" t="s">
        <v>299</v>
      </c>
      <c r="H222">
        <v>81</v>
      </c>
      <c r="I222" s="30">
        <v>2.3263888888888887E-3</v>
      </c>
      <c r="J222">
        <v>4</v>
      </c>
    </row>
    <row r="223" spans="1:10" x14ac:dyDescent="0.35">
      <c r="A223" t="s">
        <v>535</v>
      </c>
      <c r="B223" t="s">
        <v>316</v>
      </c>
      <c r="C223" t="s">
        <v>490</v>
      </c>
      <c r="D223" s="30">
        <v>0.7</v>
      </c>
      <c r="E223" t="s">
        <v>317</v>
      </c>
      <c r="F223" t="s">
        <v>303</v>
      </c>
      <c r="G223" t="s">
        <v>303</v>
      </c>
    </row>
    <row r="224" spans="1:10" x14ac:dyDescent="0.35">
      <c r="A224" t="s">
        <v>536</v>
      </c>
      <c r="B224" t="s">
        <v>323</v>
      </c>
      <c r="C224" t="s">
        <v>490</v>
      </c>
      <c r="D224" s="30">
        <v>0.70099537037037041</v>
      </c>
      <c r="E224" t="s">
        <v>298</v>
      </c>
      <c r="F224" t="s">
        <v>299</v>
      </c>
      <c r="G224" t="s">
        <v>299</v>
      </c>
      <c r="H224">
        <v>71</v>
      </c>
      <c r="I224" s="30">
        <v>5.5555555555555556E-4</v>
      </c>
      <c r="J224">
        <v>2</v>
      </c>
    </row>
    <row r="225" spans="1:10" x14ac:dyDescent="0.35">
      <c r="A225" t="s">
        <v>537</v>
      </c>
      <c r="B225" t="s">
        <v>305</v>
      </c>
      <c r="C225" t="s">
        <v>490</v>
      </c>
      <c r="D225" s="30">
        <v>0.70099537037037041</v>
      </c>
      <c r="E225" t="s">
        <v>309</v>
      </c>
      <c r="F225" t="s">
        <v>299</v>
      </c>
      <c r="G225" t="s">
        <v>299</v>
      </c>
      <c r="H225">
        <v>75</v>
      </c>
      <c r="I225" s="30">
        <v>1.0763888888888889E-3</v>
      </c>
      <c r="J225">
        <v>4</v>
      </c>
    </row>
    <row r="226" spans="1:10" x14ac:dyDescent="0.35">
      <c r="A226" t="s">
        <v>538</v>
      </c>
      <c r="B226" t="s">
        <v>323</v>
      </c>
      <c r="C226" t="s">
        <v>490</v>
      </c>
      <c r="D226" s="30">
        <v>0.70099537037037041</v>
      </c>
      <c r="E226" t="s">
        <v>302</v>
      </c>
      <c r="F226" t="s">
        <v>299</v>
      </c>
      <c r="G226" t="s">
        <v>299</v>
      </c>
      <c r="H226">
        <v>77</v>
      </c>
      <c r="I226" s="30">
        <v>1.8749999999999999E-3</v>
      </c>
      <c r="J226">
        <v>4</v>
      </c>
    </row>
    <row r="227" spans="1:10" x14ac:dyDescent="0.35">
      <c r="A227" t="s">
        <v>539</v>
      </c>
      <c r="B227" t="s">
        <v>319</v>
      </c>
      <c r="C227" t="s">
        <v>490</v>
      </c>
      <c r="D227" s="30">
        <v>0.70099537037037041</v>
      </c>
      <c r="E227" t="s">
        <v>317</v>
      </c>
      <c r="F227" t="s">
        <v>299</v>
      </c>
      <c r="G227" t="s">
        <v>299</v>
      </c>
      <c r="H227">
        <v>88</v>
      </c>
      <c r="I227" s="30">
        <v>4.4791666666666669E-3</v>
      </c>
      <c r="J227">
        <v>4</v>
      </c>
    </row>
    <row r="228" spans="1:10" x14ac:dyDescent="0.35">
      <c r="A228" t="s">
        <v>540</v>
      </c>
      <c r="B228" t="s">
        <v>305</v>
      </c>
      <c r="C228" t="s">
        <v>490</v>
      </c>
      <c r="D228" s="30">
        <v>0.73299768518518515</v>
      </c>
      <c r="E228" t="s">
        <v>314</v>
      </c>
      <c r="F228" t="s">
        <v>299</v>
      </c>
      <c r="G228" t="s">
        <v>299</v>
      </c>
      <c r="H228">
        <v>82</v>
      </c>
      <c r="I228" s="30">
        <v>2.1412037037037038E-3</v>
      </c>
      <c r="J228">
        <v>2</v>
      </c>
    </row>
    <row r="229" spans="1:10" x14ac:dyDescent="0.35">
      <c r="A229" t="s">
        <v>541</v>
      </c>
      <c r="B229" t="s">
        <v>316</v>
      </c>
      <c r="C229" t="s">
        <v>490</v>
      </c>
      <c r="D229" s="30">
        <v>0.73299768518518515</v>
      </c>
      <c r="E229" t="s">
        <v>302</v>
      </c>
      <c r="F229" t="s">
        <v>299</v>
      </c>
      <c r="G229" t="s">
        <v>299</v>
      </c>
      <c r="H229">
        <v>110</v>
      </c>
      <c r="I229" s="30">
        <v>4.5138888888888885E-3</v>
      </c>
      <c r="J229">
        <v>3</v>
      </c>
    </row>
    <row r="230" spans="1:10" x14ac:dyDescent="0.35">
      <c r="A230" t="s">
        <v>542</v>
      </c>
      <c r="B230" t="s">
        <v>323</v>
      </c>
      <c r="C230" t="s">
        <v>490</v>
      </c>
      <c r="D230" s="30">
        <v>0.73599537037037033</v>
      </c>
      <c r="E230" t="s">
        <v>314</v>
      </c>
      <c r="F230" t="s">
        <v>299</v>
      </c>
      <c r="G230" t="s">
        <v>303</v>
      </c>
      <c r="H230">
        <v>70</v>
      </c>
      <c r="I230" s="30">
        <v>1.0648148148148149E-3</v>
      </c>
      <c r="J230">
        <v>3</v>
      </c>
    </row>
    <row r="231" spans="1:10" x14ac:dyDescent="0.35">
      <c r="A231" t="s">
        <v>543</v>
      </c>
      <c r="B231" t="s">
        <v>301</v>
      </c>
      <c r="C231" t="s">
        <v>490</v>
      </c>
      <c r="D231" s="30">
        <v>0.73599537037037033</v>
      </c>
      <c r="E231" t="s">
        <v>314</v>
      </c>
      <c r="F231" t="s">
        <v>299</v>
      </c>
      <c r="G231" t="s">
        <v>299</v>
      </c>
      <c r="H231">
        <v>117</v>
      </c>
      <c r="I231" s="30">
        <v>2.5462962962962965E-3</v>
      </c>
      <c r="J231">
        <v>3</v>
      </c>
    </row>
    <row r="232" spans="1:10" x14ac:dyDescent="0.35">
      <c r="A232" t="s">
        <v>544</v>
      </c>
      <c r="B232" t="s">
        <v>319</v>
      </c>
      <c r="C232" t="s">
        <v>545</v>
      </c>
      <c r="D232" s="30">
        <v>0.38099537037037035</v>
      </c>
      <c r="E232" t="s">
        <v>317</v>
      </c>
      <c r="F232" t="s">
        <v>299</v>
      </c>
      <c r="G232" t="s">
        <v>299</v>
      </c>
      <c r="H232">
        <v>18</v>
      </c>
      <c r="I232" s="30">
        <v>5.7870370370370367E-4</v>
      </c>
      <c r="J232">
        <v>3</v>
      </c>
    </row>
    <row r="233" spans="1:10" x14ac:dyDescent="0.35">
      <c r="A233" t="s">
        <v>546</v>
      </c>
      <c r="B233" t="s">
        <v>319</v>
      </c>
      <c r="C233" t="s">
        <v>545</v>
      </c>
      <c r="D233" s="30">
        <v>0.38099537037037035</v>
      </c>
      <c r="E233" t="s">
        <v>317</v>
      </c>
      <c r="F233" t="s">
        <v>299</v>
      </c>
      <c r="G233" t="s">
        <v>299</v>
      </c>
      <c r="H233">
        <v>113</v>
      </c>
      <c r="I233" s="30">
        <v>1.8055555555555555E-3</v>
      </c>
      <c r="J233">
        <v>4</v>
      </c>
    </row>
    <row r="234" spans="1:10" x14ac:dyDescent="0.35">
      <c r="A234" t="s">
        <v>547</v>
      </c>
      <c r="B234" t="s">
        <v>305</v>
      </c>
      <c r="C234" t="s">
        <v>545</v>
      </c>
      <c r="D234" s="30">
        <v>0.39299768518518519</v>
      </c>
      <c r="E234" t="s">
        <v>298</v>
      </c>
      <c r="F234" t="s">
        <v>299</v>
      </c>
      <c r="G234" t="s">
        <v>303</v>
      </c>
      <c r="H234">
        <v>68</v>
      </c>
      <c r="I234" s="30">
        <v>2.4189814814814816E-3</v>
      </c>
      <c r="J234">
        <v>5</v>
      </c>
    </row>
    <row r="235" spans="1:10" x14ac:dyDescent="0.35">
      <c r="A235" t="s">
        <v>548</v>
      </c>
      <c r="B235" t="s">
        <v>307</v>
      </c>
      <c r="C235" t="s">
        <v>545</v>
      </c>
      <c r="D235" s="30">
        <v>0.39299768518518519</v>
      </c>
      <c r="E235" t="s">
        <v>309</v>
      </c>
      <c r="F235" t="s">
        <v>299</v>
      </c>
      <c r="G235" t="s">
        <v>299</v>
      </c>
      <c r="H235">
        <v>67</v>
      </c>
      <c r="I235" s="30">
        <v>2.9398148148148148E-3</v>
      </c>
      <c r="J235">
        <v>5</v>
      </c>
    </row>
    <row r="236" spans="1:10" x14ac:dyDescent="0.35">
      <c r="A236" t="s">
        <v>549</v>
      </c>
      <c r="B236" t="s">
        <v>319</v>
      </c>
      <c r="C236" t="s">
        <v>545</v>
      </c>
      <c r="D236" s="30">
        <v>0.39799768518518519</v>
      </c>
      <c r="E236" t="s">
        <v>302</v>
      </c>
      <c r="F236" t="s">
        <v>299</v>
      </c>
      <c r="G236" t="s">
        <v>299</v>
      </c>
      <c r="H236">
        <v>36</v>
      </c>
      <c r="I236" s="30">
        <v>7.7546296296296293E-4</v>
      </c>
      <c r="J236">
        <v>5</v>
      </c>
    </row>
    <row r="237" spans="1:10" x14ac:dyDescent="0.35">
      <c r="A237" t="s">
        <v>550</v>
      </c>
      <c r="B237" t="s">
        <v>305</v>
      </c>
      <c r="C237" t="s">
        <v>545</v>
      </c>
      <c r="D237" s="30">
        <v>0.39799768518518519</v>
      </c>
      <c r="E237" t="s">
        <v>317</v>
      </c>
      <c r="F237" t="s">
        <v>303</v>
      </c>
      <c r="G237" t="s">
        <v>303</v>
      </c>
    </row>
    <row r="238" spans="1:10" x14ac:dyDescent="0.35">
      <c r="A238" t="s">
        <v>551</v>
      </c>
      <c r="B238" t="s">
        <v>301</v>
      </c>
      <c r="C238" t="s">
        <v>545</v>
      </c>
      <c r="D238" s="30">
        <v>0.41700231481481481</v>
      </c>
      <c r="E238" t="s">
        <v>302</v>
      </c>
      <c r="F238" t="s">
        <v>299</v>
      </c>
      <c r="G238" t="s">
        <v>299</v>
      </c>
      <c r="H238">
        <v>33</v>
      </c>
      <c r="I238" s="30">
        <v>1.736111111111111E-3</v>
      </c>
      <c r="J238">
        <v>1</v>
      </c>
    </row>
    <row r="239" spans="1:10" x14ac:dyDescent="0.35">
      <c r="A239" t="s">
        <v>552</v>
      </c>
      <c r="B239" t="s">
        <v>332</v>
      </c>
      <c r="C239" t="s">
        <v>545</v>
      </c>
      <c r="D239" s="30">
        <v>0.41700231481481481</v>
      </c>
      <c r="E239" t="s">
        <v>298</v>
      </c>
      <c r="F239" t="s">
        <v>299</v>
      </c>
      <c r="G239" t="s">
        <v>299</v>
      </c>
      <c r="H239">
        <v>113</v>
      </c>
      <c r="I239" s="30">
        <v>1.3773148148148147E-3</v>
      </c>
      <c r="J239">
        <v>5</v>
      </c>
    </row>
    <row r="240" spans="1:10" x14ac:dyDescent="0.35">
      <c r="A240" t="s">
        <v>553</v>
      </c>
      <c r="B240" t="s">
        <v>307</v>
      </c>
      <c r="C240" t="s">
        <v>545</v>
      </c>
      <c r="D240" s="30">
        <v>0.45099537037037035</v>
      </c>
      <c r="E240" t="s">
        <v>298</v>
      </c>
      <c r="F240" t="s">
        <v>299</v>
      </c>
      <c r="G240" t="s">
        <v>299</v>
      </c>
      <c r="H240">
        <v>106</v>
      </c>
      <c r="I240" s="30">
        <v>4.386574074074074E-3</v>
      </c>
      <c r="J240">
        <v>3</v>
      </c>
    </row>
    <row r="241" spans="1:10" x14ac:dyDescent="0.35">
      <c r="A241" t="s">
        <v>554</v>
      </c>
      <c r="B241" t="s">
        <v>319</v>
      </c>
      <c r="C241" t="s">
        <v>545</v>
      </c>
      <c r="D241" s="30">
        <v>0.45099537037037035</v>
      </c>
      <c r="E241" t="s">
        <v>317</v>
      </c>
      <c r="F241" t="s">
        <v>299</v>
      </c>
      <c r="G241" t="s">
        <v>299</v>
      </c>
      <c r="H241">
        <v>23</v>
      </c>
      <c r="I241" s="30">
        <v>3.460648148148148E-3</v>
      </c>
      <c r="J241">
        <v>3</v>
      </c>
    </row>
    <row r="242" spans="1:10" x14ac:dyDescent="0.35">
      <c r="A242" t="s">
        <v>555</v>
      </c>
      <c r="B242" t="s">
        <v>319</v>
      </c>
      <c r="C242" t="s">
        <v>545</v>
      </c>
      <c r="D242" s="30">
        <v>0.48</v>
      </c>
      <c r="E242" t="s">
        <v>317</v>
      </c>
      <c r="F242" t="s">
        <v>303</v>
      </c>
      <c r="G242" t="s">
        <v>303</v>
      </c>
    </row>
    <row r="243" spans="1:10" x14ac:dyDescent="0.35">
      <c r="A243" t="s">
        <v>556</v>
      </c>
      <c r="B243" t="s">
        <v>307</v>
      </c>
      <c r="C243" t="s">
        <v>545</v>
      </c>
      <c r="D243" s="30">
        <v>0.48</v>
      </c>
      <c r="E243" t="s">
        <v>309</v>
      </c>
      <c r="F243" t="s">
        <v>299</v>
      </c>
      <c r="G243" t="s">
        <v>299</v>
      </c>
      <c r="H243">
        <v>11</v>
      </c>
      <c r="I243" s="30">
        <v>3.2638888888888891E-3</v>
      </c>
      <c r="J243">
        <v>1</v>
      </c>
    </row>
    <row r="244" spans="1:10" x14ac:dyDescent="0.35">
      <c r="A244" t="s">
        <v>557</v>
      </c>
      <c r="B244" t="s">
        <v>307</v>
      </c>
      <c r="C244" t="s">
        <v>545</v>
      </c>
      <c r="D244" s="30">
        <v>0.48700231481481482</v>
      </c>
      <c r="E244" t="s">
        <v>298</v>
      </c>
      <c r="F244" t="s">
        <v>299</v>
      </c>
      <c r="G244" t="s">
        <v>299</v>
      </c>
      <c r="H244">
        <v>73</v>
      </c>
      <c r="I244" s="30">
        <v>3.2986111111111111E-3</v>
      </c>
      <c r="J244">
        <v>5</v>
      </c>
    </row>
    <row r="245" spans="1:10" x14ac:dyDescent="0.35">
      <c r="A245" t="s">
        <v>558</v>
      </c>
      <c r="B245" t="s">
        <v>332</v>
      </c>
      <c r="C245" t="s">
        <v>545</v>
      </c>
      <c r="D245" s="30">
        <v>0.48700231481481482</v>
      </c>
      <c r="E245" t="s">
        <v>314</v>
      </c>
      <c r="F245" t="s">
        <v>299</v>
      </c>
      <c r="G245" t="s">
        <v>299</v>
      </c>
      <c r="H245">
        <v>109</v>
      </c>
      <c r="I245" s="30">
        <v>3.3449074074074076E-3</v>
      </c>
      <c r="J245">
        <v>5</v>
      </c>
    </row>
    <row r="246" spans="1:10" x14ac:dyDescent="0.35">
      <c r="A246" t="s">
        <v>559</v>
      </c>
      <c r="B246" t="s">
        <v>323</v>
      </c>
      <c r="C246" t="s">
        <v>545</v>
      </c>
      <c r="D246" s="30">
        <v>0.49299768518518516</v>
      </c>
      <c r="E246" t="s">
        <v>309</v>
      </c>
      <c r="F246" t="s">
        <v>299</v>
      </c>
      <c r="G246" t="s">
        <v>299</v>
      </c>
      <c r="H246">
        <v>29</v>
      </c>
      <c r="I246" s="30">
        <v>2.9398148148148148E-3</v>
      </c>
      <c r="J246">
        <v>4</v>
      </c>
    </row>
    <row r="247" spans="1:10" x14ac:dyDescent="0.35">
      <c r="A247" t="s">
        <v>560</v>
      </c>
      <c r="B247" t="s">
        <v>332</v>
      </c>
      <c r="C247" t="s">
        <v>545</v>
      </c>
      <c r="D247" s="30">
        <v>0.49299768518518516</v>
      </c>
      <c r="E247" t="s">
        <v>317</v>
      </c>
      <c r="F247" t="s">
        <v>303</v>
      </c>
      <c r="G247" t="s">
        <v>303</v>
      </c>
    </row>
    <row r="248" spans="1:10" x14ac:dyDescent="0.35">
      <c r="A248" t="s">
        <v>561</v>
      </c>
      <c r="B248" t="s">
        <v>301</v>
      </c>
      <c r="C248" t="s">
        <v>545</v>
      </c>
      <c r="D248" s="30">
        <v>0.49299768518518516</v>
      </c>
      <c r="E248" t="s">
        <v>314</v>
      </c>
      <c r="F248" t="s">
        <v>299</v>
      </c>
      <c r="G248" t="s">
        <v>299</v>
      </c>
      <c r="H248">
        <v>81</v>
      </c>
      <c r="I248" s="30">
        <v>8.564814814814815E-4</v>
      </c>
      <c r="J248">
        <v>4</v>
      </c>
    </row>
    <row r="249" spans="1:10" x14ac:dyDescent="0.35">
      <c r="A249" t="s">
        <v>562</v>
      </c>
      <c r="B249" t="s">
        <v>307</v>
      </c>
      <c r="C249" t="s">
        <v>545</v>
      </c>
      <c r="D249" s="30">
        <v>0.49299768518518516</v>
      </c>
      <c r="E249" t="s">
        <v>298</v>
      </c>
      <c r="F249" t="s">
        <v>299</v>
      </c>
      <c r="G249" t="s">
        <v>299</v>
      </c>
      <c r="H249">
        <v>59</v>
      </c>
      <c r="I249" s="30">
        <v>2.685185185185185E-3</v>
      </c>
      <c r="J249">
        <v>1</v>
      </c>
    </row>
    <row r="250" spans="1:10" x14ac:dyDescent="0.35">
      <c r="A250" t="s">
        <v>563</v>
      </c>
      <c r="B250" t="s">
        <v>301</v>
      </c>
      <c r="C250" t="s">
        <v>545</v>
      </c>
      <c r="D250" s="30">
        <v>0.5</v>
      </c>
      <c r="E250" t="s">
        <v>317</v>
      </c>
      <c r="F250" t="s">
        <v>299</v>
      </c>
      <c r="G250" t="s">
        <v>299</v>
      </c>
      <c r="H250">
        <v>32</v>
      </c>
      <c r="I250" s="30">
        <v>4.5023148148148149E-3</v>
      </c>
      <c r="J250">
        <v>4</v>
      </c>
    </row>
    <row r="251" spans="1:10" x14ac:dyDescent="0.35">
      <c r="A251" t="s">
        <v>564</v>
      </c>
      <c r="B251" t="s">
        <v>323</v>
      </c>
      <c r="C251" t="s">
        <v>545</v>
      </c>
      <c r="D251" s="30">
        <v>0.5</v>
      </c>
      <c r="E251" t="s">
        <v>314</v>
      </c>
      <c r="F251" t="s">
        <v>299</v>
      </c>
      <c r="G251" t="s">
        <v>299</v>
      </c>
      <c r="H251">
        <v>116</v>
      </c>
      <c r="I251" s="30">
        <v>4.861111111111111E-4</v>
      </c>
      <c r="J251">
        <v>4</v>
      </c>
    </row>
    <row r="252" spans="1:10" x14ac:dyDescent="0.35">
      <c r="A252" t="s">
        <v>565</v>
      </c>
      <c r="B252" t="s">
        <v>296</v>
      </c>
      <c r="C252" t="s">
        <v>545</v>
      </c>
      <c r="D252" s="30">
        <v>0.50900462962962967</v>
      </c>
      <c r="E252" t="s">
        <v>309</v>
      </c>
      <c r="F252" t="s">
        <v>299</v>
      </c>
      <c r="G252" t="s">
        <v>299</v>
      </c>
      <c r="H252">
        <v>92</v>
      </c>
      <c r="I252" s="30">
        <v>1.3310185185185185E-3</v>
      </c>
      <c r="J252">
        <v>5</v>
      </c>
    </row>
    <row r="253" spans="1:10" x14ac:dyDescent="0.35">
      <c r="A253" t="s">
        <v>566</v>
      </c>
      <c r="B253" t="s">
        <v>307</v>
      </c>
      <c r="C253" t="s">
        <v>545</v>
      </c>
      <c r="D253" s="30">
        <v>0.50900462962962967</v>
      </c>
      <c r="E253" t="s">
        <v>317</v>
      </c>
      <c r="F253" t="s">
        <v>299</v>
      </c>
      <c r="G253" t="s">
        <v>299</v>
      </c>
      <c r="H253">
        <v>62</v>
      </c>
      <c r="I253" s="30">
        <v>4.1898148148148146E-3</v>
      </c>
      <c r="J253">
        <v>5</v>
      </c>
    </row>
    <row r="254" spans="1:10" x14ac:dyDescent="0.35">
      <c r="A254" t="s">
        <v>567</v>
      </c>
      <c r="B254" t="s">
        <v>319</v>
      </c>
      <c r="C254" t="s">
        <v>545</v>
      </c>
      <c r="D254" s="30">
        <v>0.54500000000000004</v>
      </c>
      <c r="E254" t="s">
        <v>309</v>
      </c>
      <c r="F254" t="s">
        <v>299</v>
      </c>
      <c r="G254" t="s">
        <v>299</v>
      </c>
      <c r="H254">
        <v>83</v>
      </c>
      <c r="I254" s="30">
        <v>1.3078703703703703E-3</v>
      </c>
      <c r="J254">
        <v>5</v>
      </c>
    </row>
    <row r="255" spans="1:10" x14ac:dyDescent="0.35">
      <c r="A255" t="s">
        <v>568</v>
      </c>
      <c r="B255" t="s">
        <v>319</v>
      </c>
      <c r="C255" t="s">
        <v>545</v>
      </c>
      <c r="D255" s="30">
        <v>0.54500000000000004</v>
      </c>
      <c r="E255" t="s">
        <v>314</v>
      </c>
      <c r="F255" t="s">
        <v>299</v>
      </c>
      <c r="G255" t="s">
        <v>299</v>
      </c>
      <c r="H255">
        <v>71</v>
      </c>
      <c r="I255" s="30">
        <v>1.7476851851851852E-3</v>
      </c>
      <c r="J255">
        <v>3</v>
      </c>
    </row>
    <row r="256" spans="1:10" x14ac:dyDescent="0.35">
      <c r="A256" t="s">
        <v>569</v>
      </c>
      <c r="B256" t="s">
        <v>307</v>
      </c>
      <c r="C256" t="s">
        <v>545</v>
      </c>
      <c r="D256" s="30">
        <v>0.58299768518518513</v>
      </c>
      <c r="E256" t="s">
        <v>314</v>
      </c>
      <c r="F256" t="s">
        <v>299</v>
      </c>
      <c r="G256" t="s">
        <v>303</v>
      </c>
      <c r="H256">
        <v>74</v>
      </c>
      <c r="I256" s="30">
        <v>3.1481481481481482E-3</v>
      </c>
      <c r="J256">
        <v>3</v>
      </c>
    </row>
    <row r="257" spans="1:10" x14ac:dyDescent="0.35">
      <c r="A257" t="s">
        <v>570</v>
      </c>
      <c r="B257" t="s">
        <v>319</v>
      </c>
      <c r="C257" t="s">
        <v>545</v>
      </c>
      <c r="D257" s="30">
        <v>0.58299768518518513</v>
      </c>
      <c r="E257" t="s">
        <v>302</v>
      </c>
      <c r="F257" t="s">
        <v>299</v>
      </c>
      <c r="G257" t="s">
        <v>299</v>
      </c>
      <c r="H257">
        <v>96</v>
      </c>
      <c r="I257" s="30">
        <v>4.0046296296296297E-3</v>
      </c>
      <c r="J257">
        <v>4</v>
      </c>
    </row>
    <row r="258" spans="1:10" x14ac:dyDescent="0.35">
      <c r="A258" t="s">
        <v>571</v>
      </c>
      <c r="B258" t="s">
        <v>296</v>
      </c>
      <c r="C258" t="s">
        <v>545</v>
      </c>
      <c r="D258" s="30">
        <v>0.61299768518518516</v>
      </c>
      <c r="E258" t="s">
        <v>314</v>
      </c>
      <c r="F258" t="s">
        <v>299</v>
      </c>
      <c r="G258" t="s">
        <v>299</v>
      </c>
      <c r="H258">
        <v>110</v>
      </c>
      <c r="I258" s="30">
        <v>1.1689814814814816E-3</v>
      </c>
      <c r="J258">
        <v>1</v>
      </c>
    </row>
    <row r="259" spans="1:10" x14ac:dyDescent="0.35">
      <c r="A259" t="s">
        <v>572</v>
      </c>
      <c r="B259" t="s">
        <v>316</v>
      </c>
      <c r="C259" t="s">
        <v>545</v>
      </c>
      <c r="D259" s="30">
        <v>0.61299768518518516</v>
      </c>
      <c r="E259" t="s">
        <v>317</v>
      </c>
      <c r="F259" t="s">
        <v>299</v>
      </c>
      <c r="G259" t="s">
        <v>303</v>
      </c>
      <c r="H259">
        <v>110</v>
      </c>
      <c r="I259" s="30">
        <v>1.8287037037037037E-3</v>
      </c>
      <c r="J259">
        <v>3</v>
      </c>
    </row>
    <row r="260" spans="1:10" x14ac:dyDescent="0.35">
      <c r="A260" t="s">
        <v>573</v>
      </c>
      <c r="B260" t="s">
        <v>332</v>
      </c>
      <c r="C260" t="s">
        <v>545</v>
      </c>
      <c r="D260" s="30">
        <v>0.63799768518518518</v>
      </c>
      <c r="E260" t="s">
        <v>302</v>
      </c>
      <c r="F260" t="s">
        <v>299</v>
      </c>
      <c r="G260" t="s">
        <v>299</v>
      </c>
      <c r="H260">
        <v>117</v>
      </c>
      <c r="I260" s="30">
        <v>2.1180555555555558E-3</v>
      </c>
      <c r="J260">
        <v>4</v>
      </c>
    </row>
    <row r="261" spans="1:10" x14ac:dyDescent="0.35">
      <c r="A261" t="s">
        <v>574</v>
      </c>
      <c r="B261" t="s">
        <v>301</v>
      </c>
      <c r="C261" t="s">
        <v>545</v>
      </c>
      <c r="D261" s="30">
        <v>0.63799768518518518</v>
      </c>
      <c r="E261" t="s">
        <v>314</v>
      </c>
      <c r="F261" t="s">
        <v>299</v>
      </c>
      <c r="G261" t="s">
        <v>299</v>
      </c>
      <c r="H261">
        <v>44</v>
      </c>
      <c r="I261" s="30">
        <v>4.0856481481481481E-3</v>
      </c>
      <c r="J261">
        <v>3</v>
      </c>
    </row>
    <row r="262" spans="1:10" x14ac:dyDescent="0.35">
      <c r="A262" t="s">
        <v>575</v>
      </c>
      <c r="B262" t="s">
        <v>296</v>
      </c>
      <c r="C262" t="s">
        <v>545</v>
      </c>
      <c r="D262" s="30">
        <v>0.63900462962962967</v>
      </c>
      <c r="E262" t="s">
        <v>298</v>
      </c>
      <c r="F262" t="s">
        <v>299</v>
      </c>
      <c r="G262" t="s">
        <v>299</v>
      </c>
      <c r="H262">
        <v>47</v>
      </c>
      <c r="I262" s="30">
        <v>4.1898148148148146E-3</v>
      </c>
      <c r="J262">
        <v>4</v>
      </c>
    </row>
    <row r="263" spans="1:10" x14ac:dyDescent="0.35">
      <c r="A263" t="s">
        <v>576</v>
      </c>
      <c r="B263" t="s">
        <v>307</v>
      </c>
      <c r="C263" t="s">
        <v>545</v>
      </c>
      <c r="D263" s="30">
        <v>0.63900462962962967</v>
      </c>
      <c r="E263" t="s">
        <v>314</v>
      </c>
      <c r="F263" t="s">
        <v>299</v>
      </c>
      <c r="G263" t="s">
        <v>299</v>
      </c>
      <c r="H263">
        <v>97</v>
      </c>
      <c r="I263" s="30">
        <v>8.7962962962962962E-4</v>
      </c>
      <c r="J263">
        <v>3</v>
      </c>
    </row>
    <row r="264" spans="1:10" x14ac:dyDescent="0.35">
      <c r="A264" t="s">
        <v>577</v>
      </c>
      <c r="B264" t="s">
        <v>307</v>
      </c>
      <c r="C264" t="s">
        <v>545</v>
      </c>
      <c r="D264" s="30">
        <v>0.64700231481481485</v>
      </c>
      <c r="E264" t="s">
        <v>317</v>
      </c>
      <c r="F264" t="s">
        <v>299</v>
      </c>
      <c r="G264" t="s">
        <v>299</v>
      </c>
      <c r="H264">
        <v>67</v>
      </c>
      <c r="I264" s="30">
        <v>1.8402777777777777E-3</v>
      </c>
      <c r="J264">
        <v>4</v>
      </c>
    </row>
    <row r="265" spans="1:10" x14ac:dyDescent="0.35">
      <c r="A265" t="s">
        <v>578</v>
      </c>
      <c r="B265" t="s">
        <v>296</v>
      </c>
      <c r="C265" t="s">
        <v>545</v>
      </c>
      <c r="D265" s="30">
        <v>0.64700231481481485</v>
      </c>
      <c r="E265" t="s">
        <v>317</v>
      </c>
      <c r="F265" t="s">
        <v>299</v>
      </c>
      <c r="G265" t="s">
        <v>299</v>
      </c>
      <c r="H265">
        <v>72</v>
      </c>
      <c r="I265" s="30">
        <v>4.7222222222222223E-3</v>
      </c>
      <c r="J265">
        <v>3</v>
      </c>
    </row>
    <row r="266" spans="1:10" x14ac:dyDescent="0.35">
      <c r="A266" t="s">
        <v>579</v>
      </c>
      <c r="B266" t="s">
        <v>301</v>
      </c>
      <c r="C266" t="s">
        <v>545</v>
      </c>
      <c r="D266" s="30">
        <v>0.64700231481481485</v>
      </c>
      <c r="E266" t="s">
        <v>298</v>
      </c>
      <c r="F266" t="s">
        <v>299</v>
      </c>
      <c r="G266" t="s">
        <v>299</v>
      </c>
      <c r="H266">
        <v>68</v>
      </c>
      <c r="I266" s="30">
        <v>3.0208333333333333E-3</v>
      </c>
      <c r="J266">
        <v>3</v>
      </c>
    </row>
    <row r="267" spans="1:10" x14ac:dyDescent="0.35">
      <c r="A267" t="s">
        <v>580</v>
      </c>
      <c r="B267" t="s">
        <v>319</v>
      </c>
      <c r="C267" t="s">
        <v>545</v>
      </c>
      <c r="D267" s="30">
        <v>0.64700231481481485</v>
      </c>
      <c r="E267" t="s">
        <v>309</v>
      </c>
      <c r="F267" t="s">
        <v>299</v>
      </c>
      <c r="G267" t="s">
        <v>299</v>
      </c>
      <c r="H267">
        <v>98</v>
      </c>
      <c r="I267" s="30">
        <v>4.4212962962962964E-3</v>
      </c>
      <c r="J267">
        <v>5</v>
      </c>
    </row>
    <row r="268" spans="1:10" x14ac:dyDescent="0.35">
      <c r="A268" t="s">
        <v>581</v>
      </c>
      <c r="B268" t="s">
        <v>319</v>
      </c>
      <c r="C268" t="s">
        <v>545</v>
      </c>
      <c r="D268" s="30">
        <v>0.65099537037037036</v>
      </c>
      <c r="E268" t="s">
        <v>317</v>
      </c>
      <c r="F268" t="s">
        <v>299</v>
      </c>
      <c r="G268" t="s">
        <v>299</v>
      </c>
      <c r="H268">
        <v>120</v>
      </c>
      <c r="I268" s="30">
        <v>6.4814814814814813E-4</v>
      </c>
      <c r="J268">
        <v>3</v>
      </c>
    </row>
    <row r="269" spans="1:10" x14ac:dyDescent="0.35">
      <c r="A269" t="s">
        <v>582</v>
      </c>
      <c r="B269" t="s">
        <v>332</v>
      </c>
      <c r="C269" t="s">
        <v>545</v>
      </c>
      <c r="D269" s="30">
        <v>0.65099537037037036</v>
      </c>
      <c r="E269" t="s">
        <v>309</v>
      </c>
      <c r="F269" t="s">
        <v>299</v>
      </c>
      <c r="G269" t="s">
        <v>299</v>
      </c>
      <c r="H269">
        <v>13</v>
      </c>
      <c r="I269" s="30">
        <v>1.7708333333333332E-3</v>
      </c>
      <c r="J269">
        <v>1</v>
      </c>
    </row>
    <row r="270" spans="1:10" x14ac:dyDescent="0.35">
      <c r="A270" t="s">
        <v>583</v>
      </c>
      <c r="B270" t="s">
        <v>316</v>
      </c>
      <c r="C270" t="s">
        <v>545</v>
      </c>
      <c r="D270" s="30">
        <v>0.65599537037037037</v>
      </c>
      <c r="E270" t="s">
        <v>314</v>
      </c>
      <c r="F270" t="s">
        <v>299</v>
      </c>
      <c r="G270" t="s">
        <v>299</v>
      </c>
      <c r="H270">
        <v>95</v>
      </c>
      <c r="I270" s="30">
        <v>1.238425925925926E-3</v>
      </c>
      <c r="J270">
        <v>5</v>
      </c>
    </row>
    <row r="271" spans="1:10" x14ac:dyDescent="0.35">
      <c r="A271" t="s">
        <v>584</v>
      </c>
      <c r="B271" t="s">
        <v>323</v>
      </c>
      <c r="C271" t="s">
        <v>545</v>
      </c>
      <c r="D271" s="30">
        <v>0.65599537037037037</v>
      </c>
      <c r="E271" t="s">
        <v>309</v>
      </c>
      <c r="F271" t="s">
        <v>299</v>
      </c>
      <c r="G271" t="s">
        <v>299</v>
      </c>
      <c r="H271">
        <v>31</v>
      </c>
      <c r="I271" s="30">
        <v>4.861111111111111E-4</v>
      </c>
      <c r="J271">
        <v>5</v>
      </c>
    </row>
    <row r="272" spans="1:10" x14ac:dyDescent="0.35">
      <c r="A272" t="s">
        <v>585</v>
      </c>
      <c r="B272" t="s">
        <v>332</v>
      </c>
      <c r="C272" t="s">
        <v>545</v>
      </c>
      <c r="D272" s="30">
        <v>0.67099537037037038</v>
      </c>
      <c r="E272" t="s">
        <v>317</v>
      </c>
      <c r="F272" t="s">
        <v>299</v>
      </c>
      <c r="G272" t="s">
        <v>299</v>
      </c>
      <c r="H272">
        <v>113</v>
      </c>
      <c r="I272" s="30">
        <v>4.4212962962962964E-3</v>
      </c>
      <c r="J272">
        <v>3</v>
      </c>
    </row>
    <row r="273" spans="1:10" x14ac:dyDescent="0.35">
      <c r="A273" t="s">
        <v>586</v>
      </c>
      <c r="B273" t="s">
        <v>323</v>
      </c>
      <c r="C273" t="s">
        <v>545</v>
      </c>
      <c r="D273" s="30">
        <v>0.67099537037037038</v>
      </c>
      <c r="E273" t="s">
        <v>302</v>
      </c>
      <c r="F273" t="s">
        <v>299</v>
      </c>
      <c r="G273" t="s">
        <v>299</v>
      </c>
      <c r="H273">
        <v>116</v>
      </c>
      <c r="I273" s="30">
        <v>3.2407407407407406E-3</v>
      </c>
      <c r="J273">
        <v>3</v>
      </c>
    </row>
    <row r="274" spans="1:10" x14ac:dyDescent="0.35">
      <c r="A274" t="s">
        <v>587</v>
      </c>
      <c r="B274" t="s">
        <v>323</v>
      </c>
      <c r="C274" t="s">
        <v>545</v>
      </c>
      <c r="D274" s="30">
        <v>0.67799768518518522</v>
      </c>
      <c r="E274" t="s">
        <v>314</v>
      </c>
      <c r="F274" t="s">
        <v>299</v>
      </c>
      <c r="G274" t="s">
        <v>303</v>
      </c>
      <c r="H274">
        <v>94</v>
      </c>
      <c r="I274" s="30">
        <v>3.8078703703703703E-3</v>
      </c>
      <c r="J274">
        <v>5</v>
      </c>
    </row>
    <row r="275" spans="1:10" x14ac:dyDescent="0.35">
      <c r="A275" t="s">
        <v>588</v>
      </c>
      <c r="B275" t="s">
        <v>323</v>
      </c>
      <c r="C275" t="s">
        <v>545</v>
      </c>
      <c r="D275" s="30">
        <v>0.67799768518518522</v>
      </c>
      <c r="E275" t="s">
        <v>314</v>
      </c>
      <c r="F275" t="s">
        <v>299</v>
      </c>
      <c r="G275" t="s">
        <v>303</v>
      </c>
      <c r="H275">
        <v>51</v>
      </c>
      <c r="I275" s="30">
        <v>3.2638888888888891E-3</v>
      </c>
      <c r="J275">
        <v>4</v>
      </c>
    </row>
    <row r="276" spans="1:10" x14ac:dyDescent="0.35">
      <c r="A276" t="s">
        <v>589</v>
      </c>
      <c r="B276" t="s">
        <v>296</v>
      </c>
      <c r="C276" t="s">
        <v>545</v>
      </c>
      <c r="D276" s="30">
        <v>0.68599537037037039</v>
      </c>
      <c r="E276" t="s">
        <v>302</v>
      </c>
      <c r="F276" t="s">
        <v>299</v>
      </c>
      <c r="G276" t="s">
        <v>299</v>
      </c>
      <c r="H276">
        <v>60</v>
      </c>
      <c r="I276" s="30">
        <v>2.8587962962962963E-3</v>
      </c>
      <c r="J276">
        <v>4</v>
      </c>
    </row>
    <row r="277" spans="1:10" x14ac:dyDescent="0.35">
      <c r="A277" t="s">
        <v>590</v>
      </c>
      <c r="B277" t="s">
        <v>296</v>
      </c>
      <c r="C277" t="s">
        <v>545</v>
      </c>
      <c r="D277" s="30">
        <v>0.68599537037037039</v>
      </c>
      <c r="E277" t="s">
        <v>298</v>
      </c>
      <c r="F277" t="s">
        <v>299</v>
      </c>
      <c r="G277" t="s">
        <v>299</v>
      </c>
      <c r="H277">
        <v>59</v>
      </c>
      <c r="I277" s="30">
        <v>4.2129629629629626E-3</v>
      </c>
      <c r="J277">
        <v>2</v>
      </c>
    </row>
    <row r="278" spans="1:10" x14ac:dyDescent="0.35">
      <c r="A278" t="s">
        <v>591</v>
      </c>
      <c r="B278" t="s">
        <v>305</v>
      </c>
      <c r="C278" t="s">
        <v>545</v>
      </c>
      <c r="D278" s="30">
        <v>0.72599537037037032</v>
      </c>
      <c r="E278" t="s">
        <v>302</v>
      </c>
      <c r="F278" t="s">
        <v>303</v>
      </c>
      <c r="G278" t="s">
        <v>303</v>
      </c>
    </row>
    <row r="279" spans="1:10" x14ac:dyDescent="0.35">
      <c r="A279" t="s">
        <v>592</v>
      </c>
      <c r="B279" t="s">
        <v>307</v>
      </c>
      <c r="C279" t="s">
        <v>545</v>
      </c>
      <c r="D279" s="30">
        <v>0.72599537037037032</v>
      </c>
      <c r="E279" t="s">
        <v>309</v>
      </c>
      <c r="F279" t="s">
        <v>303</v>
      </c>
      <c r="G279" t="s">
        <v>303</v>
      </c>
    </row>
    <row r="280" spans="1:10" x14ac:dyDescent="0.35">
      <c r="A280" t="s">
        <v>593</v>
      </c>
      <c r="B280" t="s">
        <v>319</v>
      </c>
      <c r="C280" t="s">
        <v>545</v>
      </c>
      <c r="D280" s="30">
        <v>0.72900462962962964</v>
      </c>
      <c r="E280" t="s">
        <v>302</v>
      </c>
      <c r="F280" t="s">
        <v>303</v>
      </c>
      <c r="G280" t="s">
        <v>303</v>
      </c>
    </row>
    <row r="281" spans="1:10" x14ac:dyDescent="0.35">
      <c r="A281" t="s">
        <v>594</v>
      </c>
      <c r="B281" t="s">
        <v>332</v>
      </c>
      <c r="C281" t="s">
        <v>545</v>
      </c>
      <c r="D281" s="30">
        <v>0.72900462962962964</v>
      </c>
      <c r="E281" t="s">
        <v>298</v>
      </c>
      <c r="F281" t="s">
        <v>299</v>
      </c>
      <c r="G281" t="s">
        <v>299</v>
      </c>
      <c r="H281">
        <v>16</v>
      </c>
      <c r="I281" s="30">
        <v>2.4652777777777776E-3</v>
      </c>
      <c r="J281">
        <v>4</v>
      </c>
    </row>
    <row r="282" spans="1:10" x14ac:dyDescent="0.35">
      <c r="A282" t="s">
        <v>595</v>
      </c>
      <c r="B282" t="s">
        <v>296</v>
      </c>
      <c r="C282" t="s">
        <v>545</v>
      </c>
      <c r="D282" s="30">
        <v>0.73499999999999999</v>
      </c>
      <c r="E282" t="s">
        <v>302</v>
      </c>
      <c r="F282" t="s">
        <v>299</v>
      </c>
      <c r="G282" t="s">
        <v>299</v>
      </c>
      <c r="H282">
        <v>81</v>
      </c>
      <c r="I282" s="30">
        <v>1.2847222222222223E-3</v>
      </c>
      <c r="J282">
        <v>3</v>
      </c>
    </row>
    <row r="283" spans="1:10" x14ac:dyDescent="0.35">
      <c r="A283" t="s">
        <v>596</v>
      </c>
      <c r="B283" t="s">
        <v>319</v>
      </c>
      <c r="C283" t="s">
        <v>545</v>
      </c>
      <c r="D283" s="30">
        <v>0.73499999999999999</v>
      </c>
      <c r="E283" t="s">
        <v>317</v>
      </c>
      <c r="F283" t="s">
        <v>299</v>
      </c>
      <c r="G283" t="s">
        <v>299</v>
      </c>
      <c r="H283">
        <v>65</v>
      </c>
      <c r="I283" s="30">
        <v>4.6990740740740743E-3</v>
      </c>
      <c r="J283">
        <v>1</v>
      </c>
    </row>
    <row r="284" spans="1:10" x14ac:dyDescent="0.35">
      <c r="A284" t="s">
        <v>597</v>
      </c>
      <c r="B284" t="s">
        <v>323</v>
      </c>
      <c r="C284" t="s">
        <v>545</v>
      </c>
      <c r="D284" s="30">
        <v>0.73900462962962965</v>
      </c>
      <c r="E284" t="s">
        <v>317</v>
      </c>
      <c r="F284" t="s">
        <v>299</v>
      </c>
      <c r="G284" t="s">
        <v>299</v>
      </c>
      <c r="H284">
        <v>55</v>
      </c>
      <c r="I284" s="30">
        <v>2.1296296296296298E-3</v>
      </c>
      <c r="J284">
        <v>2</v>
      </c>
    </row>
    <row r="285" spans="1:10" x14ac:dyDescent="0.35">
      <c r="A285" t="s">
        <v>598</v>
      </c>
      <c r="B285" t="s">
        <v>323</v>
      </c>
      <c r="C285" t="s">
        <v>545</v>
      </c>
      <c r="D285" s="30">
        <v>0.73900462962962965</v>
      </c>
      <c r="E285" t="s">
        <v>302</v>
      </c>
      <c r="F285" t="s">
        <v>303</v>
      </c>
      <c r="G285" t="s">
        <v>303</v>
      </c>
    </row>
    <row r="286" spans="1:10" x14ac:dyDescent="0.35">
      <c r="A286" t="s">
        <v>599</v>
      </c>
      <c r="B286" t="s">
        <v>323</v>
      </c>
      <c r="C286" t="s">
        <v>545</v>
      </c>
      <c r="D286" s="30">
        <v>0.74799768518518517</v>
      </c>
      <c r="E286" t="s">
        <v>302</v>
      </c>
      <c r="F286" t="s">
        <v>299</v>
      </c>
      <c r="G286" t="s">
        <v>299</v>
      </c>
      <c r="H286">
        <v>31</v>
      </c>
      <c r="I286" s="30">
        <v>1.6782407407407408E-3</v>
      </c>
      <c r="J286">
        <v>4</v>
      </c>
    </row>
    <row r="287" spans="1:10" x14ac:dyDescent="0.35">
      <c r="A287" t="s">
        <v>600</v>
      </c>
      <c r="B287" t="s">
        <v>296</v>
      </c>
      <c r="C287" t="s">
        <v>545</v>
      </c>
      <c r="D287" s="30">
        <v>0.74799768518518517</v>
      </c>
      <c r="E287" t="s">
        <v>317</v>
      </c>
      <c r="F287" t="s">
        <v>299</v>
      </c>
      <c r="G287" t="s">
        <v>299</v>
      </c>
      <c r="H287">
        <v>45</v>
      </c>
      <c r="I287" s="30">
        <v>3.6226851851851854E-3</v>
      </c>
      <c r="J287">
        <v>2</v>
      </c>
    </row>
    <row r="288" spans="1:10" x14ac:dyDescent="0.35">
      <c r="A288" t="s">
        <v>601</v>
      </c>
      <c r="B288" t="s">
        <v>307</v>
      </c>
      <c r="C288" t="s">
        <v>602</v>
      </c>
      <c r="D288" s="30">
        <v>0.38099537037037035</v>
      </c>
      <c r="E288" t="s">
        <v>302</v>
      </c>
      <c r="F288" t="s">
        <v>303</v>
      </c>
      <c r="G288" t="s">
        <v>303</v>
      </c>
    </row>
    <row r="289" spans="1:10" x14ac:dyDescent="0.35">
      <c r="A289" t="s">
        <v>603</v>
      </c>
      <c r="B289" t="s">
        <v>305</v>
      </c>
      <c r="C289" t="s">
        <v>602</v>
      </c>
      <c r="D289" s="30">
        <v>0.38099537037037035</v>
      </c>
      <c r="E289" t="s">
        <v>309</v>
      </c>
      <c r="F289" t="s">
        <v>299</v>
      </c>
      <c r="G289" t="s">
        <v>299</v>
      </c>
      <c r="H289">
        <v>43</v>
      </c>
      <c r="I289" s="30">
        <v>1.4930555555555556E-3</v>
      </c>
      <c r="J289">
        <v>5</v>
      </c>
    </row>
    <row r="290" spans="1:10" x14ac:dyDescent="0.35">
      <c r="A290" t="s">
        <v>604</v>
      </c>
      <c r="B290" t="s">
        <v>305</v>
      </c>
      <c r="C290" t="s">
        <v>602</v>
      </c>
      <c r="D290" s="30">
        <v>0.42099537037037038</v>
      </c>
      <c r="E290" t="s">
        <v>302</v>
      </c>
      <c r="F290" t="s">
        <v>299</v>
      </c>
      <c r="G290" t="s">
        <v>299</v>
      </c>
      <c r="H290">
        <v>55</v>
      </c>
      <c r="I290" s="30">
        <v>4.1203703703703706E-3</v>
      </c>
      <c r="J290">
        <v>4</v>
      </c>
    </row>
    <row r="291" spans="1:10" x14ac:dyDescent="0.35">
      <c r="A291" t="s">
        <v>605</v>
      </c>
      <c r="B291" t="s">
        <v>305</v>
      </c>
      <c r="C291" t="s">
        <v>602</v>
      </c>
      <c r="D291" s="30">
        <v>0.42099537037037038</v>
      </c>
      <c r="E291" t="s">
        <v>298</v>
      </c>
      <c r="F291" t="s">
        <v>299</v>
      </c>
      <c r="G291" t="s">
        <v>299</v>
      </c>
      <c r="H291">
        <v>63</v>
      </c>
      <c r="I291" s="30">
        <v>1.6087962962962963E-3</v>
      </c>
      <c r="J291">
        <v>3</v>
      </c>
    </row>
    <row r="292" spans="1:10" x14ac:dyDescent="0.35">
      <c r="A292" t="s">
        <v>606</v>
      </c>
      <c r="B292" t="s">
        <v>319</v>
      </c>
      <c r="C292" t="s">
        <v>602</v>
      </c>
      <c r="D292" s="30">
        <v>0.42200231481481482</v>
      </c>
      <c r="E292" t="s">
        <v>309</v>
      </c>
      <c r="F292" t="s">
        <v>303</v>
      </c>
      <c r="G292" t="s">
        <v>303</v>
      </c>
    </row>
    <row r="293" spans="1:10" x14ac:dyDescent="0.35">
      <c r="A293" t="s">
        <v>607</v>
      </c>
      <c r="B293" t="s">
        <v>316</v>
      </c>
      <c r="C293" t="s">
        <v>602</v>
      </c>
      <c r="D293" s="30">
        <v>0.42200231481481482</v>
      </c>
      <c r="E293" t="s">
        <v>298</v>
      </c>
      <c r="F293" t="s">
        <v>299</v>
      </c>
      <c r="G293" t="s">
        <v>299</v>
      </c>
      <c r="H293">
        <v>122</v>
      </c>
      <c r="I293" s="30">
        <v>4.0740740740740737E-3</v>
      </c>
      <c r="J293">
        <v>1</v>
      </c>
    </row>
    <row r="294" spans="1:10" x14ac:dyDescent="0.35">
      <c r="A294" t="s">
        <v>608</v>
      </c>
      <c r="B294" t="s">
        <v>305</v>
      </c>
      <c r="C294" t="s">
        <v>602</v>
      </c>
      <c r="D294" s="30">
        <v>0.43900462962962961</v>
      </c>
      <c r="E294" t="s">
        <v>298</v>
      </c>
      <c r="F294" t="s">
        <v>299</v>
      </c>
      <c r="G294" t="s">
        <v>299</v>
      </c>
      <c r="H294">
        <v>71</v>
      </c>
      <c r="I294" s="30">
        <v>1.8402777777777777E-3</v>
      </c>
      <c r="J294">
        <v>4</v>
      </c>
    </row>
    <row r="295" spans="1:10" x14ac:dyDescent="0.35">
      <c r="A295" t="s">
        <v>609</v>
      </c>
      <c r="B295" t="s">
        <v>316</v>
      </c>
      <c r="C295" t="s">
        <v>602</v>
      </c>
      <c r="D295" s="30">
        <v>0.43900462962962961</v>
      </c>
      <c r="E295" t="s">
        <v>302</v>
      </c>
      <c r="F295" t="s">
        <v>299</v>
      </c>
      <c r="G295" t="s">
        <v>299</v>
      </c>
      <c r="H295">
        <v>54</v>
      </c>
      <c r="I295" s="30">
        <v>3.4375E-3</v>
      </c>
      <c r="J295">
        <v>4</v>
      </c>
    </row>
    <row r="296" spans="1:10" x14ac:dyDescent="0.35">
      <c r="A296" t="s">
        <v>610</v>
      </c>
      <c r="B296" t="s">
        <v>305</v>
      </c>
      <c r="C296" t="s">
        <v>602</v>
      </c>
      <c r="D296" s="30">
        <v>0.44599537037037035</v>
      </c>
      <c r="E296" t="s">
        <v>317</v>
      </c>
      <c r="F296" t="s">
        <v>299</v>
      </c>
      <c r="G296" t="s">
        <v>299</v>
      </c>
      <c r="H296">
        <v>74</v>
      </c>
      <c r="I296" s="30">
        <v>2.3379629629629631E-3</v>
      </c>
      <c r="J296">
        <v>4</v>
      </c>
    </row>
    <row r="297" spans="1:10" x14ac:dyDescent="0.35">
      <c r="A297" t="s">
        <v>611</v>
      </c>
      <c r="B297" t="s">
        <v>305</v>
      </c>
      <c r="C297" t="s">
        <v>602</v>
      </c>
      <c r="D297" s="30">
        <v>0.44599537037037035</v>
      </c>
      <c r="E297" t="s">
        <v>314</v>
      </c>
      <c r="F297" t="s">
        <v>299</v>
      </c>
      <c r="G297" t="s">
        <v>299</v>
      </c>
      <c r="H297">
        <v>125</v>
      </c>
      <c r="I297" s="30">
        <v>3.3217592592592591E-3</v>
      </c>
      <c r="J297">
        <v>4</v>
      </c>
    </row>
    <row r="298" spans="1:10" x14ac:dyDescent="0.35">
      <c r="A298" t="s">
        <v>612</v>
      </c>
      <c r="B298" t="s">
        <v>332</v>
      </c>
      <c r="C298" t="s">
        <v>602</v>
      </c>
      <c r="D298" s="30">
        <v>0.4670023148148148</v>
      </c>
      <c r="E298" t="s">
        <v>309</v>
      </c>
      <c r="F298" t="s">
        <v>299</v>
      </c>
      <c r="G298" t="s">
        <v>299</v>
      </c>
      <c r="H298">
        <v>110</v>
      </c>
      <c r="I298" s="30">
        <v>2.5810185185185185E-3</v>
      </c>
      <c r="J298">
        <v>3</v>
      </c>
    </row>
    <row r="299" spans="1:10" x14ac:dyDescent="0.35">
      <c r="A299" t="s">
        <v>613</v>
      </c>
      <c r="B299" t="s">
        <v>301</v>
      </c>
      <c r="C299" t="s">
        <v>602</v>
      </c>
      <c r="D299" s="30">
        <v>0.4670023148148148</v>
      </c>
      <c r="E299" t="s">
        <v>317</v>
      </c>
      <c r="F299" t="s">
        <v>303</v>
      </c>
      <c r="G299" t="s">
        <v>303</v>
      </c>
    </row>
    <row r="300" spans="1:10" x14ac:dyDescent="0.35">
      <c r="A300" t="s">
        <v>614</v>
      </c>
      <c r="B300" t="s">
        <v>323</v>
      </c>
      <c r="C300" t="s">
        <v>602</v>
      </c>
      <c r="D300" s="30">
        <v>0.47900462962962964</v>
      </c>
      <c r="E300" t="s">
        <v>302</v>
      </c>
      <c r="F300" t="s">
        <v>299</v>
      </c>
      <c r="G300" t="s">
        <v>299</v>
      </c>
      <c r="H300">
        <v>74</v>
      </c>
      <c r="I300" s="30">
        <v>1.0532407407407407E-3</v>
      </c>
      <c r="J300">
        <v>5</v>
      </c>
    </row>
    <row r="301" spans="1:10" x14ac:dyDescent="0.35">
      <c r="A301" t="s">
        <v>615</v>
      </c>
      <c r="B301" t="s">
        <v>296</v>
      </c>
      <c r="C301" t="s">
        <v>602</v>
      </c>
      <c r="D301" s="30">
        <v>0.47900462962962964</v>
      </c>
      <c r="E301" t="s">
        <v>309</v>
      </c>
      <c r="F301" t="s">
        <v>299</v>
      </c>
      <c r="G301" t="s">
        <v>299</v>
      </c>
      <c r="H301">
        <v>80</v>
      </c>
      <c r="I301" s="30">
        <v>3.0902777777777777E-3</v>
      </c>
      <c r="J301">
        <v>4</v>
      </c>
    </row>
    <row r="302" spans="1:10" x14ac:dyDescent="0.35">
      <c r="A302" t="s">
        <v>616</v>
      </c>
      <c r="B302" t="s">
        <v>332</v>
      </c>
      <c r="C302" t="s">
        <v>602</v>
      </c>
      <c r="D302" s="30">
        <v>0.48499999999999999</v>
      </c>
      <c r="E302" t="s">
        <v>309</v>
      </c>
      <c r="F302" t="s">
        <v>303</v>
      </c>
      <c r="G302" t="s">
        <v>303</v>
      </c>
    </row>
    <row r="303" spans="1:10" x14ac:dyDescent="0.35">
      <c r="A303" t="s">
        <v>617</v>
      </c>
      <c r="B303" t="s">
        <v>319</v>
      </c>
      <c r="C303" t="s">
        <v>602</v>
      </c>
      <c r="D303" s="30">
        <v>0.48499999999999999</v>
      </c>
      <c r="E303" t="s">
        <v>298</v>
      </c>
      <c r="F303" t="s">
        <v>299</v>
      </c>
      <c r="G303" t="s">
        <v>299</v>
      </c>
      <c r="H303">
        <v>110</v>
      </c>
      <c r="I303" s="30">
        <v>2.7083333333333334E-3</v>
      </c>
      <c r="J303">
        <v>2</v>
      </c>
    </row>
    <row r="304" spans="1:10" x14ac:dyDescent="0.35">
      <c r="A304" t="s">
        <v>618</v>
      </c>
      <c r="B304" t="s">
        <v>305</v>
      </c>
      <c r="C304" t="s">
        <v>602</v>
      </c>
      <c r="D304" s="30">
        <v>0.49</v>
      </c>
      <c r="E304" t="s">
        <v>309</v>
      </c>
      <c r="F304" t="s">
        <v>299</v>
      </c>
      <c r="G304" t="s">
        <v>299</v>
      </c>
      <c r="H304">
        <v>26</v>
      </c>
      <c r="I304" s="30">
        <v>2.1759259259259258E-3</v>
      </c>
      <c r="J304">
        <v>3</v>
      </c>
    </row>
    <row r="305" spans="1:10" x14ac:dyDescent="0.35">
      <c r="A305" t="s">
        <v>619</v>
      </c>
      <c r="B305" t="s">
        <v>307</v>
      </c>
      <c r="C305" t="s">
        <v>602</v>
      </c>
      <c r="D305" s="30">
        <v>0.49</v>
      </c>
      <c r="E305" t="s">
        <v>302</v>
      </c>
      <c r="F305" t="s">
        <v>303</v>
      </c>
      <c r="G305" t="s">
        <v>303</v>
      </c>
    </row>
    <row r="306" spans="1:10" x14ac:dyDescent="0.35">
      <c r="A306" t="s">
        <v>620</v>
      </c>
      <c r="B306" t="s">
        <v>319</v>
      </c>
      <c r="C306" t="s">
        <v>602</v>
      </c>
      <c r="D306" s="30">
        <v>0.50400462962962966</v>
      </c>
      <c r="E306" t="s">
        <v>314</v>
      </c>
      <c r="F306" t="s">
        <v>299</v>
      </c>
      <c r="G306" t="s">
        <v>299</v>
      </c>
      <c r="H306">
        <v>97</v>
      </c>
      <c r="I306" s="30">
        <v>1.238425925925926E-3</v>
      </c>
      <c r="J306">
        <v>3</v>
      </c>
    </row>
    <row r="307" spans="1:10" x14ac:dyDescent="0.35">
      <c r="A307" t="s">
        <v>621</v>
      </c>
      <c r="B307" t="s">
        <v>332</v>
      </c>
      <c r="C307" t="s">
        <v>602</v>
      </c>
      <c r="D307" s="30">
        <v>0.50400462962962966</v>
      </c>
      <c r="E307" t="s">
        <v>314</v>
      </c>
      <c r="F307" t="s">
        <v>299</v>
      </c>
      <c r="G307" t="s">
        <v>303</v>
      </c>
      <c r="H307">
        <v>82</v>
      </c>
      <c r="I307" s="30">
        <v>3.9351851851851848E-3</v>
      </c>
      <c r="J307">
        <v>3</v>
      </c>
    </row>
    <row r="308" spans="1:10" x14ac:dyDescent="0.35">
      <c r="A308" t="s">
        <v>622</v>
      </c>
      <c r="B308" t="s">
        <v>301</v>
      </c>
      <c r="C308" t="s">
        <v>602</v>
      </c>
      <c r="D308" s="30">
        <v>0.505</v>
      </c>
      <c r="E308" t="s">
        <v>317</v>
      </c>
      <c r="F308" t="s">
        <v>299</v>
      </c>
      <c r="G308" t="s">
        <v>303</v>
      </c>
      <c r="H308">
        <v>102</v>
      </c>
      <c r="I308" s="30">
        <v>4.0856481481481481E-3</v>
      </c>
      <c r="J308">
        <v>5</v>
      </c>
    </row>
    <row r="309" spans="1:10" x14ac:dyDescent="0.35">
      <c r="A309" t="s">
        <v>623</v>
      </c>
      <c r="B309" t="s">
        <v>316</v>
      </c>
      <c r="C309" t="s">
        <v>602</v>
      </c>
      <c r="D309" s="30">
        <v>0.505</v>
      </c>
      <c r="E309" t="s">
        <v>314</v>
      </c>
      <c r="F309" t="s">
        <v>299</v>
      </c>
      <c r="G309" t="s">
        <v>299</v>
      </c>
      <c r="H309">
        <v>120</v>
      </c>
      <c r="I309" s="30">
        <v>6.018518518518519E-4</v>
      </c>
      <c r="J309">
        <v>5</v>
      </c>
    </row>
    <row r="310" spans="1:10" x14ac:dyDescent="0.35">
      <c r="A310" t="s">
        <v>624</v>
      </c>
      <c r="B310" t="s">
        <v>307</v>
      </c>
      <c r="C310" t="s">
        <v>602</v>
      </c>
      <c r="D310" s="30">
        <v>0.56299768518518523</v>
      </c>
      <c r="E310" t="s">
        <v>317</v>
      </c>
      <c r="F310" t="s">
        <v>299</v>
      </c>
      <c r="G310" t="s">
        <v>299</v>
      </c>
      <c r="H310">
        <v>70</v>
      </c>
      <c r="I310" s="30">
        <v>3.6921296296296298E-3</v>
      </c>
      <c r="J310">
        <v>3</v>
      </c>
    </row>
    <row r="311" spans="1:10" x14ac:dyDescent="0.35">
      <c r="A311" t="s">
        <v>625</v>
      </c>
      <c r="B311" t="s">
        <v>296</v>
      </c>
      <c r="C311" t="s">
        <v>602</v>
      </c>
      <c r="D311" s="30">
        <v>0.56299768518518523</v>
      </c>
      <c r="E311" t="s">
        <v>314</v>
      </c>
      <c r="F311" t="s">
        <v>303</v>
      </c>
      <c r="G311" t="s">
        <v>303</v>
      </c>
    </row>
    <row r="312" spans="1:10" x14ac:dyDescent="0.35">
      <c r="A312" t="s">
        <v>626</v>
      </c>
      <c r="B312" t="s">
        <v>305</v>
      </c>
      <c r="C312" t="s">
        <v>602</v>
      </c>
      <c r="D312" s="30">
        <v>0.58200231481481479</v>
      </c>
      <c r="E312" t="s">
        <v>309</v>
      </c>
      <c r="F312" t="s">
        <v>299</v>
      </c>
      <c r="G312" t="s">
        <v>299</v>
      </c>
      <c r="H312">
        <v>122</v>
      </c>
      <c r="I312" s="30">
        <v>2.0370370370370369E-3</v>
      </c>
      <c r="J312">
        <v>3</v>
      </c>
    </row>
    <row r="313" spans="1:10" x14ac:dyDescent="0.35">
      <c r="A313" t="s">
        <v>627</v>
      </c>
      <c r="B313" t="s">
        <v>323</v>
      </c>
      <c r="C313" t="s">
        <v>602</v>
      </c>
      <c r="D313" s="30">
        <v>0.58200231481481479</v>
      </c>
      <c r="E313" t="s">
        <v>317</v>
      </c>
      <c r="F313" t="s">
        <v>303</v>
      </c>
      <c r="G313" t="s">
        <v>303</v>
      </c>
    </row>
    <row r="314" spans="1:10" x14ac:dyDescent="0.35">
      <c r="A314" t="s">
        <v>628</v>
      </c>
      <c r="B314" t="s">
        <v>319</v>
      </c>
      <c r="C314" t="s">
        <v>602</v>
      </c>
      <c r="D314" s="30">
        <v>0.58599537037037042</v>
      </c>
      <c r="E314" t="s">
        <v>309</v>
      </c>
      <c r="F314" t="s">
        <v>299</v>
      </c>
      <c r="G314" t="s">
        <v>299</v>
      </c>
      <c r="H314">
        <v>19</v>
      </c>
      <c r="I314" s="30">
        <v>6.3657407407407413E-4</v>
      </c>
      <c r="J314">
        <v>1</v>
      </c>
    </row>
    <row r="315" spans="1:10" x14ac:dyDescent="0.35">
      <c r="A315" t="s">
        <v>629</v>
      </c>
      <c r="B315" t="s">
        <v>307</v>
      </c>
      <c r="C315" t="s">
        <v>602</v>
      </c>
      <c r="D315" s="30">
        <v>0.58599537037037042</v>
      </c>
      <c r="E315" t="s">
        <v>309</v>
      </c>
      <c r="F315" t="s">
        <v>299</v>
      </c>
      <c r="G315" t="s">
        <v>299</v>
      </c>
      <c r="H315">
        <v>71</v>
      </c>
      <c r="I315" s="30">
        <v>1.8171296296296297E-3</v>
      </c>
      <c r="J315">
        <v>4</v>
      </c>
    </row>
    <row r="316" spans="1:10" x14ac:dyDescent="0.35">
      <c r="A316" t="s">
        <v>630</v>
      </c>
      <c r="B316" t="s">
        <v>319</v>
      </c>
      <c r="C316" t="s">
        <v>602</v>
      </c>
      <c r="D316" s="30">
        <v>0.59299768518518514</v>
      </c>
      <c r="E316" t="s">
        <v>302</v>
      </c>
      <c r="F316" t="s">
        <v>299</v>
      </c>
      <c r="G316" t="s">
        <v>299</v>
      </c>
      <c r="H316">
        <v>24</v>
      </c>
      <c r="I316" s="30">
        <v>3.460648148148148E-3</v>
      </c>
      <c r="J316">
        <v>1</v>
      </c>
    </row>
    <row r="317" spans="1:10" x14ac:dyDescent="0.35">
      <c r="A317" t="s">
        <v>631</v>
      </c>
      <c r="B317" t="s">
        <v>323</v>
      </c>
      <c r="C317" t="s">
        <v>602</v>
      </c>
      <c r="D317" s="30">
        <v>0.59299768518518514</v>
      </c>
      <c r="E317" t="s">
        <v>302</v>
      </c>
      <c r="F317" t="s">
        <v>299</v>
      </c>
      <c r="G317" t="s">
        <v>299</v>
      </c>
      <c r="H317">
        <v>67</v>
      </c>
      <c r="I317" s="30">
        <v>3.8888888888888888E-3</v>
      </c>
      <c r="J317">
        <v>1</v>
      </c>
    </row>
    <row r="318" spans="1:10" x14ac:dyDescent="0.35">
      <c r="A318" t="s">
        <v>632</v>
      </c>
      <c r="B318" t="s">
        <v>323</v>
      </c>
      <c r="C318" t="s">
        <v>602</v>
      </c>
      <c r="D318" s="30">
        <v>0.60599537037037032</v>
      </c>
      <c r="E318" t="s">
        <v>317</v>
      </c>
      <c r="F318" t="s">
        <v>299</v>
      </c>
      <c r="G318" t="s">
        <v>303</v>
      </c>
      <c r="H318">
        <v>57</v>
      </c>
      <c r="I318" s="30">
        <v>2.9398148148148148E-3</v>
      </c>
      <c r="J318">
        <v>3</v>
      </c>
    </row>
    <row r="319" spans="1:10" x14ac:dyDescent="0.35">
      <c r="A319" t="s">
        <v>633</v>
      </c>
      <c r="B319" t="s">
        <v>296</v>
      </c>
      <c r="C319" t="s">
        <v>602</v>
      </c>
      <c r="D319" s="30">
        <v>0.60599537037037032</v>
      </c>
      <c r="E319" t="s">
        <v>317</v>
      </c>
      <c r="F319" t="s">
        <v>299</v>
      </c>
      <c r="G319" t="s">
        <v>299</v>
      </c>
      <c r="H319">
        <v>108</v>
      </c>
      <c r="I319" s="30">
        <v>3.5069444444444445E-3</v>
      </c>
      <c r="J319">
        <v>4</v>
      </c>
    </row>
    <row r="320" spans="1:10" x14ac:dyDescent="0.35">
      <c r="A320" t="s">
        <v>634</v>
      </c>
      <c r="B320" t="s">
        <v>305</v>
      </c>
      <c r="C320" t="s">
        <v>602</v>
      </c>
      <c r="D320" s="30">
        <v>0.62299768518518517</v>
      </c>
      <c r="E320" t="s">
        <v>309</v>
      </c>
      <c r="F320" t="s">
        <v>299</v>
      </c>
      <c r="G320" t="s">
        <v>299</v>
      </c>
      <c r="H320">
        <v>99</v>
      </c>
      <c r="I320" s="30">
        <v>2.8703703703703703E-3</v>
      </c>
      <c r="J320">
        <v>4</v>
      </c>
    </row>
    <row r="321" spans="1:10" x14ac:dyDescent="0.35">
      <c r="A321" t="s">
        <v>635</v>
      </c>
      <c r="B321" t="s">
        <v>305</v>
      </c>
      <c r="C321" t="s">
        <v>602</v>
      </c>
      <c r="D321" s="30">
        <v>0.62299768518518517</v>
      </c>
      <c r="E321" t="s">
        <v>309</v>
      </c>
      <c r="F321" t="s">
        <v>299</v>
      </c>
      <c r="G321" t="s">
        <v>299</v>
      </c>
      <c r="H321">
        <v>56</v>
      </c>
      <c r="I321" s="30">
        <v>3.3796296296296296E-3</v>
      </c>
      <c r="J321">
        <v>1</v>
      </c>
    </row>
    <row r="322" spans="1:10" x14ac:dyDescent="0.35">
      <c r="A322" t="s">
        <v>636</v>
      </c>
      <c r="B322" t="s">
        <v>305</v>
      </c>
      <c r="C322" t="s">
        <v>602</v>
      </c>
      <c r="D322" s="30">
        <v>0.62700231481481483</v>
      </c>
      <c r="E322" t="s">
        <v>309</v>
      </c>
      <c r="F322" t="s">
        <v>299</v>
      </c>
      <c r="G322" t="s">
        <v>299</v>
      </c>
      <c r="H322">
        <v>121</v>
      </c>
      <c r="I322" s="30">
        <v>2.7430555555555554E-3</v>
      </c>
      <c r="J322">
        <v>3</v>
      </c>
    </row>
    <row r="323" spans="1:10" x14ac:dyDescent="0.35">
      <c r="A323" t="s">
        <v>637</v>
      </c>
      <c r="B323" t="s">
        <v>307</v>
      </c>
      <c r="C323" t="s">
        <v>602</v>
      </c>
      <c r="D323" s="30">
        <v>0.62700231481481483</v>
      </c>
      <c r="E323" t="s">
        <v>314</v>
      </c>
      <c r="F323" t="s">
        <v>303</v>
      </c>
      <c r="G323" t="s">
        <v>303</v>
      </c>
    </row>
    <row r="324" spans="1:10" x14ac:dyDescent="0.35">
      <c r="A324" t="s">
        <v>638</v>
      </c>
      <c r="B324" t="s">
        <v>319</v>
      </c>
      <c r="C324" t="s">
        <v>602</v>
      </c>
      <c r="D324" s="30">
        <v>0.63400462962962967</v>
      </c>
      <c r="E324" t="s">
        <v>298</v>
      </c>
      <c r="F324" t="s">
        <v>299</v>
      </c>
      <c r="G324" t="s">
        <v>299</v>
      </c>
      <c r="H324">
        <v>72</v>
      </c>
      <c r="I324" s="30">
        <v>4.1666666666666666E-3</v>
      </c>
      <c r="J324">
        <v>1</v>
      </c>
    </row>
    <row r="325" spans="1:10" x14ac:dyDescent="0.35">
      <c r="A325" t="s">
        <v>639</v>
      </c>
      <c r="B325" t="s">
        <v>307</v>
      </c>
      <c r="C325" t="s">
        <v>602</v>
      </c>
      <c r="D325" s="30">
        <v>0.63400462962962967</v>
      </c>
      <c r="E325" t="s">
        <v>298</v>
      </c>
      <c r="F325" t="s">
        <v>299</v>
      </c>
      <c r="G325" t="s">
        <v>299</v>
      </c>
      <c r="H325">
        <v>54</v>
      </c>
      <c r="I325" s="30">
        <v>4.340277777777778E-3</v>
      </c>
      <c r="J325">
        <v>4</v>
      </c>
    </row>
    <row r="326" spans="1:10" x14ac:dyDescent="0.35">
      <c r="A326" t="s">
        <v>640</v>
      </c>
      <c r="B326" t="s">
        <v>323</v>
      </c>
      <c r="C326" t="s">
        <v>602</v>
      </c>
      <c r="D326" s="30">
        <v>0.6790046296296296</v>
      </c>
      <c r="E326" t="s">
        <v>314</v>
      </c>
      <c r="F326" t="s">
        <v>299</v>
      </c>
      <c r="G326" t="s">
        <v>299</v>
      </c>
      <c r="H326">
        <v>30</v>
      </c>
      <c r="I326" s="30">
        <v>3.1944444444444446E-3</v>
      </c>
      <c r="J326">
        <v>3</v>
      </c>
    </row>
    <row r="327" spans="1:10" x14ac:dyDescent="0.35">
      <c r="A327" t="s">
        <v>641</v>
      </c>
      <c r="B327" t="s">
        <v>316</v>
      </c>
      <c r="C327" t="s">
        <v>602</v>
      </c>
      <c r="D327" s="30">
        <v>0.6790046296296296</v>
      </c>
      <c r="E327" t="s">
        <v>309</v>
      </c>
      <c r="F327" t="s">
        <v>299</v>
      </c>
      <c r="G327" t="s">
        <v>299</v>
      </c>
      <c r="H327">
        <v>44</v>
      </c>
      <c r="I327" s="30">
        <v>7.407407407407407E-4</v>
      </c>
      <c r="J327">
        <v>2</v>
      </c>
    </row>
    <row r="328" spans="1:10" x14ac:dyDescent="0.35">
      <c r="A328" t="s">
        <v>642</v>
      </c>
      <c r="B328" t="s">
        <v>307</v>
      </c>
      <c r="C328" t="s">
        <v>602</v>
      </c>
      <c r="D328" s="30">
        <v>0.68200231481481477</v>
      </c>
      <c r="E328" t="s">
        <v>309</v>
      </c>
      <c r="F328" t="s">
        <v>299</v>
      </c>
      <c r="G328" t="s">
        <v>303</v>
      </c>
      <c r="H328">
        <v>97</v>
      </c>
      <c r="I328" s="30">
        <v>1.3657407407407407E-3</v>
      </c>
      <c r="J328">
        <v>4</v>
      </c>
    </row>
    <row r="329" spans="1:10" x14ac:dyDescent="0.35">
      <c r="A329" t="s">
        <v>643</v>
      </c>
      <c r="B329" t="s">
        <v>316</v>
      </c>
      <c r="C329" t="s">
        <v>602</v>
      </c>
      <c r="D329" s="30">
        <v>0.68200231481481477</v>
      </c>
      <c r="E329" t="s">
        <v>317</v>
      </c>
      <c r="F329" t="s">
        <v>299</v>
      </c>
      <c r="G329" t="s">
        <v>299</v>
      </c>
      <c r="H329">
        <v>47</v>
      </c>
      <c r="I329" s="30">
        <v>1.261574074074074E-3</v>
      </c>
      <c r="J329">
        <v>3</v>
      </c>
    </row>
    <row r="330" spans="1:10" x14ac:dyDescent="0.35">
      <c r="A330" t="s">
        <v>644</v>
      </c>
      <c r="B330" t="s">
        <v>332</v>
      </c>
      <c r="C330" t="s">
        <v>602</v>
      </c>
      <c r="D330" s="30">
        <v>0.68599537037037039</v>
      </c>
      <c r="E330" t="s">
        <v>317</v>
      </c>
      <c r="F330" t="s">
        <v>299</v>
      </c>
      <c r="G330" t="s">
        <v>299</v>
      </c>
      <c r="H330">
        <v>53</v>
      </c>
      <c r="I330" s="30">
        <v>1.1921296296296296E-3</v>
      </c>
      <c r="J330">
        <v>3</v>
      </c>
    </row>
    <row r="331" spans="1:10" x14ac:dyDescent="0.35">
      <c r="A331" t="s">
        <v>645</v>
      </c>
      <c r="B331" t="s">
        <v>332</v>
      </c>
      <c r="C331" t="s">
        <v>602</v>
      </c>
      <c r="D331" s="30">
        <v>0.68599537037037039</v>
      </c>
      <c r="E331" t="s">
        <v>298</v>
      </c>
      <c r="F331" t="s">
        <v>303</v>
      </c>
      <c r="G331" t="s">
        <v>303</v>
      </c>
    </row>
    <row r="332" spans="1:10" x14ac:dyDescent="0.35">
      <c r="A332" t="s">
        <v>646</v>
      </c>
      <c r="B332" t="s">
        <v>323</v>
      </c>
      <c r="C332" t="s">
        <v>602</v>
      </c>
      <c r="D332" s="30">
        <v>0.6909953703703704</v>
      </c>
      <c r="E332" t="s">
        <v>309</v>
      </c>
      <c r="F332" t="s">
        <v>303</v>
      </c>
      <c r="G332" t="s">
        <v>303</v>
      </c>
    </row>
    <row r="333" spans="1:10" x14ac:dyDescent="0.35">
      <c r="A333" t="s">
        <v>647</v>
      </c>
      <c r="B333" t="s">
        <v>316</v>
      </c>
      <c r="C333" t="s">
        <v>602</v>
      </c>
      <c r="D333" s="30">
        <v>0.6909953703703704</v>
      </c>
      <c r="E333" t="s">
        <v>317</v>
      </c>
      <c r="F333" t="s">
        <v>303</v>
      </c>
      <c r="G333" t="s">
        <v>303</v>
      </c>
    </row>
    <row r="334" spans="1:10" x14ac:dyDescent="0.35">
      <c r="A334" t="s">
        <v>648</v>
      </c>
      <c r="B334" t="s">
        <v>305</v>
      </c>
      <c r="C334" t="s">
        <v>602</v>
      </c>
      <c r="D334" s="30">
        <v>0.69400462962962961</v>
      </c>
      <c r="E334" t="s">
        <v>314</v>
      </c>
      <c r="F334" t="s">
        <v>299</v>
      </c>
      <c r="G334" t="s">
        <v>299</v>
      </c>
      <c r="H334">
        <v>81</v>
      </c>
      <c r="I334" s="30">
        <v>2.6041666666666665E-3</v>
      </c>
      <c r="J334">
        <v>3</v>
      </c>
    </row>
    <row r="335" spans="1:10" x14ac:dyDescent="0.35">
      <c r="A335" t="s">
        <v>649</v>
      </c>
      <c r="B335" t="s">
        <v>296</v>
      </c>
      <c r="C335" t="s">
        <v>602</v>
      </c>
      <c r="D335" s="30">
        <v>0.69400462962962961</v>
      </c>
      <c r="E335" t="s">
        <v>298</v>
      </c>
      <c r="F335" t="s">
        <v>299</v>
      </c>
      <c r="G335" t="s">
        <v>299</v>
      </c>
      <c r="H335">
        <v>11</v>
      </c>
      <c r="I335" s="30">
        <v>3.9351851851851852E-4</v>
      </c>
      <c r="J335">
        <v>4</v>
      </c>
    </row>
    <row r="336" spans="1:10" x14ac:dyDescent="0.35">
      <c r="A336" t="s">
        <v>650</v>
      </c>
      <c r="B336" t="s">
        <v>323</v>
      </c>
      <c r="C336" t="s">
        <v>602</v>
      </c>
      <c r="D336" s="30">
        <v>0.70900462962962962</v>
      </c>
      <c r="E336" t="s">
        <v>309</v>
      </c>
      <c r="F336" t="s">
        <v>299</v>
      </c>
      <c r="G336" t="s">
        <v>299</v>
      </c>
      <c r="H336">
        <v>48</v>
      </c>
      <c r="I336" s="30">
        <v>6.134259259259259E-4</v>
      </c>
      <c r="J336">
        <v>5</v>
      </c>
    </row>
    <row r="337" spans="1:10" x14ac:dyDescent="0.35">
      <c r="A337" t="s">
        <v>651</v>
      </c>
      <c r="B337" t="s">
        <v>305</v>
      </c>
      <c r="C337" t="s">
        <v>602</v>
      </c>
      <c r="D337" s="30">
        <v>0.70900462962962962</v>
      </c>
      <c r="E337" t="s">
        <v>298</v>
      </c>
      <c r="F337" t="s">
        <v>299</v>
      </c>
      <c r="G337" t="s">
        <v>299</v>
      </c>
      <c r="H337">
        <v>37</v>
      </c>
      <c r="I337" s="30">
        <v>4.7916666666666663E-3</v>
      </c>
      <c r="J337">
        <v>5</v>
      </c>
    </row>
    <row r="338" spans="1:10" x14ac:dyDescent="0.35">
      <c r="A338" t="s">
        <v>652</v>
      </c>
      <c r="B338" t="s">
        <v>323</v>
      </c>
      <c r="C338" t="s">
        <v>602</v>
      </c>
      <c r="D338" s="30">
        <v>0.72200231481481481</v>
      </c>
      <c r="E338" t="s">
        <v>302</v>
      </c>
      <c r="F338" t="s">
        <v>299</v>
      </c>
      <c r="G338" t="s">
        <v>299</v>
      </c>
      <c r="H338">
        <v>115</v>
      </c>
      <c r="I338" s="30">
        <v>1.7824074074074075E-3</v>
      </c>
      <c r="J338">
        <v>4</v>
      </c>
    </row>
    <row r="339" spans="1:10" x14ac:dyDescent="0.35">
      <c r="A339" t="s">
        <v>653</v>
      </c>
      <c r="B339" t="s">
        <v>307</v>
      </c>
      <c r="C339" t="s">
        <v>602</v>
      </c>
      <c r="D339" s="30">
        <v>0.72200231481481481</v>
      </c>
      <c r="E339" t="s">
        <v>309</v>
      </c>
      <c r="F339" t="s">
        <v>299</v>
      </c>
      <c r="G339" t="s">
        <v>299</v>
      </c>
      <c r="H339">
        <v>81</v>
      </c>
      <c r="I339" s="30">
        <v>6.134259259259259E-4</v>
      </c>
      <c r="J339">
        <v>4</v>
      </c>
    </row>
    <row r="340" spans="1:10" x14ac:dyDescent="0.35">
      <c r="A340" t="s">
        <v>654</v>
      </c>
      <c r="B340" t="s">
        <v>301</v>
      </c>
      <c r="C340" t="s">
        <v>602</v>
      </c>
      <c r="D340" s="30">
        <v>0.72299768518518515</v>
      </c>
      <c r="E340" t="s">
        <v>298</v>
      </c>
      <c r="F340" t="s">
        <v>303</v>
      </c>
      <c r="G340" t="s">
        <v>303</v>
      </c>
    </row>
    <row r="341" spans="1:10" x14ac:dyDescent="0.35">
      <c r="A341" t="s">
        <v>655</v>
      </c>
      <c r="B341" t="s">
        <v>316</v>
      </c>
      <c r="C341" t="s">
        <v>602</v>
      </c>
      <c r="D341" s="30">
        <v>0.72299768518518515</v>
      </c>
      <c r="E341" t="s">
        <v>314</v>
      </c>
      <c r="F341" t="s">
        <v>299</v>
      </c>
      <c r="G341" t="s">
        <v>299</v>
      </c>
      <c r="H341">
        <v>12</v>
      </c>
      <c r="I341" s="30">
        <v>2.2222222222222222E-3</v>
      </c>
      <c r="J341">
        <v>5</v>
      </c>
    </row>
    <row r="342" spans="1:10" x14ac:dyDescent="0.35">
      <c r="A342" t="s">
        <v>656</v>
      </c>
      <c r="B342" t="s">
        <v>305</v>
      </c>
      <c r="C342" t="s">
        <v>602</v>
      </c>
      <c r="D342" s="30">
        <v>0.72400462962962964</v>
      </c>
      <c r="E342" t="s">
        <v>314</v>
      </c>
      <c r="F342" t="s">
        <v>299</v>
      </c>
      <c r="G342" t="s">
        <v>299</v>
      </c>
      <c r="H342">
        <v>75</v>
      </c>
      <c r="I342" s="30">
        <v>1.9791666666666668E-3</v>
      </c>
      <c r="J342">
        <v>3</v>
      </c>
    </row>
    <row r="343" spans="1:10" x14ac:dyDescent="0.35">
      <c r="A343" t="s">
        <v>657</v>
      </c>
      <c r="B343" t="s">
        <v>316</v>
      </c>
      <c r="C343" t="s">
        <v>602</v>
      </c>
      <c r="D343" s="30">
        <v>0.72400462962962964</v>
      </c>
      <c r="E343" t="s">
        <v>298</v>
      </c>
      <c r="F343" t="s">
        <v>299</v>
      </c>
      <c r="G343" t="s">
        <v>299</v>
      </c>
      <c r="H343">
        <v>42</v>
      </c>
      <c r="I343" s="30">
        <v>8.9120370370370373E-4</v>
      </c>
      <c r="J343">
        <v>4</v>
      </c>
    </row>
    <row r="344" spans="1:10" x14ac:dyDescent="0.35">
      <c r="A344" t="s">
        <v>658</v>
      </c>
      <c r="B344" t="s">
        <v>307</v>
      </c>
      <c r="C344" t="s">
        <v>602</v>
      </c>
      <c r="D344" s="30">
        <v>0.72499999999999998</v>
      </c>
      <c r="E344" t="s">
        <v>314</v>
      </c>
      <c r="F344" t="s">
        <v>299</v>
      </c>
      <c r="G344" t="s">
        <v>299</v>
      </c>
      <c r="H344">
        <v>96</v>
      </c>
      <c r="I344" s="30">
        <v>1.2152777777777778E-3</v>
      </c>
      <c r="J344">
        <v>5</v>
      </c>
    </row>
    <row r="345" spans="1:10" x14ac:dyDescent="0.35">
      <c r="A345" t="s">
        <v>659</v>
      </c>
      <c r="B345" t="s">
        <v>305</v>
      </c>
      <c r="C345" t="s">
        <v>602</v>
      </c>
      <c r="D345" s="30">
        <v>0.72499999999999998</v>
      </c>
      <c r="E345" t="s">
        <v>309</v>
      </c>
      <c r="F345" t="s">
        <v>299</v>
      </c>
      <c r="G345" t="s">
        <v>299</v>
      </c>
      <c r="H345">
        <v>58</v>
      </c>
      <c r="I345" s="30">
        <v>1.2847222222222223E-3</v>
      </c>
      <c r="J345">
        <v>5</v>
      </c>
    </row>
    <row r="346" spans="1:10" x14ac:dyDescent="0.35">
      <c r="A346" t="s">
        <v>660</v>
      </c>
      <c r="B346" t="s">
        <v>332</v>
      </c>
      <c r="C346" t="s">
        <v>661</v>
      </c>
      <c r="D346" s="30">
        <v>0.37799768518518517</v>
      </c>
      <c r="E346" t="s">
        <v>298</v>
      </c>
      <c r="F346" t="s">
        <v>299</v>
      </c>
      <c r="G346" t="s">
        <v>299</v>
      </c>
      <c r="H346">
        <v>62</v>
      </c>
      <c r="I346" s="30">
        <v>3.6574074074074074E-3</v>
      </c>
      <c r="J346">
        <v>5</v>
      </c>
    </row>
    <row r="347" spans="1:10" x14ac:dyDescent="0.35">
      <c r="A347" t="s">
        <v>662</v>
      </c>
      <c r="B347" t="s">
        <v>307</v>
      </c>
      <c r="C347" t="s">
        <v>661</v>
      </c>
      <c r="D347" s="30">
        <v>0.37799768518518517</v>
      </c>
      <c r="E347" t="s">
        <v>309</v>
      </c>
      <c r="F347" t="s">
        <v>299</v>
      </c>
      <c r="G347" t="s">
        <v>299</v>
      </c>
      <c r="H347">
        <v>74</v>
      </c>
      <c r="I347" s="30">
        <v>1.5046296296296296E-3</v>
      </c>
      <c r="J347">
        <v>5</v>
      </c>
    </row>
    <row r="348" spans="1:10" x14ac:dyDescent="0.35">
      <c r="A348" t="s">
        <v>663</v>
      </c>
      <c r="B348" t="s">
        <v>301</v>
      </c>
      <c r="C348" t="s">
        <v>661</v>
      </c>
      <c r="D348" s="30">
        <v>0.38</v>
      </c>
      <c r="E348" t="s">
        <v>302</v>
      </c>
      <c r="F348" t="s">
        <v>299</v>
      </c>
      <c r="G348" t="s">
        <v>299</v>
      </c>
      <c r="H348">
        <v>26</v>
      </c>
      <c r="I348" s="30">
        <v>8.1018518518518516E-4</v>
      </c>
      <c r="J348">
        <v>3</v>
      </c>
    </row>
    <row r="349" spans="1:10" x14ac:dyDescent="0.35">
      <c r="A349" t="s">
        <v>664</v>
      </c>
      <c r="B349" t="s">
        <v>296</v>
      </c>
      <c r="C349" t="s">
        <v>661</v>
      </c>
      <c r="D349" s="30">
        <v>0.38</v>
      </c>
      <c r="E349" t="s">
        <v>302</v>
      </c>
      <c r="F349" t="s">
        <v>303</v>
      </c>
      <c r="G349" t="s">
        <v>303</v>
      </c>
    </row>
    <row r="350" spans="1:10" x14ac:dyDescent="0.35">
      <c r="A350" t="s">
        <v>665</v>
      </c>
      <c r="B350" t="s">
        <v>319</v>
      </c>
      <c r="C350" t="s">
        <v>661</v>
      </c>
      <c r="D350" s="30">
        <v>0.38900462962962962</v>
      </c>
      <c r="E350" t="s">
        <v>302</v>
      </c>
      <c r="F350" t="s">
        <v>299</v>
      </c>
      <c r="G350" t="s">
        <v>299</v>
      </c>
      <c r="H350">
        <v>40</v>
      </c>
      <c r="I350" s="30">
        <v>3.5648148148148149E-3</v>
      </c>
      <c r="J350">
        <v>2</v>
      </c>
    </row>
    <row r="351" spans="1:10" x14ac:dyDescent="0.35">
      <c r="A351" t="s">
        <v>666</v>
      </c>
      <c r="B351" t="s">
        <v>319</v>
      </c>
      <c r="C351" t="s">
        <v>661</v>
      </c>
      <c r="D351" s="30">
        <v>0.38900462962962962</v>
      </c>
      <c r="E351" t="s">
        <v>317</v>
      </c>
      <c r="F351" t="s">
        <v>299</v>
      </c>
      <c r="G351" t="s">
        <v>299</v>
      </c>
      <c r="H351">
        <v>12</v>
      </c>
      <c r="I351" s="30">
        <v>3.4027777777777776E-3</v>
      </c>
      <c r="J351">
        <v>3</v>
      </c>
    </row>
    <row r="352" spans="1:10" x14ac:dyDescent="0.35">
      <c r="A352" t="s">
        <v>667</v>
      </c>
      <c r="B352" t="s">
        <v>319</v>
      </c>
      <c r="C352" t="s">
        <v>661</v>
      </c>
      <c r="D352" s="30">
        <v>0.42700231481481482</v>
      </c>
      <c r="E352" t="s">
        <v>298</v>
      </c>
      <c r="F352" t="s">
        <v>299</v>
      </c>
      <c r="G352" t="s">
        <v>299</v>
      </c>
      <c r="H352">
        <v>114</v>
      </c>
      <c r="I352" s="30">
        <v>2.5578703703703705E-3</v>
      </c>
      <c r="J352">
        <v>5</v>
      </c>
    </row>
    <row r="353" spans="1:10" x14ac:dyDescent="0.35">
      <c r="A353" t="s">
        <v>668</v>
      </c>
      <c r="B353" t="s">
        <v>301</v>
      </c>
      <c r="C353" t="s">
        <v>661</v>
      </c>
      <c r="D353" s="30">
        <v>0.42700231481481482</v>
      </c>
      <c r="E353" t="s">
        <v>298</v>
      </c>
      <c r="F353" t="s">
        <v>299</v>
      </c>
      <c r="G353" t="s">
        <v>299</v>
      </c>
      <c r="H353">
        <v>85</v>
      </c>
      <c r="I353" s="30">
        <v>2.4189814814814816E-3</v>
      </c>
      <c r="J353">
        <v>4</v>
      </c>
    </row>
    <row r="354" spans="1:10" x14ac:dyDescent="0.35">
      <c r="A354" t="s">
        <v>669</v>
      </c>
      <c r="B354" t="s">
        <v>296</v>
      </c>
      <c r="C354" t="s">
        <v>661</v>
      </c>
      <c r="D354" s="30">
        <v>0.43299768518518517</v>
      </c>
      <c r="E354" t="s">
        <v>314</v>
      </c>
      <c r="F354" t="s">
        <v>299</v>
      </c>
      <c r="G354" t="s">
        <v>299</v>
      </c>
      <c r="H354">
        <v>52</v>
      </c>
      <c r="I354" s="30">
        <v>1.3310185185185185E-3</v>
      </c>
      <c r="J354">
        <v>5</v>
      </c>
    </row>
    <row r="355" spans="1:10" x14ac:dyDescent="0.35">
      <c r="A355" t="s">
        <v>670</v>
      </c>
      <c r="B355" t="s">
        <v>307</v>
      </c>
      <c r="C355" t="s">
        <v>661</v>
      </c>
      <c r="D355" s="30">
        <v>0.43299768518518517</v>
      </c>
      <c r="E355" t="s">
        <v>317</v>
      </c>
      <c r="F355" t="s">
        <v>299</v>
      </c>
      <c r="G355" t="s">
        <v>299</v>
      </c>
      <c r="H355">
        <v>60</v>
      </c>
      <c r="I355" s="30">
        <v>2.9861111111111113E-3</v>
      </c>
      <c r="J355">
        <v>3</v>
      </c>
    </row>
    <row r="356" spans="1:10" x14ac:dyDescent="0.35">
      <c r="A356" t="s">
        <v>671</v>
      </c>
      <c r="B356" t="s">
        <v>319</v>
      </c>
      <c r="C356" t="s">
        <v>661</v>
      </c>
      <c r="D356" s="30">
        <v>0.44</v>
      </c>
      <c r="E356" t="s">
        <v>314</v>
      </c>
      <c r="F356" t="s">
        <v>299</v>
      </c>
      <c r="G356" t="s">
        <v>299</v>
      </c>
      <c r="H356">
        <v>76</v>
      </c>
      <c r="I356" s="30">
        <v>3.5532407407407409E-3</v>
      </c>
      <c r="J356">
        <v>4</v>
      </c>
    </row>
    <row r="357" spans="1:10" x14ac:dyDescent="0.35">
      <c r="A357" t="s">
        <v>672</v>
      </c>
      <c r="B357" t="s">
        <v>305</v>
      </c>
      <c r="C357" t="s">
        <v>661</v>
      </c>
      <c r="D357" s="30">
        <v>0.44</v>
      </c>
      <c r="E357" t="s">
        <v>298</v>
      </c>
      <c r="F357" t="s">
        <v>303</v>
      </c>
      <c r="G357" t="s">
        <v>303</v>
      </c>
    </row>
    <row r="358" spans="1:10" x14ac:dyDescent="0.35">
      <c r="A358" t="s">
        <v>673</v>
      </c>
      <c r="B358" t="s">
        <v>301</v>
      </c>
      <c r="C358" t="s">
        <v>661</v>
      </c>
      <c r="D358" s="30">
        <v>0.45</v>
      </c>
      <c r="E358" t="s">
        <v>317</v>
      </c>
      <c r="F358" t="s">
        <v>303</v>
      </c>
      <c r="G358" t="s">
        <v>303</v>
      </c>
    </row>
    <row r="359" spans="1:10" x14ac:dyDescent="0.35">
      <c r="A359" t="s">
        <v>674</v>
      </c>
      <c r="B359" t="s">
        <v>319</v>
      </c>
      <c r="C359" t="s">
        <v>661</v>
      </c>
      <c r="D359" s="30">
        <v>0.45</v>
      </c>
      <c r="E359" t="s">
        <v>317</v>
      </c>
      <c r="F359" t="s">
        <v>299</v>
      </c>
      <c r="G359" t="s">
        <v>299</v>
      </c>
      <c r="H359">
        <v>25</v>
      </c>
      <c r="I359" s="30">
        <v>9.2592592592592596E-4</v>
      </c>
      <c r="J359">
        <v>5</v>
      </c>
    </row>
    <row r="360" spans="1:10" x14ac:dyDescent="0.35">
      <c r="A360" t="s">
        <v>675</v>
      </c>
      <c r="B360" t="s">
        <v>307</v>
      </c>
      <c r="C360" t="s">
        <v>661</v>
      </c>
      <c r="D360" s="30">
        <v>0.48400462962962965</v>
      </c>
      <c r="E360" t="s">
        <v>317</v>
      </c>
      <c r="F360" t="s">
        <v>299</v>
      </c>
      <c r="G360" t="s">
        <v>299</v>
      </c>
      <c r="H360">
        <v>37</v>
      </c>
      <c r="I360" s="30">
        <v>1.7592592592592592E-3</v>
      </c>
      <c r="J360">
        <v>3</v>
      </c>
    </row>
    <row r="361" spans="1:10" x14ac:dyDescent="0.35">
      <c r="A361" t="s">
        <v>676</v>
      </c>
      <c r="B361" t="s">
        <v>332</v>
      </c>
      <c r="C361" t="s">
        <v>661</v>
      </c>
      <c r="D361" s="30">
        <v>0.48400462962962965</v>
      </c>
      <c r="E361" t="s">
        <v>314</v>
      </c>
      <c r="F361" t="s">
        <v>299</v>
      </c>
      <c r="G361" t="s">
        <v>299</v>
      </c>
      <c r="H361">
        <v>71</v>
      </c>
      <c r="I361" s="30">
        <v>3.9467592592592592E-3</v>
      </c>
      <c r="J361">
        <v>3</v>
      </c>
    </row>
    <row r="362" spans="1:10" x14ac:dyDescent="0.35">
      <c r="A362" t="s">
        <v>677</v>
      </c>
      <c r="B362" t="s">
        <v>316</v>
      </c>
      <c r="C362" t="s">
        <v>661</v>
      </c>
      <c r="D362" s="30">
        <v>0.48799768518518516</v>
      </c>
      <c r="E362" t="s">
        <v>314</v>
      </c>
      <c r="F362" t="s">
        <v>299</v>
      </c>
      <c r="G362" t="s">
        <v>299</v>
      </c>
      <c r="H362">
        <v>76</v>
      </c>
      <c r="I362" s="30">
        <v>3.2060185185185186E-3</v>
      </c>
      <c r="J362">
        <v>1</v>
      </c>
    </row>
    <row r="363" spans="1:10" x14ac:dyDescent="0.35">
      <c r="A363" t="s">
        <v>678</v>
      </c>
      <c r="B363" t="s">
        <v>305</v>
      </c>
      <c r="C363" t="s">
        <v>661</v>
      </c>
      <c r="D363" s="30">
        <v>0.48799768518518516</v>
      </c>
      <c r="E363" t="s">
        <v>302</v>
      </c>
      <c r="F363" t="s">
        <v>299</v>
      </c>
      <c r="G363" t="s">
        <v>299</v>
      </c>
      <c r="H363">
        <v>66</v>
      </c>
      <c r="I363" s="30">
        <v>4.7453703703703703E-3</v>
      </c>
      <c r="J363">
        <v>3</v>
      </c>
    </row>
    <row r="364" spans="1:10" x14ac:dyDescent="0.35">
      <c r="A364" t="s">
        <v>679</v>
      </c>
      <c r="B364" t="s">
        <v>296</v>
      </c>
      <c r="C364" t="s">
        <v>661</v>
      </c>
      <c r="D364" s="30">
        <v>0.49099537037037039</v>
      </c>
      <c r="E364" t="s">
        <v>314</v>
      </c>
      <c r="F364" t="s">
        <v>299</v>
      </c>
      <c r="G364" t="s">
        <v>299</v>
      </c>
      <c r="H364">
        <v>72</v>
      </c>
      <c r="I364" s="30">
        <v>2.3726851851851851E-3</v>
      </c>
      <c r="J364">
        <v>3</v>
      </c>
    </row>
    <row r="365" spans="1:10" x14ac:dyDescent="0.35">
      <c r="A365" t="s">
        <v>680</v>
      </c>
      <c r="B365" t="s">
        <v>316</v>
      </c>
      <c r="C365" t="s">
        <v>661</v>
      </c>
      <c r="D365" s="30">
        <v>0.49099537037037039</v>
      </c>
      <c r="E365" t="s">
        <v>314</v>
      </c>
      <c r="F365" t="s">
        <v>299</v>
      </c>
      <c r="G365" t="s">
        <v>299</v>
      </c>
      <c r="H365">
        <v>47</v>
      </c>
      <c r="I365" s="30">
        <v>4.5949074074074078E-3</v>
      </c>
      <c r="J365">
        <v>5</v>
      </c>
    </row>
    <row r="366" spans="1:10" x14ac:dyDescent="0.35">
      <c r="A366" t="s">
        <v>681</v>
      </c>
      <c r="B366" t="s">
        <v>316</v>
      </c>
      <c r="C366" t="s">
        <v>661</v>
      </c>
      <c r="D366" s="30">
        <v>0.50599537037037035</v>
      </c>
      <c r="E366" t="s">
        <v>309</v>
      </c>
      <c r="F366" t="s">
        <v>303</v>
      </c>
      <c r="G366" t="s">
        <v>303</v>
      </c>
    </row>
    <row r="367" spans="1:10" x14ac:dyDescent="0.35">
      <c r="A367" t="s">
        <v>682</v>
      </c>
      <c r="B367" t="s">
        <v>307</v>
      </c>
      <c r="C367" t="s">
        <v>661</v>
      </c>
      <c r="D367" s="30">
        <v>0.50599537037037035</v>
      </c>
      <c r="E367" t="s">
        <v>309</v>
      </c>
      <c r="F367" t="s">
        <v>299</v>
      </c>
      <c r="G367" t="s">
        <v>299</v>
      </c>
      <c r="H367">
        <v>29</v>
      </c>
      <c r="I367" s="30">
        <v>1.9791666666666668E-3</v>
      </c>
      <c r="J367">
        <v>5</v>
      </c>
    </row>
    <row r="368" spans="1:10" x14ac:dyDescent="0.35">
      <c r="A368" t="s">
        <v>683</v>
      </c>
      <c r="B368" t="s">
        <v>332</v>
      </c>
      <c r="C368" t="s">
        <v>661</v>
      </c>
      <c r="D368" s="30">
        <v>0.52500000000000002</v>
      </c>
      <c r="E368" t="s">
        <v>317</v>
      </c>
      <c r="F368" t="s">
        <v>303</v>
      </c>
      <c r="G368" t="s">
        <v>303</v>
      </c>
    </row>
    <row r="369" spans="1:10" x14ac:dyDescent="0.35">
      <c r="A369" t="s">
        <v>684</v>
      </c>
      <c r="B369" t="s">
        <v>301</v>
      </c>
      <c r="C369" t="s">
        <v>661</v>
      </c>
      <c r="D369" s="30">
        <v>0.52500000000000002</v>
      </c>
      <c r="E369" t="s">
        <v>298</v>
      </c>
      <c r="F369" t="s">
        <v>299</v>
      </c>
      <c r="G369" t="s">
        <v>299</v>
      </c>
      <c r="H369">
        <v>122</v>
      </c>
      <c r="I369" s="30">
        <v>1.1574074074074073E-3</v>
      </c>
      <c r="J369">
        <v>4</v>
      </c>
    </row>
    <row r="370" spans="1:10" x14ac:dyDescent="0.35">
      <c r="A370" t="s">
        <v>685</v>
      </c>
      <c r="B370" t="s">
        <v>307</v>
      </c>
      <c r="C370" t="s">
        <v>661</v>
      </c>
      <c r="D370" s="30">
        <v>0.53400462962962958</v>
      </c>
      <c r="E370" t="s">
        <v>302</v>
      </c>
      <c r="F370" t="s">
        <v>299</v>
      </c>
      <c r="G370" t="s">
        <v>299</v>
      </c>
      <c r="H370">
        <v>52</v>
      </c>
      <c r="I370" s="30">
        <v>2.8472222222222223E-3</v>
      </c>
      <c r="J370">
        <v>5</v>
      </c>
    </row>
    <row r="371" spans="1:10" x14ac:dyDescent="0.35">
      <c r="A371" t="s">
        <v>686</v>
      </c>
      <c r="B371" t="s">
        <v>323</v>
      </c>
      <c r="C371" t="s">
        <v>661</v>
      </c>
      <c r="D371" s="30">
        <v>0.53400462962962958</v>
      </c>
      <c r="E371" t="s">
        <v>314</v>
      </c>
      <c r="F371" t="s">
        <v>299</v>
      </c>
      <c r="G371" t="s">
        <v>299</v>
      </c>
      <c r="H371">
        <v>33</v>
      </c>
      <c r="I371" s="30">
        <v>3.0787037037037037E-3</v>
      </c>
      <c r="J371">
        <v>4</v>
      </c>
    </row>
    <row r="372" spans="1:10" x14ac:dyDescent="0.35">
      <c r="A372" t="s">
        <v>687</v>
      </c>
      <c r="B372" t="s">
        <v>319</v>
      </c>
      <c r="C372" t="s">
        <v>661</v>
      </c>
      <c r="D372" s="30">
        <v>0.56000000000000005</v>
      </c>
      <c r="E372" t="s">
        <v>309</v>
      </c>
      <c r="F372" t="s">
        <v>299</v>
      </c>
      <c r="G372" t="s">
        <v>299</v>
      </c>
      <c r="H372">
        <v>123</v>
      </c>
      <c r="I372" s="30">
        <v>1.6666666666666668E-3</v>
      </c>
      <c r="J372">
        <v>3</v>
      </c>
    </row>
    <row r="373" spans="1:10" x14ac:dyDescent="0.35">
      <c r="A373" t="s">
        <v>688</v>
      </c>
      <c r="B373" t="s">
        <v>307</v>
      </c>
      <c r="C373" t="s">
        <v>661</v>
      </c>
      <c r="D373" s="30">
        <v>0.56000000000000005</v>
      </c>
      <c r="E373" t="s">
        <v>302</v>
      </c>
      <c r="F373" t="s">
        <v>299</v>
      </c>
      <c r="G373" t="s">
        <v>299</v>
      </c>
      <c r="H373">
        <v>23</v>
      </c>
      <c r="I373" s="30">
        <v>1.4236111111111112E-3</v>
      </c>
      <c r="J373">
        <v>4</v>
      </c>
    </row>
    <row r="374" spans="1:10" x14ac:dyDescent="0.35">
      <c r="A374" t="s">
        <v>689</v>
      </c>
      <c r="B374" t="s">
        <v>301</v>
      </c>
      <c r="C374" t="s">
        <v>661</v>
      </c>
      <c r="D374" s="30">
        <v>0.56299768518518523</v>
      </c>
      <c r="E374" t="s">
        <v>317</v>
      </c>
      <c r="F374" t="s">
        <v>303</v>
      </c>
      <c r="G374" t="s">
        <v>303</v>
      </c>
    </row>
    <row r="375" spans="1:10" x14ac:dyDescent="0.35">
      <c r="A375" t="s">
        <v>690</v>
      </c>
      <c r="B375" t="s">
        <v>305</v>
      </c>
      <c r="C375" t="s">
        <v>661</v>
      </c>
      <c r="D375" s="30">
        <v>0.56299768518518523</v>
      </c>
      <c r="E375" t="s">
        <v>314</v>
      </c>
      <c r="F375" t="s">
        <v>299</v>
      </c>
      <c r="G375" t="s">
        <v>303</v>
      </c>
      <c r="H375">
        <v>29</v>
      </c>
      <c r="I375" s="30">
        <v>2.3726851851851851E-3</v>
      </c>
      <c r="J375">
        <v>5</v>
      </c>
    </row>
    <row r="376" spans="1:10" x14ac:dyDescent="0.35">
      <c r="A376" t="s">
        <v>691</v>
      </c>
      <c r="B376" t="s">
        <v>307</v>
      </c>
      <c r="C376" t="s">
        <v>661</v>
      </c>
      <c r="D376" s="30">
        <v>0.5709953703703704</v>
      </c>
      <c r="E376" t="s">
        <v>298</v>
      </c>
      <c r="F376" t="s">
        <v>303</v>
      </c>
      <c r="G376" t="s">
        <v>303</v>
      </c>
    </row>
    <row r="377" spans="1:10" x14ac:dyDescent="0.35">
      <c r="A377" t="s">
        <v>692</v>
      </c>
      <c r="B377" t="s">
        <v>301</v>
      </c>
      <c r="C377" t="s">
        <v>661</v>
      </c>
      <c r="D377" s="30">
        <v>0.5709953703703704</v>
      </c>
      <c r="E377" t="s">
        <v>317</v>
      </c>
      <c r="F377" t="s">
        <v>299</v>
      </c>
      <c r="G377" t="s">
        <v>299</v>
      </c>
      <c r="H377">
        <v>54</v>
      </c>
      <c r="I377" s="30">
        <v>2.638888888888889E-3</v>
      </c>
      <c r="J377">
        <v>5</v>
      </c>
    </row>
    <row r="378" spans="1:10" x14ac:dyDescent="0.35">
      <c r="A378" t="s">
        <v>693</v>
      </c>
      <c r="B378" t="s">
        <v>332</v>
      </c>
      <c r="C378" t="s">
        <v>661</v>
      </c>
      <c r="D378" s="30">
        <v>0.57299768518518523</v>
      </c>
      <c r="E378" t="s">
        <v>317</v>
      </c>
      <c r="F378" t="s">
        <v>299</v>
      </c>
      <c r="G378" t="s">
        <v>299</v>
      </c>
      <c r="H378">
        <v>14</v>
      </c>
      <c r="I378" s="30">
        <v>3.2754629629629631E-3</v>
      </c>
      <c r="J378">
        <v>4</v>
      </c>
    </row>
    <row r="379" spans="1:10" x14ac:dyDescent="0.35">
      <c r="A379" t="s">
        <v>694</v>
      </c>
      <c r="B379" t="s">
        <v>332</v>
      </c>
      <c r="C379" t="s">
        <v>661</v>
      </c>
      <c r="D379" s="30">
        <v>0.57299768518518523</v>
      </c>
      <c r="E379" t="s">
        <v>309</v>
      </c>
      <c r="F379" t="s">
        <v>299</v>
      </c>
      <c r="G379" t="s">
        <v>299</v>
      </c>
      <c r="H379">
        <v>11</v>
      </c>
      <c r="I379" s="30">
        <v>3.0671296296296297E-3</v>
      </c>
      <c r="J379">
        <v>3</v>
      </c>
    </row>
    <row r="380" spans="1:10" x14ac:dyDescent="0.35">
      <c r="A380" t="s">
        <v>695</v>
      </c>
      <c r="B380" t="s">
        <v>319</v>
      </c>
      <c r="C380" t="s">
        <v>661</v>
      </c>
      <c r="D380" s="30">
        <v>0.60499999999999998</v>
      </c>
      <c r="E380" t="s">
        <v>309</v>
      </c>
      <c r="F380" t="s">
        <v>299</v>
      </c>
      <c r="G380" t="s">
        <v>299</v>
      </c>
      <c r="H380">
        <v>84</v>
      </c>
      <c r="I380" s="30">
        <v>3.460648148148148E-3</v>
      </c>
      <c r="J380">
        <v>1</v>
      </c>
    </row>
    <row r="381" spans="1:10" x14ac:dyDescent="0.35">
      <c r="A381" t="s">
        <v>696</v>
      </c>
      <c r="B381" t="s">
        <v>323</v>
      </c>
      <c r="C381" t="s">
        <v>661</v>
      </c>
      <c r="D381" s="30">
        <v>0.60499999999999998</v>
      </c>
      <c r="E381" t="s">
        <v>309</v>
      </c>
      <c r="F381" t="s">
        <v>299</v>
      </c>
      <c r="G381" t="s">
        <v>299</v>
      </c>
      <c r="H381">
        <v>21</v>
      </c>
      <c r="I381" s="30">
        <v>1.9791666666666668E-3</v>
      </c>
      <c r="J381">
        <v>4</v>
      </c>
    </row>
    <row r="382" spans="1:10" x14ac:dyDescent="0.35">
      <c r="A382" t="s">
        <v>697</v>
      </c>
      <c r="B382" t="s">
        <v>323</v>
      </c>
      <c r="C382" t="s">
        <v>661</v>
      </c>
      <c r="D382" s="30">
        <v>0.66200231481481486</v>
      </c>
      <c r="E382" t="s">
        <v>302</v>
      </c>
      <c r="F382" t="s">
        <v>299</v>
      </c>
      <c r="G382" t="s">
        <v>303</v>
      </c>
      <c r="H382">
        <v>81</v>
      </c>
      <c r="I382" s="30">
        <v>3.5879629629629629E-3</v>
      </c>
      <c r="J382">
        <v>3</v>
      </c>
    </row>
    <row r="383" spans="1:10" x14ac:dyDescent="0.35">
      <c r="A383" t="s">
        <v>698</v>
      </c>
      <c r="B383" t="s">
        <v>332</v>
      </c>
      <c r="C383" t="s">
        <v>661</v>
      </c>
      <c r="D383" s="30">
        <v>0.66200231481481486</v>
      </c>
      <c r="E383" t="s">
        <v>309</v>
      </c>
      <c r="F383" t="s">
        <v>303</v>
      </c>
      <c r="G383" t="s">
        <v>303</v>
      </c>
    </row>
    <row r="384" spans="1:10" x14ac:dyDescent="0.35">
      <c r="A384" t="s">
        <v>699</v>
      </c>
      <c r="B384" t="s">
        <v>296</v>
      </c>
      <c r="C384" t="s">
        <v>661</v>
      </c>
      <c r="D384" s="30">
        <v>0.67200231481481476</v>
      </c>
      <c r="E384" t="s">
        <v>314</v>
      </c>
      <c r="F384" t="s">
        <v>303</v>
      </c>
      <c r="G384" t="s">
        <v>303</v>
      </c>
    </row>
    <row r="385" spans="1:10" x14ac:dyDescent="0.35">
      <c r="A385" t="s">
        <v>700</v>
      </c>
      <c r="B385" t="s">
        <v>305</v>
      </c>
      <c r="C385" t="s">
        <v>661</v>
      </c>
      <c r="D385" s="30">
        <v>0.67200231481481476</v>
      </c>
      <c r="E385" t="s">
        <v>302</v>
      </c>
      <c r="F385" t="s">
        <v>299</v>
      </c>
      <c r="G385" t="s">
        <v>299</v>
      </c>
      <c r="H385">
        <v>84</v>
      </c>
      <c r="I385" s="30">
        <v>4.4212962962962964E-3</v>
      </c>
      <c r="J385">
        <v>4</v>
      </c>
    </row>
    <row r="386" spans="1:10" x14ac:dyDescent="0.35">
      <c r="A386" t="s">
        <v>701</v>
      </c>
      <c r="B386" t="s">
        <v>323</v>
      </c>
      <c r="C386" t="s">
        <v>661</v>
      </c>
      <c r="D386" s="30">
        <v>0.68700231481481477</v>
      </c>
      <c r="E386" t="s">
        <v>317</v>
      </c>
      <c r="F386" t="s">
        <v>299</v>
      </c>
      <c r="G386" t="s">
        <v>299</v>
      </c>
      <c r="H386">
        <v>118</v>
      </c>
      <c r="I386" s="30">
        <v>2.488425925925926E-3</v>
      </c>
      <c r="J386">
        <v>2</v>
      </c>
    </row>
    <row r="387" spans="1:10" x14ac:dyDescent="0.35">
      <c r="A387" t="s">
        <v>702</v>
      </c>
      <c r="B387" t="s">
        <v>301</v>
      </c>
      <c r="C387" t="s">
        <v>661</v>
      </c>
      <c r="D387" s="30">
        <v>0.68700231481481477</v>
      </c>
      <c r="E387" t="s">
        <v>302</v>
      </c>
      <c r="F387" t="s">
        <v>299</v>
      </c>
      <c r="G387" t="s">
        <v>299</v>
      </c>
      <c r="H387">
        <v>35</v>
      </c>
      <c r="I387" s="30">
        <v>4.340277777777778E-3</v>
      </c>
      <c r="J387">
        <v>2</v>
      </c>
    </row>
    <row r="388" spans="1:10" x14ac:dyDescent="0.35">
      <c r="A388" t="s">
        <v>703</v>
      </c>
      <c r="B388" t="s">
        <v>332</v>
      </c>
      <c r="C388" t="s">
        <v>661</v>
      </c>
      <c r="D388" s="30">
        <v>0.69499999999999995</v>
      </c>
      <c r="E388" t="s">
        <v>309</v>
      </c>
      <c r="F388" t="s">
        <v>299</v>
      </c>
      <c r="G388" t="s">
        <v>299</v>
      </c>
      <c r="H388">
        <v>82</v>
      </c>
      <c r="I388" s="30">
        <v>1.5393518518518519E-3</v>
      </c>
      <c r="J388">
        <v>3</v>
      </c>
    </row>
    <row r="389" spans="1:10" x14ac:dyDescent="0.35">
      <c r="A389" t="s">
        <v>704</v>
      </c>
      <c r="B389" t="s">
        <v>316</v>
      </c>
      <c r="C389" t="s">
        <v>661</v>
      </c>
      <c r="D389" s="30">
        <v>0.69499999999999995</v>
      </c>
      <c r="E389" t="s">
        <v>317</v>
      </c>
      <c r="F389" t="s">
        <v>299</v>
      </c>
      <c r="G389" t="s">
        <v>299</v>
      </c>
      <c r="H389">
        <v>119</v>
      </c>
      <c r="I389" s="30">
        <v>2.1180555555555558E-3</v>
      </c>
      <c r="J389">
        <v>4</v>
      </c>
    </row>
    <row r="390" spans="1:10" x14ac:dyDescent="0.35">
      <c r="A390" t="s">
        <v>705</v>
      </c>
      <c r="B390" t="s">
        <v>316</v>
      </c>
      <c r="C390" t="s">
        <v>661</v>
      </c>
      <c r="D390" s="30">
        <v>0.71099537037037042</v>
      </c>
      <c r="E390" t="s">
        <v>298</v>
      </c>
      <c r="F390" t="s">
        <v>299</v>
      </c>
      <c r="G390" t="s">
        <v>299</v>
      </c>
      <c r="H390">
        <v>107</v>
      </c>
      <c r="I390" s="30">
        <v>4.6990740740740743E-3</v>
      </c>
      <c r="J390">
        <v>2</v>
      </c>
    </row>
    <row r="391" spans="1:10" x14ac:dyDescent="0.35">
      <c r="A391" t="s">
        <v>706</v>
      </c>
      <c r="B391" t="s">
        <v>319</v>
      </c>
      <c r="C391" t="s">
        <v>661</v>
      </c>
      <c r="D391" s="30">
        <v>0.71099537037037042</v>
      </c>
      <c r="E391" t="s">
        <v>298</v>
      </c>
      <c r="F391" t="s">
        <v>299</v>
      </c>
      <c r="G391" t="s">
        <v>299</v>
      </c>
      <c r="H391">
        <v>86</v>
      </c>
      <c r="I391" s="30">
        <v>4.861111111111111E-4</v>
      </c>
      <c r="J391">
        <v>4</v>
      </c>
    </row>
    <row r="392" spans="1:10" x14ac:dyDescent="0.35">
      <c r="A392" t="s">
        <v>707</v>
      </c>
      <c r="B392" t="s">
        <v>296</v>
      </c>
      <c r="C392" t="s">
        <v>661</v>
      </c>
      <c r="D392" s="30">
        <v>0.73599537037037033</v>
      </c>
      <c r="E392" t="s">
        <v>317</v>
      </c>
      <c r="F392" t="s">
        <v>299</v>
      </c>
      <c r="G392" t="s">
        <v>299</v>
      </c>
      <c r="H392">
        <v>76</v>
      </c>
      <c r="I392" s="30">
        <v>9.6064814814814819E-4</v>
      </c>
      <c r="J392">
        <v>4</v>
      </c>
    </row>
    <row r="393" spans="1:10" x14ac:dyDescent="0.35">
      <c r="A393" t="s">
        <v>708</v>
      </c>
      <c r="B393" t="s">
        <v>305</v>
      </c>
      <c r="C393" t="s">
        <v>661</v>
      </c>
      <c r="D393" s="30">
        <v>0.73599537037037033</v>
      </c>
      <c r="E393" t="s">
        <v>317</v>
      </c>
      <c r="F393" t="s">
        <v>299</v>
      </c>
      <c r="G393" t="s">
        <v>303</v>
      </c>
      <c r="H393">
        <v>78</v>
      </c>
      <c r="I393" s="30">
        <v>2.1643518518518518E-3</v>
      </c>
      <c r="J393">
        <v>3</v>
      </c>
    </row>
    <row r="394" spans="1:10" x14ac:dyDescent="0.35">
      <c r="A394" t="s">
        <v>709</v>
      </c>
      <c r="B394" t="s">
        <v>316</v>
      </c>
      <c r="C394" t="s">
        <v>661</v>
      </c>
      <c r="D394" s="30">
        <v>0.74099537037037033</v>
      </c>
      <c r="E394" t="s">
        <v>314</v>
      </c>
      <c r="F394" t="s">
        <v>299</v>
      </c>
      <c r="G394" t="s">
        <v>299</v>
      </c>
      <c r="H394">
        <v>118</v>
      </c>
      <c r="I394" s="30">
        <v>3.8194444444444452E-4</v>
      </c>
      <c r="J394">
        <v>3</v>
      </c>
    </row>
    <row r="395" spans="1:10" x14ac:dyDescent="0.35">
      <c r="A395" t="s">
        <v>710</v>
      </c>
      <c r="B395" t="s">
        <v>296</v>
      </c>
      <c r="C395" t="s">
        <v>661</v>
      </c>
      <c r="D395" s="30">
        <v>0.74099537037037033</v>
      </c>
      <c r="E395" t="s">
        <v>302</v>
      </c>
      <c r="F395" t="s">
        <v>303</v>
      </c>
      <c r="G395" t="s">
        <v>303</v>
      </c>
    </row>
    <row r="396" spans="1:10" x14ac:dyDescent="0.35">
      <c r="A396" t="s">
        <v>711</v>
      </c>
      <c r="B396" t="s">
        <v>319</v>
      </c>
      <c r="C396" t="s">
        <v>661</v>
      </c>
      <c r="D396" s="30">
        <v>0.74200231481481482</v>
      </c>
      <c r="E396" t="s">
        <v>314</v>
      </c>
      <c r="F396" t="s">
        <v>299</v>
      </c>
      <c r="G396" t="s">
        <v>299</v>
      </c>
      <c r="H396">
        <v>47</v>
      </c>
      <c r="I396" s="30">
        <v>1.4120370370370369E-3</v>
      </c>
      <c r="J396">
        <v>5</v>
      </c>
    </row>
    <row r="397" spans="1:10" x14ac:dyDescent="0.35">
      <c r="A397" t="s">
        <v>712</v>
      </c>
      <c r="B397" t="s">
        <v>296</v>
      </c>
      <c r="C397" t="s">
        <v>661</v>
      </c>
      <c r="D397" s="30">
        <v>0.74200231481481482</v>
      </c>
      <c r="E397" t="s">
        <v>314</v>
      </c>
      <c r="F397" t="s">
        <v>299</v>
      </c>
      <c r="G397" t="s">
        <v>299</v>
      </c>
      <c r="H397">
        <v>86</v>
      </c>
      <c r="I397" s="30">
        <v>2.0601851851851853E-3</v>
      </c>
      <c r="J397">
        <v>2</v>
      </c>
    </row>
    <row r="398" spans="1:10" x14ac:dyDescent="0.35">
      <c r="A398" t="s">
        <v>713</v>
      </c>
      <c r="B398" t="s">
        <v>307</v>
      </c>
      <c r="C398" t="s">
        <v>661</v>
      </c>
      <c r="D398" s="30">
        <v>0.74700231481481483</v>
      </c>
      <c r="E398" t="s">
        <v>302</v>
      </c>
      <c r="F398" t="s">
        <v>299</v>
      </c>
      <c r="G398" t="s">
        <v>299</v>
      </c>
      <c r="H398">
        <v>76</v>
      </c>
      <c r="I398" s="30">
        <v>4.0740740740740737E-3</v>
      </c>
      <c r="J398">
        <v>3</v>
      </c>
    </row>
    <row r="399" spans="1:10" x14ac:dyDescent="0.35">
      <c r="A399" t="s">
        <v>714</v>
      </c>
      <c r="B399" t="s">
        <v>316</v>
      </c>
      <c r="C399" t="s">
        <v>661</v>
      </c>
      <c r="D399" s="30">
        <v>0.74700231481481483</v>
      </c>
      <c r="E399" t="s">
        <v>309</v>
      </c>
      <c r="F399" t="s">
        <v>299</v>
      </c>
      <c r="G399" t="s">
        <v>299</v>
      </c>
      <c r="H399">
        <v>32</v>
      </c>
      <c r="I399" s="30">
        <v>2.3495370370370371E-3</v>
      </c>
      <c r="J399">
        <v>4</v>
      </c>
    </row>
    <row r="400" spans="1:10" x14ac:dyDescent="0.35">
      <c r="A400" t="s">
        <v>715</v>
      </c>
      <c r="B400" t="s">
        <v>319</v>
      </c>
      <c r="C400" t="s">
        <v>716</v>
      </c>
      <c r="D400" s="30">
        <v>0.375</v>
      </c>
      <c r="E400" t="s">
        <v>314</v>
      </c>
      <c r="F400" t="s">
        <v>299</v>
      </c>
      <c r="G400" t="s">
        <v>299</v>
      </c>
      <c r="H400">
        <v>98</v>
      </c>
      <c r="I400" s="30">
        <v>2.4652777777777776E-3</v>
      </c>
      <c r="J400">
        <v>5</v>
      </c>
    </row>
    <row r="401" spans="1:10" x14ac:dyDescent="0.35">
      <c r="A401" t="s">
        <v>717</v>
      </c>
      <c r="B401" t="s">
        <v>316</v>
      </c>
      <c r="C401" t="s">
        <v>716</v>
      </c>
      <c r="D401" s="30">
        <v>0.375</v>
      </c>
      <c r="E401" t="s">
        <v>302</v>
      </c>
      <c r="F401" t="s">
        <v>299</v>
      </c>
      <c r="G401" t="s">
        <v>299</v>
      </c>
      <c r="H401">
        <v>86</v>
      </c>
      <c r="I401" s="30">
        <v>4.2824074074074081E-4</v>
      </c>
      <c r="J401">
        <v>4</v>
      </c>
    </row>
    <row r="402" spans="1:10" x14ac:dyDescent="0.35">
      <c r="A402" t="s">
        <v>718</v>
      </c>
      <c r="B402" t="s">
        <v>296</v>
      </c>
      <c r="C402" t="s">
        <v>716</v>
      </c>
      <c r="D402" s="30">
        <v>0.39200231481481479</v>
      </c>
      <c r="E402" t="s">
        <v>302</v>
      </c>
      <c r="F402" t="s">
        <v>299</v>
      </c>
      <c r="G402" t="s">
        <v>299</v>
      </c>
      <c r="H402">
        <v>37</v>
      </c>
      <c r="I402" s="30">
        <v>7.5231481481481482E-4</v>
      </c>
      <c r="J402">
        <v>3</v>
      </c>
    </row>
    <row r="403" spans="1:10" x14ac:dyDescent="0.35">
      <c r="A403" t="s">
        <v>719</v>
      </c>
      <c r="B403" t="s">
        <v>307</v>
      </c>
      <c r="C403" t="s">
        <v>716</v>
      </c>
      <c r="D403" s="30">
        <v>0.39200231481481479</v>
      </c>
      <c r="E403" t="s">
        <v>314</v>
      </c>
      <c r="F403" t="s">
        <v>299</v>
      </c>
      <c r="G403" t="s">
        <v>299</v>
      </c>
      <c r="H403">
        <v>15</v>
      </c>
      <c r="I403" s="30">
        <v>3.0902777777777777E-3</v>
      </c>
      <c r="J403">
        <v>5</v>
      </c>
    </row>
    <row r="404" spans="1:10" x14ac:dyDescent="0.35">
      <c r="A404" t="s">
        <v>720</v>
      </c>
      <c r="B404" t="s">
        <v>296</v>
      </c>
      <c r="C404" t="s">
        <v>716</v>
      </c>
      <c r="D404" s="30">
        <v>0.4079976851851852</v>
      </c>
      <c r="E404" t="s">
        <v>298</v>
      </c>
      <c r="F404" t="s">
        <v>299</v>
      </c>
      <c r="G404" t="s">
        <v>299</v>
      </c>
      <c r="H404">
        <v>114</v>
      </c>
      <c r="I404" s="30">
        <v>2.9282407407407408E-3</v>
      </c>
      <c r="J404">
        <v>5</v>
      </c>
    </row>
    <row r="405" spans="1:10" x14ac:dyDescent="0.35">
      <c r="A405" t="s">
        <v>721</v>
      </c>
      <c r="B405" t="s">
        <v>305</v>
      </c>
      <c r="C405" t="s">
        <v>716</v>
      </c>
      <c r="D405" s="30">
        <v>0.4079976851851852</v>
      </c>
      <c r="E405" t="s">
        <v>309</v>
      </c>
      <c r="F405" t="s">
        <v>303</v>
      </c>
      <c r="G405" t="s">
        <v>303</v>
      </c>
    </row>
    <row r="406" spans="1:10" x14ac:dyDescent="0.35">
      <c r="A406" t="s">
        <v>722</v>
      </c>
      <c r="B406" t="s">
        <v>316</v>
      </c>
      <c r="C406" t="s">
        <v>716</v>
      </c>
      <c r="D406" s="30">
        <v>0.41599537037037038</v>
      </c>
      <c r="E406" t="s">
        <v>302</v>
      </c>
      <c r="F406" t="s">
        <v>303</v>
      </c>
      <c r="G406" t="s">
        <v>303</v>
      </c>
    </row>
    <row r="407" spans="1:10" x14ac:dyDescent="0.35">
      <c r="A407" t="s">
        <v>723</v>
      </c>
      <c r="B407" t="s">
        <v>323</v>
      </c>
      <c r="C407" t="s">
        <v>716</v>
      </c>
      <c r="D407" s="30">
        <v>0.41599537037037038</v>
      </c>
      <c r="E407" t="s">
        <v>317</v>
      </c>
      <c r="F407" t="s">
        <v>303</v>
      </c>
      <c r="G407" t="s">
        <v>303</v>
      </c>
    </row>
    <row r="408" spans="1:10" x14ac:dyDescent="0.35">
      <c r="A408" t="s">
        <v>724</v>
      </c>
      <c r="B408" t="s">
        <v>323</v>
      </c>
      <c r="C408" t="s">
        <v>716</v>
      </c>
      <c r="D408" s="30">
        <v>0.44599537037037035</v>
      </c>
      <c r="E408" t="s">
        <v>317</v>
      </c>
      <c r="F408" t="s">
        <v>299</v>
      </c>
      <c r="G408" t="s">
        <v>303</v>
      </c>
      <c r="H408">
        <v>23</v>
      </c>
      <c r="I408" s="30">
        <v>1.5740740740740741E-3</v>
      </c>
      <c r="J408">
        <v>3</v>
      </c>
    </row>
    <row r="409" spans="1:10" x14ac:dyDescent="0.35">
      <c r="A409" t="s">
        <v>725</v>
      </c>
      <c r="B409" t="s">
        <v>332</v>
      </c>
      <c r="C409" t="s">
        <v>716</v>
      </c>
      <c r="D409" s="30">
        <v>0.44599537037037035</v>
      </c>
      <c r="E409" t="s">
        <v>309</v>
      </c>
      <c r="F409" t="s">
        <v>303</v>
      </c>
      <c r="G409" t="s">
        <v>303</v>
      </c>
    </row>
    <row r="410" spans="1:10" x14ac:dyDescent="0.35">
      <c r="A410" t="s">
        <v>726</v>
      </c>
      <c r="B410" t="s">
        <v>319</v>
      </c>
      <c r="C410" t="s">
        <v>716</v>
      </c>
      <c r="D410" s="30">
        <v>0.45099537037037035</v>
      </c>
      <c r="E410" t="s">
        <v>314</v>
      </c>
      <c r="F410" t="s">
        <v>299</v>
      </c>
      <c r="G410" t="s">
        <v>299</v>
      </c>
      <c r="H410">
        <v>69</v>
      </c>
      <c r="I410" s="30">
        <v>3.9467592592592592E-3</v>
      </c>
      <c r="J410">
        <v>3</v>
      </c>
    </row>
    <row r="411" spans="1:10" x14ac:dyDescent="0.35">
      <c r="A411" t="s">
        <v>727</v>
      </c>
      <c r="B411" t="s">
        <v>305</v>
      </c>
      <c r="C411" t="s">
        <v>716</v>
      </c>
      <c r="D411" s="30">
        <v>0.45099537037037035</v>
      </c>
      <c r="E411" t="s">
        <v>298</v>
      </c>
      <c r="F411" t="s">
        <v>299</v>
      </c>
      <c r="G411" t="s">
        <v>299</v>
      </c>
      <c r="H411">
        <v>15</v>
      </c>
      <c r="I411" s="30">
        <v>4.2824074074074075E-3</v>
      </c>
      <c r="J411">
        <v>4</v>
      </c>
    </row>
    <row r="412" spans="1:10" x14ac:dyDescent="0.35">
      <c r="A412" t="s">
        <v>728</v>
      </c>
      <c r="B412" t="s">
        <v>301</v>
      </c>
      <c r="C412" t="s">
        <v>716</v>
      </c>
      <c r="D412" s="30">
        <v>0.45099537037037035</v>
      </c>
      <c r="E412" t="s">
        <v>302</v>
      </c>
      <c r="F412" t="s">
        <v>299</v>
      </c>
      <c r="G412" t="s">
        <v>299</v>
      </c>
      <c r="H412">
        <v>119</v>
      </c>
      <c r="I412" s="30">
        <v>3.7962962962962963E-3</v>
      </c>
      <c r="J412">
        <v>3</v>
      </c>
    </row>
    <row r="413" spans="1:10" x14ac:dyDescent="0.35">
      <c r="A413" t="s">
        <v>729</v>
      </c>
      <c r="B413" t="s">
        <v>301</v>
      </c>
      <c r="C413" t="s">
        <v>716</v>
      </c>
      <c r="D413" s="30">
        <v>0.45099537037037035</v>
      </c>
      <c r="E413" t="s">
        <v>317</v>
      </c>
      <c r="F413" t="s">
        <v>299</v>
      </c>
      <c r="G413" t="s">
        <v>299</v>
      </c>
      <c r="H413">
        <v>68</v>
      </c>
      <c r="I413" s="30">
        <v>3.6689814814814814E-3</v>
      </c>
      <c r="J413">
        <v>1</v>
      </c>
    </row>
    <row r="414" spans="1:10" x14ac:dyDescent="0.35">
      <c r="A414" t="s">
        <v>730</v>
      </c>
      <c r="B414" t="s">
        <v>296</v>
      </c>
      <c r="C414" t="s">
        <v>716</v>
      </c>
      <c r="D414" s="30">
        <v>0.45900462962962962</v>
      </c>
      <c r="E414" t="s">
        <v>298</v>
      </c>
      <c r="F414" t="s">
        <v>299</v>
      </c>
      <c r="G414" t="s">
        <v>299</v>
      </c>
      <c r="H414">
        <v>115</v>
      </c>
      <c r="I414" s="30">
        <v>4.2824074074074075E-3</v>
      </c>
      <c r="J414">
        <v>3</v>
      </c>
    </row>
    <row r="415" spans="1:10" x14ac:dyDescent="0.35">
      <c r="A415" t="s">
        <v>731</v>
      </c>
      <c r="B415" t="s">
        <v>319</v>
      </c>
      <c r="C415" t="s">
        <v>716</v>
      </c>
      <c r="D415" s="30">
        <v>0.45900462962962962</v>
      </c>
      <c r="E415" t="s">
        <v>298</v>
      </c>
      <c r="F415" t="s">
        <v>299</v>
      </c>
      <c r="G415" t="s">
        <v>299</v>
      </c>
      <c r="H415">
        <v>84</v>
      </c>
      <c r="I415" s="30">
        <v>8.2175925925925927E-4</v>
      </c>
      <c r="J415">
        <v>5</v>
      </c>
    </row>
    <row r="416" spans="1:10" x14ac:dyDescent="0.35">
      <c r="A416" t="s">
        <v>732</v>
      </c>
      <c r="B416" t="s">
        <v>332</v>
      </c>
      <c r="C416" t="s">
        <v>716</v>
      </c>
      <c r="D416" s="30">
        <v>0.47</v>
      </c>
      <c r="E416" t="s">
        <v>298</v>
      </c>
      <c r="F416" t="s">
        <v>299</v>
      </c>
      <c r="G416" t="s">
        <v>303</v>
      </c>
      <c r="H416">
        <v>59</v>
      </c>
      <c r="I416" s="30">
        <v>8.9120370370370373E-4</v>
      </c>
      <c r="J416">
        <v>4</v>
      </c>
    </row>
    <row r="417" spans="1:10" x14ac:dyDescent="0.35">
      <c r="A417" t="s">
        <v>733</v>
      </c>
      <c r="B417" t="s">
        <v>296</v>
      </c>
      <c r="C417" t="s">
        <v>716</v>
      </c>
      <c r="D417" s="30">
        <v>0.47</v>
      </c>
      <c r="E417" t="s">
        <v>302</v>
      </c>
      <c r="F417" t="s">
        <v>299</v>
      </c>
      <c r="G417" t="s">
        <v>303</v>
      </c>
      <c r="H417">
        <v>112</v>
      </c>
      <c r="I417" s="30">
        <v>2.476851851851852E-3</v>
      </c>
      <c r="J417">
        <v>4</v>
      </c>
    </row>
    <row r="418" spans="1:10" x14ac:dyDescent="0.35">
      <c r="A418" t="s">
        <v>734</v>
      </c>
      <c r="B418" t="s">
        <v>332</v>
      </c>
      <c r="C418" t="s">
        <v>716</v>
      </c>
      <c r="D418" s="30">
        <v>0.47</v>
      </c>
      <c r="E418" t="s">
        <v>298</v>
      </c>
      <c r="F418" t="s">
        <v>303</v>
      </c>
      <c r="G418" t="s">
        <v>303</v>
      </c>
    </row>
    <row r="419" spans="1:10" x14ac:dyDescent="0.35">
      <c r="A419" t="s">
        <v>735</v>
      </c>
      <c r="B419" t="s">
        <v>332</v>
      </c>
      <c r="C419" t="s">
        <v>716</v>
      </c>
      <c r="D419" s="30">
        <v>0.47</v>
      </c>
      <c r="E419" t="s">
        <v>314</v>
      </c>
      <c r="F419" t="s">
        <v>299</v>
      </c>
      <c r="G419" t="s">
        <v>299</v>
      </c>
      <c r="H419">
        <v>39</v>
      </c>
      <c r="I419" s="30">
        <v>3.3680555555555556E-3</v>
      </c>
      <c r="J419">
        <v>3</v>
      </c>
    </row>
    <row r="420" spans="1:10" x14ac:dyDescent="0.35">
      <c r="A420" t="s">
        <v>736</v>
      </c>
      <c r="B420" t="s">
        <v>316</v>
      </c>
      <c r="C420" t="s">
        <v>716</v>
      </c>
      <c r="D420" s="30">
        <v>0.50900462962962967</v>
      </c>
      <c r="E420" t="s">
        <v>317</v>
      </c>
      <c r="F420" t="s">
        <v>299</v>
      </c>
      <c r="G420" t="s">
        <v>299</v>
      </c>
      <c r="H420">
        <v>31</v>
      </c>
      <c r="I420" s="30">
        <v>4.5717592592592589E-3</v>
      </c>
      <c r="J420">
        <v>5</v>
      </c>
    </row>
    <row r="421" spans="1:10" x14ac:dyDescent="0.35">
      <c r="A421" t="s">
        <v>737</v>
      </c>
      <c r="B421" t="s">
        <v>332</v>
      </c>
      <c r="C421" t="s">
        <v>716</v>
      </c>
      <c r="D421" s="30">
        <v>0.50900462962962967</v>
      </c>
      <c r="E421" t="s">
        <v>317</v>
      </c>
      <c r="F421" t="s">
        <v>299</v>
      </c>
      <c r="G421" t="s">
        <v>299</v>
      </c>
      <c r="H421">
        <v>112</v>
      </c>
      <c r="I421" s="30">
        <v>2.5578703703703705E-3</v>
      </c>
      <c r="J421">
        <v>2</v>
      </c>
    </row>
    <row r="422" spans="1:10" x14ac:dyDescent="0.35">
      <c r="A422" t="s">
        <v>738</v>
      </c>
      <c r="B422" t="s">
        <v>307</v>
      </c>
      <c r="C422" t="s">
        <v>716</v>
      </c>
      <c r="D422" s="30">
        <v>0.51</v>
      </c>
      <c r="E422" t="s">
        <v>317</v>
      </c>
      <c r="F422" t="s">
        <v>299</v>
      </c>
      <c r="G422" t="s">
        <v>299</v>
      </c>
      <c r="H422">
        <v>49</v>
      </c>
      <c r="I422" s="30">
        <v>1.6782407407407408E-3</v>
      </c>
      <c r="J422">
        <v>4</v>
      </c>
    </row>
    <row r="423" spans="1:10" x14ac:dyDescent="0.35">
      <c r="A423" t="s">
        <v>739</v>
      </c>
      <c r="B423" t="s">
        <v>307</v>
      </c>
      <c r="C423" t="s">
        <v>716</v>
      </c>
      <c r="D423" s="30">
        <v>0.51</v>
      </c>
      <c r="E423" t="s">
        <v>302</v>
      </c>
      <c r="F423" t="s">
        <v>299</v>
      </c>
      <c r="G423" t="s">
        <v>299</v>
      </c>
      <c r="H423">
        <v>18</v>
      </c>
      <c r="I423" s="30">
        <v>4.6064814814814814E-3</v>
      </c>
      <c r="J423">
        <v>3</v>
      </c>
    </row>
    <row r="424" spans="1:10" x14ac:dyDescent="0.35">
      <c r="A424" t="s">
        <v>740</v>
      </c>
      <c r="B424" t="s">
        <v>305</v>
      </c>
      <c r="C424" t="s">
        <v>716</v>
      </c>
      <c r="D424" s="30">
        <v>0.52700231481481485</v>
      </c>
      <c r="E424" t="s">
        <v>302</v>
      </c>
      <c r="F424" t="s">
        <v>299</v>
      </c>
      <c r="G424" t="s">
        <v>299</v>
      </c>
      <c r="H424">
        <v>80</v>
      </c>
      <c r="I424" s="30">
        <v>1.8865740740740742E-3</v>
      </c>
      <c r="J424">
        <v>4</v>
      </c>
    </row>
    <row r="425" spans="1:10" x14ac:dyDescent="0.35">
      <c r="A425" t="s">
        <v>741</v>
      </c>
      <c r="B425" t="s">
        <v>332</v>
      </c>
      <c r="C425" t="s">
        <v>716</v>
      </c>
      <c r="D425" s="30">
        <v>0.52700231481481485</v>
      </c>
      <c r="E425" t="s">
        <v>314</v>
      </c>
      <c r="F425" t="s">
        <v>299</v>
      </c>
      <c r="G425" t="s">
        <v>299</v>
      </c>
      <c r="H425">
        <v>57</v>
      </c>
      <c r="I425" s="30">
        <v>1.7708333333333332E-3</v>
      </c>
      <c r="J425">
        <v>3</v>
      </c>
    </row>
    <row r="426" spans="1:10" x14ac:dyDescent="0.35">
      <c r="A426" t="s">
        <v>742</v>
      </c>
      <c r="B426" t="s">
        <v>305</v>
      </c>
      <c r="C426" t="s">
        <v>716</v>
      </c>
      <c r="D426" s="30">
        <v>0.53400462962962958</v>
      </c>
      <c r="E426" t="s">
        <v>298</v>
      </c>
      <c r="F426" t="s">
        <v>303</v>
      </c>
      <c r="G426" t="s">
        <v>303</v>
      </c>
    </row>
    <row r="427" spans="1:10" x14ac:dyDescent="0.35">
      <c r="A427" t="s">
        <v>743</v>
      </c>
      <c r="B427" t="s">
        <v>296</v>
      </c>
      <c r="C427" t="s">
        <v>716</v>
      </c>
      <c r="D427" s="30">
        <v>0.53400462962962958</v>
      </c>
      <c r="E427" t="s">
        <v>298</v>
      </c>
      <c r="F427" t="s">
        <v>299</v>
      </c>
      <c r="G427" t="s">
        <v>303</v>
      </c>
      <c r="H427">
        <v>87</v>
      </c>
      <c r="I427" s="30">
        <v>4.3750000000000004E-3</v>
      </c>
      <c r="J427">
        <v>4</v>
      </c>
    </row>
    <row r="428" spans="1:10" x14ac:dyDescent="0.35">
      <c r="A428" t="s">
        <v>744</v>
      </c>
      <c r="B428" t="s">
        <v>296</v>
      </c>
      <c r="C428" t="s">
        <v>716</v>
      </c>
      <c r="D428" s="30">
        <v>0.54900462962962959</v>
      </c>
      <c r="E428" t="s">
        <v>309</v>
      </c>
      <c r="F428" t="s">
        <v>303</v>
      </c>
      <c r="G428" t="s">
        <v>303</v>
      </c>
    </row>
    <row r="429" spans="1:10" x14ac:dyDescent="0.35">
      <c r="A429" t="s">
        <v>745</v>
      </c>
      <c r="B429" t="s">
        <v>307</v>
      </c>
      <c r="C429" t="s">
        <v>716</v>
      </c>
      <c r="D429" s="30">
        <v>0.54900462962962959</v>
      </c>
      <c r="E429" t="s">
        <v>317</v>
      </c>
      <c r="F429" t="s">
        <v>299</v>
      </c>
      <c r="G429" t="s">
        <v>299</v>
      </c>
      <c r="H429">
        <v>81</v>
      </c>
      <c r="I429" s="30">
        <v>4.1203703703703706E-3</v>
      </c>
      <c r="J429">
        <v>3</v>
      </c>
    </row>
    <row r="430" spans="1:10" x14ac:dyDescent="0.35">
      <c r="A430" t="s">
        <v>746</v>
      </c>
      <c r="B430" t="s">
        <v>319</v>
      </c>
      <c r="C430" t="s">
        <v>716</v>
      </c>
      <c r="D430" s="30">
        <v>0.54900462962962959</v>
      </c>
      <c r="E430" t="s">
        <v>302</v>
      </c>
      <c r="F430" t="s">
        <v>303</v>
      </c>
      <c r="G430" t="s">
        <v>303</v>
      </c>
    </row>
    <row r="431" spans="1:10" x14ac:dyDescent="0.35">
      <c r="A431" t="s">
        <v>747</v>
      </c>
      <c r="B431" t="s">
        <v>316</v>
      </c>
      <c r="C431" t="s">
        <v>716</v>
      </c>
      <c r="D431" s="30">
        <v>0.54900462962962959</v>
      </c>
      <c r="E431" t="s">
        <v>317</v>
      </c>
      <c r="F431" t="s">
        <v>299</v>
      </c>
      <c r="G431" t="s">
        <v>299</v>
      </c>
      <c r="H431">
        <v>47</v>
      </c>
      <c r="I431" s="30">
        <v>1.5162037037037036E-3</v>
      </c>
      <c r="J431">
        <v>5</v>
      </c>
    </row>
    <row r="432" spans="1:10" x14ac:dyDescent="0.35">
      <c r="A432" t="s">
        <v>748</v>
      </c>
      <c r="B432" t="s">
        <v>319</v>
      </c>
      <c r="C432" t="s">
        <v>716</v>
      </c>
      <c r="D432" s="30">
        <v>0.5540046296296296</v>
      </c>
      <c r="E432" t="s">
        <v>317</v>
      </c>
      <c r="F432" t="s">
        <v>299</v>
      </c>
      <c r="G432" t="s">
        <v>299</v>
      </c>
      <c r="H432">
        <v>57</v>
      </c>
      <c r="I432" s="30">
        <v>4.340277777777778E-3</v>
      </c>
      <c r="J432">
        <v>4</v>
      </c>
    </row>
    <row r="433" spans="1:10" x14ac:dyDescent="0.35">
      <c r="A433" t="s">
        <v>749</v>
      </c>
      <c r="B433" t="s">
        <v>301</v>
      </c>
      <c r="C433" t="s">
        <v>716</v>
      </c>
      <c r="D433" s="30">
        <v>0.5540046296296296</v>
      </c>
      <c r="E433" t="s">
        <v>309</v>
      </c>
      <c r="F433" t="s">
        <v>303</v>
      </c>
      <c r="G433" t="s">
        <v>303</v>
      </c>
    </row>
    <row r="434" spans="1:10" x14ac:dyDescent="0.35">
      <c r="A434" t="s">
        <v>750</v>
      </c>
      <c r="B434" t="s">
        <v>319</v>
      </c>
      <c r="C434" t="s">
        <v>716</v>
      </c>
      <c r="D434" s="30">
        <v>0.57200231481481478</v>
      </c>
      <c r="E434" t="s">
        <v>298</v>
      </c>
      <c r="F434" t="s">
        <v>299</v>
      </c>
      <c r="G434" t="s">
        <v>299</v>
      </c>
      <c r="H434">
        <v>104</v>
      </c>
      <c r="I434" s="30">
        <v>2.7199074074074074E-3</v>
      </c>
      <c r="J434">
        <v>4</v>
      </c>
    </row>
    <row r="435" spans="1:10" x14ac:dyDescent="0.35">
      <c r="A435" t="s">
        <v>751</v>
      </c>
      <c r="B435" t="s">
        <v>301</v>
      </c>
      <c r="C435" t="s">
        <v>716</v>
      </c>
      <c r="D435" s="30">
        <v>0.57200231481481478</v>
      </c>
      <c r="E435" t="s">
        <v>314</v>
      </c>
      <c r="F435" t="s">
        <v>299</v>
      </c>
      <c r="G435" t="s">
        <v>299</v>
      </c>
      <c r="H435">
        <v>16</v>
      </c>
      <c r="I435" s="30">
        <v>4.0046296296296297E-3</v>
      </c>
      <c r="J435">
        <v>3</v>
      </c>
    </row>
    <row r="436" spans="1:10" x14ac:dyDescent="0.35">
      <c r="A436" t="s">
        <v>752</v>
      </c>
      <c r="B436" t="s">
        <v>307</v>
      </c>
      <c r="C436" t="s">
        <v>716</v>
      </c>
      <c r="D436" s="30">
        <v>0.65099537037037036</v>
      </c>
      <c r="E436" t="s">
        <v>317</v>
      </c>
      <c r="F436" t="s">
        <v>299</v>
      </c>
      <c r="G436" t="s">
        <v>299</v>
      </c>
      <c r="H436">
        <v>37</v>
      </c>
      <c r="I436" s="30">
        <v>2.9282407407407408E-3</v>
      </c>
      <c r="J436">
        <v>4</v>
      </c>
    </row>
    <row r="437" spans="1:10" x14ac:dyDescent="0.35">
      <c r="A437" t="s">
        <v>753</v>
      </c>
      <c r="B437" t="s">
        <v>296</v>
      </c>
      <c r="C437" t="s">
        <v>716</v>
      </c>
      <c r="D437" s="30">
        <v>0.65099537037037036</v>
      </c>
      <c r="E437" t="s">
        <v>314</v>
      </c>
      <c r="F437" t="s">
        <v>303</v>
      </c>
      <c r="G437" t="s">
        <v>303</v>
      </c>
    </row>
    <row r="438" spans="1:10" x14ac:dyDescent="0.35">
      <c r="A438" t="s">
        <v>754</v>
      </c>
      <c r="B438" t="s">
        <v>305</v>
      </c>
      <c r="C438" t="s">
        <v>716</v>
      </c>
      <c r="D438" s="30">
        <v>0.65500000000000003</v>
      </c>
      <c r="E438" t="s">
        <v>302</v>
      </c>
      <c r="F438" t="s">
        <v>299</v>
      </c>
      <c r="G438" t="s">
        <v>299</v>
      </c>
      <c r="H438">
        <v>61</v>
      </c>
      <c r="I438" s="30">
        <v>1.4583333333333334E-3</v>
      </c>
      <c r="J438">
        <v>4</v>
      </c>
    </row>
    <row r="439" spans="1:10" x14ac:dyDescent="0.35">
      <c r="A439" t="s">
        <v>755</v>
      </c>
      <c r="B439" t="s">
        <v>305</v>
      </c>
      <c r="C439" t="s">
        <v>716</v>
      </c>
      <c r="D439" s="30">
        <v>0.65500000000000003</v>
      </c>
      <c r="E439" t="s">
        <v>314</v>
      </c>
      <c r="F439" t="s">
        <v>299</v>
      </c>
      <c r="G439" t="s">
        <v>303</v>
      </c>
      <c r="H439">
        <v>41</v>
      </c>
      <c r="I439" s="30">
        <v>2.1990740740740742E-3</v>
      </c>
      <c r="J439">
        <v>4</v>
      </c>
    </row>
    <row r="440" spans="1:10" x14ac:dyDescent="0.35">
      <c r="A440" t="s">
        <v>756</v>
      </c>
      <c r="B440" t="s">
        <v>296</v>
      </c>
      <c r="C440" t="s">
        <v>716</v>
      </c>
      <c r="D440" s="30">
        <v>0.66200231481481486</v>
      </c>
      <c r="E440" t="s">
        <v>317</v>
      </c>
      <c r="F440" t="s">
        <v>299</v>
      </c>
      <c r="G440" t="s">
        <v>299</v>
      </c>
      <c r="H440">
        <v>40</v>
      </c>
      <c r="I440" s="30">
        <v>9.3749999999999997E-4</v>
      </c>
      <c r="J440">
        <v>4</v>
      </c>
    </row>
    <row r="441" spans="1:10" x14ac:dyDescent="0.35">
      <c r="A441" t="s">
        <v>757</v>
      </c>
      <c r="B441" t="s">
        <v>296</v>
      </c>
      <c r="C441" t="s">
        <v>716</v>
      </c>
      <c r="D441" s="30">
        <v>0.66200231481481486</v>
      </c>
      <c r="E441" t="s">
        <v>314</v>
      </c>
      <c r="F441" t="s">
        <v>299</v>
      </c>
      <c r="G441" t="s">
        <v>299</v>
      </c>
      <c r="H441">
        <v>55</v>
      </c>
      <c r="I441" s="30">
        <v>3.7152777777777778E-3</v>
      </c>
      <c r="J441">
        <v>2</v>
      </c>
    </row>
    <row r="442" spans="1:10" x14ac:dyDescent="0.35">
      <c r="A442" t="s">
        <v>758</v>
      </c>
      <c r="B442" t="s">
        <v>307</v>
      </c>
      <c r="C442" t="s">
        <v>716</v>
      </c>
      <c r="D442" s="30">
        <v>0.6629976851851852</v>
      </c>
      <c r="E442" t="s">
        <v>314</v>
      </c>
      <c r="F442" t="s">
        <v>299</v>
      </c>
      <c r="G442" t="s">
        <v>299</v>
      </c>
      <c r="H442">
        <v>92</v>
      </c>
      <c r="I442" s="30">
        <v>6.134259259259259E-4</v>
      </c>
      <c r="J442">
        <v>3</v>
      </c>
    </row>
    <row r="443" spans="1:10" x14ac:dyDescent="0.35">
      <c r="A443" t="s">
        <v>759</v>
      </c>
      <c r="B443" t="s">
        <v>332</v>
      </c>
      <c r="C443" t="s">
        <v>716</v>
      </c>
      <c r="D443" s="30">
        <v>0.6629976851851852</v>
      </c>
      <c r="E443" t="s">
        <v>298</v>
      </c>
      <c r="F443" t="s">
        <v>299</v>
      </c>
      <c r="G443" t="s">
        <v>299</v>
      </c>
      <c r="H443">
        <v>118</v>
      </c>
      <c r="I443" s="30">
        <v>1.1342592592592593E-3</v>
      </c>
      <c r="J443">
        <v>5</v>
      </c>
    </row>
    <row r="444" spans="1:10" x14ac:dyDescent="0.35">
      <c r="A444" t="s">
        <v>760</v>
      </c>
      <c r="B444" t="s">
        <v>332</v>
      </c>
      <c r="C444" t="s">
        <v>716</v>
      </c>
      <c r="D444" s="30">
        <v>0.69299768518518523</v>
      </c>
      <c r="E444" t="s">
        <v>317</v>
      </c>
      <c r="F444" t="s">
        <v>299</v>
      </c>
      <c r="G444" t="s">
        <v>299</v>
      </c>
      <c r="H444">
        <v>82</v>
      </c>
      <c r="I444" s="30">
        <v>3.9699074074074072E-3</v>
      </c>
      <c r="J444">
        <v>3</v>
      </c>
    </row>
    <row r="445" spans="1:10" x14ac:dyDescent="0.35">
      <c r="A445" t="s">
        <v>761</v>
      </c>
      <c r="B445" t="s">
        <v>332</v>
      </c>
      <c r="C445" t="s">
        <v>716</v>
      </c>
      <c r="D445" s="30">
        <v>0.69299768518518523</v>
      </c>
      <c r="E445" t="s">
        <v>317</v>
      </c>
      <c r="F445" t="s">
        <v>299</v>
      </c>
      <c r="G445" t="s">
        <v>299</v>
      </c>
      <c r="H445">
        <v>83</v>
      </c>
      <c r="I445" s="30">
        <v>9.2592592592592596E-4</v>
      </c>
      <c r="J445">
        <v>3</v>
      </c>
    </row>
    <row r="446" spans="1:10" x14ac:dyDescent="0.35">
      <c r="A446" t="s">
        <v>762</v>
      </c>
      <c r="B446" t="s">
        <v>316</v>
      </c>
      <c r="C446" t="s">
        <v>716</v>
      </c>
      <c r="D446" s="30">
        <v>0.75</v>
      </c>
      <c r="E446" t="s">
        <v>309</v>
      </c>
      <c r="F446" t="s">
        <v>299</v>
      </c>
      <c r="G446" t="s">
        <v>299</v>
      </c>
      <c r="H446">
        <v>78</v>
      </c>
      <c r="I446" s="30">
        <v>3.6226851851851854E-3</v>
      </c>
      <c r="J446">
        <v>2</v>
      </c>
    </row>
    <row r="447" spans="1:10" x14ac:dyDescent="0.35">
      <c r="A447" t="s">
        <v>763</v>
      </c>
      <c r="B447" t="s">
        <v>296</v>
      </c>
      <c r="C447" t="s">
        <v>716</v>
      </c>
      <c r="D447" s="30">
        <v>0.75</v>
      </c>
      <c r="E447" t="s">
        <v>309</v>
      </c>
      <c r="F447" t="s">
        <v>299</v>
      </c>
      <c r="G447" t="s">
        <v>303</v>
      </c>
      <c r="H447">
        <v>111</v>
      </c>
      <c r="I447" s="30">
        <v>3.6342592592592594E-3</v>
      </c>
      <c r="J447">
        <v>5</v>
      </c>
    </row>
    <row r="448" spans="1:10" x14ac:dyDescent="0.35">
      <c r="A448" t="s">
        <v>764</v>
      </c>
      <c r="B448" t="s">
        <v>316</v>
      </c>
      <c r="C448" t="s">
        <v>765</v>
      </c>
      <c r="D448" s="30">
        <v>0.38</v>
      </c>
      <c r="E448" t="s">
        <v>298</v>
      </c>
      <c r="F448" t="s">
        <v>299</v>
      </c>
      <c r="G448" t="s">
        <v>299</v>
      </c>
      <c r="H448">
        <v>107</v>
      </c>
      <c r="I448" s="30">
        <v>3.7268518518518519E-3</v>
      </c>
      <c r="J448">
        <v>4</v>
      </c>
    </row>
    <row r="449" spans="1:10" x14ac:dyDescent="0.35">
      <c r="A449" t="s">
        <v>766</v>
      </c>
      <c r="B449" t="s">
        <v>323</v>
      </c>
      <c r="C449" t="s">
        <v>765</v>
      </c>
      <c r="D449" s="30">
        <v>0.38</v>
      </c>
      <c r="E449" t="s">
        <v>317</v>
      </c>
      <c r="F449" t="s">
        <v>299</v>
      </c>
      <c r="G449" t="s">
        <v>299</v>
      </c>
      <c r="H449">
        <v>108</v>
      </c>
      <c r="I449" s="30">
        <v>2.8124999999999999E-3</v>
      </c>
      <c r="J449">
        <v>2</v>
      </c>
    </row>
    <row r="450" spans="1:10" x14ac:dyDescent="0.35">
      <c r="A450" t="s">
        <v>767</v>
      </c>
      <c r="B450" t="s">
        <v>307</v>
      </c>
      <c r="C450" t="s">
        <v>765</v>
      </c>
      <c r="D450" s="30">
        <v>0.39200231481481479</v>
      </c>
      <c r="E450" t="s">
        <v>309</v>
      </c>
      <c r="F450" t="s">
        <v>299</v>
      </c>
      <c r="G450" t="s">
        <v>299</v>
      </c>
      <c r="H450">
        <v>97</v>
      </c>
      <c r="I450" s="30">
        <v>1.8402777777777777E-3</v>
      </c>
      <c r="J450">
        <v>5</v>
      </c>
    </row>
    <row r="451" spans="1:10" x14ac:dyDescent="0.35">
      <c r="A451" t="s">
        <v>768</v>
      </c>
      <c r="B451" t="s">
        <v>332</v>
      </c>
      <c r="C451" t="s">
        <v>765</v>
      </c>
      <c r="D451" s="30">
        <v>0.39200231481481479</v>
      </c>
      <c r="E451" t="s">
        <v>317</v>
      </c>
      <c r="F451" t="s">
        <v>299</v>
      </c>
      <c r="G451" t="s">
        <v>299</v>
      </c>
      <c r="H451">
        <v>31</v>
      </c>
      <c r="I451" s="30">
        <v>4.3981481481481484E-3</v>
      </c>
      <c r="J451">
        <v>5</v>
      </c>
    </row>
    <row r="452" spans="1:10" x14ac:dyDescent="0.35">
      <c r="A452" t="s">
        <v>769</v>
      </c>
      <c r="B452" t="s">
        <v>323</v>
      </c>
      <c r="C452" t="s">
        <v>765</v>
      </c>
      <c r="D452" s="30">
        <v>0.39900462962962963</v>
      </c>
      <c r="E452" t="s">
        <v>309</v>
      </c>
      <c r="F452" t="s">
        <v>299</v>
      </c>
      <c r="G452" t="s">
        <v>299</v>
      </c>
      <c r="H452">
        <v>20</v>
      </c>
      <c r="I452" s="30">
        <v>1.261574074074074E-3</v>
      </c>
      <c r="J452">
        <v>4</v>
      </c>
    </row>
    <row r="453" spans="1:10" x14ac:dyDescent="0.35">
      <c r="A453" t="s">
        <v>770</v>
      </c>
      <c r="B453" t="s">
        <v>316</v>
      </c>
      <c r="C453" t="s">
        <v>765</v>
      </c>
      <c r="D453" s="30">
        <v>0.39900462962962963</v>
      </c>
      <c r="E453" t="s">
        <v>314</v>
      </c>
      <c r="F453" t="s">
        <v>299</v>
      </c>
      <c r="G453" t="s">
        <v>299</v>
      </c>
      <c r="H453">
        <v>110</v>
      </c>
      <c r="I453" s="30">
        <v>4.7800925925925927E-3</v>
      </c>
      <c r="J453">
        <v>3</v>
      </c>
    </row>
    <row r="454" spans="1:10" x14ac:dyDescent="0.35">
      <c r="A454" t="s">
        <v>771</v>
      </c>
      <c r="B454" t="s">
        <v>332</v>
      </c>
      <c r="C454" t="s">
        <v>765</v>
      </c>
      <c r="D454" s="30">
        <v>0.43200231481481483</v>
      </c>
      <c r="E454" t="s">
        <v>302</v>
      </c>
      <c r="F454" t="s">
        <v>299</v>
      </c>
      <c r="G454" t="s">
        <v>299</v>
      </c>
      <c r="H454">
        <v>86</v>
      </c>
      <c r="I454" s="30">
        <v>3.4953703703703705E-3</v>
      </c>
      <c r="J454">
        <v>5</v>
      </c>
    </row>
    <row r="455" spans="1:10" x14ac:dyDescent="0.35">
      <c r="A455" t="s">
        <v>772</v>
      </c>
      <c r="B455" t="s">
        <v>301</v>
      </c>
      <c r="C455" t="s">
        <v>765</v>
      </c>
      <c r="D455" s="30">
        <v>0.43200231481481483</v>
      </c>
      <c r="E455" t="s">
        <v>317</v>
      </c>
      <c r="F455" t="s">
        <v>299</v>
      </c>
      <c r="G455" t="s">
        <v>299</v>
      </c>
      <c r="H455">
        <v>77</v>
      </c>
      <c r="I455" s="30">
        <v>1.5162037037037036E-3</v>
      </c>
      <c r="J455">
        <v>4</v>
      </c>
    </row>
    <row r="456" spans="1:10" x14ac:dyDescent="0.35">
      <c r="A456" t="s">
        <v>773</v>
      </c>
      <c r="B456" t="s">
        <v>296</v>
      </c>
      <c r="C456" t="s">
        <v>765</v>
      </c>
      <c r="D456" s="30">
        <v>0.43700231481481483</v>
      </c>
      <c r="E456" t="s">
        <v>317</v>
      </c>
      <c r="F456" t="s">
        <v>299</v>
      </c>
      <c r="G456" t="s">
        <v>299</v>
      </c>
      <c r="H456">
        <v>119</v>
      </c>
      <c r="I456" s="30">
        <v>4.7106481481481478E-3</v>
      </c>
      <c r="J456">
        <v>3</v>
      </c>
    </row>
    <row r="457" spans="1:10" x14ac:dyDescent="0.35">
      <c r="A457" t="s">
        <v>774</v>
      </c>
      <c r="B457" t="s">
        <v>323</v>
      </c>
      <c r="C457" t="s">
        <v>765</v>
      </c>
      <c r="D457" s="30">
        <v>0.43700231481481483</v>
      </c>
      <c r="E457" t="s">
        <v>314</v>
      </c>
      <c r="F457" t="s">
        <v>303</v>
      </c>
      <c r="G457" t="s">
        <v>303</v>
      </c>
    </row>
    <row r="458" spans="1:10" x14ac:dyDescent="0.35">
      <c r="A458" t="s">
        <v>775</v>
      </c>
      <c r="B458" t="s">
        <v>316</v>
      </c>
      <c r="C458" t="s">
        <v>765</v>
      </c>
      <c r="D458" s="30">
        <v>0.43900462962962961</v>
      </c>
      <c r="E458" t="s">
        <v>302</v>
      </c>
      <c r="F458" t="s">
        <v>299</v>
      </c>
      <c r="G458" t="s">
        <v>299</v>
      </c>
      <c r="H458">
        <v>13</v>
      </c>
      <c r="I458" s="30">
        <v>2.1527777777777778E-3</v>
      </c>
      <c r="J458">
        <v>3</v>
      </c>
    </row>
    <row r="459" spans="1:10" x14ac:dyDescent="0.35">
      <c r="A459" t="s">
        <v>776</v>
      </c>
      <c r="B459" t="s">
        <v>305</v>
      </c>
      <c r="C459" t="s">
        <v>765</v>
      </c>
      <c r="D459" s="30">
        <v>0.43900462962962961</v>
      </c>
      <c r="E459" t="s">
        <v>309</v>
      </c>
      <c r="F459" t="s">
        <v>299</v>
      </c>
      <c r="G459" t="s">
        <v>299</v>
      </c>
      <c r="H459">
        <v>106</v>
      </c>
      <c r="I459" s="30">
        <v>1.7013888888888888E-3</v>
      </c>
      <c r="J459">
        <v>5</v>
      </c>
    </row>
    <row r="460" spans="1:10" x14ac:dyDescent="0.35">
      <c r="A460" t="s">
        <v>777</v>
      </c>
      <c r="B460" t="s">
        <v>319</v>
      </c>
      <c r="C460" t="s">
        <v>765</v>
      </c>
      <c r="D460" s="30">
        <v>0.45700231481481479</v>
      </c>
      <c r="E460" t="s">
        <v>309</v>
      </c>
      <c r="F460" t="s">
        <v>299</v>
      </c>
      <c r="G460" t="s">
        <v>299</v>
      </c>
      <c r="H460">
        <v>35</v>
      </c>
      <c r="I460" s="30">
        <v>3.7615740740740739E-3</v>
      </c>
      <c r="J460">
        <v>3</v>
      </c>
    </row>
    <row r="461" spans="1:10" x14ac:dyDescent="0.35">
      <c r="A461" t="s">
        <v>778</v>
      </c>
      <c r="B461" t="s">
        <v>323</v>
      </c>
      <c r="C461" t="s">
        <v>765</v>
      </c>
      <c r="D461" s="30">
        <v>0.45700231481481479</v>
      </c>
      <c r="E461" t="s">
        <v>298</v>
      </c>
      <c r="F461" t="s">
        <v>299</v>
      </c>
      <c r="G461" t="s">
        <v>303</v>
      </c>
      <c r="H461">
        <v>46</v>
      </c>
      <c r="I461" s="30">
        <v>3.7384259259259259E-3</v>
      </c>
      <c r="J461">
        <v>3</v>
      </c>
    </row>
    <row r="462" spans="1:10" x14ac:dyDescent="0.35">
      <c r="A462" t="s">
        <v>779</v>
      </c>
      <c r="B462" t="s">
        <v>305</v>
      </c>
      <c r="C462" t="s">
        <v>765</v>
      </c>
      <c r="D462" s="30">
        <v>0.4620023148148148</v>
      </c>
      <c r="E462" t="s">
        <v>314</v>
      </c>
      <c r="F462" t="s">
        <v>299</v>
      </c>
      <c r="G462" t="s">
        <v>303</v>
      </c>
      <c r="H462">
        <v>24</v>
      </c>
      <c r="I462" s="30">
        <v>4.340277777777778E-3</v>
      </c>
      <c r="J462">
        <v>3</v>
      </c>
    </row>
    <row r="463" spans="1:10" x14ac:dyDescent="0.35">
      <c r="A463" t="s">
        <v>780</v>
      </c>
      <c r="B463" t="s">
        <v>305</v>
      </c>
      <c r="C463" t="s">
        <v>765</v>
      </c>
      <c r="D463" s="30">
        <v>0.4620023148148148</v>
      </c>
      <c r="E463" t="s">
        <v>317</v>
      </c>
      <c r="F463" t="s">
        <v>299</v>
      </c>
      <c r="G463" t="s">
        <v>299</v>
      </c>
      <c r="H463">
        <v>88</v>
      </c>
      <c r="I463" s="30">
        <v>4.5486111111111109E-3</v>
      </c>
      <c r="J463">
        <v>5</v>
      </c>
    </row>
    <row r="464" spans="1:10" x14ac:dyDescent="0.35">
      <c r="A464" t="s">
        <v>781</v>
      </c>
      <c r="B464" t="s">
        <v>319</v>
      </c>
      <c r="C464" t="s">
        <v>765</v>
      </c>
      <c r="D464" s="30">
        <v>0.46599537037037037</v>
      </c>
      <c r="E464" t="s">
        <v>314</v>
      </c>
      <c r="F464" t="s">
        <v>299</v>
      </c>
      <c r="G464" t="s">
        <v>299</v>
      </c>
      <c r="H464">
        <v>81</v>
      </c>
      <c r="I464" s="30">
        <v>1.8749999999999999E-3</v>
      </c>
      <c r="J464">
        <v>3</v>
      </c>
    </row>
    <row r="465" spans="1:10" x14ac:dyDescent="0.35">
      <c r="A465" t="s">
        <v>782</v>
      </c>
      <c r="B465" t="s">
        <v>316</v>
      </c>
      <c r="C465" t="s">
        <v>765</v>
      </c>
      <c r="D465" s="30">
        <v>0.46599537037037037</v>
      </c>
      <c r="E465" t="s">
        <v>309</v>
      </c>
      <c r="F465" t="s">
        <v>299</v>
      </c>
      <c r="G465" t="s">
        <v>299</v>
      </c>
      <c r="H465">
        <v>96</v>
      </c>
      <c r="I465" s="30">
        <v>3.1597222222222222E-3</v>
      </c>
      <c r="J465">
        <v>3</v>
      </c>
    </row>
    <row r="466" spans="1:10" x14ac:dyDescent="0.35">
      <c r="A466" t="s">
        <v>783</v>
      </c>
      <c r="B466" t="s">
        <v>301</v>
      </c>
      <c r="C466" t="s">
        <v>765</v>
      </c>
      <c r="D466" s="30">
        <v>0.47</v>
      </c>
      <c r="E466" t="s">
        <v>314</v>
      </c>
      <c r="F466" t="s">
        <v>299</v>
      </c>
      <c r="G466" t="s">
        <v>299</v>
      </c>
      <c r="H466">
        <v>46</v>
      </c>
      <c r="I466" s="30">
        <v>4.2245370370370371E-3</v>
      </c>
      <c r="J466">
        <v>3</v>
      </c>
    </row>
    <row r="467" spans="1:10" x14ac:dyDescent="0.35">
      <c r="A467" t="s">
        <v>784</v>
      </c>
      <c r="B467" t="s">
        <v>332</v>
      </c>
      <c r="C467" t="s">
        <v>765</v>
      </c>
      <c r="D467" s="30">
        <v>0.47</v>
      </c>
      <c r="E467" t="s">
        <v>298</v>
      </c>
      <c r="F467" t="s">
        <v>299</v>
      </c>
      <c r="G467" t="s">
        <v>299</v>
      </c>
      <c r="H467">
        <v>25</v>
      </c>
      <c r="I467" s="30">
        <v>1.1574074074074073E-3</v>
      </c>
      <c r="J467">
        <v>4</v>
      </c>
    </row>
    <row r="468" spans="1:10" x14ac:dyDescent="0.35">
      <c r="A468" t="s">
        <v>785</v>
      </c>
      <c r="B468" t="s">
        <v>305</v>
      </c>
      <c r="C468" t="s">
        <v>765</v>
      </c>
      <c r="D468" s="30">
        <v>0.47599537037037037</v>
      </c>
      <c r="E468" t="s">
        <v>314</v>
      </c>
      <c r="F468" t="s">
        <v>299</v>
      </c>
      <c r="G468" t="s">
        <v>299</v>
      </c>
      <c r="H468">
        <v>81</v>
      </c>
      <c r="I468" s="30">
        <v>1.4699074074074074E-3</v>
      </c>
      <c r="J468">
        <v>4</v>
      </c>
    </row>
    <row r="469" spans="1:10" x14ac:dyDescent="0.35">
      <c r="A469" t="s">
        <v>786</v>
      </c>
      <c r="B469" t="s">
        <v>332</v>
      </c>
      <c r="C469" t="s">
        <v>765</v>
      </c>
      <c r="D469" s="30">
        <v>0.47599537037037037</v>
      </c>
      <c r="E469" t="s">
        <v>309</v>
      </c>
      <c r="F469" t="s">
        <v>303</v>
      </c>
      <c r="G469" t="s">
        <v>303</v>
      </c>
    </row>
    <row r="470" spans="1:10" x14ac:dyDescent="0.35">
      <c r="A470" t="s">
        <v>787</v>
      </c>
      <c r="B470" t="s">
        <v>332</v>
      </c>
      <c r="C470" t="s">
        <v>765</v>
      </c>
      <c r="D470" s="30">
        <v>0.49200231481481482</v>
      </c>
      <c r="E470" t="s">
        <v>302</v>
      </c>
      <c r="F470" t="s">
        <v>299</v>
      </c>
      <c r="G470" t="s">
        <v>299</v>
      </c>
      <c r="H470">
        <v>97</v>
      </c>
      <c r="I470" s="30">
        <v>4.7453703703703703E-3</v>
      </c>
      <c r="J470">
        <v>1</v>
      </c>
    </row>
    <row r="471" spans="1:10" x14ac:dyDescent="0.35">
      <c r="A471" t="s">
        <v>788</v>
      </c>
      <c r="B471" t="s">
        <v>323</v>
      </c>
      <c r="C471" t="s">
        <v>765</v>
      </c>
      <c r="D471" s="30">
        <v>0.49200231481481482</v>
      </c>
      <c r="E471" t="s">
        <v>302</v>
      </c>
      <c r="F471" t="s">
        <v>299</v>
      </c>
      <c r="G471" t="s">
        <v>299</v>
      </c>
      <c r="H471">
        <v>116</v>
      </c>
      <c r="I471" s="30">
        <v>2.2685185185185187E-3</v>
      </c>
      <c r="J471">
        <v>5</v>
      </c>
    </row>
    <row r="472" spans="1:10" x14ac:dyDescent="0.35">
      <c r="A472" t="s">
        <v>789</v>
      </c>
      <c r="B472" t="s">
        <v>319</v>
      </c>
      <c r="C472" t="s">
        <v>765</v>
      </c>
      <c r="D472" s="30">
        <v>0.49200231481481482</v>
      </c>
      <c r="E472" t="s">
        <v>309</v>
      </c>
      <c r="F472" t="s">
        <v>303</v>
      </c>
      <c r="G472" t="s">
        <v>303</v>
      </c>
    </row>
    <row r="473" spans="1:10" x14ac:dyDescent="0.35">
      <c r="A473" t="s">
        <v>790</v>
      </c>
      <c r="B473" t="s">
        <v>332</v>
      </c>
      <c r="C473" t="s">
        <v>765</v>
      </c>
      <c r="D473" s="30">
        <v>0.49200231481481482</v>
      </c>
      <c r="E473" t="s">
        <v>314</v>
      </c>
      <c r="F473" t="s">
        <v>303</v>
      </c>
      <c r="G473" t="s">
        <v>303</v>
      </c>
    </row>
    <row r="474" spans="1:10" x14ac:dyDescent="0.35">
      <c r="A474" t="s">
        <v>791</v>
      </c>
      <c r="B474" t="s">
        <v>301</v>
      </c>
      <c r="C474" t="s">
        <v>765</v>
      </c>
      <c r="D474" s="30">
        <v>0.49200231481481482</v>
      </c>
      <c r="E474" t="s">
        <v>309</v>
      </c>
      <c r="F474" t="s">
        <v>299</v>
      </c>
      <c r="G474" t="s">
        <v>299</v>
      </c>
      <c r="H474">
        <v>87</v>
      </c>
      <c r="I474" s="30">
        <v>3.9930555555555552E-3</v>
      </c>
      <c r="J474">
        <v>5</v>
      </c>
    </row>
    <row r="475" spans="1:10" x14ac:dyDescent="0.35">
      <c r="A475" t="s">
        <v>792</v>
      </c>
      <c r="B475" t="s">
        <v>332</v>
      </c>
      <c r="C475" t="s">
        <v>765</v>
      </c>
      <c r="D475" s="30">
        <v>0.49200231481481482</v>
      </c>
      <c r="E475" t="s">
        <v>302</v>
      </c>
      <c r="F475" t="s">
        <v>299</v>
      </c>
      <c r="G475" t="s">
        <v>299</v>
      </c>
      <c r="H475">
        <v>43</v>
      </c>
      <c r="I475" s="30">
        <v>4.0509259259259258E-4</v>
      </c>
      <c r="J475">
        <v>4</v>
      </c>
    </row>
    <row r="476" spans="1:10" x14ac:dyDescent="0.35">
      <c r="A476" t="s">
        <v>793</v>
      </c>
      <c r="B476" t="s">
        <v>307</v>
      </c>
      <c r="C476" t="s">
        <v>765</v>
      </c>
      <c r="D476" s="30">
        <v>0.49700231481481483</v>
      </c>
      <c r="E476" t="s">
        <v>298</v>
      </c>
      <c r="F476" t="s">
        <v>299</v>
      </c>
      <c r="G476" t="s">
        <v>299</v>
      </c>
      <c r="H476">
        <v>102</v>
      </c>
      <c r="I476" s="30">
        <v>3.3333333333333335E-3</v>
      </c>
      <c r="J476">
        <v>3</v>
      </c>
    </row>
    <row r="477" spans="1:10" x14ac:dyDescent="0.35">
      <c r="A477" t="s">
        <v>794</v>
      </c>
      <c r="B477" t="s">
        <v>332</v>
      </c>
      <c r="C477" t="s">
        <v>765</v>
      </c>
      <c r="D477" s="30">
        <v>0.49700231481481483</v>
      </c>
      <c r="E477" t="s">
        <v>309</v>
      </c>
      <c r="F477" t="s">
        <v>299</v>
      </c>
      <c r="G477" t="s">
        <v>299</v>
      </c>
      <c r="H477">
        <v>95</v>
      </c>
      <c r="I477" s="30">
        <v>4.0393518518518521E-3</v>
      </c>
      <c r="J477">
        <v>5</v>
      </c>
    </row>
    <row r="478" spans="1:10" x14ac:dyDescent="0.35">
      <c r="A478" t="s">
        <v>795</v>
      </c>
      <c r="B478" t="s">
        <v>332</v>
      </c>
      <c r="C478" t="s">
        <v>765</v>
      </c>
      <c r="D478" s="30">
        <v>0.52200231481481485</v>
      </c>
      <c r="E478" t="s">
        <v>302</v>
      </c>
      <c r="F478" t="s">
        <v>299</v>
      </c>
      <c r="G478" t="s">
        <v>299</v>
      </c>
      <c r="H478">
        <v>108</v>
      </c>
      <c r="I478" s="30">
        <v>3.2986111111111111E-3</v>
      </c>
      <c r="J478">
        <v>3</v>
      </c>
    </row>
    <row r="479" spans="1:10" x14ac:dyDescent="0.35">
      <c r="A479" t="s">
        <v>796</v>
      </c>
      <c r="B479" t="s">
        <v>332</v>
      </c>
      <c r="C479" t="s">
        <v>765</v>
      </c>
      <c r="D479" s="30">
        <v>0.52200231481481485</v>
      </c>
      <c r="E479" t="s">
        <v>314</v>
      </c>
      <c r="F479" t="s">
        <v>299</v>
      </c>
      <c r="G479" t="s">
        <v>299</v>
      </c>
      <c r="H479">
        <v>80</v>
      </c>
      <c r="I479" s="30">
        <v>1.5162037037037036E-3</v>
      </c>
      <c r="J479">
        <v>4</v>
      </c>
    </row>
    <row r="480" spans="1:10" x14ac:dyDescent="0.35">
      <c r="A480" t="s">
        <v>797</v>
      </c>
      <c r="B480" t="s">
        <v>296</v>
      </c>
      <c r="C480" t="s">
        <v>765</v>
      </c>
      <c r="D480" s="30">
        <v>0.52299768518518519</v>
      </c>
      <c r="E480" t="s">
        <v>309</v>
      </c>
      <c r="F480" t="s">
        <v>299</v>
      </c>
      <c r="G480" t="s">
        <v>299</v>
      </c>
      <c r="H480">
        <v>61</v>
      </c>
      <c r="I480" s="30">
        <v>4.1666666666666669E-4</v>
      </c>
      <c r="J480">
        <v>5</v>
      </c>
    </row>
    <row r="481" spans="1:10" x14ac:dyDescent="0.35">
      <c r="A481" t="s">
        <v>798</v>
      </c>
      <c r="B481" t="s">
        <v>307</v>
      </c>
      <c r="C481" t="s">
        <v>765</v>
      </c>
      <c r="D481" s="30">
        <v>0.52299768518518519</v>
      </c>
      <c r="E481" t="s">
        <v>298</v>
      </c>
      <c r="F481" t="s">
        <v>299</v>
      </c>
      <c r="G481" t="s">
        <v>299</v>
      </c>
      <c r="H481">
        <v>18</v>
      </c>
      <c r="I481" s="30">
        <v>3.5300925925925925E-3</v>
      </c>
      <c r="J481">
        <v>5</v>
      </c>
    </row>
    <row r="482" spans="1:10" x14ac:dyDescent="0.35">
      <c r="A482" t="s">
        <v>799</v>
      </c>
      <c r="B482" t="s">
        <v>319</v>
      </c>
      <c r="C482" t="s">
        <v>765</v>
      </c>
      <c r="D482" s="30">
        <v>0.52799768518518519</v>
      </c>
      <c r="E482" t="s">
        <v>309</v>
      </c>
      <c r="F482" t="s">
        <v>303</v>
      </c>
      <c r="G482" t="s">
        <v>303</v>
      </c>
    </row>
    <row r="483" spans="1:10" x14ac:dyDescent="0.35">
      <c r="A483" t="s">
        <v>800</v>
      </c>
      <c r="B483" t="s">
        <v>301</v>
      </c>
      <c r="C483" t="s">
        <v>765</v>
      </c>
      <c r="D483" s="30">
        <v>0.52799768518518519</v>
      </c>
      <c r="E483" t="s">
        <v>314</v>
      </c>
      <c r="F483" t="s">
        <v>299</v>
      </c>
      <c r="G483" t="s">
        <v>303</v>
      </c>
      <c r="H483">
        <v>10</v>
      </c>
      <c r="I483" s="30">
        <v>6.2500000000000001E-4</v>
      </c>
      <c r="J483">
        <v>4</v>
      </c>
    </row>
    <row r="484" spans="1:10" x14ac:dyDescent="0.35">
      <c r="A484" t="s">
        <v>801</v>
      </c>
      <c r="B484" t="s">
        <v>296</v>
      </c>
      <c r="C484" t="s">
        <v>765</v>
      </c>
      <c r="D484" s="30">
        <v>0.53500000000000003</v>
      </c>
      <c r="E484" t="s">
        <v>309</v>
      </c>
      <c r="F484" t="s">
        <v>299</v>
      </c>
      <c r="G484" t="s">
        <v>299</v>
      </c>
      <c r="H484">
        <v>92</v>
      </c>
      <c r="I484" s="30">
        <v>1.6782407407407408E-3</v>
      </c>
      <c r="J484">
        <v>3</v>
      </c>
    </row>
    <row r="485" spans="1:10" x14ac:dyDescent="0.35">
      <c r="A485" t="s">
        <v>802</v>
      </c>
      <c r="B485" t="s">
        <v>316</v>
      </c>
      <c r="C485" t="s">
        <v>765</v>
      </c>
      <c r="D485" s="30">
        <v>0.53500000000000003</v>
      </c>
      <c r="E485" t="s">
        <v>302</v>
      </c>
      <c r="F485" t="s">
        <v>303</v>
      </c>
      <c r="G485" t="s">
        <v>303</v>
      </c>
    </row>
    <row r="486" spans="1:10" x14ac:dyDescent="0.35">
      <c r="A486" t="s">
        <v>803</v>
      </c>
      <c r="B486" t="s">
        <v>301</v>
      </c>
      <c r="C486" t="s">
        <v>765</v>
      </c>
      <c r="D486" s="30">
        <v>0.54400462962962959</v>
      </c>
      <c r="E486" t="s">
        <v>298</v>
      </c>
      <c r="F486" t="s">
        <v>299</v>
      </c>
      <c r="G486" t="s">
        <v>299</v>
      </c>
      <c r="H486">
        <v>120</v>
      </c>
      <c r="I486" s="30">
        <v>3.1018518518518517E-3</v>
      </c>
      <c r="J486">
        <v>1</v>
      </c>
    </row>
    <row r="487" spans="1:10" x14ac:dyDescent="0.35">
      <c r="A487" t="s">
        <v>804</v>
      </c>
      <c r="B487" t="s">
        <v>332</v>
      </c>
      <c r="C487" t="s">
        <v>765</v>
      </c>
      <c r="D487" s="30">
        <v>0.54400462962962959</v>
      </c>
      <c r="E487" t="s">
        <v>302</v>
      </c>
      <c r="F487" t="s">
        <v>299</v>
      </c>
      <c r="G487" t="s">
        <v>299</v>
      </c>
      <c r="H487">
        <v>63</v>
      </c>
      <c r="I487" s="30">
        <v>3.460648148148148E-3</v>
      </c>
      <c r="J487">
        <v>3</v>
      </c>
    </row>
    <row r="488" spans="1:10" x14ac:dyDescent="0.35">
      <c r="A488" t="s">
        <v>805</v>
      </c>
      <c r="B488" t="s">
        <v>301</v>
      </c>
      <c r="C488" t="s">
        <v>765</v>
      </c>
      <c r="D488" s="30">
        <v>0.56900462962962961</v>
      </c>
      <c r="E488" t="s">
        <v>317</v>
      </c>
      <c r="F488" t="s">
        <v>303</v>
      </c>
      <c r="G488" t="s">
        <v>303</v>
      </c>
    </row>
    <row r="489" spans="1:10" x14ac:dyDescent="0.35">
      <c r="A489" t="s">
        <v>806</v>
      </c>
      <c r="B489" t="s">
        <v>319</v>
      </c>
      <c r="C489" t="s">
        <v>765</v>
      </c>
      <c r="D489" s="30">
        <v>0.56900462962962961</v>
      </c>
      <c r="E489" t="s">
        <v>317</v>
      </c>
      <c r="F489" t="s">
        <v>299</v>
      </c>
      <c r="G489" t="s">
        <v>299</v>
      </c>
      <c r="H489">
        <v>101</v>
      </c>
      <c r="I489" s="30">
        <v>3.8194444444444443E-3</v>
      </c>
      <c r="J489">
        <v>3</v>
      </c>
    </row>
    <row r="490" spans="1:10" x14ac:dyDescent="0.35">
      <c r="A490" t="s">
        <v>807</v>
      </c>
      <c r="B490" t="s">
        <v>319</v>
      </c>
      <c r="C490" t="s">
        <v>765</v>
      </c>
      <c r="D490" s="30">
        <v>0.58299768518518513</v>
      </c>
      <c r="E490" t="s">
        <v>309</v>
      </c>
      <c r="F490" t="s">
        <v>299</v>
      </c>
      <c r="G490" t="s">
        <v>299</v>
      </c>
      <c r="H490">
        <v>105</v>
      </c>
      <c r="I490" s="30">
        <v>9.2592592592592596E-4</v>
      </c>
      <c r="J490">
        <v>1</v>
      </c>
    </row>
    <row r="491" spans="1:10" x14ac:dyDescent="0.35">
      <c r="A491" t="s">
        <v>808</v>
      </c>
      <c r="B491" t="s">
        <v>319</v>
      </c>
      <c r="C491" t="s">
        <v>765</v>
      </c>
      <c r="D491" s="30">
        <v>0.58299768518518513</v>
      </c>
      <c r="E491" t="s">
        <v>298</v>
      </c>
      <c r="F491" t="s">
        <v>299</v>
      </c>
      <c r="G491" t="s">
        <v>299</v>
      </c>
      <c r="H491">
        <v>21</v>
      </c>
      <c r="I491" s="30">
        <v>1.1342592592592593E-3</v>
      </c>
      <c r="J491">
        <v>4</v>
      </c>
    </row>
    <row r="492" spans="1:10" x14ac:dyDescent="0.35">
      <c r="A492" t="s">
        <v>809</v>
      </c>
      <c r="B492" t="s">
        <v>319</v>
      </c>
      <c r="C492" t="s">
        <v>765</v>
      </c>
      <c r="D492" s="30">
        <v>0.5920023148148148</v>
      </c>
      <c r="E492" t="s">
        <v>309</v>
      </c>
      <c r="F492" t="s">
        <v>299</v>
      </c>
      <c r="G492" t="s">
        <v>299</v>
      </c>
      <c r="H492">
        <v>34</v>
      </c>
      <c r="I492" s="30">
        <v>3.5879629629629629E-3</v>
      </c>
      <c r="J492">
        <v>4</v>
      </c>
    </row>
    <row r="493" spans="1:10" x14ac:dyDescent="0.35">
      <c r="A493" t="s">
        <v>810</v>
      </c>
      <c r="B493" t="s">
        <v>305</v>
      </c>
      <c r="C493" t="s">
        <v>765</v>
      </c>
      <c r="D493" s="30">
        <v>0.5920023148148148</v>
      </c>
      <c r="E493" t="s">
        <v>302</v>
      </c>
      <c r="F493" t="s">
        <v>299</v>
      </c>
      <c r="G493" t="s">
        <v>299</v>
      </c>
      <c r="H493">
        <v>78</v>
      </c>
      <c r="I493" s="30">
        <v>2.3726851851851851E-3</v>
      </c>
      <c r="J493">
        <v>1</v>
      </c>
    </row>
    <row r="494" spans="1:10" x14ac:dyDescent="0.35">
      <c r="A494" t="s">
        <v>811</v>
      </c>
      <c r="B494" t="s">
        <v>296</v>
      </c>
      <c r="C494" t="s">
        <v>765</v>
      </c>
      <c r="D494" s="30">
        <v>0.59700231481481481</v>
      </c>
      <c r="E494" t="s">
        <v>317</v>
      </c>
      <c r="F494" t="s">
        <v>299</v>
      </c>
      <c r="G494" t="s">
        <v>299</v>
      </c>
      <c r="H494">
        <v>44</v>
      </c>
      <c r="I494" s="30">
        <v>2.0138888888888888E-3</v>
      </c>
      <c r="J494">
        <v>3</v>
      </c>
    </row>
    <row r="495" spans="1:10" x14ac:dyDescent="0.35">
      <c r="A495" t="s">
        <v>812</v>
      </c>
      <c r="B495" t="s">
        <v>319</v>
      </c>
      <c r="C495" t="s">
        <v>765</v>
      </c>
      <c r="D495" s="30">
        <v>0.59700231481481481</v>
      </c>
      <c r="E495" t="s">
        <v>314</v>
      </c>
      <c r="F495" t="s">
        <v>299</v>
      </c>
      <c r="G495" t="s">
        <v>299</v>
      </c>
      <c r="H495">
        <v>98</v>
      </c>
      <c r="I495" s="30">
        <v>1.1921296296296296E-3</v>
      </c>
      <c r="J495">
        <v>1</v>
      </c>
    </row>
    <row r="496" spans="1:10" x14ac:dyDescent="0.35">
      <c r="A496" t="s">
        <v>813</v>
      </c>
      <c r="B496" t="s">
        <v>323</v>
      </c>
      <c r="C496" t="s">
        <v>765</v>
      </c>
      <c r="D496" s="30">
        <v>0.61900462962962965</v>
      </c>
      <c r="E496" t="s">
        <v>309</v>
      </c>
      <c r="F496" t="s">
        <v>299</v>
      </c>
      <c r="G496" t="s">
        <v>299</v>
      </c>
      <c r="H496">
        <v>23</v>
      </c>
      <c r="I496" s="30">
        <v>2.3495370370370371E-3</v>
      </c>
      <c r="J496">
        <v>1</v>
      </c>
    </row>
    <row r="497" spans="1:10" x14ac:dyDescent="0.35">
      <c r="A497" t="s">
        <v>814</v>
      </c>
      <c r="B497" t="s">
        <v>305</v>
      </c>
      <c r="C497" t="s">
        <v>765</v>
      </c>
      <c r="D497" s="30">
        <v>0.61900462962962965</v>
      </c>
      <c r="E497" t="s">
        <v>314</v>
      </c>
      <c r="F497" t="s">
        <v>299</v>
      </c>
      <c r="G497" t="s">
        <v>299</v>
      </c>
      <c r="H497">
        <v>28</v>
      </c>
      <c r="I497" s="30">
        <v>4.3981481481481484E-3</v>
      </c>
      <c r="J497">
        <v>3</v>
      </c>
    </row>
    <row r="498" spans="1:10" x14ac:dyDescent="0.35">
      <c r="A498" t="s">
        <v>815</v>
      </c>
      <c r="B498" t="s">
        <v>319</v>
      </c>
      <c r="C498" t="s">
        <v>765</v>
      </c>
      <c r="D498" s="30">
        <v>0.65500000000000003</v>
      </c>
      <c r="E498" t="s">
        <v>302</v>
      </c>
      <c r="F498" t="s">
        <v>303</v>
      </c>
      <c r="G498" t="s">
        <v>303</v>
      </c>
    </row>
    <row r="499" spans="1:10" x14ac:dyDescent="0.35">
      <c r="A499" t="s">
        <v>816</v>
      </c>
      <c r="B499" t="s">
        <v>323</v>
      </c>
      <c r="C499" t="s">
        <v>765</v>
      </c>
      <c r="D499" s="30">
        <v>0.65500000000000003</v>
      </c>
      <c r="E499" t="s">
        <v>314</v>
      </c>
      <c r="F499" t="s">
        <v>299</v>
      </c>
      <c r="G499" t="s">
        <v>299</v>
      </c>
      <c r="H499">
        <v>43</v>
      </c>
      <c r="I499" s="30">
        <v>7.291666666666667E-4</v>
      </c>
      <c r="J499">
        <v>5</v>
      </c>
    </row>
    <row r="500" spans="1:10" x14ac:dyDescent="0.35">
      <c r="A500" t="s">
        <v>817</v>
      </c>
      <c r="B500" t="s">
        <v>305</v>
      </c>
      <c r="C500" t="s">
        <v>765</v>
      </c>
      <c r="D500" s="30">
        <v>0.70700231481481479</v>
      </c>
      <c r="E500" t="s">
        <v>317</v>
      </c>
      <c r="F500" t="s">
        <v>303</v>
      </c>
      <c r="G500" t="s">
        <v>303</v>
      </c>
    </row>
    <row r="501" spans="1:10" x14ac:dyDescent="0.35">
      <c r="A501" t="s">
        <v>818</v>
      </c>
      <c r="B501" t="s">
        <v>323</v>
      </c>
      <c r="C501" t="s">
        <v>765</v>
      </c>
      <c r="D501" s="30">
        <v>0.70700231481481479</v>
      </c>
      <c r="E501" t="s">
        <v>298</v>
      </c>
      <c r="F501" t="s">
        <v>303</v>
      </c>
      <c r="G501" t="s">
        <v>303</v>
      </c>
    </row>
    <row r="502" spans="1:10" x14ac:dyDescent="0.35">
      <c r="A502" t="s">
        <v>819</v>
      </c>
      <c r="B502" t="s">
        <v>296</v>
      </c>
      <c r="C502" t="s">
        <v>765</v>
      </c>
      <c r="D502" s="30">
        <v>0.7120023148148148</v>
      </c>
      <c r="E502" t="s">
        <v>309</v>
      </c>
      <c r="F502" t="s">
        <v>299</v>
      </c>
      <c r="G502" t="s">
        <v>299</v>
      </c>
      <c r="H502">
        <v>119</v>
      </c>
      <c r="I502" s="30">
        <v>5.7870370370370367E-4</v>
      </c>
      <c r="J502">
        <v>4</v>
      </c>
    </row>
    <row r="503" spans="1:10" x14ac:dyDescent="0.35">
      <c r="A503" t="s">
        <v>820</v>
      </c>
      <c r="B503" t="s">
        <v>332</v>
      </c>
      <c r="C503" t="s">
        <v>765</v>
      </c>
      <c r="D503" s="30">
        <v>0.7120023148148148</v>
      </c>
      <c r="E503" t="s">
        <v>309</v>
      </c>
      <c r="F503" t="s">
        <v>299</v>
      </c>
      <c r="G503" t="s">
        <v>299</v>
      </c>
      <c r="H503">
        <v>32</v>
      </c>
      <c r="I503" s="30">
        <v>2.0138888888888888E-3</v>
      </c>
      <c r="J503">
        <v>5</v>
      </c>
    </row>
    <row r="504" spans="1:10" x14ac:dyDescent="0.35">
      <c r="A504" t="s">
        <v>821</v>
      </c>
      <c r="B504" t="s">
        <v>307</v>
      </c>
      <c r="C504" t="s">
        <v>765</v>
      </c>
      <c r="D504" s="30">
        <v>0.72299768518518515</v>
      </c>
      <c r="E504" t="s">
        <v>317</v>
      </c>
      <c r="F504" t="s">
        <v>299</v>
      </c>
      <c r="G504" t="s">
        <v>303</v>
      </c>
      <c r="H504">
        <v>50</v>
      </c>
      <c r="I504" s="30">
        <v>2.9745370370370373E-3</v>
      </c>
      <c r="J504">
        <v>3</v>
      </c>
    </row>
    <row r="505" spans="1:10" x14ac:dyDescent="0.35">
      <c r="A505" t="s">
        <v>822</v>
      </c>
      <c r="B505" t="s">
        <v>316</v>
      </c>
      <c r="C505" t="s">
        <v>765</v>
      </c>
      <c r="D505" s="30">
        <v>0.72299768518518515</v>
      </c>
      <c r="E505" t="s">
        <v>314</v>
      </c>
      <c r="F505" t="s">
        <v>303</v>
      </c>
      <c r="G505" t="s">
        <v>303</v>
      </c>
    </row>
    <row r="506" spans="1:10" x14ac:dyDescent="0.35">
      <c r="A506" t="s">
        <v>823</v>
      </c>
      <c r="B506" t="s">
        <v>319</v>
      </c>
      <c r="C506" t="s">
        <v>765</v>
      </c>
      <c r="D506" s="30">
        <v>0.72400462962962964</v>
      </c>
      <c r="E506" t="s">
        <v>309</v>
      </c>
      <c r="F506" t="s">
        <v>299</v>
      </c>
      <c r="G506" t="s">
        <v>299</v>
      </c>
      <c r="H506">
        <v>35</v>
      </c>
      <c r="I506" s="30">
        <v>3.3101851851851851E-3</v>
      </c>
      <c r="J506">
        <v>4</v>
      </c>
    </row>
    <row r="507" spans="1:10" x14ac:dyDescent="0.35">
      <c r="A507" t="s">
        <v>824</v>
      </c>
      <c r="B507" t="s">
        <v>316</v>
      </c>
      <c r="C507" t="s">
        <v>765</v>
      </c>
      <c r="D507" s="30">
        <v>0.72400462962962964</v>
      </c>
      <c r="E507" t="s">
        <v>298</v>
      </c>
      <c r="F507" t="s">
        <v>299</v>
      </c>
      <c r="G507" t="s">
        <v>299</v>
      </c>
      <c r="H507">
        <v>27</v>
      </c>
      <c r="I507" s="30">
        <v>1.8865740740740742E-3</v>
      </c>
      <c r="J507">
        <v>3</v>
      </c>
    </row>
    <row r="508" spans="1:10" x14ac:dyDescent="0.35">
      <c r="A508" t="s">
        <v>825</v>
      </c>
      <c r="B508" t="s">
        <v>305</v>
      </c>
      <c r="C508" t="s">
        <v>765</v>
      </c>
      <c r="D508" s="30">
        <v>0.72499999999999998</v>
      </c>
      <c r="E508" t="s">
        <v>317</v>
      </c>
      <c r="F508" t="s">
        <v>299</v>
      </c>
      <c r="G508" t="s">
        <v>299</v>
      </c>
      <c r="H508">
        <v>121</v>
      </c>
      <c r="I508" s="30">
        <v>2.3148148148148147E-3</v>
      </c>
      <c r="J508">
        <v>4</v>
      </c>
    </row>
    <row r="509" spans="1:10" x14ac:dyDescent="0.35">
      <c r="A509" t="s">
        <v>826</v>
      </c>
      <c r="B509" t="s">
        <v>301</v>
      </c>
      <c r="C509" t="s">
        <v>765</v>
      </c>
      <c r="D509" s="30">
        <v>0.72499999999999998</v>
      </c>
      <c r="E509" t="s">
        <v>317</v>
      </c>
      <c r="F509" t="s">
        <v>299</v>
      </c>
      <c r="G509" t="s">
        <v>299</v>
      </c>
      <c r="H509">
        <v>42</v>
      </c>
      <c r="I509" s="30">
        <v>4.8379629629629632E-3</v>
      </c>
      <c r="J509">
        <v>2</v>
      </c>
    </row>
    <row r="510" spans="1:10" x14ac:dyDescent="0.35">
      <c r="A510" t="s">
        <v>827</v>
      </c>
      <c r="B510" t="s">
        <v>307</v>
      </c>
      <c r="C510" t="s">
        <v>765</v>
      </c>
      <c r="D510" s="30">
        <v>0.72799768518518515</v>
      </c>
      <c r="E510" t="s">
        <v>302</v>
      </c>
      <c r="F510" t="s">
        <v>303</v>
      </c>
      <c r="G510" t="s">
        <v>303</v>
      </c>
    </row>
    <row r="511" spans="1:10" x14ac:dyDescent="0.35">
      <c r="A511" t="s">
        <v>828</v>
      </c>
      <c r="B511" t="s">
        <v>332</v>
      </c>
      <c r="C511" t="s">
        <v>765</v>
      </c>
      <c r="D511" s="30">
        <v>0.72799768518518515</v>
      </c>
      <c r="E511" t="s">
        <v>302</v>
      </c>
      <c r="F511" t="s">
        <v>303</v>
      </c>
      <c r="G511" t="s">
        <v>303</v>
      </c>
    </row>
    <row r="512" spans="1:10" x14ac:dyDescent="0.35">
      <c r="A512" t="s">
        <v>829</v>
      </c>
      <c r="B512" t="s">
        <v>307</v>
      </c>
      <c r="C512" t="s">
        <v>765</v>
      </c>
      <c r="D512" s="30">
        <v>0.73099537037037032</v>
      </c>
      <c r="E512" t="s">
        <v>309</v>
      </c>
      <c r="F512" t="s">
        <v>299</v>
      </c>
      <c r="G512" t="s">
        <v>299</v>
      </c>
      <c r="H512">
        <v>107</v>
      </c>
      <c r="I512" s="30">
        <v>7.5231481481481482E-4</v>
      </c>
      <c r="J512">
        <v>5</v>
      </c>
    </row>
    <row r="513" spans="1:10" x14ac:dyDescent="0.35">
      <c r="A513" t="s">
        <v>830</v>
      </c>
      <c r="B513" t="s">
        <v>323</v>
      </c>
      <c r="C513" t="s">
        <v>765</v>
      </c>
      <c r="D513" s="30">
        <v>0.73099537037037032</v>
      </c>
      <c r="E513" t="s">
        <v>317</v>
      </c>
      <c r="F513" t="s">
        <v>299</v>
      </c>
      <c r="G513" t="s">
        <v>299</v>
      </c>
      <c r="H513">
        <v>116</v>
      </c>
      <c r="I513" s="30">
        <v>2.4421296296296296E-3</v>
      </c>
      <c r="J513">
        <v>4</v>
      </c>
    </row>
    <row r="514" spans="1:10" x14ac:dyDescent="0.35">
      <c r="A514" t="s">
        <v>831</v>
      </c>
      <c r="B514" t="s">
        <v>332</v>
      </c>
      <c r="C514" t="s">
        <v>765</v>
      </c>
      <c r="D514" s="30">
        <v>0.73799768518518516</v>
      </c>
      <c r="E514" t="s">
        <v>302</v>
      </c>
      <c r="F514" t="s">
        <v>299</v>
      </c>
      <c r="G514" t="s">
        <v>303</v>
      </c>
      <c r="H514">
        <v>60</v>
      </c>
      <c r="I514" s="30">
        <v>1.4583333333333334E-3</v>
      </c>
      <c r="J514">
        <v>3</v>
      </c>
    </row>
    <row r="515" spans="1:10" x14ac:dyDescent="0.35">
      <c r="A515" t="s">
        <v>832</v>
      </c>
      <c r="B515" t="s">
        <v>316</v>
      </c>
      <c r="C515" t="s">
        <v>765</v>
      </c>
      <c r="D515" s="30">
        <v>0.73799768518518516</v>
      </c>
      <c r="E515" t="s">
        <v>309</v>
      </c>
      <c r="F515" t="s">
        <v>299</v>
      </c>
      <c r="G515" t="s">
        <v>299</v>
      </c>
      <c r="H515">
        <v>116</v>
      </c>
      <c r="I515" s="30">
        <v>3.2175925925925926E-3</v>
      </c>
      <c r="J515">
        <v>4</v>
      </c>
    </row>
    <row r="516" spans="1:10" x14ac:dyDescent="0.35">
      <c r="A516" t="s">
        <v>833</v>
      </c>
      <c r="B516" t="s">
        <v>305</v>
      </c>
      <c r="C516" t="s">
        <v>834</v>
      </c>
      <c r="D516" s="30">
        <v>0.375</v>
      </c>
      <c r="E516" t="s">
        <v>309</v>
      </c>
      <c r="F516" t="s">
        <v>299</v>
      </c>
      <c r="G516" t="s">
        <v>299</v>
      </c>
      <c r="H516">
        <v>19</v>
      </c>
      <c r="I516" s="30">
        <v>4.2939814814814811E-3</v>
      </c>
      <c r="J516">
        <v>5</v>
      </c>
    </row>
    <row r="517" spans="1:10" x14ac:dyDescent="0.35">
      <c r="A517" t="s">
        <v>835</v>
      </c>
      <c r="B517" t="s">
        <v>323</v>
      </c>
      <c r="C517" t="s">
        <v>834</v>
      </c>
      <c r="D517" s="30">
        <v>0.375</v>
      </c>
      <c r="E517" t="s">
        <v>298</v>
      </c>
      <c r="F517" t="s">
        <v>299</v>
      </c>
      <c r="G517" t="s">
        <v>299</v>
      </c>
      <c r="H517">
        <v>75</v>
      </c>
      <c r="I517" s="30">
        <v>4.0509259259259257E-3</v>
      </c>
      <c r="J517">
        <v>3</v>
      </c>
    </row>
    <row r="518" spans="1:10" x14ac:dyDescent="0.35">
      <c r="A518" t="s">
        <v>836</v>
      </c>
      <c r="B518" t="s">
        <v>301</v>
      </c>
      <c r="C518" t="s">
        <v>834</v>
      </c>
      <c r="D518" s="30">
        <v>0.38099537037037035</v>
      </c>
      <c r="E518" t="s">
        <v>314</v>
      </c>
      <c r="F518" t="s">
        <v>299</v>
      </c>
      <c r="G518" t="s">
        <v>299</v>
      </c>
      <c r="H518">
        <v>23</v>
      </c>
      <c r="I518" s="30">
        <v>5.5555555555555556E-4</v>
      </c>
      <c r="J518">
        <v>3</v>
      </c>
    </row>
    <row r="519" spans="1:10" x14ac:dyDescent="0.35">
      <c r="A519" t="s">
        <v>837</v>
      </c>
      <c r="B519" t="s">
        <v>296</v>
      </c>
      <c r="C519" t="s">
        <v>834</v>
      </c>
      <c r="D519" s="30">
        <v>0.38099537037037035</v>
      </c>
      <c r="E519" t="s">
        <v>302</v>
      </c>
      <c r="F519" t="s">
        <v>299</v>
      </c>
      <c r="G519" t="s">
        <v>299</v>
      </c>
      <c r="H519">
        <v>69</v>
      </c>
      <c r="I519" s="30">
        <v>2.6967592592592594E-3</v>
      </c>
      <c r="J519">
        <v>3</v>
      </c>
    </row>
    <row r="520" spans="1:10" x14ac:dyDescent="0.35">
      <c r="A520" t="s">
        <v>838</v>
      </c>
      <c r="B520" t="s">
        <v>316</v>
      </c>
      <c r="C520" t="s">
        <v>834</v>
      </c>
      <c r="D520" s="30">
        <v>0.42099537037037038</v>
      </c>
      <c r="E520" t="s">
        <v>317</v>
      </c>
      <c r="F520" t="s">
        <v>299</v>
      </c>
      <c r="G520" t="s">
        <v>299</v>
      </c>
      <c r="H520">
        <v>64</v>
      </c>
      <c r="I520" s="30">
        <v>3.0439814814814813E-3</v>
      </c>
      <c r="J520">
        <v>5</v>
      </c>
    </row>
    <row r="521" spans="1:10" x14ac:dyDescent="0.35">
      <c r="A521" t="s">
        <v>839</v>
      </c>
      <c r="B521" t="s">
        <v>323</v>
      </c>
      <c r="C521" t="s">
        <v>834</v>
      </c>
      <c r="D521" s="30">
        <v>0.42099537037037038</v>
      </c>
      <c r="E521" t="s">
        <v>317</v>
      </c>
      <c r="F521" t="s">
        <v>299</v>
      </c>
      <c r="G521" t="s">
        <v>299</v>
      </c>
      <c r="H521">
        <v>117</v>
      </c>
      <c r="I521" s="30">
        <v>2.3495370370370371E-3</v>
      </c>
      <c r="J521">
        <v>3</v>
      </c>
    </row>
    <row r="522" spans="1:10" x14ac:dyDescent="0.35">
      <c r="A522" t="s">
        <v>840</v>
      </c>
      <c r="B522" t="s">
        <v>316</v>
      </c>
      <c r="C522" t="s">
        <v>834</v>
      </c>
      <c r="D522" s="30">
        <v>0.44099537037037034</v>
      </c>
      <c r="E522" t="s">
        <v>317</v>
      </c>
      <c r="F522" t="s">
        <v>299</v>
      </c>
      <c r="G522" t="s">
        <v>299</v>
      </c>
      <c r="H522">
        <v>12</v>
      </c>
      <c r="I522" s="30">
        <v>4.5601851851851853E-3</v>
      </c>
      <c r="J522">
        <v>4</v>
      </c>
    </row>
    <row r="523" spans="1:10" x14ac:dyDescent="0.35">
      <c r="A523" t="s">
        <v>841</v>
      </c>
      <c r="B523" t="s">
        <v>296</v>
      </c>
      <c r="C523" t="s">
        <v>834</v>
      </c>
      <c r="D523" s="30">
        <v>0.44099537037037034</v>
      </c>
      <c r="E523" t="s">
        <v>314</v>
      </c>
      <c r="F523" t="s">
        <v>299</v>
      </c>
      <c r="G523" t="s">
        <v>299</v>
      </c>
      <c r="H523">
        <v>102</v>
      </c>
      <c r="I523" s="30">
        <v>1.8287037037037037E-3</v>
      </c>
      <c r="J523">
        <v>4</v>
      </c>
    </row>
    <row r="524" spans="1:10" x14ac:dyDescent="0.35">
      <c r="A524" t="s">
        <v>842</v>
      </c>
      <c r="B524" t="s">
        <v>332</v>
      </c>
      <c r="C524" t="s">
        <v>834</v>
      </c>
      <c r="D524" s="30">
        <v>0.46599537037037037</v>
      </c>
      <c r="E524" t="s">
        <v>302</v>
      </c>
      <c r="F524" t="s">
        <v>299</v>
      </c>
      <c r="G524" t="s">
        <v>299</v>
      </c>
      <c r="H524">
        <v>46</v>
      </c>
      <c r="I524" s="30">
        <v>4.5370370370370373E-3</v>
      </c>
      <c r="J524">
        <v>4</v>
      </c>
    </row>
    <row r="525" spans="1:10" x14ac:dyDescent="0.35">
      <c r="A525" t="s">
        <v>843</v>
      </c>
      <c r="B525" t="s">
        <v>323</v>
      </c>
      <c r="C525" t="s">
        <v>834</v>
      </c>
      <c r="D525" s="30">
        <v>0.46599537037037037</v>
      </c>
      <c r="E525" t="s">
        <v>317</v>
      </c>
      <c r="F525" t="s">
        <v>299</v>
      </c>
      <c r="G525" t="s">
        <v>303</v>
      </c>
      <c r="H525">
        <v>47</v>
      </c>
      <c r="I525" s="30">
        <v>1.0069444444444444E-3</v>
      </c>
      <c r="J525">
        <v>4</v>
      </c>
    </row>
    <row r="526" spans="1:10" x14ac:dyDescent="0.35">
      <c r="A526" t="s">
        <v>844</v>
      </c>
      <c r="B526" t="s">
        <v>332</v>
      </c>
      <c r="C526" t="s">
        <v>834</v>
      </c>
      <c r="D526" s="30">
        <v>0.47099537037037037</v>
      </c>
      <c r="E526" t="s">
        <v>317</v>
      </c>
      <c r="F526" t="s">
        <v>299</v>
      </c>
      <c r="G526" t="s">
        <v>299</v>
      </c>
      <c r="H526">
        <v>98</v>
      </c>
      <c r="I526" s="30">
        <v>1.6550925925925926E-3</v>
      </c>
      <c r="J526">
        <v>4</v>
      </c>
    </row>
    <row r="527" spans="1:10" x14ac:dyDescent="0.35">
      <c r="A527" t="s">
        <v>845</v>
      </c>
      <c r="B527" t="s">
        <v>316</v>
      </c>
      <c r="C527" t="s">
        <v>834</v>
      </c>
      <c r="D527" s="30">
        <v>0.47099537037037037</v>
      </c>
      <c r="E527" t="s">
        <v>298</v>
      </c>
      <c r="F527" t="s">
        <v>299</v>
      </c>
      <c r="G527" t="s">
        <v>299</v>
      </c>
      <c r="H527">
        <v>84</v>
      </c>
      <c r="I527" s="30">
        <v>2.9745370370370373E-3</v>
      </c>
      <c r="J527">
        <v>4</v>
      </c>
    </row>
    <row r="528" spans="1:10" x14ac:dyDescent="0.35">
      <c r="A528" t="s">
        <v>846</v>
      </c>
      <c r="B528" t="s">
        <v>307</v>
      </c>
      <c r="C528" t="s">
        <v>834</v>
      </c>
      <c r="D528" s="30">
        <v>0.47900462962962964</v>
      </c>
      <c r="E528" t="s">
        <v>317</v>
      </c>
      <c r="F528" t="s">
        <v>299</v>
      </c>
      <c r="G528" t="s">
        <v>299</v>
      </c>
      <c r="H528">
        <v>12</v>
      </c>
      <c r="I528" s="30">
        <v>1.5393518518518519E-3</v>
      </c>
      <c r="J528">
        <v>3</v>
      </c>
    </row>
    <row r="529" spans="1:10" x14ac:dyDescent="0.35">
      <c r="A529" t="s">
        <v>847</v>
      </c>
      <c r="B529" t="s">
        <v>307</v>
      </c>
      <c r="C529" t="s">
        <v>834</v>
      </c>
      <c r="D529" s="30">
        <v>0.47900462962962964</v>
      </c>
      <c r="E529" t="s">
        <v>309</v>
      </c>
      <c r="F529" t="s">
        <v>299</v>
      </c>
      <c r="G529" t="s">
        <v>299</v>
      </c>
      <c r="H529">
        <v>88</v>
      </c>
      <c r="I529" s="30">
        <v>2.3842592592592591E-3</v>
      </c>
      <c r="J529">
        <v>4</v>
      </c>
    </row>
    <row r="530" spans="1:10" x14ac:dyDescent="0.35">
      <c r="A530" t="s">
        <v>848</v>
      </c>
      <c r="B530" t="s">
        <v>305</v>
      </c>
      <c r="C530" t="s">
        <v>834</v>
      </c>
      <c r="D530" s="30">
        <v>0.48</v>
      </c>
      <c r="E530" t="s">
        <v>298</v>
      </c>
      <c r="F530" t="s">
        <v>299</v>
      </c>
      <c r="G530" t="s">
        <v>299</v>
      </c>
      <c r="H530">
        <v>97</v>
      </c>
      <c r="I530" s="30">
        <v>4.0856481481481481E-3</v>
      </c>
      <c r="J530">
        <v>1</v>
      </c>
    </row>
    <row r="531" spans="1:10" x14ac:dyDescent="0.35">
      <c r="A531" t="s">
        <v>849</v>
      </c>
      <c r="B531" t="s">
        <v>319</v>
      </c>
      <c r="C531" t="s">
        <v>834</v>
      </c>
      <c r="D531" s="30">
        <v>0.48</v>
      </c>
      <c r="E531" t="s">
        <v>314</v>
      </c>
      <c r="F531" t="s">
        <v>299</v>
      </c>
      <c r="G531" t="s">
        <v>299</v>
      </c>
      <c r="H531">
        <v>51</v>
      </c>
      <c r="I531" s="30">
        <v>4.1203703703703706E-3</v>
      </c>
      <c r="J531">
        <v>3</v>
      </c>
    </row>
    <row r="532" spans="1:10" x14ac:dyDescent="0.35">
      <c r="A532" t="s">
        <v>850</v>
      </c>
      <c r="B532" t="s">
        <v>301</v>
      </c>
      <c r="C532" t="s">
        <v>834</v>
      </c>
      <c r="D532" s="30">
        <v>0.49099537037037039</v>
      </c>
      <c r="E532" t="s">
        <v>314</v>
      </c>
      <c r="F532" t="s">
        <v>303</v>
      </c>
      <c r="G532" t="s">
        <v>303</v>
      </c>
    </row>
    <row r="533" spans="1:10" x14ac:dyDescent="0.35">
      <c r="A533" t="s">
        <v>851</v>
      </c>
      <c r="B533" t="s">
        <v>332</v>
      </c>
      <c r="C533" t="s">
        <v>834</v>
      </c>
      <c r="D533" s="30">
        <v>0.49099537037037039</v>
      </c>
      <c r="E533" t="s">
        <v>317</v>
      </c>
      <c r="F533" t="s">
        <v>299</v>
      </c>
      <c r="G533" t="s">
        <v>299</v>
      </c>
      <c r="H533">
        <v>106</v>
      </c>
      <c r="I533" s="30">
        <v>1.8171296296296297E-3</v>
      </c>
      <c r="J533">
        <v>4</v>
      </c>
    </row>
    <row r="534" spans="1:10" x14ac:dyDescent="0.35">
      <c r="A534" t="s">
        <v>852</v>
      </c>
      <c r="B534" t="s">
        <v>296</v>
      </c>
      <c r="C534" t="s">
        <v>834</v>
      </c>
      <c r="D534" s="30">
        <v>0.51900462962962968</v>
      </c>
      <c r="E534" t="s">
        <v>314</v>
      </c>
      <c r="F534" t="s">
        <v>299</v>
      </c>
      <c r="G534" t="s">
        <v>299</v>
      </c>
      <c r="H534">
        <v>34</v>
      </c>
      <c r="I534" s="30">
        <v>2.685185185185185E-3</v>
      </c>
      <c r="J534">
        <v>4</v>
      </c>
    </row>
    <row r="535" spans="1:10" x14ac:dyDescent="0.35">
      <c r="A535" t="s">
        <v>853</v>
      </c>
      <c r="B535" t="s">
        <v>305</v>
      </c>
      <c r="C535" t="s">
        <v>834</v>
      </c>
      <c r="D535" s="30">
        <v>0.51900462962962968</v>
      </c>
      <c r="E535" t="s">
        <v>317</v>
      </c>
      <c r="F535" t="s">
        <v>303</v>
      </c>
      <c r="G535" t="s">
        <v>303</v>
      </c>
    </row>
    <row r="536" spans="1:10" x14ac:dyDescent="0.35">
      <c r="A536" t="s">
        <v>854</v>
      </c>
      <c r="B536" t="s">
        <v>332</v>
      </c>
      <c r="C536" t="s">
        <v>834</v>
      </c>
      <c r="D536" s="30">
        <v>0.52299768518518519</v>
      </c>
      <c r="E536" t="s">
        <v>302</v>
      </c>
      <c r="F536" t="s">
        <v>299</v>
      </c>
      <c r="G536" t="s">
        <v>299</v>
      </c>
      <c r="H536">
        <v>51</v>
      </c>
      <c r="I536" s="30">
        <v>3.8541666666666668E-3</v>
      </c>
      <c r="J536">
        <v>3</v>
      </c>
    </row>
    <row r="537" spans="1:10" x14ac:dyDescent="0.35">
      <c r="A537" t="s">
        <v>855</v>
      </c>
      <c r="B537" t="s">
        <v>307</v>
      </c>
      <c r="C537" t="s">
        <v>834</v>
      </c>
      <c r="D537" s="30">
        <v>0.52299768518518519</v>
      </c>
      <c r="E537" t="s">
        <v>302</v>
      </c>
      <c r="F537" t="s">
        <v>299</v>
      </c>
      <c r="G537" t="s">
        <v>299</v>
      </c>
      <c r="H537">
        <v>74</v>
      </c>
      <c r="I537" s="30">
        <v>3.4027777777777776E-3</v>
      </c>
      <c r="J537">
        <v>4</v>
      </c>
    </row>
    <row r="538" spans="1:10" x14ac:dyDescent="0.35">
      <c r="A538" t="s">
        <v>856</v>
      </c>
      <c r="B538" t="s">
        <v>307</v>
      </c>
      <c r="C538" t="s">
        <v>834</v>
      </c>
      <c r="D538" s="30">
        <v>0.53900462962962958</v>
      </c>
      <c r="E538" t="s">
        <v>298</v>
      </c>
      <c r="F538" t="s">
        <v>299</v>
      </c>
      <c r="G538" t="s">
        <v>299</v>
      </c>
      <c r="H538">
        <v>29</v>
      </c>
      <c r="I538" s="30">
        <v>8.7962962962962962E-4</v>
      </c>
      <c r="J538">
        <v>3</v>
      </c>
    </row>
    <row r="539" spans="1:10" x14ac:dyDescent="0.35">
      <c r="A539" t="s">
        <v>857</v>
      </c>
      <c r="B539" t="s">
        <v>323</v>
      </c>
      <c r="C539" t="s">
        <v>834</v>
      </c>
      <c r="D539" s="30">
        <v>0.53900462962962958</v>
      </c>
      <c r="E539" t="s">
        <v>314</v>
      </c>
      <c r="F539" t="s">
        <v>299</v>
      </c>
      <c r="G539" t="s">
        <v>299</v>
      </c>
      <c r="H539">
        <v>123</v>
      </c>
      <c r="I539" s="30">
        <v>4.340277777777778E-3</v>
      </c>
      <c r="J539">
        <v>3</v>
      </c>
    </row>
    <row r="540" spans="1:10" x14ac:dyDescent="0.35">
      <c r="A540" t="s">
        <v>858</v>
      </c>
      <c r="B540" t="s">
        <v>301</v>
      </c>
      <c r="C540" t="s">
        <v>834</v>
      </c>
      <c r="D540" s="30">
        <v>0.55099537037037039</v>
      </c>
      <c r="E540" t="s">
        <v>298</v>
      </c>
      <c r="F540" t="s">
        <v>299</v>
      </c>
      <c r="G540" t="s">
        <v>299</v>
      </c>
      <c r="H540">
        <v>100</v>
      </c>
      <c r="I540" s="30">
        <v>4.7453703703703698E-4</v>
      </c>
      <c r="J540">
        <v>4</v>
      </c>
    </row>
    <row r="541" spans="1:10" x14ac:dyDescent="0.35">
      <c r="A541" t="s">
        <v>859</v>
      </c>
      <c r="B541" t="s">
        <v>332</v>
      </c>
      <c r="C541" t="s">
        <v>834</v>
      </c>
      <c r="D541" s="30">
        <v>0.55099537037037039</v>
      </c>
      <c r="E541" t="s">
        <v>317</v>
      </c>
      <c r="F541" t="s">
        <v>299</v>
      </c>
      <c r="G541" t="s">
        <v>299</v>
      </c>
      <c r="H541">
        <v>43</v>
      </c>
      <c r="I541" s="30">
        <v>4.7800925925925927E-3</v>
      </c>
      <c r="J541">
        <v>3</v>
      </c>
    </row>
    <row r="542" spans="1:10" x14ac:dyDescent="0.35">
      <c r="A542" t="s">
        <v>860</v>
      </c>
      <c r="B542" t="s">
        <v>301</v>
      </c>
      <c r="C542" t="s">
        <v>834</v>
      </c>
      <c r="D542" s="30">
        <v>0.57499999999999996</v>
      </c>
      <c r="E542" t="s">
        <v>302</v>
      </c>
      <c r="F542" t="s">
        <v>299</v>
      </c>
      <c r="G542" t="s">
        <v>299</v>
      </c>
      <c r="H542">
        <v>24</v>
      </c>
      <c r="I542" s="30">
        <v>3.1134259259259257E-3</v>
      </c>
      <c r="J542">
        <v>4</v>
      </c>
    </row>
    <row r="543" spans="1:10" x14ac:dyDescent="0.35">
      <c r="A543" t="s">
        <v>861</v>
      </c>
      <c r="B543" t="s">
        <v>316</v>
      </c>
      <c r="C543" t="s">
        <v>834</v>
      </c>
      <c r="D543" s="30">
        <v>0.57499999999999996</v>
      </c>
      <c r="E543" t="s">
        <v>317</v>
      </c>
      <c r="F543" t="s">
        <v>299</v>
      </c>
      <c r="G543" t="s">
        <v>299</v>
      </c>
      <c r="H543">
        <v>78</v>
      </c>
      <c r="I543" s="30">
        <v>4.3287037037037035E-3</v>
      </c>
      <c r="J543">
        <v>4</v>
      </c>
    </row>
    <row r="544" spans="1:10" x14ac:dyDescent="0.35">
      <c r="A544" t="s">
        <v>862</v>
      </c>
      <c r="B544" t="s">
        <v>319</v>
      </c>
      <c r="C544" t="s">
        <v>834</v>
      </c>
      <c r="D544" s="30">
        <v>0.57799768518518524</v>
      </c>
      <c r="E544" t="s">
        <v>309</v>
      </c>
      <c r="F544" t="s">
        <v>299</v>
      </c>
      <c r="G544" t="s">
        <v>299</v>
      </c>
      <c r="H544">
        <v>28</v>
      </c>
      <c r="I544" s="30">
        <v>4.2476851851851851E-3</v>
      </c>
      <c r="J544">
        <v>5</v>
      </c>
    </row>
    <row r="545" spans="1:10" x14ac:dyDescent="0.35">
      <c r="A545" t="s">
        <v>863</v>
      </c>
      <c r="B545" t="s">
        <v>319</v>
      </c>
      <c r="C545" t="s">
        <v>834</v>
      </c>
      <c r="D545" s="30">
        <v>0.57799768518518524</v>
      </c>
      <c r="E545" t="s">
        <v>314</v>
      </c>
      <c r="F545" t="s">
        <v>299</v>
      </c>
      <c r="G545" t="s">
        <v>299</v>
      </c>
      <c r="H545">
        <v>36</v>
      </c>
      <c r="I545" s="30">
        <v>1.0185185185185184E-3</v>
      </c>
      <c r="J545">
        <v>3</v>
      </c>
    </row>
    <row r="546" spans="1:10" x14ac:dyDescent="0.35">
      <c r="A546" t="s">
        <v>864</v>
      </c>
      <c r="B546" t="s">
        <v>319</v>
      </c>
      <c r="C546" t="s">
        <v>834</v>
      </c>
      <c r="D546" s="30">
        <v>0.59</v>
      </c>
      <c r="E546" t="s">
        <v>309</v>
      </c>
      <c r="F546" t="s">
        <v>303</v>
      </c>
      <c r="G546" t="s">
        <v>303</v>
      </c>
    </row>
    <row r="547" spans="1:10" x14ac:dyDescent="0.35">
      <c r="A547" t="s">
        <v>865</v>
      </c>
      <c r="B547" t="s">
        <v>316</v>
      </c>
      <c r="C547" t="s">
        <v>834</v>
      </c>
      <c r="D547" s="30">
        <v>0.59</v>
      </c>
      <c r="E547" t="s">
        <v>309</v>
      </c>
      <c r="F547" t="s">
        <v>299</v>
      </c>
      <c r="G547" t="s">
        <v>299</v>
      </c>
      <c r="H547">
        <v>10</v>
      </c>
      <c r="I547" s="30">
        <v>3.1481481481481482E-3</v>
      </c>
      <c r="J547">
        <v>2</v>
      </c>
    </row>
    <row r="548" spans="1:10" x14ac:dyDescent="0.35">
      <c r="A548" t="s">
        <v>866</v>
      </c>
      <c r="B548" t="s">
        <v>332</v>
      </c>
      <c r="C548" t="s">
        <v>834</v>
      </c>
      <c r="D548" s="30">
        <v>0.59499999999999997</v>
      </c>
      <c r="E548" t="s">
        <v>317</v>
      </c>
      <c r="F548" t="s">
        <v>299</v>
      </c>
      <c r="G548" t="s">
        <v>299</v>
      </c>
      <c r="H548">
        <v>43</v>
      </c>
      <c r="I548" s="30">
        <v>4.6527777777777774E-3</v>
      </c>
      <c r="J548">
        <v>3</v>
      </c>
    </row>
    <row r="549" spans="1:10" x14ac:dyDescent="0.35">
      <c r="A549" t="s">
        <v>867</v>
      </c>
      <c r="B549" t="s">
        <v>305</v>
      </c>
      <c r="C549" t="s">
        <v>834</v>
      </c>
      <c r="D549" s="30">
        <v>0.59499999999999997</v>
      </c>
      <c r="E549" t="s">
        <v>302</v>
      </c>
      <c r="F549" t="s">
        <v>299</v>
      </c>
      <c r="G549" t="s">
        <v>299</v>
      </c>
      <c r="H549">
        <v>19</v>
      </c>
      <c r="I549" s="30">
        <v>4.3981481481481481E-4</v>
      </c>
      <c r="J549">
        <v>3</v>
      </c>
    </row>
    <row r="550" spans="1:10" x14ac:dyDescent="0.35">
      <c r="A550" t="s">
        <v>868</v>
      </c>
      <c r="B550" t="s">
        <v>296</v>
      </c>
      <c r="C550" t="s">
        <v>834</v>
      </c>
      <c r="D550" s="30">
        <v>0.60099537037037032</v>
      </c>
      <c r="E550" t="s">
        <v>314</v>
      </c>
      <c r="F550" t="s">
        <v>299</v>
      </c>
      <c r="G550" t="s">
        <v>299</v>
      </c>
      <c r="H550">
        <v>74</v>
      </c>
      <c r="I550" s="30">
        <v>4.5601851851851853E-3</v>
      </c>
      <c r="J550">
        <v>3</v>
      </c>
    </row>
    <row r="551" spans="1:10" x14ac:dyDescent="0.35">
      <c r="A551" t="s">
        <v>869</v>
      </c>
      <c r="B551" t="s">
        <v>316</v>
      </c>
      <c r="C551" t="s">
        <v>834</v>
      </c>
      <c r="D551" s="30">
        <v>0.60099537037037032</v>
      </c>
      <c r="E551" t="s">
        <v>317</v>
      </c>
      <c r="F551" t="s">
        <v>299</v>
      </c>
      <c r="G551" t="s">
        <v>299</v>
      </c>
      <c r="H551">
        <v>71</v>
      </c>
      <c r="I551" s="30">
        <v>2.8356481481481483E-3</v>
      </c>
      <c r="J551">
        <v>1</v>
      </c>
    </row>
    <row r="552" spans="1:10" x14ac:dyDescent="0.35">
      <c r="A552" t="s">
        <v>870</v>
      </c>
      <c r="B552" t="s">
        <v>319</v>
      </c>
      <c r="C552" t="s">
        <v>834</v>
      </c>
      <c r="D552" s="30">
        <v>0.60599537037037032</v>
      </c>
      <c r="E552" t="s">
        <v>314</v>
      </c>
      <c r="F552" t="s">
        <v>299</v>
      </c>
      <c r="G552" t="s">
        <v>299</v>
      </c>
      <c r="H552">
        <v>117</v>
      </c>
      <c r="I552" s="30">
        <v>4.3518518518518515E-3</v>
      </c>
      <c r="J552">
        <v>5</v>
      </c>
    </row>
    <row r="553" spans="1:10" x14ac:dyDescent="0.35">
      <c r="A553" t="s">
        <v>871</v>
      </c>
      <c r="B553" t="s">
        <v>319</v>
      </c>
      <c r="C553" t="s">
        <v>834</v>
      </c>
      <c r="D553" s="30">
        <v>0.60599537037037032</v>
      </c>
      <c r="E553" t="s">
        <v>298</v>
      </c>
      <c r="F553" t="s">
        <v>299</v>
      </c>
      <c r="G553" t="s">
        <v>299</v>
      </c>
      <c r="H553">
        <v>61</v>
      </c>
      <c r="I553" s="30">
        <v>3.4837962962962965E-3</v>
      </c>
      <c r="J553">
        <v>3</v>
      </c>
    </row>
    <row r="554" spans="1:10" x14ac:dyDescent="0.35">
      <c r="A554" t="s">
        <v>872</v>
      </c>
      <c r="B554" t="s">
        <v>319</v>
      </c>
      <c r="C554" t="s">
        <v>834</v>
      </c>
      <c r="D554" s="30">
        <v>0.62400462962962966</v>
      </c>
      <c r="E554" t="s">
        <v>298</v>
      </c>
      <c r="F554" t="s">
        <v>299</v>
      </c>
      <c r="G554" t="s">
        <v>299</v>
      </c>
      <c r="H554">
        <v>118</v>
      </c>
      <c r="I554" s="30">
        <v>2.3148148148148147E-3</v>
      </c>
      <c r="J554">
        <v>3</v>
      </c>
    </row>
    <row r="555" spans="1:10" x14ac:dyDescent="0.35">
      <c r="A555" t="s">
        <v>873</v>
      </c>
      <c r="B555" t="s">
        <v>323</v>
      </c>
      <c r="C555" t="s">
        <v>834</v>
      </c>
      <c r="D555" s="30">
        <v>0.62400462962962966</v>
      </c>
      <c r="E555" t="s">
        <v>314</v>
      </c>
      <c r="F555" t="s">
        <v>299</v>
      </c>
      <c r="G555" t="s">
        <v>299</v>
      </c>
      <c r="H555">
        <v>87</v>
      </c>
      <c r="I555" s="30">
        <v>2.9861111111111113E-3</v>
      </c>
      <c r="J555">
        <v>4</v>
      </c>
    </row>
    <row r="556" spans="1:10" x14ac:dyDescent="0.35">
      <c r="A556" t="s">
        <v>874</v>
      </c>
      <c r="B556" t="s">
        <v>296</v>
      </c>
      <c r="C556" t="s">
        <v>834</v>
      </c>
      <c r="D556" s="30">
        <v>0.66400462962962958</v>
      </c>
      <c r="E556" t="s">
        <v>309</v>
      </c>
      <c r="F556" t="s">
        <v>299</v>
      </c>
      <c r="G556" t="s">
        <v>299</v>
      </c>
      <c r="H556">
        <v>48</v>
      </c>
      <c r="I556" s="30">
        <v>7.6388888888888893E-4</v>
      </c>
      <c r="J556">
        <v>4</v>
      </c>
    </row>
    <row r="557" spans="1:10" x14ac:dyDescent="0.35">
      <c r="A557" t="s">
        <v>875</v>
      </c>
      <c r="B557" t="s">
        <v>319</v>
      </c>
      <c r="C557" t="s">
        <v>834</v>
      </c>
      <c r="D557" s="30">
        <v>0.66400462962962958</v>
      </c>
      <c r="E557" t="s">
        <v>298</v>
      </c>
      <c r="F557" t="s">
        <v>299</v>
      </c>
      <c r="G557" t="s">
        <v>299</v>
      </c>
      <c r="H557">
        <v>112</v>
      </c>
      <c r="I557" s="30">
        <v>1.5509259259259259E-3</v>
      </c>
      <c r="J557">
        <v>1</v>
      </c>
    </row>
    <row r="558" spans="1:10" x14ac:dyDescent="0.35">
      <c r="A558" t="s">
        <v>876</v>
      </c>
      <c r="B558" t="s">
        <v>305</v>
      </c>
      <c r="C558" t="s">
        <v>834</v>
      </c>
      <c r="D558" s="30">
        <v>0.66700231481481487</v>
      </c>
      <c r="E558" t="s">
        <v>298</v>
      </c>
      <c r="F558" t="s">
        <v>299</v>
      </c>
      <c r="G558" t="s">
        <v>299</v>
      </c>
      <c r="H558">
        <v>99</v>
      </c>
      <c r="I558" s="30">
        <v>1.8981481481481482E-3</v>
      </c>
      <c r="J558">
        <v>5</v>
      </c>
    </row>
    <row r="559" spans="1:10" x14ac:dyDescent="0.35">
      <c r="A559" t="s">
        <v>877</v>
      </c>
      <c r="B559" t="s">
        <v>301</v>
      </c>
      <c r="C559" t="s">
        <v>834</v>
      </c>
      <c r="D559" s="30">
        <v>0.66700231481481487</v>
      </c>
      <c r="E559" t="s">
        <v>302</v>
      </c>
      <c r="F559" t="s">
        <v>299</v>
      </c>
      <c r="G559" t="s">
        <v>299</v>
      </c>
      <c r="H559">
        <v>103</v>
      </c>
      <c r="I559" s="30">
        <v>2.0370370370370369E-3</v>
      </c>
      <c r="J559">
        <v>4</v>
      </c>
    </row>
    <row r="560" spans="1:10" x14ac:dyDescent="0.35">
      <c r="A560" t="s">
        <v>878</v>
      </c>
      <c r="B560" t="s">
        <v>319</v>
      </c>
      <c r="C560" t="s">
        <v>834</v>
      </c>
      <c r="D560" s="30">
        <v>0.69299768518518523</v>
      </c>
      <c r="E560" t="s">
        <v>309</v>
      </c>
      <c r="F560" t="s">
        <v>299</v>
      </c>
      <c r="G560" t="s">
        <v>299</v>
      </c>
      <c r="H560">
        <v>102</v>
      </c>
      <c r="I560" s="30">
        <v>4.3981481481481481E-4</v>
      </c>
      <c r="J560">
        <v>5</v>
      </c>
    </row>
    <row r="561" spans="1:10" x14ac:dyDescent="0.35">
      <c r="A561" t="s">
        <v>879</v>
      </c>
      <c r="B561" t="s">
        <v>319</v>
      </c>
      <c r="C561" t="s">
        <v>834</v>
      </c>
      <c r="D561" s="30">
        <v>0.69299768518518523</v>
      </c>
      <c r="E561" t="s">
        <v>309</v>
      </c>
      <c r="F561" t="s">
        <v>299</v>
      </c>
      <c r="G561" t="s">
        <v>299</v>
      </c>
      <c r="H561">
        <v>74</v>
      </c>
      <c r="I561" s="30">
        <v>4.8148148148148152E-3</v>
      </c>
      <c r="J561">
        <v>5</v>
      </c>
    </row>
    <row r="562" spans="1:10" x14ac:dyDescent="0.35">
      <c r="A562" t="s">
        <v>880</v>
      </c>
      <c r="B562" t="s">
        <v>307</v>
      </c>
      <c r="C562" t="s">
        <v>834</v>
      </c>
      <c r="D562" s="30">
        <v>0.69299768518518523</v>
      </c>
      <c r="E562" t="s">
        <v>309</v>
      </c>
      <c r="F562" t="s">
        <v>299</v>
      </c>
      <c r="G562" t="s">
        <v>299</v>
      </c>
      <c r="H562">
        <v>28</v>
      </c>
      <c r="I562" s="30">
        <v>1.0300925925925926E-3</v>
      </c>
      <c r="J562">
        <v>1</v>
      </c>
    </row>
    <row r="563" spans="1:10" x14ac:dyDescent="0.35">
      <c r="A563" t="s">
        <v>881</v>
      </c>
      <c r="B563" t="s">
        <v>319</v>
      </c>
      <c r="C563" t="s">
        <v>834</v>
      </c>
      <c r="D563" s="30">
        <v>0.69299768518518523</v>
      </c>
      <c r="E563" t="s">
        <v>298</v>
      </c>
      <c r="F563" t="s">
        <v>299</v>
      </c>
      <c r="G563" t="s">
        <v>299</v>
      </c>
      <c r="H563">
        <v>64</v>
      </c>
      <c r="I563" s="30">
        <v>1.7708333333333332E-3</v>
      </c>
      <c r="J563">
        <v>4</v>
      </c>
    </row>
    <row r="564" spans="1:10" x14ac:dyDescent="0.35">
      <c r="A564" t="s">
        <v>882</v>
      </c>
      <c r="B564" t="s">
        <v>296</v>
      </c>
      <c r="C564" t="s">
        <v>834</v>
      </c>
      <c r="D564" s="30">
        <v>0.6959953703703704</v>
      </c>
      <c r="E564" t="s">
        <v>298</v>
      </c>
      <c r="F564" t="s">
        <v>303</v>
      </c>
      <c r="G564" t="s">
        <v>303</v>
      </c>
    </row>
    <row r="565" spans="1:10" x14ac:dyDescent="0.35">
      <c r="A565" t="s">
        <v>883</v>
      </c>
      <c r="B565" t="s">
        <v>301</v>
      </c>
      <c r="C565" t="s">
        <v>834</v>
      </c>
      <c r="D565" s="30">
        <v>0.6959953703703704</v>
      </c>
      <c r="E565" t="s">
        <v>309</v>
      </c>
      <c r="F565" t="s">
        <v>299</v>
      </c>
      <c r="G565" t="s">
        <v>299</v>
      </c>
      <c r="H565">
        <v>81</v>
      </c>
      <c r="I565" s="30">
        <v>4.5833333333333334E-3</v>
      </c>
      <c r="J565">
        <v>4</v>
      </c>
    </row>
    <row r="566" spans="1:10" x14ac:dyDescent="0.35">
      <c r="A566" t="s">
        <v>884</v>
      </c>
      <c r="B566" t="s">
        <v>301</v>
      </c>
      <c r="C566" t="s">
        <v>834</v>
      </c>
      <c r="D566" s="30">
        <v>0.70700231481481479</v>
      </c>
      <c r="E566" t="s">
        <v>317</v>
      </c>
      <c r="F566" t="s">
        <v>299</v>
      </c>
      <c r="G566" t="s">
        <v>299</v>
      </c>
      <c r="H566">
        <v>121</v>
      </c>
      <c r="I566" s="30">
        <v>7.407407407407407E-4</v>
      </c>
      <c r="J566">
        <v>3</v>
      </c>
    </row>
    <row r="567" spans="1:10" x14ac:dyDescent="0.35">
      <c r="A567" t="s">
        <v>885</v>
      </c>
      <c r="B567" t="s">
        <v>319</v>
      </c>
      <c r="C567" t="s">
        <v>834</v>
      </c>
      <c r="D567" s="30">
        <v>0.70700231481481479</v>
      </c>
      <c r="E567" t="s">
        <v>302</v>
      </c>
      <c r="F567" t="s">
        <v>299</v>
      </c>
      <c r="G567" t="s">
        <v>299</v>
      </c>
      <c r="H567">
        <v>117</v>
      </c>
      <c r="I567" s="30">
        <v>1.9791666666666668E-3</v>
      </c>
      <c r="J567">
        <v>4</v>
      </c>
    </row>
    <row r="568" spans="1:10" x14ac:dyDescent="0.35">
      <c r="A568" t="s">
        <v>886</v>
      </c>
      <c r="B568" t="s">
        <v>296</v>
      </c>
      <c r="C568" t="s">
        <v>834</v>
      </c>
      <c r="D568" s="30">
        <v>0.72499999999999998</v>
      </c>
      <c r="E568" t="s">
        <v>309</v>
      </c>
      <c r="F568" t="s">
        <v>299</v>
      </c>
      <c r="G568" t="s">
        <v>299</v>
      </c>
      <c r="H568">
        <v>55</v>
      </c>
      <c r="I568" s="30">
        <v>2.9398148148148148E-3</v>
      </c>
      <c r="J568">
        <v>4</v>
      </c>
    </row>
    <row r="569" spans="1:10" x14ac:dyDescent="0.35">
      <c r="A569" t="s">
        <v>887</v>
      </c>
      <c r="B569" t="s">
        <v>305</v>
      </c>
      <c r="C569" t="s">
        <v>834</v>
      </c>
      <c r="D569" s="30">
        <v>0.72499999999999998</v>
      </c>
      <c r="E569" t="s">
        <v>302</v>
      </c>
      <c r="F569" t="s">
        <v>303</v>
      </c>
      <c r="G569" t="s">
        <v>303</v>
      </c>
    </row>
    <row r="570" spans="1:10" x14ac:dyDescent="0.35">
      <c r="A570" t="s">
        <v>888</v>
      </c>
      <c r="B570" t="s">
        <v>301</v>
      </c>
      <c r="C570" t="s">
        <v>834</v>
      </c>
      <c r="D570" s="30">
        <v>0.72599537037037032</v>
      </c>
      <c r="E570" t="s">
        <v>317</v>
      </c>
      <c r="F570" t="s">
        <v>299</v>
      </c>
      <c r="G570" t="s">
        <v>299</v>
      </c>
      <c r="H570">
        <v>79</v>
      </c>
      <c r="I570" s="30">
        <v>1.736111111111111E-3</v>
      </c>
      <c r="J570">
        <v>3</v>
      </c>
    </row>
    <row r="571" spans="1:10" x14ac:dyDescent="0.35">
      <c r="A571" t="s">
        <v>889</v>
      </c>
      <c r="B571" t="s">
        <v>323</v>
      </c>
      <c r="C571" t="s">
        <v>834</v>
      </c>
      <c r="D571" s="30">
        <v>0.72599537037037032</v>
      </c>
      <c r="E571" t="s">
        <v>302</v>
      </c>
      <c r="F571" t="s">
        <v>299</v>
      </c>
      <c r="G571" t="s">
        <v>299</v>
      </c>
      <c r="H571">
        <v>120</v>
      </c>
      <c r="I571" s="30">
        <v>1.4930555555555556E-3</v>
      </c>
      <c r="J571">
        <v>1</v>
      </c>
    </row>
    <row r="572" spans="1:10" x14ac:dyDescent="0.35">
      <c r="A572" t="s">
        <v>890</v>
      </c>
      <c r="B572" t="s">
        <v>305</v>
      </c>
      <c r="C572" t="s">
        <v>834</v>
      </c>
      <c r="D572" s="30">
        <v>0.73</v>
      </c>
      <c r="E572" t="s">
        <v>298</v>
      </c>
      <c r="F572" t="s">
        <v>299</v>
      </c>
      <c r="G572" t="s">
        <v>299</v>
      </c>
      <c r="H572">
        <v>50</v>
      </c>
      <c r="I572" s="30">
        <v>1.8634259259259259E-3</v>
      </c>
      <c r="J572">
        <v>2</v>
      </c>
    </row>
    <row r="573" spans="1:10" x14ac:dyDescent="0.35">
      <c r="A573" t="s">
        <v>891</v>
      </c>
      <c r="B573" t="s">
        <v>323</v>
      </c>
      <c r="C573" t="s">
        <v>834</v>
      </c>
      <c r="D573" s="30">
        <v>0.73</v>
      </c>
      <c r="E573" t="s">
        <v>314</v>
      </c>
      <c r="F573" t="s">
        <v>299</v>
      </c>
      <c r="G573" t="s">
        <v>303</v>
      </c>
      <c r="H573">
        <v>15</v>
      </c>
      <c r="I573" s="30">
        <v>2.1180555555555558E-3</v>
      </c>
      <c r="J573">
        <v>1</v>
      </c>
    </row>
    <row r="574" spans="1:10" x14ac:dyDescent="0.35">
      <c r="A574" t="s">
        <v>892</v>
      </c>
      <c r="B574" t="s">
        <v>332</v>
      </c>
      <c r="C574" t="s">
        <v>834</v>
      </c>
      <c r="D574" s="30">
        <v>0.73299768518518515</v>
      </c>
      <c r="E574" t="s">
        <v>317</v>
      </c>
      <c r="F574" t="s">
        <v>299</v>
      </c>
      <c r="G574" t="s">
        <v>299</v>
      </c>
      <c r="H574">
        <v>10</v>
      </c>
      <c r="I574" s="30">
        <v>3.449074074074074E-3</v>
      </c>
      <c r="J574">
        <v>3</v>
      </c>
    </row>
    <row r="575" spans="1:10" x14ac:dyDescent="0.35">
      <c r="A575" t="s">
        <v>893</v>
      </c>
      <c r="B575" t="s">
        <v>307</v>
      </c>
      <c r="C575" t="s">
        <v>834</v>
      </c>
      <c r="D575" s="30">
        <v>0.73299768518518515</v>
      </c>
      <c r="E575" t="s">
        <v>302</v>
      </c>
      <c r="F575" t="s">
        <v>299</v>
      </c>
      <c r="G575" t="s">
        <v>299</v>
      </c>
      <c r="H575">
        <v>110</v>
      </c>
      <c r="I575" s="30">
        <v>2.9398148148148148E-3</v>
      </c>
      <c r="J575">
        <v>3</v>
      </c>
    </row>
    <row r="576" spans="1:10" x14ac:dyDescent="0.35">
      <c r="A576" t="s">
        <v>894</v>
      </c>
      <c r="B576" t="s">
        <v>307</v>
      </c>
      <c r="C576" t="s">
        <v>834</v>
      </c>
      <c r="D576" s="30">
        <v>0.73599537037037033</v>
      </c>
      <c r="E576" t="s">
        <v>309</v>
      </c>
      <c r="F576" t="s">
        <v>299</v>
      </c>
      <c r="G576" t="s">
        <v>299</v>
      </c>
      <c r="H576">
        <v>69</v>
      </c>
      <c r="I576" s="30">
        <v>5.4398148148148144E-4</v>
      </c>
      <c r="J576">
        <v>3</v>
      </c>
    </row>
    <row r="577" spans="1:10" x14ac:dyDescent="0.35">
      <c r="A577" t="s">
        <v>895</v>
      </c>
      <c r="B577" t="s">
        <v>316</v>
      </c>
      <c r="C577" t="s">
        <v>834</v>
      </c>
      <c r="D577" s="30">
        <v>0.73599537037037033</v>
      </c>
      <c r="E577" t="s">
        <v>298</v>
      </c>
      <c r="F577" t="s">
        <v>299</v>
      </c>
      <c r="G577" t="s">
        <v>303</v>
      </c>
      <c r="H577">
        <v>122</v>
      </c>
      <c r="I577" s="30">
        <v>1.9444444444444444E-3</v>
      </c>
      <c r="J577">
        <v>1</v>
      </c>
    </row>
    <row r="578" spans="1:10" x14ac:dyDescent="0.35">
      <c r="A578" t="s">
        <v>896</v>
      </c>
      <c r="B578" t="s">
        <v>296</v>
      </c>
      <c r="C578" t="s">
        <v>834</v>
      </c>
      <c r="D578" s="30">
        <v>0.74200231481481482</v>
      </c>
      <c r="E578" t="s">
        <v>298</v>
      </c>
      <c r="F578" t="s">
        <v>299</v>
      </c>
      <c r="G578" t="s">
        <v>299</v>
      </c>
      <c r="H578">
        <v>47</v>
      </c>
      <c r="I578" s="30">
        <v>6.7129629629629625E-4</v>
      </c>
      <c r="J578">
        <v>3</v>
      </c>
    </row>
    <row r="579" spans="1:10" x14ac:dyDescent="0.35">
      <c r="A579" t="s">
        <v>897</v>
      </c>
      <c r="B579" t="s">
        <v>307</v>
      </c>
      <c r="C579" t="s">
        <v>834</v>
      </c>
      <c r="D579" s="30">
        <v>0.74200231481481482</v>
      </c>
      <c r="E579" t="s">
        <v>302</v>
      </c>
      <c r="F579" t="s">
        <v>299</v>
      </c>
      <c r="G579" t="s">
        <v>303</v>
      </c>
      <c r="H579">
        <v>124</v>
      </c>
      <c r="I579" s="30">
        <v>4.6990740740740743E-3</v>
      </c>
      <c r="J579">
        <v>5</v>
      </c>
    </row>
    <row r="580" spans="1:10" x14ac:dyDescent="0.35">
      <c r="A580" t="s">
        <v>898</v>
      </c>
      <c r="B580" t="s">
        <v>323</v>
      </c>
      <c r="C580" t="s">
        <v>899</v>
      </c>
      <c r="D580" s="30">
        <v>0.39599537037037036</v>
      </c>
      <c r="E580" t="s">
        <v>317</v>
      </c>
      <c r="F580" t="s">
        <v>299</v>
      </c>
      <c r="G580" t="s">
        <v>299</v>
      </c>
      <c r="H580">
        <v>92</v>
      </c>
      <c r="I580" s="30">
        <v>1.4004629629629629E-3</v>
      </c>
      <c r="J580">
        <v>3</v>
      </c>
    </row>
    <row r="581" spans="1:10" x14ac:dyDescent="0.35">
      <c r="A581" t="s">
        <v>900</v>
      </c>
      <c r="B581" t="s">
        <v>301</v>
      </c>
      <c r="C581" t="s">
        <v>899</v>
      </c>
      <c r="D581" s="30">
        <v>0.39599537037037036</v>
      </c>
      <c r="E581" t="s">
        <v>309</v>
      </c>
      <c r="F581" t="s">
        <v>299</v>
      </c>
      <c r="G581" t="s">
        <v>299</v>
      </c>
      <c r="H581">
        <v>110</v>
      </c>
      <c r="I581" s="30">
        <v>3.8425925925925928E-3</v>
      </c>
      <c r="J581">
        <v>2</v>
      </c>
    </row>
    <row r="582" spans="1:10" x14ac:dyDescent="0.35">
      <c r="A582" t="s">
        <v>901</v>
      </c>
      <c r="B582" t="s">
        <v>305</v>
      </c>
      <c r="C582" t="s">
        <v>899</v>
      </c>
      <c r="D582" s="30">
        <v>0.40099537037037036</v>
      </c>
      <c r="E582" t="s">
        <v>317</v>
      </c>
      <c r="F582" t="s">
        <v>299</v>
      </c>
      <c r="G582" t="s">
        <v>299</v>
      </c>
      <c r="H582">
        <v>84</v>
      </c>
      <c r="I582" s="30">
        <v>1.6782407407407408E-3</v>
      </c>
      <c r="J582">
        <v>4</v>
      </c>
    </row>
    <row r="583" spans="1:10" x14ac:dyDescent="0.35">
      <c r="A583" t="s">
        <v>902</v>
      </c>
      <c r="B583" t="s">
        <v>305</v>
      </c>
      <c r="C583" t="s">
        <v>899</v>
      </c>
      <c r="D583" s="30">
        <v>0.40099537037037036</v>
      </c>
      <c r="E583" t="s">
        <v>314</v>
      </c>
      <c r="F583" t="s">
        <v>303</v>
      </c>
      <c r="G583" t="s">
        <v>303</v>
      </c>
    </row>
    <row r="584" spans="1:10" x14ac:dyDescent="0.35">
      <c r="A584" t="s">
        <v>903</v>
      </c>
      <c r="B584" t="s">
        <v>296</v>
      </c>
      <c r="C584" t="s">
        <v>899</v>
      </c>
      <c r="D584" s="30">
        <v>0.4020023148148148</v>
      </c>
      <c r="E584" t="s">
        <v>314</v>
      </c>
      <c r="F584" t="s">
        <v>299</v>
      </c>
      <c r="G584" t="s">
        <v>299</v>
      </c>
      <c r="H584">
        <v>81</v>
      </c>
      <c r="I584" s="30">
        <v>3.0208333333333333E-3</v>
      </c>
      <c r="J584">
        <v>5</v>
      </c>
    </row>
    <row r="585" spans="1:10" x14ac:dyDescent="0.35">
      <c r="A585" t="s">
        <v>904</v>
      </c>
      <c r="B585" t="s">
        <v>307</v>
      </c>
      <c r="C585" t="s">
        <v>899</v>
      </c>
      <c r="D585" s="30">
        <v>0.4020023148148148</v>
      </c>
      <c r="E585" t="s">
        <v>309</v>
      </c>
      <c r="F585" t="s">
        <v>299</v>
      </c>
      <c r="G585" t="s">
        <v>299</v>
      </c>
      <c r="H585">
        <v>116</v>
      </c>
      <c r="I585" s="30">
        <v>1.4930555555555556E-3</v>
      </c>
      <c r="J585">
        <v>4</v>
      </c>
    </row>
    <row r="586" spans="1:10" x14ac:dyDescent="0.35">
      <c r="A586" t="s">
        <v>905</v>
      </c>
      <c r="B586" t="s">
        <v>296</v>
      </c>
      <c r="C586" t="s">
        <v>899</v>
      </c>
      <c r="D586" s="30">
        <v>0.4020023148148148</v>
      </c>
      <c r="E586" t="s">
        <v>309</v>
      </c>
      <c r="F586" t="s">
        <v>303</v>
      </c>
      <c r="G586" t="s">
        <v>303</v>
      </c>
    </row>
    <row r="587" spans="1:10" x14ac:dyDescent="0.35">
      <c r="A587" t="s">
        <v>906</v>
      </c>
      <c r="B587" t="s">
        <v>319</v>
      </c>
      <c r="C587" t="s">
        <v>899</v>
      </c>
      <c r="D587" s="30">
        <v>0.4020023148148148</v>
      </c>
      <c r="E587" t="s">
        <v>317</v>
      </c>
      <c r="F587" t="s">
        <v>299</v>
      </c>
      <c r="G587" t="s">
        <v>299</v>
      </c>
      <c r="H587">
        <v>63</v>
      </c>
      <c r="I587" s="30">
        <v>2.8819444444444444E-3</v>
      </c>
      <c r="J587">
        <v>3</v>
      </c>
    </row>
    <row r="588" spans="1:10" x14ac:dyDescent="0.35">
      <c r="A588" t="s">
        <v>907</v>
      </c>
      <c r="B588" t="s">
        <v>332</v>
      </c>
      <c r="C588" t="s">
        <v>899</v>
      </c>
      <c r="D588" s="30">
        <v>0.40900462962962963</v>
      </c>
      <c r="E588" t="s">
        <v>317</v>
      </c>
      <c r="F588" t="s">
        <v>303</v>
      </c>
      <c r="G588" t="s">
        <v>303</v>
      </c>
    </row>
    <row r="589" spans="1:10" x14ac:dyDescent="0.35">
      <c r="A589" t="s">
        <v>908</v>
      </c>
      <c r="B589" t="s">
        <v>319</v>
      </c>
      <c r="C589" t="s">
        <v>899</v>
      </c>
      <c r="D589" s="30">
        <v>0.40900462962962963</v>
      </c>
      <c r="E589" t="s">
        <v>317</v>
      </c>
      <c r="F589" t="s">
        <v>299</v>
      </c>
      <c r="G589" t="s">
        <v>299</v>
      </c>
      <c r="H589">
        <v>30</v>
      </c>
      <c r="I589" s="30">
        <v>3.1365740740740742E-3</v>
      </c>
      <c r="J589">
        <v>3</v>
      </c>
    </row>
    <row r="590" spans="1:10" x14ac:dyDescent="0.35">
      <c r="A590" t="s">
        <v>909</v>
      </c>
      <c r="B590" t="s">
        <v>296</v>
      </c>
      <c r="C590" t="s">
        <v>899</v>
      </c>
      <c r="D590" s="30">
        <v>0.42</v>
      </c>
      <c r="E590" t="s">
        <v>314</v>
      </c>
      <c r="F590" t="s">
        <v>299</v>
      </c>
      <c r="G590" t="s">
        <v>299</v>
      </c>
      <c r="H590">
        <v>22</v>
      </c>
      <c r="I590" s="30">
        <v>3.9583333333333337E-3</v>
      </c>
      <c r="J590">
        <v>3</v>
      </c>
    </row>
    <row r="591" spans="1:10" x14ac:dyDescent="0.35">
      <c r="A591" t="s">
        <v>910</v>
      </c>
      <c r="B591" t="s">
        <v>305</v>
      </c>
      <c r="C591" t="s">
        <v>899</v>
      </c>
      <c r="D591" s="30">
        <v>0.42</v>
      </c>
      <c r="E591" t="s">
        <v>302</v>
      </c>
      <c r="F591" t="s">
        <v>299</v>
      </c>
      <c r="G591" t="s">
        <v>299</v>
      </c>
      <c r="H591">
        <v>31</v>
      </c>
      <c r="I591" s="30">
        <v>3.7037037037037038E-3</v>
      </c>
      <c r="J591">
        <v>3</v>
      </c>
    </row>
    <row r="592" spans="1:10" x14ac:dyDescent="0.35">
      <c r="A592" t="s">
        <v>911</v>
      </c>
      <c r="B592" t="s">
        <v>296</v>
      </c>
      <c r="C592" t="s">
        <v>899</v>
      </c>
      <c r="D592" s="30">
        <v>0.42599537037037039</v>
      </c>
      <c r="E592" t="s">
        <v>309</v>
      </c>
      <c r="F592" t="s">
        <v>299</v>
      </c>
      <c r="G592" t="s">
        <v>299</v>
      </c>
      <c r="H592">
        <v>47</v>
      </c>
      <c r="I592" s="30">
        <v>1.7592592592592592E-3</v>
      </c>
      <c r="J592">
        <v>3</v>
      </c>
    </row>
    <row r="593" spans="1:10" x14ac:dyDescent="0.35">
      <c r="A593" t="s">
        <v>912</v>
      </c>
      <c r="B593" t="s">
        <v>332</v>
      </c>
      <c r="C593" t="s">
        <v>899</v>
      </c>
      <c r="D593" s="30">
        <v>0.42599537037037039</v>
      </c>
      <c r="E593" t="s">
        <v>302</v>
      </c>
      <c r="F593" t="s">
        <v>299</v>
      </c>
      <c r="G593" t="s">
        <v>299</v>
      </c>
      <c r="H593">
        <v>88</v>
      </c>
      <c r="I593" s="30">
        <v>3.1712962962962962E-3</v>
      </c>
      <c r="J593">
        <v>3</v>
      </c>
    </row>
    <row r="594" spans="1:10" x14ac:dyDescent="0.35">
      <c r="A594" t="s">
        <v>913</v>
      </c>
      <c r="B594" t="s">
        <v>323</v>
      </c>
      <c r="C594" t="s">
        <v>899</v>
      </c>
      <c r="D594" s="30">
        <v>0.43099537037037039</v>
      </c>
      <c r="E594" t="s">
        <v>317</v>
      </c>
      <c r="F594" t="s">
        <v>299</v>
      </c>
      <c r="G594" t="s">
        <v>299</v>
      </c>
      <c r="H594">
        <v>106</v>
      </c>
      <c r="I594" s="30">
        <v>2.5347222222222221E-3</v>
      </c>
      <c r="J594">
        <v>4</v>
      </c>
    </row>
    <row r="595" spans="1:10" x14ac:dyDescent="0.35">
      <c r="A595" t="s">
        <v>914</v>
      </c>
      <c r="B595" t="s">
        <v>296</v>
      </c>
      <c r="C595" t="s">
        <v>899</v>
      </c>
      <c r="D595" s="30">
        <v>0.43099537037037039</v>
      </c>
      <c r="E595" t="s">
        <v>309</v>
      </c>
      <c r="F595" t="s">
        <v>299</v>
      </c>
      <c r="G595" t="s">
        <v>299</v>
      </c>
      <c r="H595">
        <v>70</v>
      </c>
      <c r="I595" s="30">
        <v>1.0069444444444444E-3</v>
      </c>
      <c r="J595">
        <v>5</v>
      </c>
    </row>
    <row r="596" spans="1:10" x14ac:dyDescent="0.35">
      <c r="A596" t="s">
        <v>915</v>
      </c>
      <c r="B596" t="s">
        <v>323</v>
      </c>
      <c r="C596" t="s">
        <v>899</v>
      </c>
      <c r="D596" s="30">
        <v>0.435</v>
      </c>
      <c r="E596" t="s">
        <v>309</v>
      </c>
      <c r="F596" t="s">
        <v>299</v>
      </c>
      <c r="G596" t="s">
        <v>299</v>
      </c>
      <c r="H596">
        <v>77</v>
      </c>
      <c r="I596" s="30">
        <v>3.9004629629629628E-3</v>
      </c>
      <c r="J596">
        <v>3</v>
      </c>
    </row>
    <row r="597" spans="1:10" x14ac:dyDescent="0.35">
      <c r="A597" t="s">
        <v>916</v>
      </c>
      <c r="B597" t="s">
        <v>319</v>
      </c>
      <c r="C597" t="s">
        <v>899</v>
      </c>
      <c r="D597" s="30">
        <v>0.435</v>
      </c>
      <c r="E597" t="s">
        <v>317</v>
      </c>
      <c r="F597" t="s">
        <v>299</v>
      </c>
      <c r="G597" t="s">
        <v>299</v>
      </c>
      <c r="H597">
        <v>82</v>
      </c>
      <c r="I597" s="30">
        <v>4.6412037037037038E-3</v>
      </c>
      <c r="J597">
        <v>3</v>
      </c>
    </row>
    <row r="598" spans="1:10" x14ac:dyDescent="0.35">
      <c r="A598" t="s">
        <v>917</v>
      </c>
      <c r="B598" t="s">
        <v>307</v>
      </c>
      <c r="C598" t="s">
        <v>899</v>
      </c>
      <c r="D598" s="30">
        <v>0.43900462962962961</v>
      </c>
      <c r="E598" t="s">
        <v>298</v>
      </c>
      <c r="F598" t="s">
        <v>299</v>
      </c>
      <c r="G598" t="s">
        <v>299</v>
      </c>
      <c r="H598">
        <v>84</v>
      </c>
      <c r="I598" s="30">
        <v>3.2986111111111111E-3</v>
      </c>
      <c r="J598">
        <v>3</v>
      </c>
    </row>
    <row r="599" spans="1:10" x14ac:dyDescent="0.35">
      <c r="A599" t="s">
        <v>918</v>
      </c>
      <c r="B599" t="s">
        <v>323</v>
      </c>
      <c r="C599" t="s">
        <v>899</v>
      </c>
      <c r="D599" s="30">
        <v>0.43900462962962961</v>
      </c>
      <c r="E599" t="s">
        <v>302</v>
      </c>
      <c r="F599" t="s">
        <v>299</v>
      </c>
      <c r="G599" t="s">
        <v>299</v>
      </c>
      <c r="H599">
        <v>50</v>
      </c>
      <c r="I599" s="30">
        <v>4.2361111111111115E-3</v>
      </c>
      <c r="J599">
        <v>4</v>
      </c>
    </row>
    <row r="600" spans="1:10" x14ac:dyDescent="0.35">
      <c r="A600" t="s">
        <v>919</v>
      </c>
      <c r="B600" t="s">
        <v>323</v>
      </c>
      <c r="C600" t="s">
        <v>899</v>
      </c>
      <c r="D600" s="30">
        <v>0.4620023148148148</v>
      </c>
      <c r="E600" t="s">
        <v>314</v>
      </c>
      <c r="F600" t="s">
        <v>303</v>
      </c>
      <c r="G600" t="s">
        <v>303</v>
      </c>
    </row>
    <row r="601" spans="1:10" x14ac:dyDescent="0.35">
      <c r="A601" t="s">
        <v>920</v>
      </c>
      <c r="B601" t="s">
        <v>301</v>
      </c>
      <c r="C601" t="s">
        <v>899</v>
      </c>
      <c r="D601" s="30">
        <v>0.4620023148148148</v>
      </c>
      <c r="E601" t="s">
        <v>298</v>
      </c>
      <c r="F601" t="s">
        <v>299</v>
      </c>
      <c r="G601" t="s">
        <v>299</v>
      </c>
      <c r="H601">
        <v>73</v>
      </c>
      <c r="I601" s="30">
        <v>5.2083333333333333E-4</v>
      </c>
      <c r="J601">
        <v>3</v>
      </c>
    </row>
    <row r="602" spans="1:10" x14ac:dyDescent="0.35">
      <c r="A602" t="s">
        <v>921</v>
      </c>
      <c r="B602" t="s">
        <v>307</v>
      </c>
      <c r="C602" t="s">
        <v>899</v>
      </c>
      <c r="D602" s="30">
        <v>0.47799768518518521</v>
      </c>
      <c r="E602" t="s">
        <v>298</v>
      </c>
      <c r="F602" t="s">
        <v>299</v>
      </c>
      <c r="G602" t="s">
        <v>299</v>
      </c>
      <c r="H602">
        <v>79</v>
      </c>
      <c r="I602" s="30">
        <v>3.7499999999999999E-3</v>
      </c>
      <c r="J602">
        <v>3</v>
      </c>
    </row>
    <row r="603" spans="1:10" x14ac:dyDescent="0.35">
      <c r="A603" t="s">
        <v>922</v>
      </c>
      <c r="B603" t="s">
        <v>332</v>
      </c>
      <c r="C603" t="s">
        <v>899</v>
      </c>
      <c r="D603" s="30">
        <v>0.47799768518518521</v>
      </c>
      <c r="E603" t="s">
        <v>298</v>
      </c>
      <c r="F603" t="s">
        <v>299</v>
      </c>
      <c r="G603" t="s">
        <v>299</v>
      </c>
      <c r="H603">
        <v>124</v>
      </c>
      <c r="I603" s="30">
        <v>2.7546296296296294E-3</v>
      </c>
      <c r="J603">
        <v>5</v>
      </c>
    </row>
    <row r="604" spans="1:10" x14ac:dyDescent="0.35">
      <c r="A604" t="s">
        <v>923</v>
      </c>
      <c r="B604" t="s">
        <v>305</v>
      </c>
      <c r="C604" t="s">
        <v>899</v>
      </c>
      <c r="D604" s="30">
        <v>0.47900462962962964</v>
      </c>
      <c r="E604" t="s">
        <v>314</v>
      </c>
      <c r="F604" t="s">
        <v>303</v>
      </c>
      <c r="G604" t="s">
        <v>303</v>
      </c>
    </row>
    <row r="605" spans="1:10" x14ac:dyDescent="0.35">
      <c r="A605" t="s">
        <v>924</v>
      </c>
      <c r="B605" t="s">
        <v>301</v>
      </c>
      <c r="C605" t="s">
        <v>899</v>
      </c>
      <c r="D605" s="30">
        <v>0.47900462962962964</v>
      </c>
      <c r="E605" t="s">
        <v>302</v>
      </c>
      <c r="F605" t="s">
        <v>299</v>
      </c>
      <c r="G605" t="s">
        <v>303</v>
      </c>
      <c r="H605">
        <v>75</v>
      </c>
      <c r="I605" s="30">
        <v>2.4652777777777776E-3</v>
      </c>
      <c r="J605">
        <v>4</v>
      </c>
    </row>
    <row r="606" spans="1:10" x14ac:dyDescent="0.35">
      <c r="A606" t="s">
        <v>925</v>
      </c>
      <c r="B606" t="s">
        <v>301</v>
      </c>
      <c r="C606" t="s">
        <v>899</v>
      </c>
      <c r="D606" s="30">
        <v>0.48400462962962965</v>
      </c>
      <c r="E606" t="s">
        <v>302</v>
      </c>
      <c r="F606" t="s">
        <v>299</v>
      </c>
      <c r="G606" t="s">
        <v>299</v>
      </c>
      <c r="H606">
        <v>34</v>
      </c>
      <c r="I606" s="30">
        <v>3.1365740740740742E-3</v>
      </c>
      <c r="J606">
        <v>3</v>
      </c>
    </row>
    <row r="607" spans="1:10" x14ac:dyDescent="0.35">
      <c r="A607" t="s">
        <v>926</v>
      </c>
      <c r="B607" t="s">
        <v>305</v>
      </c>
      <c r="C607" t="s">
        <v>899</v>
      </c>
      <c r="D607" s="30">
        <v>0.48400462962962965</v>
      </c>
      <c r="E607" t="s">
        <v>309</v>
      </c>
      <c r="F607" t="s">
        <v>303</v>
      </c>
      <c r="G607" t="s">
        <v>303</v>
      </c>
    </row>
    <row r="608" spans="1:10" x14ac:dyDescent="0.35">
      <c r="A608" t="s">
        <v>927</v>
      </c>
      <c r="B608" t="s">
        <v>305</v>
      </c>
      <c r="C608" t="s">
        <v>899</v>
      </c>
      <c r="D608" s="30">
        <v>0.49099537037037039</v>
      </c>
      <c r="E608" t="s">
        <v>317</v>
      </c>
      <c r="F608" t="s">
        <v>299</v>
      </c>
      <c r="G608" t="s">
        <v>299</v>
      </c>
      <c r="H608">
        <v>116</v>
      </c>
      <c r="I608" s="30">
        <v>2.7314814814814814E-3</v>
      </c>
      <c r="J608">
        <v>3</v>
      </c>
    </row>
    <row r="609" spans="1:10" x14ac:dyDescent="0.35">
      <c r="A609" t="s">
        <v>928</v>
      </c>
      <c r="B609" t="s">
        <v>332</v>
      </c>
      <c r="C609" t="s">
        <v>899</v>
      </c>
      <c r="D609" s="30">
        <v>0.49099537037037039</v>
      </c>
      <c r="E609" t="s">
        <v>309</v>
      </c>
      <c r="F609" t="s">
        <v>299</v>
      </c>
      <c r="G609" t="s">
        <v>299</v>
      </c>
      <c r="H609">
        <v>20</v>
      </c>
      <c r="I609" s="30">
        <v>3.8194444444444452E-4</v>
      </c>
      <c r="J609">
        <v>3</v>
      </c>
    </row>
    <row r="610" spans="1:10" x14ac:dyDescent="0.35">
      <c r="A610" t="s">
        <v>929</v>
      </c>
      <c r="B610" t="s">
        <v>316</v>
      </c>
      <c r="C610" t="s">
        <v>899</v>
      </c>
      <c r="D610" s="30">
        <v>0.50700231481481484</v>
      </c>
      <c r="E610" t="s">
        <v>317</v>
      </c>
      <c r="F610" t="s">
        <v>299</v>
      </c>
      <c r="G610" t="s">
        <v>299</v>
      </c>
      <c r="H610">
        <v>105</v>
      </c>
      <c r="I610" s="30">
        <v>4.6064814814814814E-3</v>
      </c>
      <c r="J610">
        <v>1</v>
      </c>
    </row>
    <row r="611" spans="1:10" x14ac:dyDescent="0.35">
      <c r="A611" t="s">
        <v>930</v>
      </c>
      <c r="B611" t="s">
        <v>296</v>
      </c>
      <c r="C611" t="s">
        <v>899</v>
      </c>
      <c r="D611" s="30">
        <v>0.50700231481481484</v>
      </c>
      <c r="E611" t="s">
        <v>309</v>
      </c>
      <c r="F611" t="s">
        <v>299</v>
      </c>
      <c r="G611" t="s">
        <v>299</v>
      </c>
      <c r="H611">
        <v>25</v>
      </c>
      <c r="I611" s="30">
        <v>6.134259259259259E-4</v>
      </c>
      <c r="J611">
        <v>3</v>
      </c>
    </row>
    <row r="612" spans="1:10" x14ac:dyDescent="0.35">
      <c r="A612" t="s">
        <v>931</v>
      </c>
      <c r="B612" t="s">
        <v>296</v>
      </c>
      <c r="C612" t="s">
        <v>899</v>
      </c>
      <c r="D612" s="30">
        <v>0.51400462962962967</v>
      </c>
      <c r="E612" t="s">
        <v>309</v>
      </c>
      <c r="F612" t="s">
        <v>299</v>
      </c>
      <c r="G612" t="s">
        <v>299</v>
      </c>
      <c r="H612">
        <v>16</v>
      </c>
      <c r="I612" s="30">
        <v>4.4212962962962964E-3</v>
      </c>
      <c r="J612">
        <v>4</v>
      </c>
    </row>
    <row r="613" spans="1:10" x14ac:dyDescent="0.35">
      <c r="A613" t="s">
        <v>932</v>
      </c>
      <c r="B613" t="s">
        <v>323</v>
      </c>
      <c r="C613" t="s">
        <v>899</v>
      </c>
      <c r="D613" s="30">
        <v>0.51400462962962967</v>
      </c>
      <c r="E613" t="s">
        <v>298</v>
      </c>
      <c r="F613" t="s">
        <v>299</v>
      </c>
      <c r="G613" t="s">
        <v>299</v>
      </c>
      <c r="H613">
        <v>64</v>
      </c>
      <c r="I613" s="30">
        <v>1.8518518518518519E-3</v>
      </c>
      <c r="J613">
        <v>4</v>
      </c>
    </row>
    <row r="614" spans="1:10" x14ac:dyDescent="0.35">
      <c r="A614" t="s">
        <v>933</v>
      </c>
      <c r="B614" t="s">
        <v>305</v>
      </c>
      <c r="C614" t="s">
        <v>899</v>
      </c>
      <c r="D614" s="30">
        <v>0.51700231481481485</v>
      </c>
      <c r="E614" t="s">
        <v>314</v>
      </c>
      <c r="F614" t="s">
        <v>299</v>
      </c>
      <c r="G614" t="s">
        <v>299</v>
      </c>
      <c r="H614">
        <v>82</v>
      </c>
      <c r="I614" s="30">
        <v>4.7569444444444447E-3</v>
      </c>
      <c r="J614">
        <v>3</v>
      </c>
    </row>
    <row r="615" spans="1:10" x14ac:dyDescent="0.35">
      <c r="A615" t="s">
        <v>934</v>
      </c>
      <c r="B615" t="s">
        <v>332</v>
      </c>
      <c r="C615" t="s">
        <v>899</v>
      </c>
      <c r="D615" s="30">
        <v>0.51700231481481485</v>
      </c>
      <c r="E615" t="s">
        <v>317</v>
      </c>
      <c r="F615" t="s">
        <v>299</v>
      </c>
      <c r="G615" t="s">
        <v>299</v>
      </c>
      <c r="H615">
        <v>13</v>
      </c>
      <c r="I615" s="30">
        <v>1.4930555555555556E-3</v>
      </c>
      <c r="J615">
        <v>5</v>
      </c>
    </row>
    <row r="616" spans="1:10" x14ac:dyDescent="0.35">
      <c r="A616" t="s">
        <v>935</v>
      </c>
      <c r="B616" t="s">
        <v>316</v>
      </c>
      <c r="C616" t="s">
        <v>899</v>
      </c>
      <c r="D616" s="30">
        <v>0.53</v>
      </c>
      <c r="E616" t="s">
        <v>298</v>
      </c>
      <c r="F616" t="s">
        <v>299</v>
      </c>
      <c r="G616" t="s">
        <v>299</v>
      </c>
      <c r="H616">
        <v>15</v>
      </c>
      <c r="I616" s="30">
        <v>5.2083333333333333E-4</v>
      </c>
      <c r="J616">
        <v>5</v>
      </c>
    </row>
    <row r="617" spans="1:10" x14ac:dyDescent="0.35">
      <c r="A617" t="s">
        <v>936</v>
      </c>
      <c r="B617" t="s">
        <v>307</v>
      </c>
      <c r="C617" t="s">
        <v>899</v>
      </c>
      <c r="D617" s="30">
        <v>0.53</v>
      </c>
      <c r="E617" t="s">
        <v>298</v>
      </c>
      <c r="F617" t="s">
        <v>299</v>
      </c>
      <c r="G617" t="s">
        <v>299</v>
      </c>
      <c r="H617">
        <v>42</v>
      </c>
      <c r="I617" s="30">
        <v>4.2592592592592595E-3</v>
      </c>
      <c r="J617">
        <v>2</v>
      </c>
    </row>
    <row r="618" spans="1:10" x14ac:dyDescent="0.35">
      <c r="A618" t="s">
        <v>937</v>
      </c>
      <c r="B618" t="s">
        <v>316</v>
      </c>
      <c r="C618" t="s">
        <v>899</v>
      </c>
      <c r="D618" s="30">
        <v>0.53</v>
      </c>
      <c r="E618" t="s">
        <v>309</v>
      </c>
      <c r="F618" t="s">
        <v>303</v>
      </c>
      <c r="G618" t="s">
        <v>303</v>
      </c>
    </row>
    <row r="619" spans="1:10" x14ac:dyDescent="0.35">
      <c r="A619" t="s">
        <v>938</v>
      </c>
      <c r="B619" t="s">
        <v>323</v>
      </c>
      <c r="C619" t="s">
        <v>899</v>
      </c>
      <c r="D619" s="30">
        <v>0.53</v>
      </c>
      <c r="E619" t="s">
        <v>309</v>
      </c>
      <c r="F619" t="s">
        <v>299</v>
      </c>
      <c r="G619" t="s">
        <v>299</v>
      </c>
      <c r="H619">
        <v>32</v>
      </c>
      <c r="I619" s="30">
        <v>3.9467592592592592E-3</v>
      </c>
      <c r="J619">
        <v>3</v>
      </c>
    </row>
    <row r="620" spans="1:10" x14ac:dyDescent="0.35">
      <c r="A620" t="s">
        <v>939</v>
      </c>
      <c r="B620" t="s">
        <v>332</v>
      </c>
      <c r="C620" t="s">
        <v>899</v>
      </c>
      <c r="D620" s="30">
        <v>0.54</v>
      </c>
      <c r="E620" t="s">
        <v>309</v>
      </c>
      <c r="F620" t="s">
        <v>299</v>
      </c>
      <c r="G620" t="s">
        <v>299</v>
      </c>
      <c r="H620">
        <v>75</v>
      </c>
      <c r="I620" s="30">
        <v>2.8935185185185184E-3</v>
      </c>
      <c r="J620">
        <v>3</v>
      </c>
    </row>
    <row r="621" spans="1:10" x14ac:dyDescent="0.35">
      <c r="A621" t="s">
        <v>940</v>
      </c>
      <c r="B621" t="s">
        <v>305</v>
      </c>
      <c r="C621" t="s">
        <v>899</v>
      </c>
      <c r="D621" s="30">
        <v>0.54</v>
      </c>
      <c r="E621" t="s">
        <v>298</v>
      </c>
      <c r="F621" t="s">
        <v>299</v>
      </c>
      <c r="G621" t="s">
        <v>303</v>
      </c>
      <c r="H621">
        <v>123</v>
      </c>
      <c r="I621" s="30">
        <v>1.9675925925925924E-3</v>
      </c>
      <c r="J621">
        <v>3</v>
      </c>
    </row>
    <row r="622" spans="1:10" x14ac:dyDescent="0.35">
      <c r="A622" t="s">
        <v>941</v>
      </c>
      <c r="B622" t="s">
        <v>305</v>
      </c>
      <c r="C622" t="s">
        <v>899</v>
      </c>
      <c r="D622" s="30">
        <v>0.55500000000000005</v>
      </c>
      <c r="E622" t="s">
        <v>317</v>
      </c>
      <c r="F622" t="s">
        <v>299</v>
      </c>
      <c r="G622" t="s">
        <v>299</v>
      </c>
      <c r="H622">
        <v>22</v>
      </c>
      <c r="I622" s="30">
        <v>3.7847222222222223E-3</v>
      </c>
      <c r="J622">
        <v>5</v>
      </c>
    </row>
    <row r="623" spans="1:10" x14ac:dyDescent="0.35">
      <c r="A623" t="s">
        <v>942</v>
      </c>
      <c r="B623" t="s">
        <v>307</v>
      </c>
      <c r="C623" t="s">
        <v>899</v>
      </c>
      <c r="D623" s="30">
        <v>0.55500000000000005</v>
      </c>
      <c r="E623" t="s">
        <v>302</v>
      </c>
      <c r="F623" t="s">
        <v>299</v>
      </c>
      <c r="G623" t="s">
        <v>299</v>
      </c>
      <c r="H623">
        <v>21</v>
      </c>
      <c r="I623" s="30">
        <v>1.3657407407407407E-3</v>
      </c>
      <c r="J623">
        <v>2</v>
      </c>
    </row>
    <row r="624" spans="1:10" x14ac:dyDescent="0.35">
      <c r="A624" t="s">
        <v>943</v>
      </c>
      <c r="B624" t="s">
        <v>307</v>
      </c>
      <c r="C624" t="s">
        <v>899</v>
      </c>
      <c r="D624" s="30">
        <v>0.57999999999999996</v>
      </c>
      <c r="E624" t="s">
        <v>317</v>
      </c>
      <c r="F624" t="s">
        <v>299</v>
      </c>
      <c r="G624" t="s">
        <v>299</v>
      </c>
      <c r="H624">
        <v>15</v>
      </c>
      <c r="I624" s="30">
        <v>4.2824074074074075E-3</v>
      </c>
      <c r="J624">
        <v>4</v>
      </c>
    </row>
    <row r="625" spans="1:10" x14ac:dyDescent="0.35">
      <c r="A625" t="s">
        <v>944</v>
      </c>
      <c r="B625" t="s">
        <v>296</v>
      </c>
      <c r="C625" t="s">
        <v>899</v>
      </c>
      <c r="D625" s="30">
        <v>0.57999999999999996</v>
      </c>
      <c r="E625" t="s">
        <v>317</v>
      </c>
      <c r="F625" t="s">
        <v>299</v>
      </c>
      <c r="G625" t="s">
        <v>299</v>
      </c>
      <c r="H625">
        <v>76</v>
      </c>
      <c r="I625" s="30">
        <v>2.7199074074074074E-3</v>
      </c>
      <c r="J625">
        <v>4</v>
      </c>
    </row>
    <row r="626" spans="1:10" x14ac:dyDescent="0.35">
      <c r="A626" t="s">
        <v>945</v>
      </c>
      <c r="B626" t="s">
        <v>319</v>
      </c>
      <c r="C626" t="s">
        <v>899</v>
      </c>
      <c r="D626" s="30">
        <v>0.59</v>
      </c>
      <c r="E626" t="s">
        <v>314</v>
      </c>
      <c r="F626" t="s">
        <v>299</v>
      </c>
      <c r="G626" t="s">
        <v>299</v>
      </c>
      <c r="H626">
        <v>92</v>
      </c>
      <c r="I626" s="30">
        <v>3.6921296296296298E-3</v>
      </c>
      <c r="J626">
        <v>3</v>
      </c>
    </row>
    <row r="627" spans="1:10" x14ac:dyDescent="0.35">
      <c r="A627" t="s">
        <v>946</v>
      </c>
      <c r="B627" t="s">
        <v>307</v>
      </c>
      <c r="C627" t="s">
        <v>899</v>
      </c>
      <c r="D627" s="30">
        <v>0.59</v>
      </c>
      <c r="E627" t="s">
        <v>302</v>
      </c>
      <c r="F627" t="s">
        <v>303</v>
      </c>
      <c r="G627" t="s">
        <v>303</v>
      </c>
    </row>
    <row r="628" spans="1:10" x14ac:dyDescent="0.35">
      <c r="A628" t="s">
        <v>947</v>
      </c>
      <c r="B628" t="s">
        <v>323</v>
      </c>
      <c r="C628" t="s">
        <v>899</v>
      </c>
      <c r="D628" s="30">
        <v>0.59299768518518514</v>
      </c>
      <c r="E628" t="s">
        <v>302</v>
      </c>
      <c r="F628" t="s">
        <v>303</v>
      </c>
      <c r="G628" t="s">
        <v>303</v>
      </c>
    </row>
    <row r="629" spans="1:10" x14ac:dyDescent="0.35">
      <c r="A629" t="s">
        <v>948</v>
      </c>
      <c r="B629" t="s">
        <v>301</v>
      </c>
      <c r="C629" t="s">
        <v>899</v>
      </c>
      <c r="D629" s="30">
        <v>0.59299768518518514</v>
      </c>
      <c r="E629" t="s">
        <v>309</v>
      </c>
      <c r="F629" t="s">
        <v>299</v>
      </c>
      <c r="G629" t="s">
        <v>303</v>
      </c>
      <c r="H629">
        <v>62</v>
      </c>
      <c r="I629" s="30">
        <v>2.7662037037037039E-3</v>
      </c>
      <c r="J629">
        <v>4</v>
      </c>
    </row>
    <row r="630" spans="1:10" x14ac:dyDescent="0.35">
      <c r="A630" t="s">
        <v>949</v>
      </c>
      <c r="B630" t="s">
        <v>319</v>
      </c>
      <c r="C630" t="s">
        <v>899</v>
      </c>
      <c r="D630" s="30">
        <v>0.59700231481481481</v>
      </c>
      <c r="E630" t="s">
        <v>314</v>
      </c>
      <c r="F630" t="s">
        <v>299</v>
      </c>
      <c r="G630" t="s">
        <v>299</v>
      </c>
      <c r="H630">
        <v>33</v>
      </c>
      <c r="I630" s="30">
        <v>3.449074074074074E-3</v>
      </c>
      <c r="J630">
        <v>3</v>
      </c>
    </row>
    <row r="631" spans="1:10" x14ac:dyDescent="0.35">
      <c r="A631" t="s">
        <v>950</v>
      </c>
      <c r="B631" t="s">
        <v>305</v>
      </c>
      <c r="C631" t="s">
        <v>899</v>
      </c>
      <c r="D631" s="30">
        <v>0.59700231481481481</v>
      </c>
      <c r="E631" t="s">
        <v>314</v>
      </c>
      <c r="F631" t="s">
        <v>299</v>
      </c>
      <c r="G631" t="s">
        <v>299</v>
      </c>
      <c r="H631">
        <v>122</v>
      </c>
      <c r="I631" s="30">
        <v>1.3773148148148147E-3</v>
      </c>
      <c r="J631">
        <v>1</v>
      </c>
    </row>
    <row r="632" spans="1:10" x14ac:dyDescent="0.35">
      <c r="A632" t="s">
        <v>951</v>
      </c>
      <c r="B632" t="s">
        <v>305</v>
      </c>
      <c r="C632" t="s">
        <v>899</v>
      </c>
      <c r="D632" s="30">
        <v>0.6</v>
      </c>
      <c r="E632" t="s">
        <v>317</v>
      </c>
      <c r="F632" t="s">
        <v>299</v>
      </c>
      <c r="G632" t="s">
        <v>303</v>
      </c>
      <c r="H632">
        <v>47</v>
      </c>
      <c r="I632" s="30">
        <v>3.1828703703703702E-3</v>
      </c>
      <c r="J632">
        <v>1</v>
      </c>
    </row>
    <row r="633" spans="1:10" x14ac:dyDescent="0.35">
      <c r="A633" t="s">
        <v>952</v>
      </c>
      <c r="B633" t="s">
        <v>296</v>
      </c>
      <c r="C633" t="s">
        <v>899</v>
      </c>
      <c r="D633" s="30">
        <v>0.6</v>
      </c>
      <c r="E633" t="s">
        <v>314</v>
      </c>
      <c r="F633" t="s">
        <v>303</v>
      </c>
      <c r="G633" t="s">
        <v>303</v>
      </c>
    </row>
    <row r="634" spans="1:10" x14ac:dyDescent="0.35">
      <c r="A634" t="s">
        <v>953</v>
      </c>
      <c r="B634" t="s">
        <v>323</v>
      </c>
      <c r="C634" t="s">
        <v>899</v>
      </c>
      <c r="D634" s="30">
        <v>0.60200231481481481</v>
      </c>
      <c r="E634" t="s">
        <v>302</v>
      </c>
      <c r="F634" t="s">
        <v>303</v>
      </c>
      <c r="G634" t="s">
        <v>303</v>
      </c>
    </row>
    <row r="635" spans="1:10" x14ac:dyDescent="0.35">
      <c r="A635" t="s">
        <v>954</v>
      </c>
      <c r="B635" t="s">
        <v>319</v>
      </c>
      <c r="C635" t="s">
        <v>899</v>
      </c>
      <c r="D635" s="30">
        <v>0.60200231481481481</v>
      </c>
      <c r="E635" t="s">
        <v>298</v>
      </c>
      <c r="F635" t="s">
        <v>303</v>
      </c>
      <c r="G635" t="s">
        <v>303</v>
      </c>
    </row>
    <row r="636" spans="1:10" x14ac:dyDescent="0.35">
      <c r="A636" t="s">
        <v>955</v>
      </c>
      <c r="B636" t="s">
        <v>305</v>
      </c>
      <c r="C636" t="s">
        <v>899</v>
      </c>
      <c r="D636" s="30">
        <v>0.60299768518518515</v>
      </c>
      <c r="E636" t="s">
        <v>317</v>
      </c>
      <c r="F636" t="s">
        <v>299</v>
      </c>
      <c r="G636" t="s">
        <v>299</v>
      </c>
      <c r="H636">
        <v>44</v>
      </c>
      <c r="I636" s="30">
        <v>4.5138888888888892E-4</v>
      </c>
      <c r="J636">
        <v>4</v>
      </c>
    </row>
    <row r="637" spans="1:10" x14ac:dyDescent="0.35">
      <c r="A637" t="s">
        <v>956</v>
      </c>
      <c r="B637" t="s">
        <v>323</v>
      </c>
      <c r="C637" t="s">
        <v>899</v>
      </c>
      <c r="D637" s="30">
        <v>0.60299768518518515</v>
      </c>
      <c r="E637" t="s">
        <v>298</v>
      </c>
      <c r="F637" t="s">
        <v>299</v>
      </c>
      <c r="G637" t="s">
        <v>299</v>
      </c>
      <c r="H637">
        <v>48</v>
      </c>
      <c r="I637" s="30">
        <v>3.2523148148148147E-3</v>
      </c>
      <c r="J637">
        <v>3</v>
      </c>
    </row>
    <row r="638" spans="1:10" x14ac:dyDescent="0.35">
      <c r="A638" t="s">
        <v>957</v>
      </c>
      <c r="B638" t="s">
        <v>323</v>
      </c>
      <c r="C638" t="s">
        <v>899</v>
      </c>
      <c r="D638" s="30">
        <v>0.60599537037037032</v>
      </c>
      <c r="E638" t="s">
        <v>314</v>
      </c>
      <c r="F638" t="s">
        <v>299</v>
      </c>
      <c r="G638" t="s">
        <v>299</v>
      </c>
      <c r="H638">
        <v>60</v>
      </c>
      <c r="I638" s="30">
        <v>6.8287037037037036E-4</v>
      </c>
      <c r="J638">
        <v>3</v>
      </c>
    </row>
    <row r="639" spans="1:10" x14ac:dyDescent="0.35">
      <c r="A639" t="s">
        <v>958</v>
      </c>
      <c r="B639" t="s">
        <v>296</v>
      </c>
      <c r="C639" t="s">
        <v>899</v>
      </c>
      <c r="D639" s="30">
        <v>0.60599537037037032</v>
      </c>
      <c r="E639" t="s">
        <v>317</v>
      </c>
      <c r="F639" t="s">
        <v>303</v>
      </c>
      <c r="G639" t="s">
        <v>303</v>
      </c>
    </row>
    <row r="640" spans="1:10" x14ac:dyDescent="0.35">
      <c r="A640" t="s">
        <v>959</v>
      </c>
      <c r="B640" t="s">
        <v>316</v>
      </c>
      <c r="C640" t="s">
        <v>899</v>
      </c>
      <c r="D640" s="30">
        <v>0.62299768518518517</v>
      </c>
      <c r="E640" t="s">
        <v>302</v>
      </c>
      <c r="F640" t="s">
        <v>299</v>
      </c>
      <c r="G640" t="s">
        <v>299</v>
      </c>
      <c r="H640">
        <v>120</v>
      </c>
      <c r="I640" s="30">
        <v>2.3263888888888887E-3</v>
      </c>
      <c r="J640">
        <v>2</v>
      </c>
    </row>
    <row r="641" spans="1:10" x14ac:dyDescent="0.35">
      <c r="A641" t="s">
        <v>960</v>
      </c>
      <c r="B641" t="s">
        <v>305</v>
      </c>
      <c r="C641" t="s">
        <v>899</v>
      </c>
      <c r="D641" s="30">
        <v>0.62299768518518517</v>
      </c>
      <c r="E641" t="s">
        <v>314</v>
      </c>
      <c r="F641" t="s">
        <v>299</v>
      </c>
      <c r="G641" t="s">
        <v>299</v>
      </c>
      <c r="H641">
        <v>61</v>
      </c>
      <c r="I641" s="30">
        <v>3.0787037037037037E-3</v>
      </c>
      <c r="J641">
        <v>2</v>
      </c>
    </row>
    <row r="642" spans="1:10" x14ac:dyDescent="0.35">
      <c r="A642" t="s">
        <v>961</v>
      </c>
      <c r="B642" t="s">
        <v>307</v>
      </c>
      <c r="C642" t="s">
        <v>899</v>
      </c>
      <c r="D642" s="30">
        <v>0.63400462962962967</v>
      </c>
      <c r="E642" t="s">
        <v>302</v>
      </c>
      <c r="F642" t="s">
        <v>299</v>
      </c>
      <c r="G642" t="s">
        <v>299</v>
      </c>
      <c r="H642">
        <v>103</v>
      </c>
      <c r="I642" s="30">
        <v>4.4560185185185189E-3</v>
      </c>
      <c r="J642">
        <v>4</v>
      </c>
    </row>
    <row r="643" spans="1:10" x14ac:dyDescent="0.35">
      <c r="A643" t="s">
        <v>962</v>
      </c>
      <c r="B643" t="s">
        <v>301</v>
      </c>
      <c r="C643" t="s">
        <v>899</v>
      </c>
      <c r="D643" s="30">
        <v>0.63400462962962967</v>
      </c>
      <c r="E643" t="s">
        <v>298</v>
      </c>
      <c r="F643" t="s">
        <v>303</v>
      </c>
      <c r="G643" t="s">
        <v>303</v>
      </c>
    </row>
    <row r="644" spans="1:10" x14ac:dyDescent="0.35">
      <c r="A644" t="s">
        <v>963</v>
      </c>
      <c r="B644" t="s">
        <v>316</v>
      </c>
      <c r="C644" t="s">
        <v>899</v>
      </c>
      <c r="D644" s="30">
        <v>0.65099537037037036</v>
      </c>
      <c r="E644" t="s">
        <v>309</v>
      </c>
      <c r="F644" t="s">
        <v>299</v>
      </c>
      <c r="G644" t="s">
        <v>299</v>
      </c>
      <c r="H644">
        <v>32</v>
      </c>
      <c r="I644" s="30">
        <v>2.0949074074074073E-3</v>
      </c>
      <c r="J644">
        <v>2</v>
      </c>
    </row>
    <row r="645" spans="1:10" x14ac:dyDescent="0.35">
      <c r="A645" t="s">
        <v>964</v>
      </c>
      <c r="B645" t="s">
        <v>319</v>
      </c>
      <c r="C645" t="s">
        <v>899</v>
      </c>
      <c r="D645" s="30">
        <v>0.65099537037037036</v>
      </c>
      <c r="E645" t="s">
        <v>314</v>
      </c>
      <c r="F645" t="s">
        <v>303</v>
      </c>
      <c r="G645" t="s">
        <v>303</v>
      </c>
    </row>
    <row r="646" spans="1:10" x14ac:dyDescent="0.35">
      <c r="A646" t="s">
        <v>965</v>
      </c>
      <c r="B646" t="s">
        <v>316</v>
      </c>
      <c r="C646" t="s">
        <v>899</v>
      </c>
      <c r="D646" s="30">
        <v>0.66599537037037038</v>
      </c>
      <c r="E646" t="s">
        <v>302</v>
      </c>
      <c r="F646" t="s">
        <v>299</v>
      </c>
      <c r="G646" t="s">
        <v>299</v>
      </c>
      <c r="H646">
        <v>53</v>
      </c>
      <c r="I646" s="30">
        <v>3.2060185185185186E-3</v>
      </c>
      <c r="J646">
        <v>1</v>
      </c>
    </row>
    <row r="647" spans="1:10" x14ac:dyDescent="0.35">
      <c r="A647" t="s">
        <v>966</v>
      </c>
      <c r="B647" t="s">
        <v>296</v>
      </c>
      <c r="C647" t="s">
        <v>899</v>
      </c>
      <c r="D647" s="30">
        <v>0.66599537037037038</v>
      </c>
      <c r="E647" t="s">
        <v>317</v>
      </c>
      <c r="F647" t="s">
        <v>299</v>
      </c>
      <c r="G647" t="s">
        <v>299</v>
      </c>
      <c r="H647">
        <v>40</v>
      </c>
      <c r="I647" s="30">
        <v>2.0370370370370369E-3</v>
      </c>
      <c r="J647">
        <v>5</v>
      </c>
    </row>
    <row r="648" spans="1:10" x14ac:dyDescent="0.35">
      <c r="A648" t="s">
        <v>967</v>
      </c>
      <c r="B648" t="s">
        <v>305</v>
      </c>
      <c r="C648" t="s">
        <v>899</v>
      </c>
      <c r="D648" s="30">
        <v>0.6790046296296296</v>
      </c>
      <c r="E648" t="s">
        <v>298</v>
      </c>
      <c r="F648" t="s">
        <v>299</v>
      </c>
      <c r="G648" t="s">
        <v>303</v>
      </c>
      <c r="H648">
        <v>58</v>
      </c>
      <c r="I648" s="30">
        <v>2.2453703703703702E-3</v>
      </c>
      <c r="J648">
        <v>3</v>
      </c>
    </row>
    <row r="649" spans="1:10" x14ac:dyDescent="0.35">
      <c r="A649" t="s">
        <v>968</v>
      </c>
      <c r="B649" t="s">
        <v>305</v>
      </c>
      <c r="C649" t="s">
        <v>899</v>
      </c>
      <c r="D649" s="30">
        <v>0.6790046296296296</v>
      </c>
      <c r="E649" t="s">
        <v>302</v>
      </c>
      <c r="F649" t="s">
        <v>299</v>
      </c>
      <c r="G649" t="s">
        <v>299</v>
      </c>
      <c r="H649">
        <v>92</v>
      </c>
      <c r="I649" s="30">
        <v>1.7013888888888888E-3</v>
      </c>
      <c r="J649">
        <v>2</v>
      </c>
    </row>
    <row r="650" spans="1:10" x14ac:dyDescent="0.35">
      <c r="A650" t="s">
        <v>969</v>
      </c>
      <c r="B650" t="s">
        <v>296</v>
      </c>
      <c r="C650" t="s">
        <v>899</v>
      </c>
      <c r="D650" s="30">
        <v>0.69700231481481478</v>
      </c>
      <c r="E650" t="s">
        <v>309</v>
      </c>
      <c r="F650" t="s">
        <v>303</v>
      </c>
      <c r="G650" t="s">
        <v>303</v>
      </c>
    </row>
    <row r="651" spans="1:10" x14ac:dyDescent="0.35">
      <c r="A651" t="s">
        <v>970</v>
      </c>
      <c r="B651" t="s">
        <v>332</v>
      </c>
      <c r="C651" t="s">
        <v>899</v>
      </c>
      <c r="D651" s="30">
        <v>0.69700231481481478</v>
      </c>
      <c r="E651" t="s">
        <v>317</v>
      </c>
      <c r="F651" t="s">
        <v>299</v>
      </c>
      <c r="G651" t="s">
        <v>299</v>
      </c>
      <c r="H651">
        <v>124</v>
      </c>
      <c r="I651" s="30">
        <v>5.6712962962962967E-4</v>
      </c>
      <c r="J651">
        <v>5</v>
      </c>
    </row>
    <row r="652" spans="1:10" x14ac:dyDescent="0.35">
      <c r="A652" t="s">
        <v>971</v>
      </c>
      <c r="B652" t="s">
        <v>316</v>
      </c>
      <c r="C652" t="s">
        <v>899</v>
      </c>
      <c r="D652" s="30">
        <v>0.71299768518518514</v>
      </c>
      <c r="E652" t="s">
        <v>314</v>
      </c>
      <c r="F652" t="s">
        <v>299</v>
      </c>
      <c r="G652" t="s">
        <v>299</v>
      </c>
      <c r="H652">
        <v>59</v>
      </c>
      <c r="I652" s="30">
        <v>3.1250000000000002E-3</v>
      </c>
      <c r="J652">
        <v>3</v>
      </c>
    </row>
    <row r="653" spans="1:10" x14ac:dyDescent="0.35">
      <c r="A653" t="s">
        <v>972</v>
      </c>
      <c r="B653" t="s">
        <v>307</v>
      </c>
      <c r="C653" t="s">
        <v>899</v>
      </c>
      <c r="D653" s="30">
        <v>0.71299768518518514</v>
      </c>
      <c r="E653" t="s">
        <v>317</v>
      </c>
      <c r="F653" t="s">
        <v>299</v>
      </c>
      <c r="G653" t="s">
        <v>299</v>
      </c>
      <c r="H653">
        <v>44</v>
      </c>
      <c r="I653" s="30">
        <v>3.4953703703703705E-3</v>
      </c>
      <c r="J653">
        <v>1</v>
      </c>
    </row>
    <row r="654" spans="1:10" x14ac:dyDescent="0.35">
      <c r="A654" t="s">
        <v>973</v>
      </c>
      <c r="B654" t="s">
        <v>316</v>
      </c>
      <c r="C654" t="s">
        <v>899</v>
      </c>
      <c r="D654" s="30">
        <v>0.72400462962962964</v>
      </c>
      <c r="E654" t="s">
        <v>314</v>
      </c>
      <c r="F654" t="s">
        <v>299</v>
      </c>
      <c r="G654" t="s">
        <v>299</v>
      </c>
      <c r="H654">
        <v>42</v>
      </c>
      <c r="I654" s="30">
        <v>2.5231481481481481E-3</v>
      </c>
      <c r="J654">
        <v>2</v>
      </c>
    </row>
    <row r="655" spans="1:10" x14ac:dyDescent="0.35">
      <c r="A655" t="s">
        <v>974</v>
      </c>
      <c r="B655" t="s">
        <v>305</v>
      </c>
      <c r="C655" t="s">
        <v>899</v>
      </c>
      <c r="D655" s="30">
        <v>0.72400462962962964</v>
      </c>
      <c r="E655" t="s">
        <v>309</v>
      </c>
      <c r="F655" t="s">
        <v>299</v>
      </c>
      <c r="G655" t="s">
        <v>299</v>
      </c>
      <c r="H655">
        <v>21</v>
      </c>
      <c r="I655" s="30">
        <v>3.3101851851851851E-3</v>
      </c>
      <c r="J655">
        <v>5</v>
      </c>
    </row>
    <row r="656" spans="1:10" x14ac:dyDescent="0.35">
      <c r="A656" t="s">
        <v>975</v>
      </c>
      <c r="B656" t="s">
        <v>305</v>
      </c>
      <c r="C656" t="s">
        <v>899</v>
      </c>
      <c r="D656" s="30">
        <v>0.73700231481481482</v>
      </c>
      <c r="E656" t="s">
        <v>298</v>
      </c>
      <c r="F656" t="s">
        <v>299</v>
      </c>
      <c r="G656" t="s">
        <v>299</v>
      </c>
      <c r="H656">
        <v>69</v>
      </c>
      <c r="I656" s="30">
        <v>3.7037037037037041E-4</v>
      </c>
      <c r="J656">
        <v>4</v>
      </c>
    </row>
    <row r="657" spans="1:10" x14ac:dyDescent="0.35">
      <c r="A657" t="s">
        <v>976</v>
      </c>
      <c r="B657" t="s">
        <v>305</v>
      </c>
      <c r="C657" t="s">
        <v>899</v>
      </c>
      <c r="D657" s="30">
        <v>0.73700231481481482</v>
      </c>
      <c r="E657" t="s">
        <v>309</v>
      </c>
      <c r="F657" t="s">
        <v>299</v>
      </c>
      <c r="G657" t="s">
        <v>299</v>
      </c>
      <c r="H657">
        <v>46</v>
      </c>
      <c r="I657" s="30">
        <v>6.134259259259259E-4</v>
      </c>
      <c r="J657">
        <v>1</v>
      </c>
    </row>
    <row r="658" spans="1:10" x14ac:dyDescent="0.35">
      <c r="A658" t="s">
        <v>977</v>
      </c>
      <c r="B658" t="s">
        <v>323</v>
      </c>
      <c r="C658" t="s">
        <v>899</v>
      </c>
      <c r="D658" s="30">
        <v>0.73700231481481482</v>
      </c>
      <c r="E658" t="s">
        <v>309</v>
      </c>
      <c r="F658" t="s">
        <v>299</v>
      </c>
      <c r="G658" t="s">
        <v>299</v>
      </c>
      <c r="H658">
        <v>24</v>
      </c>
      <c r="I658" s="30">
        <v>4.178240740740741E-3</v>
      </c>
      <c r="J658">
        <v>5</v>
      </c>
    </row>
    <row r="659" spans="1:10" x14ac:dyDescent="0.35">
      <c r="A659" t="s">
        <v>978</v>
      </c>
      <c r="B659" t="s">
        <v>305</v>
      </c>
      <c r="C659" t="s">
        <v>899</v>
      </c>
      <c r="D659" s="30">
        <v>0.73700231481481482</v>
      </c>
      <c r="E659" t="s">
        <v>317</v>
      </c>
      <c r="F659" t="s">
        <v>299</v>
      </c>
      <c r="G659" t="s">
        <v>299</v>
      </c>
      <c r="H659">
        <v>101</v>
      </c>
      <c r="I659" s="30">
        <v>3.2986111111111111E-3</v>
      </c>
      <c r="J659">
        <v>2</v>
      </c>
    </row>
    <row r="660" spans="1:10" x14ac:dyDescent="0.35">
      <c r="A660" t="s">
        <v>979</v>
      </c>
      <c r="B660" t="s">
        <v>301</v>
      </c>
      <c r="C660" t="s">
        <v>899</v>
      </c>
      <c r="D660" s="30">
        <v>0.74200231481481482</v>
      </c>
      <c r="E660" t="s">
        <v>309</v>
      </c>
      <c r="F660" t="s">
        <v>299</v>
      </c>
      <c r="G660" t="s">
        <v>299</v>
      </c>
      <c r="H660">
        <v>121</v>
      </c>
      <c r="I660" s="30">
        <v>9.3749999999999997E-4</v>
      </c>
      <c r="J660">
        <v>5</v>
      </c>
    </row>
    <row r="661" spans="1:10" x14ac:dyDescent="0.35">
      <c r="A661" t="s">
        <v>980</v>
      </c>
      <c r="B661" t="s">
        <v>305</v>
      </c>
      <c r="C661" t="s">
        <v>899</v>
      </c>
      <c r="D661" s="30">
        <v>0.74200231481481482</v>
      </c>
      <c r="E661" t="s">
        <v>314</v>
      </c>
      <c r="F661" t="s">
        <v>299</v>
      </c>
      <c r="G661" t="s">
        <v>299</v>
      </c>
      <c r="H661">
        <v>61</v>
      </c>
      <c r="I661" s="30">
        <v>8.2175925925925927E-4</v>
      </c>
      <c r="J661">
        <v>3</v>
      </c>
    </row>
    <row r="662" spans="1:10" x14ac:dyDescent="0.35">
      <c r="A662" t="s">
        <v>981</v>
      </c>
      <c r="B662" t="s">
        <v>301</v>
      </c>
      <c r="C662" t="s">
        <v>899</v>
      </c>
      <c r="D662" s="30">
        <v>0.74299768518518516</v>
      </c>
      <c r="E662" t="s">
        <v>298</v>
      </c>
      <c r="F662" t="s">
        <v>299</v>
      </c>
      <c r="G662" t="s">
        <v>299</v>
      </c>
      <c r="H662">
        <v>45</v>
      </c>
      <c r="I662" s="30">
        <v>9.2592592592592596E-4</v>
      </c>
      <c r="J662">
        <v>4</v>
      </c>
    </row>
    <row r="663" spans="1:10" x14ac:dyDescent="0.35">
      <c r="A663" t="s">
        <v>982</v>
      </c>
      <c r="B663" t="s">
        <v>301</v>
      </c>
      <c r="C663" t="s">
        <v>899</v>
      </c>
      <c r="D663" s="30">
        <v>0.74299768518518516</v>
      </c>
      <c r="E663" t="s">
        <v>309</v>
      </c>
      <c r="F663" t="s">
        <v>299</v>
      </c>
      <c r="G663" t="s">
        <v>299</v>
      </c>
      <c r="H663">
        <v>40</v>
      </c>
      <c r="I663" s="30">
        <v>1.4004629629629629E-3</v>
      </c>
      <c r="J663">
        <v>5</v>
      </c>
    </row>
    <row r="664" spans="1:10" x14ac:dyDescent="0.35">
      <c r="A664" t="s">
        <v>983</v>
      </c>
      <c r="B664" t="s">
        <v>332</v>
      </c>
      <c r="C664" t="s">
        <v>984</v>
      </c>
      <c r="D664" s="30">
        <v>0.41099537037037037</v>
      </c>
      <c r="E664" t="s">
        <v>302</v>
      </c>
      <c r="F664" t="s">
        <v>299</v>
      </c>
      <c r="G664" t="s">
        <v>299</v>
      </c>
      <c r="H664">
        <v>94</v>
      </c>
      <c r="I664" s="30">
        <v>6.4814814814814813E-4</v>
      </c>
      <c r="J664">
        <v>4</v>
      </c>
    </row>
    <row r="665" spans="1:10" x14ac:dyDescent="0.35">
      <c r="A665" t="s">
        <v>985</v>
      </c>
      <c r="B665" t="s">
        <v>307</v>
      </c>
      <c r="C665" t="s">
        <v>984</v>
      </c>
      <c r="D665" s="30">
        <v>0.41099537037037037</v>
      </c>
      <c r="E665" t="s">
        <v>317</v>
      </c>
      <c r="F665" t="s">
        <v>299</v>
      </c>
      <c r="G665" t="s">
        <v>299</v>
      </c>
      <c r="H665">
        <v>85</v>
      </c>
      <c r="I665" s="30">
        <v>3.6342592592592594E-3</v>
      </c>
      <c r="J665">
        <v>5</v>
      </c>
    </row>
    <row r="666" spans="1:10" x14ac:dyDescent="0.35">
      <c r="A666" t="s">
        <v>986</v>
      </c>
      <c r="B666" t="s">
        <v>316</v>
      </c>
      <c r="C666" t="s">
        <v>984</v>
      </c>
      <c r="D666" s="30">
        <v>0.41499999999999998</v>
      </c>
      <c r="E666" t="s">
        <v>309</v>
      </c>
      <c r="F666" t="s">
        <v>299</v>
      </c>
      <c r="G666" t="s">
        <v>299</v>
      </c>
      <c r="H666">
        <v>22</v>
      </c>
      <c r="I666" s="30">
        <v>3.2175925925925926E-3</v>
      </c>
      <c r="J666">
        <v>3</v>
      </c>
    </row>
    <row r="667" spans="1:10" x14ac:dyDescent="0.35">
      <c r="A667" t="s">
        <v>987</v>
      </c>
      <c r="B667" t="s">
        <v>301</v>
      </c>
      <c r="C667" t="s">
        <v>984</v>
      </c>
      <c r="D667" s="30">
        <v>0.41499999999999998</v>
      </c>
      <c r="E667" t="s">
        <v>298</v>
      </c>
      <c r="F667" t="s">
        <v>299</v>
      </c>
      <c r="G667" t="s">
        <v>299</v>
      </c>
      <c r="H667">
        <v>119</v>
      </c>
      <c r="I667" s="30">
        <v>4.7569444444444447E-3</v>
      </c>
      <c r="J667">
        <v>5</v>
      </c>
    </row>
    <row r="668" spans="1:10" x14ac:dyDescent="0.35">
      <c r="A668" t="s">
        <v>988</v>
      </c>
      <c r="B668" t="s">
        <v>301</v>
      </c>
      <c r="C668" t="s">
        <v>984</v>
      </c>
      <c r="D668" s="30">
        <v>0.42499999999999999</v>
      </c>
      <c r="E668" t="s">
        <v>309</v>
      </c>
      <c r="F668" t="s">
        <v>299</v>
      </c>
      <c r="G668" t="s">
        <v>299</v>
      </c>
      <c r="H668">
        <v>13</v>
      </c>
      <c r="I668" s="30">
        <v>1.6319444444444445E-3</v>
      </c>
      <c r="J668">
        <v>4</v>
      </c>
    </row>
    <row r="669" spans="1:10" x14ac:dyDescent="0.35">
      <c r="A669" t="s">
        <v>989</v>
      </c>
      <c r="B669" t="s">
        <v>323</v>
      </c>
      <c r="C669" t="s">
        <v>984</v>
      </c>
      <c r="D669" s="30">
        <v>0.42499999999999999</v>
      </c>
      <c r="E669" t="s">
        <v>298</v>
      </c>
      <c r="F669" t="s">
        <v>299</v>
      </c>
      <c r="G669" t="s">
        <v>299</v>
      </c>
      <c r="H669">
        <v>60</v>
      </c>
      <c r="I669" s="30">
        <v>3.0092592592592593E-3</v>
      </c>
      <c r="J669">
        <v>4</v>
      </c>
    </row>
    <row r="670" spans="1:10" x14ac:dyDescent="0.35">
      <c r="A670" t="s">
        <v>990</v>
      </c>
      <c r="B670" t="s">
        <v>296</v>
      </c>
      <c r="C670" t="s">
        <v>984</v>
      </c>
      <c r="D670" s="30">
        <v>0.42799768518518516</v>
      </c>
      <c r="E670" t="s">
        <v>314</v>
      </c>
      <c r="F670" t="s">
        <v>303</v>
      </c>
      <c r="G670" t="s">
        <v>303</v>
      </c>
    </row>
    <row r="671" spans="1:10" x14ac:dyDescent="0.35">
      <c r="A671" t="s">
        <v>991</v>
      </c>
      <c r="B671" t="s">
        <v>316</v>
      </c>
      <c r="C671" t="s">
        <v>984</v>
      </c>
      <c r="D671" s="30">
        <v>0.42799768518518516</v>
      </c>
      <c r="E671" t="s">
        <v>309</v>
      </c>
      <c r="F671" t="s">
        <v>299</v>
      </c>
      <c r="G671" t="s">
        <v>299</v>
      </c>
      <c r="H671">
        <v>29</v>
      </c>
      <c r="I671" s="30">
        <v>4.2013888888888891E-3</v>
      </c>
      <c r="J671">
        <v>1</v>
      </c>
    </row>
    <row r="672" spans="1:10" x14ac:dyDescent="0.35">
      <c r="A672" t="s">
        <v>992</v>
      </c>
      <c r="B672" t="s">
        <v>296</v>
      </c>
      <c r="C672" t="s">
        <v>984</v>
      </c>
      <c r="D672" s="30">
        <v>0.44400462962962961</v>
      </c>
      <c r="E672" t="s">
        <v>309</v>
      </c>
      <c r="F672" t="s">
        <v>299</v>
      </c>
      <c r="G672" t="s">
        <v>303</v>
      </c>
      <c r="H672">
        <v>41</v>
      </c>
      <c r="I672" s="30">
        <v>4.0162037037037041E-3</v>
      </c>
      <c r="J672">
        <v>5</v>
      </c>
    </row>
    <row r="673" spans="1:10" x14ac:dyDescent="0.35">
      <c r="A673" t="s">
        <v>993</v>
      </c>
      <c r="B673" t="s">
        <v>323</v>
      </c>
      <c r="C673" t="s">
        <v>984</v>
      </c>
      <c r="D673" s="30">
        <v>0.44400462962962961</v>
      </c>
      <c r="E673" t="s">
        <v>298</v>
      </c>
      <c r="F673" t="s">
        <v>299</v>
      </c>
      <c r="G673" t="s">
        <v>299</v>
      </c>
      <c r="H673">
        <v>87</v>
      </c>
      <c r="I673" s="30">
        <v>3.9351851851851848E-3</v>
      </c>
      <c r="J673">
        <v>5</v>
      </c>
    </row>
    <row r="674" spans="1:10" x14ac:dyDescent="0.35">
      <c r="A674" t="s">
        <v>994</v>
      </c>
      <c r="B674" t="s">
        <v>316</v>
      </c>
      <c r="C674" t="s">
        <v>984</v>
      </c>
      <c r="D674" s="30">
        <v>0.45</v>
      </c>
      <c r="E674" t="s">
        <v>298</v>
      </c>
      <c r="F674" t="s">
        <v>299</v>
      </c>
      <c r="G674" t="s">
        <v>299</v>
      </c>
      <c r="H674">
        <v>77</v>
      </c>
      <c r="I674" s="30">
        <v>3.1018518518518517E-3</v>
      </c>
      <c r="J674">
        <v>5</v>
      </c>
    </row>
    <row r="675" spans="1:10" x14ac:dyDescent="0.35">
      <c r="A675" t="s">
        <v>995</v>
      </c>
      <c r="B675" t="s">
        <v>316</v>
      </c>
      <c r="C675" t="s">
        <v>984</v>
      </c>
      <c r="D675" s="30">
        <v>0.45</v>
      </c>
      <c r="E675" t="s">
        <v>309</v>
      </c>
      <c r="F675" t="s">
        <v>303</v>
      </c>
      <c r="G675" t="s">
        <v>303</v>
      </c>
    </row>
    <row r="676" spans="1:10" x14ac:dyDescent="0.35">
      <c r="A676" t="s">
        <v>996</v>
      </c>
      <c r="B676" t="s">
        <v>332</v>
      </c>
      <c r="C676" t="s">
        <v>984</v>
      </c>
      <c r="D676" s="30">
        <v>0.45099537037037035</v>
      </c>
      <c r="E676" t="s">
        <v>314</v>
      </c>
      <c r="F676" t="s">
        <v>299</v>
      </c>
      <c r="G676" t="s">
        <v>299</v>
      </c>
      <c r="H676">
        <v>30</v>
      </c>
      <c r="I676" s="30">
        <v>1.9212962962962964E-3</v>
      </c>
      <c r="J676">
        <v>4</v>
      </c>
    </row>
    <row r="677" spans="1:10" x14ac:dyDescent="0.35">
      <c r="A677" t="s">
        <v>997</v>
      </c>
      <c r="B677" t="s">
        <v>305</v>
      </c>
      <c r="C677" t="s">
        <v>984</v>
      </c>
      <c r="D677" s="30">
        <v>0.45099537037037035</v>
      </c>
      <c r="E677" t="s">
        <v>309</v>
      </c>
      <c r="F677" t="s">
        <v>303</v>
      </c>
      <c r="G677" t="s">
        <v>303</v>
      </c>
    </row>
    <row r="678" spans="1:10" x14ac:dyDescent="0.35">
      <c r="A678" t="s">
        <v>998</v>
      </c>
      <c r="B678" t="s">
        <v>316</v>
      </c>
      <c r="C678" t="s">
        <v>984</v>
      </c>
      <c r="D678" s="30">
        <v>0.46299768518518519</v>
      </c>
      <c r="E678" t="s">
        <v>309</v>
      </c>
      <c r="F678" t="s">
        <v>299</v>
      </c>
      <c r="G678" t="s">
        <v>299</v>
      </c>
      <c r="H678">
        <v>81</v>
      </c>
      <c r="I678" s="30">
        <v>3.8194444444444443E-3</v>
      </c>
      <c r="J678">
        <v>3</v>
      </c>
    </row>
    <row r="679" spans="1:10" x14ac:dyDescent="0.35">
      <c r="A679" t="s">
        <v>999</v>
      </c>
      <c r="B679" t="s">
        <v>305</v>
      </c>
      <c r="C679" t="s">
        <v>984</v>
      </c>
      <c r="D679" s="30">
        <v>0.46299768518518519</v>
      </c>
      <c r="E679" t="s">
        <v>298</v>
      </c>
      <c r="F679" t="s">
        <v>299</v>
      </c>
      <c r="G679" t="s">
        <v>299</v>
      </c>
      <c r="H679">
        <v>76</v>
      </c>
      <c r="I679" s="30">
        <v>1.6435185185185185E-3</v>
      </c>
      <c r="J679">
        <v>4</v>
      </c>
    </row>
    <row r="680" spans="1:10" x14ac:dyDescent="0.35">
      <c r="A680" t="s">
        <v>1000</v>
      </c>
      <c r="B680" t="s">
        <v>296</v>
      </c>
      <c r="C680" t="s">
        <v>984</v>
      </c>
      <c r="D680" s="30">
        <v>0.48700231481481482</v>
      </c>
      <c r="E680" t="s">
        <v>298</v>
      </c>
      <c r="F680" t="s">
        <v>303</v>
      </c>
      <c r="G680" t="s">
        <v>303</v>
      </c>
    </row>
    <row r="681" spans="1:10" x14ac:dyDescent="0.35">
      <c r="A681" t="s">
        <v>1001</v>
      </c>
      <c r="B681" t="s">
        <v>307</v>
      </c>
      <c r="C681" t="s">
        <v>984</v>
      </c>
      <c r="D681" s="30">
        <v>0.48700231481481482</v>
      </c>
      <c r="E681" t="s">
        <v>298</v>
      </c>
      <c r="F681" t="s">
        <v>299</v>
      </c>
      <c r="G681" t="s">
        <v>299</v>
      </c>
      <c r="H681">
        <v>79</v>
      </c>
      <c r="I681" s="30">
        <v>2.3726851851851851E-3</v>
      </c>
      <c r="J681">
        <v>4</v>
      </c>
    </row>
    <row r="682" spans="1:10" x14ac:dyDescent="0.35">
      <c r="A682" t="s">
        <v>1002</v>
      </c>
      <c r="B682" t="s">
        <v>319</v>
      </c>
      <c r="C682" t="s">
        <v>984</v>
      </c>
      <c r="D682" s="30">
        <v>0.50299768518518517</v>
      </c>
      <c r="E682" t="s">
        <v>314</v>
      </c>
      <c r="F682" t="s">
        <v>299</v>
      </c>
      <c r="G682" t="s">
        <v>299</v>
      </c>
      <c r="H682">
        <v>114</v>
      </c>
      <c r="I682" s="30">
        <v>3.8194444444444443E-3</v>
      </c>
      <c r="J682">
        <v>3</v>
      </c>
    </row>
    <row r="683" spans="1:10" x14ac:dyDescent="0.35">
      <c r="A683" t="s">
        <v>1003</v>
      </c>
      <c r="B683" t="s">
        <v>307</v>
      </c>
      <c r="C683" t="s">
        <v>984</v>
      </c>
      <c r="D683" s="30">
        <v>0.50299768518518517</v>
      </c>
      <c r="E683" t="s">
        <v>298</v>
      </c>
      <c r="F683" t="s">
        <v>299</v>
      </c>
      <c r="G683" t="s">
        <v>299</v>
      </c>
      <c r="H683">
        <v>15</v>
      </c>
      <c r="I683" s="30">
        <v>4.8611111111111112E-3</v>
      </c>
      <c r="J683">
        <v>2</v>
      </c>
    </row>
    <row r="684" spans="1:10" x14ac:dyDescent="0.35">
      <c r="A684" t="s">
        <v>1004</v>
      </c>
      <c r="B684" t="s">
        <v>301</v>
      </c>
      <c r="C684" t="s">
        <v>984</v>
      </c>
      <c r="D684" s="30">
        <v>0.54400462962962959</v>
      </c>
      <c r="E684" t="s">
        <v>317</v>
      </c>
      <c r="F684" t="s">
        <v>299</v>
      </c>
      <c r="G684" t="s">
        <v>299</v>
      </c>
      <c r="H684">
        <v>43</v>
      </c>
      <c r="I684" s="30">
        <v>2.3148148148148147E-3</v>
      </c>
      <c r="J684">
        <v>4</v>
      </c>
    </row>
    <row r="685" spans="1:10" x14ac:dyDescent="0.35">
      <c r="A685" t="s">
        <v>1005</v>
      </c>
      <c r="B685" t="s">
        <v>305</v>
      </c>
      <c r="C685" t="s">
        <v>984</v>
      </c>
      <c r="D685" s="30">
        <v>0.54400462962962959</v>
      </c>
      <c r="E685" t="s">
        <v>302</v>
      </c>
      <c r="F685" t="s">
        <v>299</v>
      </c>
      <c r="G685" t="s">
        <v>299</v>
      </c>
      <c r="H685">
        <v>26</v>
      </c>
      <c r="I685" s="30">
        <v>4.4907407407407405E-3</v>
      </c>
      <c r="J685">
        <v>1</v>
      </c>
    </row>
    <row r="686" spans="1:10" x14ac:dyDescent="0.35">
      <c r="A686" t="s">
        <v>1006</v>
      </c>
      <c r="B686" t="s">
        <v>307</v>
      </c>
      <c r="C686" t="s">
        <v>984</v>
      </c>
      <c r="D686" s="30">
        <v>0.56299768518518523</v>
      </c>
      <c r="E686" t="s">
        <v>302</v>
      </c>
      <c r="F686" t="s">
        <v>299</v>
      </c>
      <c r="G686" t="s">
        <v>299</v>
      </c>
      <c r="H686">
        <v>57</v>
      </c>
      <c r="I686" s="30">
        <v>2.4537037037037036E-3</v>
      </c>
      <c r="J686">
        <v>2</v>
      </c>
    </row>
    <row r="687" spans="1:10" x14ac:dyDescent="0.35">
      <c r="A687" t="s">
        <v>1007</v>
      </c>
      <c r="B687" t="s">
        <v>305</v>
      </c>
      <c r="C687" t="s">
        <v>984</v>
      </c>
      <c r="D687" s="30">
        <v>0.56299768518518523</v>
      </c>
      <c r="E687" t="s">
        <v>298</v>
      </c>
      <c r="F687" t="s">
        <v>299</v>
      </c>
      <c r="G687" t="s">
        <v>299</v>
      </c>
      <c r="H687">
        <v>86</v>
      </c>
      <c r="I687" s="30">
        <v>1.7824074074074075E-3</v>
      </c>
      <c r="J687">
        <v>3</v>
      </c>
    </row>
    <row r="688" spans="1:10" x14ac:dyDescent="0.35">
      <c r="A688" t="s">
        <v>1008</v>
      </c>
      <c r="B688" t="s">
        <v>296</v>
      </c>
      <c r="C688" t="s">
        <v>984</v>
      </c>
      <c r="D688" s="30">
        <v>0.56799768518518523</v>
      </c>
      <c r="E688" t="s">
        <v>309</v>
      </c>
      <c r="F688" t="s">
        <v>299</v>
      </c>
      <c r="G688" t="s">
        <v>299</v>
      </c>
      <c r="H688">
        <v>110</v>
      </c>
      <c r="I688" s="30">
        <v>3.3101851851851851E-3</v>
      </c>
      <c r="J688">
        <v>3</v>
      </c>
    </row>
    <row r="689" spans="1:10" x14ac:dyDescent="0.35">
      <c r="A689" t="s">
        <v>1009</v>
      </c>
      <c r="B689" t="s">
        <v>301</v>
      </c>
      <c r="C689" t="s">
        <v>984</v>
      </c>
      <c r="D689" s="30">
        <v>0.56799768518518523</v>
      </c>
      <c r="E689" t="s">
        <v>298</v>
      </c>
      <c r="F689" t="s">
        <v>299</v>
      </c>
      <c r="G689" t="s">
        <v>299</v>
      </c>
      <c r="H689">
        <v>43</v>
      </c>
      <c r="I689" s="30">
        <v>3.3564814814814816E-3</v>
      </c>
      <c r="J689">
        <v>2</v>
      </c>
    </row>
    <row r="690" spans="1:10" x14ac:dyDescent="0.35">
      <c r="A690" t="s">
        <v>1010</v>
      </c>
      <c r="B690" t="s">
        <v>323</v>
      </c>
      <c r="C690" t="s">
        <v>984</v>
      </c>
      <c r="D690" s="30">
        <v>0.5709953703703704</v>
      </c>
      <c r="E690" t="s">
        <v>302</v>
      </c>
      <c r="F690" t="s">
        <v>303</v>
      </c>
      <c r="G690" t="s">
        <v>303</v>
      </c>
    </row>
    <row r="691" spans="1:10" x14ac:dyDescent="0.35">
      <c r="A691" t="s">
        <v>1011</v>
      </c>
      <c r="B691" t="s">
        <v>323</v>
      </c>
      <c r="C691" t="s">
        <v>984</v>
      </c>
      <c r="D691" s="30">
        <v>0.5709953703703704</v>
      </c>
      <c r="E691" t="s">
        <v>314</v>
      </c>
      <c r="F691" t="s">
        <v>303</v>
      </c>
      <c r="G691" t="s">
        <v>303</v>
      </c>
    </row>
    <row r="692" spans="1:10" x14ac:dyDescent="0.35">
      <c r="A692" t="s">
        <v>1012</v>
      </c>
      <c r="B692" t="s">
        <v>319</v>
      </c>
      <c r="C692" t="s">
        <v>984</v>
      </c>
      <c r="D692" s="30">
        <v>0.5920023148148148</v>
      </c>
      <c r="E692" t="s">
        <v>302</v>
      </c>
      <c r="F692" t="s">
        <v>299</v>
      </c>
      <c r="G692" t="s">
        <v>299</v>
      </c>
      <c r="H692">
        <v>105</v>
      </c>
      <c r="I692" s="30">
        <v>2.0949074074074073E-3</v>
      </c>
      <c r="J692">
        <v>2</v>
      </c>
    </row>
    <row r="693" spans="1:10" x14ac:dyDescent="0.35">
      <c r="A693" t="s">
        <v>1013</v>
      </c>
      <c r="B693" t="s">
        <v>296</v>
      </c>
      <c r="C693" t="s">
        <v>984</v>
      </c>
      <c r="D693" s="30">
        <v>0.5920023148148148</v>
      </c>
      <c r="E693" t="s">
        <v>302</v>
      </c>
      <c r="F693" t="s">
        <v>303</v>
      </c>
      <c r="G693" t="s">
        <v>303</v>
      </c>
    </row>
    <row r="694" spans="1:10" x14ac:dyDescent="0.35">
      <c r="A694" t="s">
        <v>1014</v>
      </c>
      <c r="B694" t="s">
        <v>307</v>
      </c>
      <c r="C694" t="s">
        <v>984</v>
      </c>
      <c r="D694" s="30">
        <v>0.61900462962962965</v>
      </c>
      <c r="E694" t="s">
        <v>314</v>
      </c>
      <c r="F694" t="s">
        <v>299</v>
      </c>
      <c r="G694" t="s">
        <v>299</v>
      </c>
      <c r="H694">
        <v>79</v>
      </c>
      <c r="I694" s="30">
        <v>5.5555555555555556E-4</v>
      </c>
      <c r="J694">
        <v>4</v>
      </c>
    </row>
    <row r="695" spans="1:10" x14ac:dyDescent="0.35">
      <c r="A695" t="s">
        <v>1015</v>
      </c>
      <c r="B695" t="s">
        <v>316</v>
      </c>
      <c r="C695" t="s">
        <v>984</v>
      </c>
      <c r="D695" s="30">
        <v>0.61900462962962965</v>
      </c>
      <c r="E695" t="s">
        <v>309</v>
      </c>
      <c r="F695" t="s">
        <v>299</v>
      </c>
      <c r="G695" t="s">
        <v>303</v>
      </c>
      <c r="H695">
        <v>42</v>
      </c>
      <c r="I695" s="30">
        <v>2.4074074074074076E-3</v>
      </c>
      <c r="J695">
        <v>3</v>
      </c>
    </row>
    <row r="696" spans="1:10" x14ac:dyDescent="0.35">
      <c r="A696" t="s">
        <v>1016</v>
      </c>
      <c r="B696" t="s">
        <v>316</v>
      </c>
      <c r="C696" t="s">
        <v>984</v>
      </c>
      <c r="D696" s="30">
        <v>0.63099537037037035</v>
      </c>
      <c r="E696" t="s">
        <v>298</v>
      </c>
      <c r="F696" t="s">
        <v>299</v>
      </c>
      <c r="G696" t="s">
        <v>303</v>
      </c>
      <c r="H696">
        <v>100</v>
      </c>
      <c r="I696" s="30">
        <v>6.5972222222222224E-4</v>
      </c>
      <c r="J696">
        <v>4</v>
      </c>
    </row>
    <row r="697" spans="1:10" x14ac:dyDescent="0.35">
      <c r="A697" t="s">
        <v>1017</v>
      </c>
      <c r="B697" t="s">
        <v>307</v>
      </c>
      <c r="C697" t="s">
        <v>984</v>
      </c>
      <c r="D697" s="30">
        <v>0.63099537037037035</v>
      </c>
      <c r="E697" t="s">
        <v>317</v>
      </c>
      <c r="F697" t="s">
        <v>299</v>
      </c>
      <c r="G697" t="s">
        <v>299</v>
      </c>
      <c r="H697">
        <v>107</v>
      </c>
      <c r="I697" s="30">
        <v>4.4907407407407405E-3</v>
      </c>
      <c r="J697">
        <v>4</v>
      </c>
    </row>
    <row r="698" spans="1:10" x14ac:dyDescent="0.35">
      <c r="A698" t="s">
        <v>1018</v>
      </c>
      <c r="B698" t="s">
        <v>323</v>
      </c>
      <c r="C698" t="s">
        <v>984</v>
      </c>
      <c r="D698" s="30">
        <v>0.64099537037037035</v>
      </c>
      <c r="E698" t="s">
        <v>309</v>
      </c>
      <c r="F698" t="s">
        <v>299</v>
      </c>
      <c r="G698" t="s">
        <v>299</v>
      </c>
      <c r="H698">
        <v>96</v>
      </c>
      <c r="I698" s="30">
        <v>2.627314814814815E-3</v>
      </c>
      <c r="J698">
        <v>5</v>
      </c>
    </row>
    <row r="699" spans="1:10" x14ac:dyDescent="0.35">
      <c r="A699" t="s">
        <v>1019</v>
      </c>
      <c r="B699" t="s">
        <v>307</v>
      </c>
      <c r="C699" t="s">
        <v>984</v>
      </c>
      <c r="D699" s="30">
        <v>0.64099537037037035</v>
      </c>
      <c r="E699" t="s">
        <v>317</v>
      </c>
      <c r="F699" t="s">
        <v>299</v>
      </c>
      <c r="G699" t="s">
        <v>303</v>
      </c>
      <c r="H699">
        <v>116</v>
      </c>
      <c r="I699" s="30">
        <v>2.9513888888888888E-3</v>
      </c>
      <c r="J699">
        <v>5</v>
      </c>
    </row>
    <row r="700" spans="1:10" x14ac:dyDescent="0.35">
      <c r="A700" t="s">
        <v>1020</v>
      </c>
      <c r="B700" t="s">
        <v>323</v>
      </c>
      <c r="C700" t="s">
        <v>984</v>
      </c>
      <c r="D700" s="30">
        <v>0.6579976851851852</v>
      </c>
      <c r="E700" t="s">
        <v>302</v>
      </c>
      <c r="F700" t="s">
        <v>299</v>
      </c>
      <c r="G700" t="s">
        <v>299</v>
      </c>
      <c r="H700">
        <v>54</v>
      </c>
      <c r="I700" s="30">
        <v>2.0138888888888888E-3</v>
      </c>
      <c r="J700">
        <v>3</v>
      </c>
    </row>
    <row r="701" spans="1:10" x14ac:dyDescent="0.35">
      <c r="A701" t="s">
        <v>1021</v>
      </c>
      <c r="B701" t="s">
        <v>296</v>
      </c>
      <c r="C701" t="s">
        <v>984</v>
      </c>
      <c r="D701" s="30">
        <v>0.6579976851851852</v>
      </c>
      <c r="E701" t="s">
        <v>317</v>
      </c>
      <c r="F701" t="s">
        <v>299</v>
      </c>
      <c r="G701" t="s">
        <v>299</v>
      </c>
      <c r="H701">
        <v>24</v>
      </c>
      <c r="I701" s="30">
        <v>4.4560185185185189E-3</v>
      </c>
      <c r="J701">
        <v>4</v>
      </c>
    </row>
    <row r="702" spans="1:10" x14ac:dyDescent="0.35">
      <c r="A702" t="s">
        <v>1022</v>
      </c>
      <c r="B702" t="s">
        <v>332</v>
      </c>
      <c r="C702" t="s">
        <v>984</v>
      </c>
      <c r="D702" s="30">
        <v>0.66099537037037037</v>
      </c>
      <c r="E702" t="s">
        <v>298</v>
      </c>
      <c r="F702" t="s">
        <v>299</v>
      </c>
      <c r="G702" t="s">
        <v>299</v>
      </c>
      <c r="H702">
        <v>52</v>
      </c>
      <c r="I702" s="30">
        <v>2.0370370370370369E-3</v>
      </c>
      <c r="J702">
        <v>5</v>
      </c>
    </row>
    <row r="703" spans="1:10" x14ac:dyDescent="0.35">
      <c r="A703" t="s">
        <v>1023</v>
      </c>
      <c r="B703" t="s">
        <v>332</v>
      </c>
      <c r="C703" t="s">
        <v>984</v>
      </c>
      <c r="D703" s="30">
        <v>0.66099537037037037</v>
      </c>
      <c r="E703" t="s">
        <v>298</v>
      </c>
      <c r="F703" t="s">
        <v>299</v>
      </c>
      <c r="G703" t="s">
        <v>299</v>
      </c>
      <c r="H703">
        <v>77</v>
      </c>
      <c r="I703" s="30">
        <v>5.9027777777777778E-4</v>
      </c>
      <c r="J703">
        <v>3</v>
      </c>
    </row>
    <row r="704" spans="1:10" x14ac:dyDescent="0.35">
      <c r="A704" t="s">
        <v>1024</v>
      </c>
      <c r="B704" t="s">
        <v>296</v>
      </c>
      <c r="C704" t="s">
        <v>984</v>
      </c>
      <c r="D704" s="30">
        <v>0.67500000000000004</v>
      </c>
      <c r="E704" t="s">
        <v>314</v>
      </c>
      <c r="F704" t="s">
        <v>299</v>
      </c>
      <c r="G704" t="s">
        <v>299</v>
      </c>
      <c r="H704">
        <v>91</v>
      </c>
      <c r="I704" s="30">
        <v>1.1574074074074073E-3</v>
      </c>
      <c r="J704">
        <v>3</v>
      </c>
    </row>
    <row r="705" spans="1:10" x14ac:dyDescent="0.35">
      <c r="A705" t="s">
        <v>1025</v>
      </c>
      <c r="B705" t="s">
        <v>332</v>
      </c>
      <c r="C705" t="s">
        <v>984</v>
      </c>
      <c r="D705" s="30">
        <v>0.67500000000000004</v>
      </c>
      <c r="E705" t="s">
        <v>317</v>
      </c>
      <c r="F705" t="s">
        <v>299</v>
      </c>
      <c r="G705" t="s">
        <v>303</v>
      </c>
      <c r="H705">
        <v>104</v>
      </c>
      <c r="I705" s="30">
        <v>1.2037037037037038E-3</v>
      </c>
      <c r="J705">
        <v>3</v>
      </c>
    </row>
    <row r="706" spans="1:10" x14ac:dyDescent="0.35">
      <c r="A706" t="s">
        <v>1026</v>
      </c>
      <c r="B706" t="s">
        <v>319</v>
      </c>
      <c r="C706" t="s">
        <v>984</v>
      </c>
      <c r="D706" s="30">
        <v>0.69799768518518523</v>
      </c>
      <c r="E706" t="s">
        <v>302</v>
      </c>
      <c r="F706" t="s">
        <v>299</v>
      </c>
      <c r="G706" t="s">
        <v>299</v>
      </c>
      <c r="H706">
        <v>111</v>
      </c>
      <c r="I706" s="30">
        <v>1.8055555555555555E-3</v>
      </c>
      <c r="J706">
        <v>3</v>
      </c>
    </row>
    <row r="707" spans="1:10" x14ac:dyDescent="0.35">
      <c r="A707" t="s">
        <v>1027</v>
      </c>
      <c r="B707" t="s">
        <v>301</v>
      </c>
      <c r="C707" t="s">
        <v>984</v>
      </c>
      <c r="D707" s="30">
        <v>0.69799768518518523</v>
      </c>
      <c r="E707" t="s">
        <v>302</v>
      </c>
      <c r="F707" t="s">
        <v>303</v>
      </c>
      <c r="G707" t="s">
        <v>303</v>
      </c>
    </row>
    <row r="708" spans="1:10" x14ac:dyDescent="0.35">
      <c r="A708" t="s">
        <v>1028</v>
      </c>
      <c r="B708" t="s">
        <v>316</v>
      </c>
      <c r="C708" t="s">
        <v>984</v>
      </c>
      <c r="D708" s="30">
        <v>0.69900462962962961</v>
      </c>
      <c r="E708" t="s">
        <v>309</v>
      </c>
      <c r="F708" t="s">
        <v>299</v>
      </c>
      <c r="G708" t="s">
        <v>299</v>
      </c>
      <c r="H708">
        <v>55</v>
      </c>
      <c r="I708" s="30">
        <v>3.5648148148148149E-3</v>
      </c>
      <c r="J708">
        <v>4</v>
      </c>
    </row>
    <row r="709" spans="1:10" x14ac:dyDescent="0.35">
      <c r="A709" t="s">
        <v>1029</v>
      </c>
      <c r="B709" t="s">
        <v>305</v>
      </c>
      <c r="C709" t="s">
        <v>984</v>
      </c>
      <c r="D709" s="30">
        <v>0.69900462962962961</v>
      </c>
      <c r="E709" t="s">
        <v>314</v>
      </c>
      <c r="F709" t="s">
        <v>303</v>
      </c>
      <c r="G709" t="s">
        <v>303</v>
      </c>
    </row>
    <row r="710" spans="1:10" x14ac:dyDescent="0.35">
      <c r="A710" t="s">
        <v>1030</v>
      </c>
      <c r="B710" t="s">
        <v>319</v>
      </c>
      <c r="C710" t="s">
        <v>984</v>
      </c>
      <c r="D710" s="30">
        <v>0.70099537037037041</v>
      </c>
      <c r="E710" t="s">
        <v>298</v>
      </c>
      <c r="F710" t="s">
        <v>299</v>
      </c>
      <c r="G710" t="s">
        <v>299</v>
      </c>
      <c r="H710">
        <v>124</v>
      </c>
      <c r="I710" s="30">
        <v>3.7731481481481483E-3</v>
      </c>
      <c r="J710">
        <v>4</v>
      </c>
    </row>
    <row r="711" spans="1:10" x14ac:dyDescent="0.35">
      <c r="A711" t="s">
        <v>1031</v>
      </c>
      <c r="B711" t="s">
        <v>323</v>
      </c>
      <c r="C711" t="s">
        <v>984</v>
      </c>
      <c r="D711" s="30">
        <v>0.70099537037037041</v>
      </c>
      <c r="E711" t="s">
        <v>309</v>
      </c>
      <c r="F711" t="s">
        <v>299</v>
      </c>
      <c r="G711" t="s">
        <v>299</v>
      </c>
      <c r="H711">
        <v>68</v>
      </c>
      <c r="I711" s="30">
        <v>3.2060185185185186E-3</v>
      </c>
      <c r="J711">
        <v>3</v>
      </c>
    </row>
    <row r="712" spans="1:10" x14ac:dyDescent="0.35">
      <c r="A712" t="s">
        <v>1032</v>
      </c>
      <c r="B712" t="s">
        <v>332</v>
      </c>
      <c r="C712" t="s">
        <v>984</v>
      </c>
      <c r="D712" s="30">
        <v>0.70200231481481479</v>
      </c>
      <c r="E712" t="s">
        <v>302</v>
      </c>
      <c r="F712" t="s">
        <v>299</v>
      </c>
      <c r="G712" t="s">
        <v>303</v>
      </c>
      <c r="H712">
        <v>40</v>
      </c>
      <c r="I712" s="30">
        <v>3.1597222222222222E-3</v>
      </c>
      <c r="J712">
        <v>3</v>
      </c>
    </row>
    <row r="713" spans="1:10" x14ac:dyDescent="0.35">
      <c r="A713" t="s">
        <v>1033</v>
      </c>
      <c r="B713" t="s">
        <v>305</v>
      </c>
      <c r="C713" t="s">
        <v>984</v>
      </c>
      <c r="D713" s="30">
        <v>0.70200231481481479</v>
      </c>
      <c r="E713" t="s">
        <v>309</v>
      </c>
      <c r="F713" t="s">
        <v>299</v>
      </c>
      <c r="G713" t="s">
        <v>299</v>
      </c>
      <c r="H713">
        <v>119</v>
      </c>
      <c r="I713" s="30">
        <v>1.7939814814814815E-3</v>
      </c>
      <c r="J713">
        <v>4</v>
      </c>
    </row>
    <row r="714" spans="1:10" x14ac:dyDescent="0.35">
      <c r="A714" t="s">
        <v>1034</v>
      </c>
      <c r="B714" t="s">
        <v>332</v>
      </c>
      <c r="C714" t="s">
        <v>984</v>
      </c>
      <c r="D714" s="30">
        <v>0.70299768518518524</v>
      </c>
      <c r="E714" t="s">
        <v>309</v>
      </c>
      <c r="F714" t="s">
        <v>299</v>
      </c>
      <c r="G714" t="s">
        <v>299</v>
      </c>
      <c r="H714">
        <v>42</v>
      </c>
      <c r="I714" s="30">
        <v>6.3657407407407413E-4</v>
      </c>
      <c r="J714">
        <v>1</v>
      </c>
    </row>
    <row r="715" spans="1:10" x14ac:dyDescent="0.35">
      <c r="A715" t="s">
        <v>1035</v>
      </c>
      <c r="B715" t="s">
        <v>319</v>
      </c>
      <c r="C715" t="s">
        <v>984</v>
      </c>
      <c r="D715" s="30">
        <v>0.70299768518518524</v>
      </c>
      <c r="E715" t="s">
        <v>314</v>
      </c>
      <c r="F715" t="s">
        <v>299</v>
      </c>
      <c r="G715" t="s">
        <v>299</v>
      </c>
      <c r="H715">
        <v>30</v>
      </c>
      <c r="I715" s="30">
        <v>2.7199074074074074E-3</v>
      </c>
      <c r="J715">
        <v>4</v>
      </c>
    </row>
    <row r="716" spans="1:10" x14ac:dyDescent="0.35">
      <c r="A716" t="s">
        <v>1036</v>
      </c>
      <c r="B716" t="s">
        <v>316</v>
      </c>
      <c r="C716" t="s">
        <v>984</v>
      </c>
      <c r="D716" s="30">
        <v>0.71299768518518514</v>
      </c>
      <c r="E716" t="s">
        <v>314</v>
      </c>
      <c r="F716" t="s">
        <v>299</v>
      </c>
      <c r="G716" t="s">
        <v>299</v>
      </c>
      <c r="H716">
        <v>79</v>
      </c>
      <c r="I716" s="30">
        <v>3.0208333333333333E-3</v>
      </c>
      <c r="J716">
        <v>4</v>
      </c>
    </row>
    <row r="717" spans="1:10" x14ac:dyDescent="0.35">
      <c r="A717" t="s">
        <v>1037</v>
      </c>
      <c r="B717" t="s">
        <v>301</v>
      </c>
      <c r="C717" t="s">
        <v>984</v>
      </c>
      <c r="D717" s="30">
        <v>0.71299768518518514</v>
      </c>
      <c r="E717" t="s">
        <v>298</v>
      </c>
      <c r="F717" t="s">
        <v>299</v>
      </c>
      <c r="G717" t="s">
        <v>299</v>
      </c>
      <c r="H717">
        <v>44</v>
      </c>
      <c r="I717" s="30">
        <v>4.8148148148148152E-3</v>
      </c>
      <c r="J717">
        <v>1</v>
      </c>
    </row>
    <row r="718" spans="1:10" x14ac:dyDescent="0.35">
      <c r="A718" t="s">
        <v>1038</v>
      </c>
      <c r="B718" t="s">
        <v>316</v>
      </c>
      <c r="C718" t="s">
        <v>984</v>
      </c>
      <c r="D718" s="30">
        <v>0.75</v>
      </c>
      <c r="E718" t="s">
        <v>317</v>
      </c>
      <c r="F718" t="s">
        <v>299</v>
      </c>
      <c r="G718" t="s">
        <v>299</v>
      </c>
      <c r="H718">
        <v>71</v>
      </c>
      <c r="I718" s="30">
        <v>1.3888888888888889E-3</v>
      </c>
      <c r="J718">
        <v>3</v>
      </c>
    </row>
    <row r="719" spans="1:10" x14ac:dyDescent="0.35">
      <c r="A719" t="s">
        <v>1039</v>
      </c>
      <c r="B719" t="s">
        <v>307</v>
      </c>
      <c r="C719" t="s">
        <v>984</v>
      </c>
      <c r="D719" s="30">
        <v>0.75</v>
      </c>
      <c r="E719" t="s">
        <v>317</v>
      </c>
      <c r="F719" t="s">
        <v>303</v>
      </c>
      <c r="G719" t="s">
        <v>303</v>
      </c>
    </row>
    <row r="720" spans="1:10" x14ac:dyDescent="0.35">
      <c r="A720" t="s">
        <v>1040</v>
      </c>
      <c r="B720" t="s">
        <v>319</v>
      </c>
      <c r="C720" t="s">
        <v>1041</v>
      </c>
      <c r="D720" s="30">
        <v>0.39</v>
      </c>
      <c r="E720" t="s">
        <v>314</v>
      </c>
      <c r="F720" t="s">
        <v>299</v>
      </c>
      <c r="G720" t="s">
        <v>299</v>
      </c>
      <c r="H720">
        <v>21</v>
      </c>
      <c r="I720" s="30">
        <v>4.4560185185185189E-3</v>
      </c>
      <c r="J720">
        <v>5</v>
      </c>
    </row>
    <row r="721" spans="1:10" x14ac:dyDescent="0.35">
      <c r="A721" t="s">
        <v>1042</v>
      </c>
      <c r="B721" t="s">
        <v>316</v>
      </c>
      <c r="C721" t="s">
        <v>1041</v>
      </c>
      <c r="D721" s="30">
        <v>0.39</v>
      </c>
      <c r="E721" t="s">
        <v>302</v>
      </c>
      <c r="F721" t="s">
        <v>299</v>
      </c>
      <c r="G721" t="s">
        <v>299</v>
      </c>
      <c r="H721">
        <v>122</v>
      </c>
      <c r="I721" s="30">
        <v>3.3333333333333335E-3</v>
      </c>
      <c r="J721">
        <v>4</v>
      </c>
    </row>
    <row r="722" spans="1:10" x14ac:dyDescent="0.35">
      <c r="A722" t="s">
        <v>1043</v>
      </c>
      <c r="B722" t="s">
        <v>301</v>
      </c>
      <c r="C722" t="s">
        <v>1041</v>
      </c>
      <c r="D722" s="30">
        <v>0.40599537037037037</v>
      </c>
      <c r="E722" t="s">
        <v>302</v>
      </c>
      <c r="F722" t="s">
        <v>303</v>
      </c>
      <c r="G722" t="s">
        <v>303</v>
      </c>
    </row>
    <row r="723" spans="1:10" x14ac:dyDescent="0.35">
      <c r="A723" t="s">
        <v>1044</v>
      </c>
      <c r="B723" t="s">
        <v>301</v>
      </c>
      <c r="C723" t="s">
        <v>1041</v>
      </c>
      <c r="D723" s="30">
        <v>0.40599537037037037</v>
      </c>
      <c r="E723" t="s">
        <v>314</v>
      </c>
      <c r="F723" t="s">
        <v>299</v>
      </c>
      <c r="G723" t="s">
        <v>299</v>
      </c>
      <c r="H723">
        <v>62</v>
      </c>
      <c r="I723" s="30">
        <v>1.6782407407407408E-3</v>
      </c>
      <c r="J723">
        <v>3</v>
      </c>
    </row>
    <row r="724" spans="1:10" x14ac:dyDescent="0.35">
      <c r="A724" t="s">
        <v>1045</v>
      </c>
      <c r="B724" t="s">
        <v>305</v>
      </c>
      <c r="C724" t="s">
        <v>1041</v>
      </c>
      <c r="D724" s="30">
        <v>0.4070023148148148</v>
      </c>
      <c r="E724" t="s">
        <v>298</v>
      </c>
      <c r="F724" t="s">
        <v>299</v>
      </c>
      <c r="G724" t="s">
        <v>303</v>
      </c>
      <c r="H724">
        <v>37</v>
      </c>
      <c r="I724" s="30">
        <v>1.8749999999999999E-3</v>
      </c>
      <c r="J724">
        <v>5</v>
      </c>
    </row>
    <row r="725" spans="1:10" x14ac:dyDescent="0.35">
      <c r="A725" t="s">
        <v>1046</v>
      </c>
      <c r="B725" t="s">
        <v>296</v>
      </c>
      <c r="C725" t="s">
        <v>1041</v>
      </c>
      <c r="D725" s="30">
        <v>0.4070023148148148</v>
      </c>
      <c r="E725" t="s">
        <v>298</v>
      </c>
      <c r="F725" t="s">
        <v>299</v>
      </c>
      <c r="G725" t="s">
        <v>299</v>
      </c>
      <c r="H725">
        <v>112</v>
      </c>
      <c r="I725" s="30">
        <v>4.8263888888888887E-3</v>
      </c>
      <c r="J725">
        <v>2</v>
      </c>
    </row>
    <row r="726" spans="1:10" x14ac:dyDescent="0.35">
      <c r="A726" t="s">
        <v>1047</v>
      </c>
      <c r="B726" t="s">
        <v>316</v>
      </c>
      <c r="C726" t="s">
        <v>1041</v>
      </c>
      <c r="D726" s="30">
        <v>0.41400462962962964</v>
      </c>
      <c r="E726" t="s">
        <v>298</v>
      </c>
      <c r="F726" t="s">
        <v>299</v>
      </c>
      <c r="G726" t="s">
        <v>299</v>
      </c>
      <c r="H726">
        <v>40</v>
      </c>
      <c r="I726" s="30">
        <v>2.3611111111111111E-3</v>
      </c>
      <c r="J726">
        <v>2</v>
      </c>
    </row>
    <row r="727" spans="1:10" x14ac:dyDescent="0.35">
      <c r="A727" t="s">
        <v>1048</v>
      </c>
      <c r="B727" t="s">
        <v>319</v>
      </c>
      <c r="C727" t="s">
        <v>1041</v>
      </c>
      <c r="D727" s="30">
        <v>0.41400462962962964</v>
      </c>
      <c r="E727" t="s">
        <v>317</v>
      </c>
      <c r="F727" t="s">
        <v>299</v>
      </c>
      <c r="G727" t="s">
        <v>303</v>
      </c>
      <c r="H727">
        <v>50</v>
      </c>
      <c r="I727" s="30">
        <v>1.3078703703703703E-3</v>
      </c>
      <c r="J727">
        <v>5</v>
      </c>
    </row>
    <row r="728" spans="1:10" x14ac:dyDescent="0.35">
      <c r="A728" t="s">
        <v>1049</v>
      </c>
      <c r="B728" t="s">
        <v>332</v>
      </c>
      <c r="C728" t="s">
        <v>1041</v>
      </c>
      <c r="D728" s="30">
        <v>0.44299768518518517</v>
      </c>
      <c r="E728" t="s">
        <v>317</v>
      </c>
      <c r="F728" t="s">
        <v>299</v>
      </c>
      <c r="G728" t="s">
        <v>299</v>
      </c>
      <c r="H728">
        <v>88</v>
      </c>
      <c r="I728" s="30">
        <v>2.8935185185185184E-3</v>
      </c>
      <c r="J728">
        <v>4</v>
      </c>
    </row>
    <row r="729" spans="1:10" x14ac:dyDescent="0.35">
      <c r="A729" t="s">
        <v>1050</v>
      </c>
      <c r="B729" t="s">
        <v>332</v>
      </c>
      <c r="C729" t="s">
        <v>1041</v>
      </c>
      <c r="D729" s="30">
        <v>0.44299768518518517</v>
      </c>
      <c r="E729" t="s">
        <v>314</v>
      </c>
      <c r="F729" t="s">
        <v>299</v>
      </c>
      <c r="G729" t="s">
        <v>299</v>
      </c>
      <c r="H729">
        <v>97</v>
      </c>
      <c r="I729" s="30">
        <v>6.018518518518519E-4</v>
      </c>
      <c r="J729">
        <v>3</v>
      </c>
    </row>
    <row r="730" spans="1:10" x14ac:dyDescent="0.35">
      <c r="A730" t="s">
        <v>1051</v>
      </c>
      <c r="B730" t="s">
        <v>296</v>
      </c>
      <c r="C730" t="s">
        <v>1041</v>
      </c>
      <c r="D730" s="30">
        <v>0.46299768518518519</v>
      </c>
      <c r="E730" t="s">
        <v>309</v>
      </c>
      <c r="F730" t="s">
        <v>303</v>
      </c>
      <c r="G730" t="s">
        <v>303</v>
      </c>
    </row>
    <row r="731" spans="1:10" x14ac:dyDescent="0.35">
      <c r="A731" t="s">
        <v>1052</v>
      </c>
      <c r="B731" t="s">
        <v>301</v>
      </c>
      <c r="C731" t="s">
        <v>1041</v>
      </c>
      <c r="D731" s="30">
        <v>0.46299768518518519</v>
      </c>
      <c r="E731" t="s">
        <v>317</v>
      </c>
      <c r="F731" t="s">
        <v>299</v>
      </c>
      <c r="G731" t="s">
        <v>299</v>
      </c>
      <c r="H731">
        <v>110</v>
      </c>
      <c r="I731" s="30">
        <v>3.2754629629629631E-3</v>
      </c>
      <c r="J731">
        <v>4</v>
      </c>
    </row>
    <row r="732" spans="1:10" x14ac:dyDescent="0.35">
      <c r="A732" t="s">
        <v>1053</v>
      </c>
      <c r="B732" t="s">
        <v>323</v>
      </c>
      <c r="C732" t="s">
        <v>1041</v>
      </c>
      <c r="D732" s="30">
        <v>0.46500000000000002</v>
      </c>
      <c r="E732" t="s">
        <v>317</v>
      </c>
      <c r="F732" t="s">
        <v>303</v>
      </c>
      <c r="G732" t="s">
        <v>303</v>
      </c>
    </row>
    <row r="733" spans="1:10" x14ac:dyDescent="0.35">
      <c r="A733" t="s">
        <v>1054</v>
      </c>
      <c r="B733" t="s">
        <v>316</v>
      </c>
      <c r="C733" t="s">
        <v>1041</v>
      </c>
      <c r="D733" s="30">
        <v>0.46500000000000002</v>
      </c>
      <c r="E733" t="s">
        <v>302</v>
      </c>
      <c r="F733" t="s">
        <v>299</v>
      </c>
      <c r="G733" t="s">
        <v>299</v>
      </c>
      <c r="H733">
        <v>104</v>
      </c>
      <c r="I733" s="30">
        <v>2.3611111111111111E-3</v>
      </c>
      <c r="J733">
        <v>5</v>
      </c>
    </row>
    <row r="734" spans="1:10" x14ac:dyDescent="0.35">
      <c r="A734" t="s">
        <v>1055</v>
      </c>
      <c r="B734" t="s">
        <v>305</v>
      </c>
      <c r="C734" t="s">
        <v>1041</v>
      </c>
      <c r="D734" s="30">
        <v>0.49</v>
      </c>
      <c r="E734" t="s">
        <v>298</v>
      </c>
      <c r="F734" t="s">
        <v>299</v>
      </c>
      <c r="G734" t="s">
        <v>303</v>
      </c>
      <c r="H734">
        <v>79</v>
      </c>
      <c r="I734" s="30">
        <v>3.449074074074074E-3</v>
      </c>
      <c r="J734">
        <v>3</v>
      </c>
    </row>
    <row r="735" spans="1:10" x14ac:dyDescent="0.35">
      <c r="A735" t="s">
        <v>1056</v>
      </c>
      <c r="B735" t="s">
        <v>301</v>
      </c>
      <c r="C735" t="s">
        <v>1041</v>
      </c>
      <c r="D735" s="30">
        <v>0.49</v>
      </c>
      <c r="E735" t="s">
        <v>309</v>
      </c>
      <c r="F735" t="s">
        <v>299</v>
      </c>
      <c r="G735" t="s">
        <v>299</v>
      </c>
      <c r="H735">
        <v>70</v>
      </c>
      <c r="I735" s="30">
        <v>1.0532407407407407E-3</v>
      </c>
      <c r="J735">
        <v>3</v>
      </c>
    </row>
    <row r="736" spans="1:10" x14ac:dyDescent="0.35">
      <c r="A736" t="s">
        <v>1057</v>
      </c>
      <c r="B736" t="s">
        <v>307</v>
      </c>
      <c r="C736" t="s">
        <v>1041</v>
      </c>
      <c r="D736" s="30">
        <v>0.49599537037037039</v>
      </c>
      <c r="E736" t="s">
        <v>314</v>
      </c>
      <c r="F736" t="s">
        <v>303</v>
      </c>
      <c r="G736" t="s">
        <v>303</v>
      </c>
    </row>
    <row r="737" spans="1:10" x14ac:dyDescent="0.35">
      <c r="A737" t="s">
        <v>1058</v>
      </c>
      <c r="B737" t="s">
        <v>319</v>
      </c>
      <c r="C737" t="s">
        <v>1041</v>
      </c>
      <c r="D737" s="30">
        <v>0.49599537037037039</v>
      </c>
      <c r="E737" t="s">
        <v>317</v>
      </c>
      <c r="F737" t="s">
        <v>299</v>
      </c>
      <c r="G737" t="s">
        <v>299</v>
      </c>
      <c r="H737">
        <v>70</v>
      </c>
      <c r="I737" s="30">
        <v>3.9236111111111112E-3</v>
      </c>
      <c r="J737">
        <v>1</v>
      </c>
    </row>
    <row r="738" spans="1:10" x14ac:dyDescent="0.35">
      <c r="A738" t="s">
        <v>1059</v>
      </c>
      <c r="B738" t="s">
        <v>323</v>
      </c>
      <c r="C738" t="s">
        <v>1041</v>
      </c>
      <c r="D738" s="30">
        <v>0.52200231481481485</v>
      </c>
      <c r="E738" t="s">
        <v>298</v>
      </c>
      <c r="F738" t="s">
        <v>299</v>
      </c>
      <c r="G738" t="s">
        <v>299</v>
      </c>
      <c r="H738">
        <v>33</v>
      </c>
      <c r="I738" s="30">
        <v>6.018518518518519E-4</v>
      </c>
      <c r="J738">
        <v>3</v>
      </c>
    </row>
    <row r="739" spans="1:10" x14ac:dyDescent="0.35">
      <c r="A739" t="s">
        <v>1060</v>
      </c>
      <c r="B739" t="s">
        <v>319</v>
      </c>
      <c r="C739" t="s">
        <v>1041</v>
      </c>
      <c r="D739" s="30">
        <v>0.52200231481481485</v>
      </c>
      <c r="E739" t="s">
        <v>309</v>
      </c>
      <c r="F739" t="s">
        <v>299</v>
      </c>
      <c r="G739" t="s">
        <v>299</v>
      </c>
      <c r="H739">
        <v>124</v>
      </c>
      <c r="I739" s="30">
        <v>6.2500000000000001E-4</v>
      </c>
      <c r="J739">
        <v>4</v>
      </c>
    </row>
    <row r="740" spans="1:10" x14ac:dyDescent="0.35">
      <c r="A740" t="s">
        <v>1061</v>
      </c>
      <c r="B740" t="s">
        <v>296</v>
      </c>
      <c r="C740" t="s">
        <v>1041</v>
      </c>
      <c r="D740" s="30">
        <v>0.52599537037037036</v>
      </c>
      <c r="E740" t="s">
        <v>309</v>
      </c>
      <c r="F740" t="s">
        <v>299</v>
      </c>
      <c r="G740" t="s">
        <v>299</v>
      </c>
      <c r="H740">
        <v>77</v>
      </c>
      <c r="I740" s="30">
        <v>1.4351851851851852E-3</v>
      </c>
      <c r="J740">
        <v>3</v>
      </c>
    </row>
    <row r="741" spans="1:10" x14ac:dyDescent="0.35">
      <c r="A741" t="s">
        <v>1062</v>
      </c>
      <c r="B741" t="s">
        <v>332</v>
      </c>
      <c r="C741" t="s">
        <v>1041</v>
      </c>
      <c r="D741" s="30">
        <v>0.52599537037037036</v>
      </c>
      <c r="E741" t="s">
        <v>317</v>
      </c>
      <c r="F741" t="s">
        <v>299</v>
      </c>
      <c r="G741" t="s">
        <v>299</v>
      </c>
      <c r="H741">
        <v>33</v>
      </c>
      <c r="I741" s="30">
        <v>4.409722222222222E-3</v>
      </c>
      <c r="J741">
        <v>3</v>
      </c>
    </row>
    <row r="742" spans="1:10" x14ac:dyDescent="0.35">
      <c r="A742" t="s">
        <v>1063</v>
      </c>
      <c r="B742" t="s">
        <v>316</v>
      </c>
      <c r="C742" t="s">
        <v>1041</v>
      </c>
      <c r="D742" s="30">
        <v>0.52799768518518519</v>
      </c>
      <c r="E742" t="s">
        <v>298</v>
      </c>
      <c r="F742" t="s">
        <v>299</v>
      </c>
      <c r="G742" t="s">
        <v>299</v>
      </c>
      <c r="H742">
        <v>96</v>
      </c>
      <c r="I742" s="30">
        <v>7.7546296296296293E-4</v>
      </c>
      <c r="J742">
        <v>5</v>
      </c>
    </row>
    <row r="743" spans="1:10" x14ac:dyDescent="0.35">
      <c r="A743" t="s">
        <v>1064</v>
      </c>
      <c r="B743" t="s">
        <v>301</v>
      </c>
      <c r="C743" t="s">
        <v>1041</v>
      </c>
      <c r="D743" s="30">
        <v>0.52799768518518519</v>
      </c>
      <c r="E743" t="s">
        <v>317</v>
      </c>
      <c r="F743" t="s">
        <v>303</v>
      </c>
      <c r="G743" t="s">
        <v>303</v>
      </c>
    </row>
    <row r="744" spans="1:10" x14ac:dyDescent="0.35">
      <c r="A744" t="s">
        <v>1065</v>
      </c>
      <c r="B744" t="s">
        <v>319</v>
      </c>
      <c r="C744" t="s">
        <v>1041</v>
      </c>
      <c r="D744" s="30">
        <v>0.58499999999999996</v>
      </c>
      <c r="E744" t="s">
        <v>309</v>
      </c>
      <c r="F744" t="s">
        <v>299</v>
      </c>
      <c r="G744" t="s">
        <v>299</v>
      </c>
      <c r="H744">
        <v>69</v>
      </c>
      <c r="I744" s="30">
        <v>2.638888888888889E-3</v>
      </c>
      <c r="J744">
        <v>5</v>
      </c>
    </row>
    <row r="745" spans="1:10" x14ac:dyDescent="0.35">
      <c r="A745" t="s">
        <v>1066</v>
      </c>
      <c r="B745" t="s">
        <v>332</v>
      </c>
      <c r="C745" t="s">
        <v>1041</v>
      </c>
      <c r="D745" s="30">
        <v>0.58499999999999996</v>
      </c>
      <c r="E745" t="s">
        <v>314</v>
      </c>
      <c r="F745" t="s">
        <v>299</v>
      </c>
      <c r="G745" t="s">
        <v>299</v>
      </c>
      <c r="H745">
        <v>58</v>
      </c>
      <c r="I745" s="30">
        <v>4.5370370370370373E-3</v>
      </c>
      <c r="J745">
        <v>4</v>
      </c>
    </row>
    <row r="746" spans="1:10" x14ac:dyDescent="0.35">
      <c r="A746" t="s">
        <v>1067</v>
      </c>
      <c r="B746" t="s">
        <v>323</v>
      </c>
      <c r="C746" t="s">
        <v>1041</v>
      </c>
      <c r="D746" s="30">
        <v>0.60200231481481481</v>
      </c>
      <c r="E746" t="s">
        <v>314</v>
      </c>
      <c r="F746" t="s">
        <v>299</v>
      </c>
      <c r="G746" t="s">
        <v>303</v>
      </c>
      <c r="H746">
        <v>112</v>
      </c>
      <c r="I746" s="30">
        <v>4.6296296296296298E-4</v>
      </c>
      <c r="J746">
        <v>3</v>
      </c>
    </row>
    <row r="747" spans="1:10" x14ac:dyDescent="0.35">
      <c r="A747" t="s">
        <v>1068</v>
      </c>
      <c r="B747" t="s">
        <v>316</v>
      </c>
      <c r="C747" t="s">
        <v>1041</v>
      </c>
      <c r="D747" s="30">
        <v>0.60200231481481481</v>
      </c>
      <c r="E747" t="s">
        <v>302</v>
      </c>
      <c r="F747" t="s">
        <v>299</v>
      </c>
      <c r="G747" t="s">
        <v>299</v>
      </c>
      <c r="H747">
        <v>61</v>
      </c>
      <c r="I747" s="30">
        <v>3.0439814814814813E-3</v>
      </c>
      <c r="J747">
        <v>3</v>
      </c>
    </row>
    <row r="748" spans="1:10" x14ac:dyDescent="0.35">
      <c r="A748" t="s">
        <v>1069</v>
      </c>
      <c r="B748" t="s">
        <v>332</v>
      </c>
      <c r="C748" t="s">
        <v>1041</v>
      </c>
      <c r="D748" s="30">
        <v>0.61700231481481482</v>
      </c>
      <c r="E748" t="s">
        <v>314</v>
      </c>
      <c r="F748" t="s">
        <v>299</v>
      </c>
      <c r="G748" t="s">
        <v>299</v>
      </c>
      <c r="H748">
        <v>89</v>
      </c>
      <c r="I748" s="30">
        <v>2.2222222222222222E-3</v>
      </c>
      <c r="J748">
        <v>3</v>
      </c>
    </row>
    <row r="749" spans="1:10" x14ac:dyDescent="0.35">
      <c r="A749" t="s">
        <v>1070</v>
      </c>
      <c r="B749" t="s">
        <v>301</v>
      </c>
      <c r="C749" t="s">
        <v>1041</v>
      </c>
      <c r="D749" s="30">
        <v>0.61700231481481482</v>
      </c>
      <c r="E749" t="s">
        <v>309</v>
      </c>
      <c r="F749" t="s">
        <v>299</v>
      </c>
      <c r="G749" t="s">
        <v>299</v>
      </c>
      <c r="H749">
        <v>84</v>
      </c>
      <c r="I749" s="30">
        <v>2.2222222222222222E-3</v>
      </c>
      <c r="J749">
        <v>5</v>
      </c>
    </row>
    <row r="750" spans="1:10" x14ac:dyDescent="0.35">
      <c r="A750" t="s">
        <v>1071</v>
      </c>
      <c r="B750" t="s">
        <v>296</v>
      </c>
      <c r="C750" t="s">
        <v>1041</v>
      </c>
      <c r="D750" s="30">
        <v>0.63500000000000001</v>
      </c>
      <c r="E750" t="s">
        <v>302</v>
      </c>
      <c r="F750" t="s">
        <v>299</v>
      </c>
      <c r="G750" t="s">
        <v>299</v>
      </c>
      <c r="H750">
        <v>53</v>
      </c>
      <c r="I750" s="30">
        <v>2.5000000000000001E-3</v>
      </c>
      <c r="J750">
        <v>3</v>
      </c>
    </row>
    <row r="751" spans="1:10" x14ac:dyDescent="0.35">
      <c r="A751" t="s">
        <v>1072</v>
      </c>
      <c r="B751" t="s">
        <v>301</v>
      </c>
      <c r="C751" t="s">
        <v>1041</v>
      </c>
      <c r="D751" s="30">
        <v>0.63500000000000001</v>
      </c>
      <c r="E751" t="s">
        <v>317</v>
      </c>
      <c r="F751" t="s">
        <v>299</v>
      </c>
      <c r="G751" t="s">
        <v>299</v>
      </c>
      <c r="H751">
        <v>73</v>
      </c>
      <c r="I751" s="30">
        <v>1.0879629629629629E-3</v>
      </c>
      <c r="J751">
        <v>3</v>
      </c>
    </row>
    <row r="752" spans="1:10" x14ac:dyDescent="0.35">
      <c r="A752" t="s">
        <v>1073</v>
      </c>
      <c r="B752" t="s">
        <v>305</v>
      </c>
      <c r="C752" t="s">
        <v>1041</v>
      </c>
      <c r="D752" s="30">
        <v>0.64400462962962968</v>
      </c>
      <c r="E752" t="s">
        <v>298</v>
      </c>
      <c r="F752" t="s">
        <v>299</v>
      </c>
      <c r="G752" t="s">
        <v>299</v>
      </c>
      <c r="H752">
        <v>12</v>
      </c>
      <c r="I752" s="30">
        <v>1.5162037037037036E-3</v>
      </c>
      <c r="J752">
        <v>2</v>
      </c>
    </row>
    <row r="753" spans="1:10" x14ac:dyDescent="0.35">
      <c r="A753" t="s">
        <v>1074</v>
      </c>
      <c r="B753" t="s">
        <v>323</v>
      </c>
      <c r="C753" t="s">
        <v>1041</v>
      </c>
      <c r="D753" s="30">
        <v>0.64400462962962968</v>
      </c>
      <c r="E753" t="s">
        <v>314</v>
      </c>
      <c r="F753" t="s">
        <v>299</v>
      </c>
      <c r="G753" t="s">
        <v>299</v>
      </c>
      <c r="H753">
        <v>90</v>
      </c>
      <c r="I753" s="30">
        <v>4.5370370370370373E-3</v>
      </c>
      <c r="J753">
        <v>4</v>
      </c>
    </row>
    <row r="754" spans="1:10" x14ac:dyDescent="0.35">
      <c r="A754" t="s">
        <v>1075</v>
      </c>
      <c r="B754" t="s">
        <v>305</v>
      </c>
      <c r="C754" t="s">
        <v>1041</v>
      </c>
      <c r="D754" s="30">
        <v>0.64900462962962968</v>
      </c>
      <c r="E754" t="s">
        <v>302</v>
      </c>
      <c r="F754" t="s">
        <v>303</v>
      </c>
      <c r="G754" t="s">
        <v>303</v>
      </c>
    </row>
    <row r="755" spans="1:10" x14ac:dyDescent="0.35">
      <c r="A755" t="s">
        <v>1076</v>
      </c>
      <c r="B755" t="s">
        <v>332</v>
      </c>
      <c r="C755" t="s">
        <v>1041</v>
      </c>
      <c r="D755" s="30">
        <v>0.64900462962962968</v>
      </c>
      <c r="E755" t="s">
        <v>302</v>
      </c>
      <c r="F755" t="s">
        <v>299</v>
      </c>
      <c r="G755" t="s">
        <v>299</v>
      </c>
      <c r="H755">
        <v>23</v>
      </c>
      <c r="I755" s="30">
        <v>2.9282407407407408E-3</v>
      </c>
      <c r="J755">
        <v>5</v>
      </c>
    </row>
    <row r="756" spans="1:10" x14ac:dyDescent="0.35">
      <c r="A756" t="s">
        <v>1077</v>
      </c>
      <c r="B756" t="s">
        <v>307</v>
      </c>
      <c r="C756" t="s">
        <v>1041</v>
      </c>
      <c r="D756" s="30">
        <v>0.65299768518518519</v>
      </c>
      <c r="E756" t="s">
        <v>314</v>
      </c>
      <c r="F756" t="s">
        <v>299</v>
      </c>
      <c r="G756" t="s">
        <v>299</v>
      </c>
      <c r="H756">
        <v>98</v>
      </c>
      <c r="I756" s="30">
        <v>3.5648148148148149E-3</v>
      </c>
      <c r="J756">
        <v>5</v>
      </c>
    </row>
    <row r="757" spans="1:10" x14ac:dyDescent="0.35">
      <c r="A757" t="s">
        <v>1078</v>
      </c>
      <c r="B757" t="s">
        <v>296</v>
      </c>
      <c r="C757" t="s">
        <v>1041</v>
      </c>
      <c r="D757" s="30">
        <v>0.65299768518518519</v>
      </c>
      <c r="E757" t="s">
        <v>298</v>
      </c>
      <c r="F757" t="s">
        <v>299</v>
      </c>
      <c r="G757" t="s">
        <v>299</v>
      </c>
      <c r="H757">
        <v>28</v>
      </c>
      <c r="I757" s="30">
        <v>7.291666666666667E-4</v>
      </c>
      <c r="J757">
        <v>2</v>
      </c>
    </row>
    <row r="758" spans="1:10" x14ac:dyDescent="0.35">
      <c r="A758" t="s">
        <v>1079</v>
      </c>
      <c r="B758" t="s">
        <v>296</v>
      </c>
      <c r="C758" t="s">
        <v>1041</v>
      </c>
      <c r="D758" s="30">
        <v>0.74900462962962966</v>
      </c>
      <c r="E758" t="s">
        <v>302</v>
      </c>
      <c r="F758" t="s">
        <v>299</v>
      </c>
      <c r="G758" t="s">
        <v>299</v>
      </c>
      <c r="H758">
        <v>123</v>
      </c>
      <c r="I758" s="30">
        <v>3.1018518518518517E-3</v>
      </c>
      <c r="J758">
        <v>3</v>
      </c>
    </row>
    <row r="759" spans="1:10" x14ac:dyDescent="0.35">
      <c r="A759" t="s">
        <v>1080</v>
      </c>
      <c r="B759" t="s">
        <v>301</v>
      </c>
      <c r="C759" t="s">
        <v>1041</v>
      </c>
      <c r="D759" s="30">
        <v>0.74900462962962966</v>
      </c>
      <c r="E759" t="s">
        <v>298</v>
      </c>
      <c r="F759" t="s">
        <v>299</v>
      </c>
      <c r="G759" t="s">
        <v>299</v>
      </c>
      <c r="H759">
        <v>82</v>
      </c>
      <c r="I759" s="30">
        <v>1.736111111111111E-3</v>
      </c>
      <c r="J759">
        <v>5</v>
      </c>
    </row>
    <row r="760" spans="1:10" x14ac:dyDescent="0.35">
      <c r="A760" t="s">
        <v>1081</v>
      </c>
      <c r="B760" t="s">
        <v>323</v>
      </c>
      <c r="C760" t="s">
        <v>1082</v>
      </c>
      <c r="D760" s="30">
        <v>0.37700231481481483</v>
      </c>
      <c r="E760" t="s">
        <v>302</v>
      </c>
      <c r="F760" t="s">
        <v>299</v>
      </c>
      <c r="G760" t="s">
        <v>299</v>
      </c>
      <c r="H760">
        <v>57</v>
      </c>
      <c r="I760" s="30">
        <v>3.3333333333333335E-3</v>
      </c>
      <c r="J760">
        <v>4</v>
      </c>
    </row>
    <row r="761" spans="1:10" x14ac:dyDescent="0.35">
      <c r="A761" t="s">
        <v>1083</v>
      </c>
      <c r="B761" t="s">
        <v>305</v>
      </c>
      <c r="C761" t="s">
        <v>1082</v>
      </c>
      <c r="D761" s="30">
        <v>0.37700231481481483</v>
      </c>
      <c r="E761" t="s">
        <v>317</v>
      </c>
      <c r="F761" t="s">
        <v>299</v>
      </c>
      <c r="G761" t="s">
        <v>299</v>
      </c>
      <c r="H761">
        <v>14</v>
      </c>
      <c r="I761" s="30">
        <v>8.2175925925925927E-4</v>
      </c>
      <c r="J761">
        <v>5</v>
      </c>
    </row>
    <row r="762" spans="1:10" x14ac:dyDescent="0.35">
      <c r="A762" t="s">
        <v>1084</v>
      </c>
      <c r="B762" t="s">
        <v>319</v>
      </c>
      <c r="C762" t="s">
        <v>1082</v>
      </c>
      <c r="D762" s="30">
        <v>0.38500000000000001</v>
      </c>
      <c r="E762" t="s">
        <v>302</v>
      </c>
      <c r="F762" t="s">
        <v>299</v>
      </c>
      <c r="G762" t="s">
        <v>299</v>
      </c>
      <c r="H762">
        <v>114</v>
      </c>
      <c r="I762" s="30">
        <v>4.2824074074074081E-4</v>
      </c>
      <c r="J762">
        <v>4</v>
      </c>
    </row>
    <row r="763" spans="1:10" x14ac:dyDescent="0.35">
      <c r="A763" t="s">
        <v>1085</v>
      </c>
      <c r="B763" t="s">
        <v>316</v>
      </c>
      <c r="C763" t="s">
        <v>1082</v>
      </c>
      <c r="D763" s="30">
        <v>0.38500000000000001</v>
      </c>
      <c r="E763" t="s">
        <v>309</v>
      </c>
      <c r="F763" t="s">
        <v>299</v>
      </c>
      <c r="G763" t="s">
        <v>299</v>
      </c>
      <c r="H763">
        <v>53</v>
      </c>
      <c r="I763" s="30">
        <v>3.0208333333333333E-3</v>
      </c>
      <c r="J763">
        <v>5</v>
      </c>
    </row>
    <row r="764" spans="1:10" x14ac:dyDescent="0.35">
      <c r="A764" t="s">
        <v>1086</v>
      </c>
      <c r="B764" t="s">
        <v>316</v>
      </c>
      <c r="C764" t="s">
        <v>1082</v>
      </c>
      <c r="D764" s="30">
        <v>0.38700231481481484</v>
      </c>
      <c r="E764" t="s">
        <v>302</v>
      </c>
      <c r="F764" t="s">
        <v>303</v>
      </c>
      <c r="G764" t="s">
        <v>303</v>
      </c>
    </row>
    <row r="765" spans="1:10" x14ac:dyDescent="0.35">
      <c r="A765" t="s">
        <v>1087</v>
      </c>
      <c r="B765" t="s">
        <v>332</v>
      </c>
      <c r="C765" t="s">
        <v>1082</v>
      </c>
      <c r="D765" s="30">
        <v>0.38700231481481484</v>
      </c>
      <c r="E765" t="s">
        <v>302</v>
      </c>
      <c r="F765" t="s">
        <v>299</v>
      </c>
      <c r="G765" t="s">
        <v>299</v>
      </c>
      <c r="H765">
        <v>25</v>
      </c>
      <c r="I765" s="30">
        <v>3.1597222222222222E-3</v>
      </c>
      <c r="J765">
        <v>4</v>
      </c>
    </row>
    <row r="766" spans="1:10" x14ac:dyDescent="0.35">
      <c r="A766" t="s">
        <v>1088</v>
      </c>
      <c r="B766" t="s">
        <v>307</v>
      </c>
      <c r="C766" t="s">
        <v>1082</v>
      </c>
      <c r="D766" s="30">
        <v>0.39200231481481479</v>
      </c>
      <c r="E766" t="s">
        <v>314</v>
      </c>
      <c r="F766" t="s">
        <v>299</v>
      </c>
      <c r="G766" t="s">
        <v>299</v>
      </c>
      <c r="H766">
        <v>86</v>
      </c>
      <c r="I766" s="30">
        <v>2.3148148148148147E-3</v>
      </c>
      <c r="J766">
        <v>2</v>
      </c>
    </row>
    <row r="767" spans="1:10" x14ac:dyDescent="0.35">
      <c r="A767" t="s">
        <v>1089</v>
      </c>
      <c r="B767" t="s">
        <v>316</v>
      </c>
      <c r="C767" t="s">
        <v>1082</v>
      </c>
      <c r="D767" s="30">
        <v>0.39200231481481479</v>
      </c>
      <c r="E767" t="s">
        <v>309</v>
      </c>
      <c r="F767" t="s">
        <v>299</v>
      </c>
      <c r="G767" t="s">
        <v>299</v>
      </c>
      <c r="H767">
        <v>51</v>
      </c>
      <c r="I767" s="30">
        <v>1.4814814814814814E-3</v>
      </c>
      <c r="J767">
        <v>4</v>
      </c>
    </row>
    <row r="768" spans="1:10" x14ac:dyDescent="0.35">
      <c r="A768" t="s">
        <v>1090</v>
      </c>
      <c r="B768" t="s">
        <v>305</v>
      </c>
      <c r="C768" t="s">
        <v>1082</v>
      </c>
      <c r="D768" s="30">
        <v>0.41799768518518521</v>
      </c>
      <c r="E768" t="s">
        <v>302</v>
      </c>
      <c r="F768" t="s">
        <v>299</v>
      </c>
      <c r="G768" t="s">
        <v>299</v>
      </c>
      <c r="H768">
        <v>31</v>
      </c>
      <c r="I768" s="30">
        <v>6.4814814814814813E-4</v>
      </c>
      <c r="J768">
        <v>4</v>
      </c>
    </row>
    <row r="769" spans="1:10" x14ac:dyDescent="0.35">
      <c r="A769" t="s">
        <v>1091</v>
      </c>
      <c r="B769" t="s">
        <v>332</v>
      </c>
      <c r="C769" t="s">
        <v>1082</v>
      </c>
      <c r="D769" s="30">
        <v>0.41799768518518521</v>
      </c>
      <c r="E769" t="s">
        <v>317</v>
      </c>
      <c r="F769" t="s">
        <v>303</v>
      </c>
      <c r="G769" t="s">
        <v>303</v>
      </c>
    </row>
    <row r="770" spans="1:10" x14ac:dyDescent="0.35">
      <c r="A770" t="s">
        <v>1092</v>
      </c>
      <c r="B770" t="s">
        <v>323</v>
      </c>
      <c r="C770" t="s">
        <v>1082</v>
      </c>
      <c r="D770" s="30">
        <v>0.45400462962962962</v>
      </c>
      <c r="E770" t="s">
        <v>309</v>
      </c>
      <c r="F770" t="s">
        <v>299</v>
      </c>
      <c r="G770" t="s">
        <v>299</v>
      </c>
      <c r="H770">
        <v>124</v>
      </c>
      <c r="I770" s="30">
        <v>3.5185185185185185E-3</v>
      </c>
      <c r="J770">
        <v>4</v>
      </c>
    </row>
    <row r="771" spans="1:10" x14ac:dyDescent="0.35">
      <c r="A771" t="s">
        <v>1093</v>
      </c>
      <c r="B771" t="s">
        <v>316</v>
      </c>
      <c r="C771" t="s">
        <v>1082</v>
      </c>
      <c r="D771" s="30">
        <v>0.45400462962962962</v>
      </c>
      <c r="E771" t="s">
        <v>317</v>
      </c>
      <c r="F771" t="s">
        <v>299</v>
      </c>
      <c r="G771" t="s">
        <v>299</v>
      </c>
      <c r="H771">
        <v>116</v>
      </c>
      <c r="I771" s="30">
        <v>4.7222222222222223E-3</v>
      </c>
      <c r="J771">
        <v>2</v>
      </c>
    </row>
    <row r="772" spans="1:10" x14ac:dyDescent="0.35">
      <c r="A772" t="s">
        <v>1094</v>
      </c>
      <c r="B772" t="s">
        <v>301</v>
      </c>
      <c r="C772" t="s">
        <v>1082</v>
      </c>
      <c r="D772" s="30">
        <v>0.47200231481481481</v>
      </c>
      <c r="E772" t="s">
        <v>298</v>
      </c>
      <c r="F772" t="s">
        <v>299</v>
      </c>
      <c r="G772" t="s">
        <v>299</v>
      </c>
      <c r="H772">
        <v>41</v>
      </c>
      <c r="I772" s="30">
        <v>2.8124999999999999E-3</v>
      </c>
      <c r="J772">
        <v>2</v>
      </c>
    </row>
    <row r="773" spans="1:10" x14ac:dyDescent="0.35">
      <c r="A773" t="s">
        <v>1095</v>
      </c>
      <c r="B773" t="s">
        <v>307</v>
      </c>
      <c r="C773" t="s">
        <v>1082</v>
      </c>
      <c r="D773" s="30">
        <v>0.47200231481481481</v>
      </c>
      <c r="E773" t="s">
        <v>298</v>
      </c>
      <c r="F773" t="s">
        <v>299</v>
      </c>
      <c r="G773" t="s">
        <v>299</v>
      </c>
      <c r="H773">
        <v>53</v>
      </c>
      <c r="I773" s="30">
        <v>3.2175925925925926E-3</v>
      </c>
      <c r="J773">
        <v>2</v>
      </c>
    </row>
    <row r="774" spans="1:10" x14ac:dyDescent="0.35">
      <c r="A774" t="s">
        <v>1096</v>
      </c>
      <c r="B774" t="s">
        <v>323</v>
      </c>
      <c r="C774" t="s">
        <v>1082</v>
      </c>
      <c r="D774" s="30">
        <v>0.48099537037037038</v>
      </c>
      <c r="E774" t="s">
        <v>302</v>
      </c>
      <c r="F774" t="s">
        <v>299</v>
      </c>
      <c r="G774" t="s">
        <v>299</v>
      </c>
      <c r="H774">
        <v>85</v>
      </c>
      <c r="I774" s="30">
        <v>1.4351851851851852E-3</v>
      </c>
      <c r="J774">
        <v>4</v>
      </c>
    </row>
    <row r="775" spans="1:10" x14ac:dyDescent="0.35">
      <c r="A775" t="s">
        <v>1097</v>
      </c>
      <c r="B775" t="s">
        <v>319</v>
      </c>
      <c r="C775" t="s">
        <v>1082</v>
      </c>
      <c r="D775" s="30">
        <v>0.48099537037037038</v>
      </c>
      <c r="E775" t="s">
        <v>317</v>
      </c>
      <c r="F775" t="s">
        <v>299</v>
      </c>
      <c r="G775" t="s">
        <v>299</v>
      </c>
      <c r="H775">
        <v>18</v>
      </c>
      <c r="I775" s="30">
        <v>3.2175925925925926E-3</v>
      </c>
      <c r="J775">
        <v>5</v>
      </c>
    </row>
    <row r="776" spans="1:10" x14ac:dyDescent="0.35">
      <c r="A776" t="s">
        <v>1098</v>
      </c>
      <c r="B776" t="s">
        <v>305</v>
      </c>
      <c r="C776" t="s">
        <v>1082</v>
      </c>
      <c r="D776" s="30">
        <v>0.48299768518518521</v>
      </c>
      <c r="E776" t="s">
        <v>309</v>
      </c>
      <c r="F776" t="s">
        <v>299</v>
      </c>
      <c r="G776" t="s">
        <v>299</v>
      </c>
      <c r="H776">
        <v>17</v>
      </c>
      <c r="I776" s="30">
        <v>2.9282407407407408E-3</v>
      </c>
      <c r="J776">
        <v>4</v>
      </c>
    </row>
    <row r="777" spans="1:10" x14ac:dyDescent="0.35">
      <c r="A777" t="s">
        <v>1099</v>
      </c>
      <c r="B777" t="s">
        <v>319</v>
      </c>
      <c r="C777" t="s">
        <v>1082</v>
      </c>
      <c r="D777" s="30">
        <v>0.48299768518518521</v>
      </c>
      <c r="E777" t="s">
        <v>302</v>
      </c>
      <c r="F777" t="s">
        <v>299</v>
      </c>
      <c r="G777" t="s">
        <v>299</v>
      </c>
      <c r="H777">
        <v>102</v>
      </c>
      <c r="I777" s="30">
        <v>2.0601851851851853E-3</v>
      </c>
      <c r="J777">
        <v>4</v>
      </c>
    </row>
    <row r="778" spans="1:10" x14ac:dyDescent="0.35">
      <c r="A778" t="s">
        <v>1100</v>
      </c>
      <c r="B778" t="s">
        <v>316</v>
      </c>
      <c r="C778" t="s">
        <v>1082</v>
      </c>
      <c r="D778" s="30">
        <v>0.50099537037037034</v>
      </c>
      <c r="E778" t="s">
        <v>302</v>
      </c>
      <c r="F778" t="s">
        <v>299</v>
      </c>
      <c r="G778" t="s">
        <v>299</v>
      </c>
      <c r="H778">
        <v>26</v>
      </c>
      <c r="I778" s="30">
        <v>4.6412037037037038E-3</v>
      </c>
      <c r="J778">
        <v>1</v>
      </c>
    </row>
    <row r="779" spans="1:10" x14ac:dyDescent="0.35">
      <c r="A779" t="s">
        <v>1101</v>
      </c>
      <c r="B779" t="s">
        <v>319</v>
      </c>
      <c r="C779" t="s">
        <v>1082</v>
      </c>
      <c r="D779" s="30">
        <v>0.50099537037037034</v>
      </c>
      <c r="E779" t="s">
        <v>309</v>
      </c>
      <c r="F779" t="s">
        <v>299</v>
      </c>
      <c r="G779" t="s">
        <v>299</v>
      </c>
      <c r="H779">
        <v>107</v>
      </c>
      <c r="I779" s="30">
        <v>4.4212962962962964E-3</v>
      </c>
      <c r="J779">
        <v>3</v>
      </c>
    </row>
    <row r="780" spans="1:10" x14ac:dyDescent="0.35">
      <c r="A780" t="s">
        <v>1102</v>
      </c>
      <c r="B780" t="s">
        <v>307</v>
      </c>
      <c r="C780" t="s">
        <v>1082</v>
      </c>
      <c r="D780" s="30">
        <v>0.50400462962962966</v>
      </c>
      <c r="E780" t="s">
        <v>302</v>
      </c>
      <c r="F780" t="s">
        <v>303</v>
      </c>
      <c r="G780" t="s">
        <v>303</v>
      </c>
    </row>
    <row r="781" spans="1:10" x14ac:dyDescent="0.35">
      <c r="A781" t="s">
        <v>1103</v>
      </c>
      <c r="B781" t="s">
        <v>307</v>
      </c>
      <c r="C781" t="s">
        <v>1082</v>
      </c>
      <c r="D781" s="30">
        <v>0.50400462962962966</v>
      </c>
      <c r="E781" t="s">
        <v>317</v>
      </c>
      <c r="F781" t="s">
        <v>299</v>
      </c>
      <c r="G781" t="s">
        <v>299</v>
      </c>
      <c r="H781">
        <v>35</v>
      </c>
      <c r="I781" s="30">
        <v>3.0555555555555557E-3</v>
      </c>
      <c r="J781">
        <v>5</v>
      </c>
    </row>
    <row r="782" spans="1:10" x14ac:dyDescent="0.35">
      <c r="A782" t="s">
        <v>1104</v>
      </c>
      <c r="B782" t="s">
        <v>319</v>
      </c>
      <c r="C782" t="s">
        <v>1082</v>
      </c>
      <c r="D782" s="30">
        <v>0.50799768518518518</v>
      </c>
      <c r="E782" t="s">
        <v>302</v>
      </c>
      <c r="F782" t="s">
        <v>299</v>
      </c>
      <c r="G782" t="s">
        <v>299</v>
      </c>
      <c r="H782">
        <v>100</v>
      </c>
      <c r="I782" s="30">
        <v>3.7499999999999999E-3</v>
      </c>
      <c r="J782">
        <v>2</v>
      </c>
    </row>
    <row r="783" spans="1:10" x14ac:dyDescent="0.35">
      <c r="A783" t="s">
        <v>1105</v>
      </c>
      <c r="B783" t="s">
        <v>296</v>
      </c>
      <c r="C783" t="s">
        <v>1082</v>
      </c>
      <c r="D783" s="30">
        <v>0.50799768518518518</v>
      </c>
      <c r="E783" t="s">
        <v>314</v>
      </c>
      <c r="F783" t="s">
        <v>299</v>
      </c>
      <c r="G783" t="s">
        <v>299</v>
      </c>
      <c r="H783">
        <v>12</v>
      </c>
      <c r="I783" s="30">
        <v>4.386574074074074E-3</v>
      </c>
      <c r="J783">
        <v>4</v>
      </c>
    </row>
    <row r="784" spans="1:10" x14ac:dyDescent="0.35">
      <c r="A784" t="s">
        <v>1106</v>
      </c>
      <c r="B784" t="s">
        <v>316</v>
      </c>
      <c r="C784" t="s">
        <v>1082</v>
      </c>
      <c r="D784" s="30">
        <v>0.52299768518518519</v>
      </c>
      <c r="E784" t="s">
        <v>309</v>
      </c>
      <c r="F784" t="s">
        <v>299</v>
      </c>
      <c r="G784" t="s">
        <v>299</v>
      </c>
      <c r="H784">
        <v>43</v>
      </c>
      <c r="I784" s="30">
        <v>2.7083333333333334E-3</v>
      </c>
      <c r="J784">
        <v>4</v>
      </c>
    </row>
    <row r="785" spans="1:10" x14ac:dyDescent="0.35">
      <c r="A785" t="s">
        <v>1107</v>
      </c>
      <c r="B785" t="s">
        <v>301</v>
      </c>
      <c r="C785" t="s">
        <v>1082</v>
      </c>
      <c r="D785" s="30">
        <v>0.52299768518518519</v>
      </c>
      <c r="E785" t="s">
        <v>309</v>
      </c>
      <c r="F785" t="s">
        <v>299</v>
      </c>
      <c r="G785" t="s">
        <v>299</v>
      </c>
      <c r="H785">
        <v>68</v>
      </c>
      <c r="I785" s="30">
        <v>1.261574074074074E-3</v>
      </c>
      <c r="J785">
        <v>4</v>
      </c>
    </row>
    <row r="786" spans="1:10" x14ac:dyDescent="0.35">
      <c r="A786" t="s">
        <v>1108</v>
      </c>
      <c r="B786" t="s">
        <v>319</v>
      </c>
      <c r="C786" t="s">
        <v>1082</v>
      </c>
      <c r="D786" s="30">
        <v>0.53</v>
      </c>
      <c r="E786" t="s">
        <v>317</v>
      </c>
      <c r="F786" t="s">
        <v>299</v>
      </c>
      <c r="G786" t="s">
        <v>299</v>
      </c>
      <c r="H786">
        <v>81</v>
      </c>
      <c r="I786" s="30">
        <v>1.3310185185185185E-3</v>
      </c>
      <c r="J786">
        <v>3</v>
      </c>
    </row>
    <row r="787" spans="1:10" x14ac:dyDescent="0.35">
      <c r="A787" t="s">
        <v>1109</v>
      </c>
      <c r="B787" t="s">
        <v>323</v>
      </c>
      <c r="C787" t="s">
        <v>1082</v>
      </c>
      <c r="D787" s="30">
        <v>0.53</v>
      </c>
      <c r="E787" t="s">
        <v>298</v>
      </c>
      <c r="F787" t="s">
        <v>299</v>
      </c>
      <c r="G787" t="s">
        <v>303</v>
      </c>
      <c r="H787">
        <v>49</v>
      </c>
      <c r="I787" s="30">
        <v>4.409722222222222E-3</v>
      </c>
      <c r="J787">
        <v>5</v>
      </c>
    </row>
    <row r="788" spans="1:10" x14ac:dyDescent="0.35">
      <c r="A788" t="s">
        <v>1110</v>
      </c>
      <c r="B788" t="s">
        <v>332</v>
      </c>
      <c r="C788" t="s">
        <v>1082</v>
      </c>
      <c r="D788" s="30">
        <v>0.54299768518518521</v>
      </c>
      <c r="E788" t="s">
        <v>302</v>
      </c>
      <c r="F788" t="s">
        <v>299</v>
      </c>
      <c r="G788" t="s">
        <v>299</v>
      </c>
      <c r="H788">
        <v>101</v>
      </c>
      <c r="I788" s="30">
        <v>4.2824074074074075E-3</v>
      </c>
      <c r="J788">
        <v>3</v>
      </c>
    </row>
    <row r="789" spans="1:10" x14ac:dyDescent="0.35">
      <c r="A789" t="s">
        <v>1111</v>
      </c>
      <c r="B789" t="s">
        <v>319</v>
      </c>
      <c r="C789" t="s">
        <v>1082</v>
      </c>
      <c r="D789" s="30">
        <v>0.54299768518518521</v>
      </c>
      <c r="E789" t="s">
        <v>298</v>
      </c>
      <c r="F789" t="s">
        <v>299</v>
      </c>
      <c r="G789" t="s">
        <v>299</v>
      </c>
      <c r="H789">
        <v>72</v>
      </c>
      <c r="I789" s="30">
        <v>4.1435185185185186E-3</v>
      </c>
      <c r="J789">
        <v>3</v>
      </c>
    </row>
    <row r="790" spans="1:10" x14ac:dyDescent="0.35">
      <c r="A790" t="s">
        <v>1112</v>
      </c>
      <c r="B790" t="s">
        <v>323</v>
      </c>
      <c r="C790" t="s">
        <v>1082</v>
      </c>
      <c r="D790" s="30">
        <v>0.56299768518518523</v>
      </c>
      <c r="E790" t="s">
        <v>302</v>
      </c>
      <c r="F790" t="s">
        <v>299</v>
      </c>
      <c r="G790" t="s">
        <v>299</v>
      </c>
      <c r="H790">
        <v>18</v>
      </c>
      <c r="I790" s="30">
        <v>1.2731481481481483E-3</v>
      </c>
      <c r="J790">
        <v>3</v>
      </c>
    </row>
    <row r="791" spans="1:10" x14ac:dyDescent="0.35">
      <c r="A791" t="s">
        <v>1113</v>
      </c>
      <c r="B791" t="s">
        <v>296</v>
      </c>
      <c r="C791" t="s">
        <v>1082</v>
      </c>
      <c r="D791" s="30">
        <v>0.56299768518518523</v>
      </c>
      <c r="E791" t="s">
        <v>298</v>
      </c>
      <c r="F791" t="s">
        <v>299</v>
      </c>
      <c r="G791" t="s">
        <v>299</v>
      </c>
      <c r="H791">
        <v>86</v>
      </c>
      <c r="I791" s="30">
        <v>3.1597222222222222E-3</v>
      </c>
      <c r="J791">
        <v>5</v>
      </c>
    </row>
    <row r="792" spans="1:10" x14ac:dyDescent="0.35">
      <c r="A792" t="s">
        <v>1114</v>
      </c>
      <c r="B792" t="s">
        <v>332</v>
      </c>
      <c r="C792" t="s">
        <v>1082</v>
      </c>
      <c r="D792" s="30">
        <v>0.5659953703703704</v>
      </c>
      <c r="E792" t="s">
        <v>314</v>
      </c>
      <c r="F792" t="s">
        <v>299</v>
      </c>
      <c r="G792" t="s">
        <v>299</v>
      </c>
      <c r="H792">
        <v>109</v>
      </c>
      <c r="I792" s="30">
        <v>4.3981481481481481E-4</v>
      </c>
      <c r="J792">
        <v>4</v>
      </c>
    </row>
    <row r="793" spans="1:10" x14ac:dyDescent="0.35">
      <c r="A793" t="s">
        <v>1115</v>
      </c>
      <c r="B793" t="s">
        <v>323</v>
      </c>
      <c r="C793" t="s">
        <v>1082</v>
      </c>
      <c r="D793" s="30">
        <v>0.5659953703703704</v>
      </c>
      <c r="E793" t="s">
        <v>302</v>
      </c>
      <c r="F793" t="s">
        <v>303</v>
      </c>
      <c r="G793" t="s">
        <v>303</v>
      </c>
    </row>
    <row r="794" spans="1:10" x14ac:dyDescent="0.35">
      <c r="A794" t="s">
        <v>1116</v>
      </c>
      <c r="B794" t="s">
        <v>323</v>
      </c>
      <c r="C794" t="s">
        <v>1082</v>
      </c>
      <c r="D794" s="30">
        <v>0.59</v>
      </c>
      <c r="E794" t="s">
        <v>314</v>
      </c>
      <c r="F794" t="s">
        <v>299</v>
      </c>
      <c r="G794" t="s">
        <v>299</v>
      </c>
      <c r="H794">
        <v>32</v>
      </c>
      <c r="I794" s="30">
        <v>2.9166666666666668E-3</v>
      </c>
      <c r="J794">
        <v>2</v>
      </c>
    </row>
    <row r="795" spans="1:10" x14ac:dyDescent="0.35">
      <c r="A795" t="s">
        <v>1117</v>
      </c>
      <c r="B795" t="s">
        <v>332</v>
      </c>
      <c r="C795" t="s">
        <v>1082</v>
      </c>
      <c r="D795" s="30">
        <v>0.59</v>
      </c>
      <c r="E795" t="s">
        <v>298</v>
      </c>
      <c r="F795" t="s">
        <v>299</v>
      </c>
      <c r="G795" t="s">
        <v>299</v>
      </c>
      <c r="H795">
        <v>68</v>
      </c>
      <c r="I795" s="30">
        <v>3.6458333333333334E-3</v>
      </c>
      <c r="J795">
        <v>3</v>
      </c>
    </row>
    <row r="796" spans="1:10" x14ac:dyDescent="0.35">
      <c r="A796" t="s">
        <v>1118</v>
      </c>
      <c r="B796" t="s">
        <v>319</v>
      </c>
      <c r="C796" t="s">
        <v>1082</v>
      </c>
      <c r="D796" s="30">
        <v>0.61</v>
      </c>
      <c r="E796" t="s">
        <v>302</v>
      </c>
      <c r="F796" t="s">
        <v>299</v>
      </c>
      <c r="G796" t="s">
        <v>299</v>
      </c>
      <c r="H796">
        <v>10</v>
      </c>
      <c r="I796" s="30">
        <v>4.8263888888888887E-3</v>
      </c>
      <c r="J796">
        <v>4</v>
      </c>
    </row>
    <row r="797" spans="1:10" x14ac:dyDescent="0.35">
      <c r="A797" t="s">
        <v>1119</v>
      </c>
      <c r="B797" t="s">
        <v>316</v>
      </c>
      <c r="C797" t="s">
        <v>1082</v>
      </c>
      <c r="D797" s="30">
        <v>0.61</v>
      </c>
      <c r="E797" t="s">
        <v>309</v>
      </c>
      <c r="F797" t="s">
        <v>299</v>
      </c>
      <c r="G797" t="s">
        <v>299</v>
      </c>
      <c r="H797">
        <v>76</v>
      </c>
      <c r="I797" s="30">
        <v>3.3217592592592591E-3</v>
      </c>
      <c r="J797">
        <v>5</v>
      </c>
    </row>
    <row r="798" spans="1:10" x14ac:dyDescent="0.35">
      <c r="A798" t="s">
        <v>1120</v>
      </c>
      <c r="B798" t="s">
        <v>332</v>
      </c>
      <c r="C798" t="s">
        <v>1082</v>
      </c>
      <c r="D798" s="30">
        <v>0.62299768518518517</v>
      </c>
      <c r="E798" t="s">
        <v>309</v>
      </c>
      <c r="F798" t="s">
        <v>299</v>
      </c>
      <c r="G798" t="s">
        <v>299</v>
      </c>
      <c r="H798">
        <v>124</v>
      </c>
      <c r="I798" s="30">
        <v>4.5486111111111109E-3</v>
      </c>
      <c r="J798">
        <v>3</v>
      </c>
    </row>
    <row r="799" spans="1:10" x14ac:dyDescent="0.35">
      <c r="A799" t="s">
        <v>1121</v>
      </c>
      <c r="B799" t="s">
        <v>301</v>
      </c>
      <c r="C799" t="s">
        <v>1082</v>
      </c>
      <c r="D799" s="30">
        <v>0.62299768518518517</v>
      </c>
      <c r="E799" t="s">
        <v>302</v>
      </c>
      <c r="F799" t="s">
        <v>299</v>
      </c>
      <c r="G799" t="s">
        <v>299</v>
      </c>
      <c r="H799">
        <v>28</v>
      </c>
      <c r="I799" s="30">
        <v>2.9166666666666668E-3</v>
      </c>
      <c r="J799">
        <v>3</v>
      </c>
    </row>
    <row r="800" spans="1:10" x14ac:dyDescent="0.35">
      <c r="A800" t="s">
        <v>1122</v>
      </c>
      <c r="B800" t="s">
        <v>301</v>
      </c>
      <c r="C800" t="s">
        <v>1082</v>
      </c>
      <c r="D800" s="30">
        <v>0.63900462962962967</v>
      </c>
      <c r="E800" t="s">
        <v>317</v>
      </c>
      <c r="F800" t="s">
        <v>299</v>
      </c>
      <c r="G800" t="s">
        <v>299</v>
      </c>
      <c r="H800">
        <v>107</v>
      </c>
      <c r="I800" s="30">
        <v>1.1458333333333333E-3</v>
      </c>
      <c r="J800">
        <v>4</v>
      </c>
    </row>
    <row r="801" spans="1:10" x14ac:dyDescent="0.35">
      <c r="A801" t="s">
        <v>1123</v>
      </c>
      <c r="B801" t="s">
        <v>323</v>
      </c>
      <c r="C801" t="s">
        <v>1082</v>
      </c>
      <c r="D801" s="30">
        <v>0.63900462962962967</v>
      </c>
      <c r="E801" t="s">
        <v>314</v>
      </c>
      <c r="F801" t="s">
        <v>303</v>
      </c>
      <c r="G801" t="s">
        <v>303</v>
      </c>
    </row>
    <row r="802" spans="1:10" x14ac:dyDescent="0.35">
      <c r="A802" t="s">
        <v>1124</v>
      </c>
      <c r="B802" t="s">
        <v>296</v>
      </c>
      <c r="C802" t="s">
        <v>1082</v>
      </c>
      <c r="D802" s="30">
        <v>0.66099537037037037</v>
      </c>
      <c r="E802" t="s">
        <v>317</v>
      </c>
      <c r="F802" t="s">
        <v>303</v>
      </c>
      <c r="G802" t="s">
        <v>303</v>
      </c>
    </row>
    <row r="803" spans="1:10" x14ac:dyDescent="0.35">
      <c r="A803" t="s">
        <v>1125</v>
      </c>
      <c r="B803" t="s">
        <v>323</v>
      </c>
      <c r="C803" t="s">
        <v>1082</v>
      </c>
      <c r="D803" s="30">
        <v>0.66099537037037037</v>
      </c>
      <c r="E803" t="s">
        <v>314</v>
      </c>
      <c r="F803" t="s">
        <v>303</v>
      </c>
      <c r="G803" t="s">
        <v>303</v>
      </c>
    </row>
    <row r="804" spans="1:10" x14ac:dyDescent="0.35">
      <c r="A804" t="s">
        <v>1126</v>
      </c>
      <c r="B804" t="s">
        <v>305</v>
      </c>
      <c r="C804" t="s">
        <v>1082</v>
      </c>
      <c r="D804" s="30">
        <v>0.6629976851851852</v>
      </c>
      <c r="E804" t="s">
        <v>317</v>
      </c>
      <c r="F804" t="s">
        <v>303</v>
      </c>
      <c r="G804" t="s">
        <v>303</v>
      </c>
    </row>
    <row r="805" spans="1:10" x14ac:dyDescent="0.35">
      <c r="A805" t="s">
        <v>1127</v>
      </c>
      <c r="B805" t="s">
        <v>319</v>
      </c>
      <c r="C805" t="s">
        <v>1082</v>
      </c>
      <c r="D805" s="30">
        <v>0.6629976851851852</v>
      </c>
      <c r="E805" t="s">
        <v>302</v>
      </c>
      <c r="F805" t="s">
        <v>303</v>
      </c>
      <c r="G805" t="s">
        <v>303</v>
      </c>
    </row>
    <row r="806" spans="1:10" x14ac:dyDescent="0.35">
      <c r="A806" t="s">
        <v>1128</v>
      </c>
      <c r="B806" t="s">
        <v>296</v>
      </c>
      <c r="C806" t="s">
        <v>1082</v>
      </c>
      <c r="D806" s="30">
        <v>0.68599537037037039</v>
      </c>
      <c r="E806" t="s">
        <v>298</v>
      </c>
      <c r="F806" t="s">
        <v>299</v>
      </c>
      <c r="G806" t="s">
        <v>299</v>
      </c>
      <c r="H806">
        <v>21</v>
      </c>
      <c r="I806" s="30">
        <v>1.1574074074074073E-3</v>
      </c>
      <c r="J806">
        <v>4</v>
      </c>
    </row>
    <row r="807" spans="1:10" x14ac:dyDescent="0.35">
      <c r="A807" t="s">
        <v>1129</v>
      </c>
      <c r="B807" t="s">
        <v>332</v>
      </c>
      <c r="C807" t="s">
        <v>1082</v>
      </c>
      <c r="D807" s="30">
        <v>0.68599537037037039</v>
      </c>
      <c r="E807" t="s">
        <v>317</v>
      </c>
      <c r="F807" t="s">
        <v>299</v>
      </c>
      <c r="G807" t="s">
        <v>299</v>
      </c>
      <c r="H807">
        <v>66</v>
      </c>
      <c r="I807" s="30">
        <v>3.9699074074074072E-3</v>
      </c>
      <c r="J807">
        <v>2</v>
      </c>
    </row>
    <row r="808" spans="1:10" x14ac:dyDescent="0.35">
      <c r="A808" t="s">
        <v>1130</v>
      </c>
      <c r="B808" t="s">
        <v>301</v>
      </c>
      <c r="C808" t="s">
        <v>1082</v>
      </c>
      <c r="D808" s="30">
        <v>0.69400462962962961</v>
      </c>
      <c r="E808" t="s">
        <v>302</v>
      </c>
      <c r="F808" t="s">
        <v>303</v>
      </c>
      <c r="G808" t="s">
        <v>303</v>
      </c>
    </row>
    <row r="809" spans="1:10" x14ac:dyDescent="0.35">
      <c r="A809" t="s">
        <v>1131</v>
      </c>
      <c r="B809" t="s">
        <v>307</v>
      </c>
      <c r="C809" t="s">
        <v>1082</v>
      </c>
      <c r="D809" s="30">
        <v>0.69400462962962961</v>
      </c>
      <c r="E809" t="s">
        <v>317</v>
      </c>
      <c r="F809" t="s">
        <v>299</v>
      </c>
      <c r="G809" t="s">
        <v>299</v>
      </c>
      <c r="H809">
        <v>19</v>
      </c>
      <c r="I809" s="30">
        <v>4.5370370370370373E-3</v>
      </c>
      <c r="J809">
        <v>3</v>
      </c>
    </row>
    <row r="810" spans="1:10" x14ac:dyDescent="0.35">
      <c r="A810" t="s">
        <v>1132</v>
      </c>
      <c r="B810" t="s">
        <v>307</v>
      </c>
      <c r="C810" t="s">
        <v>1082</v>
      </c>
      <c r="D810" s="30">
        <v>0.72200231481481481</v>
      </c>
      <c r="E810" t="s">
        <v>298</v>
      </c>
      <c r="F810" t="s">
        <v>299</v>
      </c>
      <c r="G810" t="s">
        <v>299</v>
      </c>
      <c r="H810">
        <v>100</v>
      </c>
      <c r="I810" s="30">
        <v>4.1550925925925922E-3</v>
      </c>
      <c r="J810">
        <v>4</v>
      </c>
    </row>
    <row r="811" spans="1:10" x14ac:dyDescent="0.35">
      <c r="A811" t="s">
        <v>1133</v>
      </c>
      <c r="B811" t="s">
        <v>316</v>
      </c>
      <c r="C811" t="s">
        <v>1082</v>
      </c>
      <c r="D811" s="30">
        <v>0.72200231481481481</v>
      </c>
      <c r="E811" t="s">
        <v>302</v>
      </c>
      <c r="F811" t="s">
        <v>299</v>
      </c>
      <c r="G811" t="s">
        <v>299</v>
      </c>
      <c r="H811">
        <v>108</v>
      </c>
      <c r="I811" s="30">
        <v>4.4444444444444444E-3</v>
      </c>
      <c r="J811">
        <v>4</v>
      </c>
    </row>
    <row r="812" spans="1:10" x14ac:dyDescent="0.35">
      <c r="A812" t="s">
        <v>1134</v>
      </c>
      <c r="B812" t="s">
        <v>305</v>
      </c>
      <c r="C812" t="s">
        <v>1082</v>
      </c>
      <c r="D812" s="30">
        <v>0.72400462962962964</v>
      </c>
      <c r="E812" t="s">
        <v>302</v>
      </c>
      <c r="F812" t="s">
        <v>299</v>
      </c>
      <c r="G812" t="s">
        <v>299</v>
      </c>
      <c r="H812">
        <v>123</v>
      </c>
      <c r="I812" s="30">
        <v>3.1828703703703702E-3</v>
      </c>
      <c r="J812">
        <v>1</v>
      </c>
    </row>
    <row r="813" spans="1:10" x14ac:dyDescent="0.35">
      <c r="A813" t="s">
        <v>1135</v>
      </c>
      <c r="B813" t="s">
        <v>307</v>
      </c>
      <c r="C813" t="s">
        <v>1082</v>
      </c>
      <c r="D813" s="30">
        <v>0.72400462962962964</v>
      </c>
      <c r="E813" t="s">
        <v>298</v>
      </c>
      <c r="F813" t="s">
        <v>303</v>
      </c>
      <c r="G813" t="s">
        <v>303</v>
      </c>
    </row>
    <row r="814" spans="1:10" x14ac:dyDescent="0.35">
      <c r="A814" t="s">
        <v>1136</v>
      </c>
      <c r="B814" t="s">
        <v>332</v>
      </c>
      <c r="C814" t="s">
        <v>1082</v>
      </c>
      <c r="D814" s="30">
        <v>0.73099537037037032</v>
      </c>
      <c r="E814" t="s">
        <v>298</v>
      </c>
      <c r="F814" t="s">
        <v>299</v>
      </c>
      <c r="G814" t="s">
        <v>299</v>
      </c>
      <c r="H814">
        <v>76</v>
      </c>
      <c r="I814" s="30">
        <v>1.4699074074074074E-3</v>
      </c>
      <c r="J814">
        <v>2</v>
      </c>
    </row>
    <row r="815" spans="1:10" x14ac:dyDescent="0.35">
      <c r="A815" t="s">
        <v>1137</v>
      </c>
      <c r="B815" t="s">
        <v>319</v>
      </c>
      <c r="C815" t="s">
        <v>1082</v>
      </c>
      <c r="D815" s="30">
        <v>0.73099537037037032</v>
      </c>
      <c r="E815" t="s">
        <v>298</v>
      </c>
      <c r="F815" t="s">
        <v>299</v>
      </c>
      <c r="G815" t="s">
        <v>299</v>
      </c>
      <c r="H815">
        <v>78</v>
      </c>
      <c r="I815" s="30">
        <v>1.0763888888888889E-3</v>
      </c>
      <c r="J815">
        <v>2</v>
      </c>
    </row>
    <row r="816" spans="1:10" x14ac:dyDescent="0.35">
      <c r="A816" t="s">
        <v>1138</v>
      </c>
      <c r="B816" t="s">
        <v>301</v>
      </c>
      <c r="C816" t="s">
        <v>1082</v>
      </c>
      <c r="D816" s="30">
        <v>0.73099537037037032</v>
      </c>
      <c r="E816" t="s">
        <v>317</v>
      </c>
      <c r="F816" t="s">
        <v>299</v>
      </c>
      <c r="G816" t="s">
        <v>299</v>
      </c>
      <c r="H816">
        <v>17</v>
      </c>
      <c r="I816" s="30">
        <v>1.7708333333333332E-3</v>
      </c>
      <c r="J816">
        <v>1</v>
      </c>
    </row>
    <row r="817" spans="1:10" x14ac:dyDescent="0.35">
      <c r="A817" t="s">
        <v>1139</v>
      </c>
      <c r="B817" t="s">
        <v>296</v>
      </c>
      <c r="C817" t="s">
        <v>1082</v>
      </c>
      <c r="D817" s="30">
        <v>0.73099537037037032</v>
      </c>
      <c r="E817" t="s">
        <v>317</v>
      </c>
      <c r="F817" t="s">
        <v>299</v>
      </c>
      <c r="G817" t="s">
        <v>299</v>
      </c>
      <c r="H817">
        <v>60</v>
      </c>
      <c r="I817" s="30">
        <v>2.9282407407407408E-3</v>
      </c>
      <c r="J817">
        <v>4</v>
      </c>
    </row>
    <row r="818" spans="1:10" x14ac:dyDescent="0.35">
      <c r="A818" t="s">
        <v>1140</v>
      </c>
      <c r="B818" t="s">
        <v>316</v>
      </c>
      <c r="C818" t="s">
        <v>1141</v>
      </c>
      <c r="D818" s="30">
        <v>0.40299768518518519</v>
      </c>
      <c r="E818" t="s">
        <v>298</v>
      </c>
      <c r="F818" t="s">
        <v>299</v>
      </c>
      <c r="G818" t="s">
        <v>299</v>
      </c>
      <c r="H818">
        <v>76</v>
      </c>
      <c r="I818" s="30">
        <v>1.238425925925926E-3</v>
      </c>
      <c r="J818">
        <v>3</v>
      </c>
    </row>
    <row r="819" spans="1:10" x14ac:dyDescent="0.35">
      <c r="A819" t="s">
        <v>1142</v>
      </c>
      <c r="B819" t="s">
        <v>307</v>
      </c>
      <c r="C819" t="s">
        <v>1141</v>
      </c>
      <c r="D819" s="30">
        <v>0.40299768518518519</v>
      </c>
      <c r="E819" t="s">
        <v>298</v>
      </c>
      <c r="F819" t="s">
        <v>299</v>
      </c>
      <c r="G819" t="s">
        <v>299</v>
      </c>
      <c r="H819">
        <v>80</v>
      </c>
      <c r="I819" s="30">
        <v>2.8009259259259259E-3</v>
      </c>
      <c r="J819">
        <v>4</v>
      </c>
    </row>
    <row r="820" spans="1:10" x14ac:dyDescent="0.35">
      <c r="A820" t="s">
        <v>1143</v>
      </c>
      <c r="B820" t="s">
        <v>307</v>
      </c>
      <c r="C820" t="s">
        <v>1141</v>
      </c>
      <c r="D820" s="30">
        <v>0.40299768518518519</v>
      </c>
      <c r="E820" t="s">
        <v>314</v>
      </c>
      <c r="F820" t="s">
        <v>299</v>
      </c>
      <c r="G820" t="s">
        <v>303</v>
      </c>
      <c r="H820">
        <v>20</v>
      </c>
      <c r="I820" s="30">
        <v>3.9004629629629628E-3</v>
      </c>
      <c r="J820">
        <v>4</v>
      </c>
    </row>
    <row r="821" spans="1:10" x14ac:dyDescent="0.35">
      <c r="A821" t="s">
        <v>1144</v>
      </c>
      <c r="B821" t="s">
        <v>301</v>
      </c>
      <c r="C821" t="s">
        <v>1141</v>
      </c>
      <c r="D821" s="30">
        <v>0.40299768518518519</v>
      </c>
      <c r="E821" t="s">
        <v>314</v>
      </c>
      <c r="F821" t="s">
        <v>299</v>
      </c>
      <c r="G821" t="s">
        <v>299</v>
      </c>
      <c r="H821">
        <v>82</v>
      </c>
      <c r="I821" s="30">
        <v>4.4212962962962964E-3</v>
      </c>
      <c r="J821">
        <v>3</v>
      </c>
    </row>
    <row r="822" spans="1:10" x14ac:dyDescent="0.35">
      <c r="A822" t="s">
        <v>1145</v>
      </c>
      <c r="B822" t="s">
        <v>305</v>
      </c>
      <c r="C822" t="s">
        <v>1141</v>
      </c>
      <c r="D822" s="30">
        <v>0.41</v>
      </c>
      <c r="E822" t="s">
        <v>302</v>
      </c>
      <c r="F822" t="s">
        <v>299</v>
      </c>
      <c r="G822" t="s">
        <v>299</v>
      </c>
      <c r="H822">
        <v>33</v>
      </c>
      <c r="I822" s="30">
        <v>4.0740740740740737E-3</v>
      </c>
      <c r="J822">
        <v>3</v>
      </c>
    </row>
    <row r="823" spans="1:10" x14ac:dyDescent="0.35">
      <c r="A823" t="s">
        <v>1146</v>
      </c>
      <c r="B823" t="s">
        <v>305</v>
      </c>
      <c r="C823" t="s">
        <v>1141</v>
      </c>
      <c r="D823" s="30">
        <v>0.41</v>
      </c>
      <c r="E823" t="s">
        <v>314</v>
      </c>
      <c r="F823" t="s">
        <v>299</v>
      </c>
      <c r="G823" t="s">
        <v>299</v>
      </c>
      <c r="H823">
        <v>93</v>
      </c>
      <c r="I823" s="30">
        <v>1.3425925925925925E-3</v>
      </c>
      <c r="J823">
        <v>3</v>
      </c>
    </row>
    <row r="824" spans="1:10" x14ac:dyDescent="0.35">
      <c r="A824" t="s">
        <v>1147</v>
      </c>
      <c r="B824" t="s">
        <v>296</v>
      </c>
      <c r="C824" t="s">
        <v>1141</v>
      </c>
      <c r="D824" s="30">
        <v>0.45599537037037036</v>
      </c>
      <c r="E824" t="s">
        <v>317</v>
      </c>
      <c r="F824" t="s">
        <v>299</v>
      </c>
      <c r="G824" t="s">
        <v>299</v>
      </c>
      <c r="H824">
        <v>29</v>
      </c>
      <c r="I824" s="30">
        <v>2.0833333333333333E-3</v>
      </c>
      <c r="J824">
        <v>4</v>
      </c>
    </row>
    <row r="825" spans="1:10" x14ac:dyDescent="0.35">
      <c r="A825" t="s">
        <v>1148</v>
      </c>
      <c r="B825" t="s">
        <v>323</v>
      </c>
      <c r="C825" t="s">
        <v>1141</v>
      </c>
      <c r="D825" s="30">
        <v>0.45599537037037036</v>
      </c>
      <c r="E825" t="s">
        <v>314</v>
      </c>
      <c r="F825" t="s">
        <v>299</v>
      </c>
      <c r="G825" t="s">
        <v>299</v>
      </c>
      <c r="H825">
        <v>83</v>
      </c>
      <c r="I825" s="30">
        <v>4.7800925925925927E-3</v>
      </c>
      <c r="J825">
        <v>4</v>
      </c>
    </row>
    <row r="826" spans="1:10" x14ac:dyDescent="0.35">
      <c r="A826" t="s">
        <v>1149</v>
      </c>
      <c r="B826" t="s">
        <v>305</v>
      </c>
      <c r="C826" t="s">
        <v>1141</v>
      </c>
      <c r="D826" s="30">
        <v>0.48</v>
      </c>
      <c r="E826" t="s">
        <v>309</v>
      </c>
      <c r="F826" t="s">
        <v>299</v>
      </c>
      <c r="G826" t="s">
        <v>299</v>
      </c>
      <c r="H826">
        <v>113</v>
      </c>
      <c r="I826" s="30">
        <v>1.4004629629629629E-3</v>
      </c>
      <c r="J826">
        <v>4</v>
      </c>
    </row>
    <row r="827" spans="1:10" x14ac:dyDescent="0.35">
      <c r="A827" t="s">
        <v>1150</v>
      </c>
      <c r="B827" t="s">
        <v>305</v>
      </c>
      <c r="C827" t="s">
        <v>1141</v>
      </c>
      <c r="D827" s="30">
        <v>0.48</v>
      </c>
      <c r="E827" t="s">
        <v>314</v>
      </c>
      <c r="F827" t="s">
        <v>299</v>
      </c>
      <c r="G827" t="s">
        <v>299</v>
      </c>
      <c r="H827">
        <v>21</v>
      </c>
      <c r="I827" s="30">
        <v>2.3842592592592591E-3</v>
      </c>
      <c r="J827">
        <v>4</v>
      </c>
    </row>
    <row r="828" spans="1:10" x14ac:dyDescent="0.35">
      <c r="A828" t="s">
        <v>1151</v>
      </c>
      <c r="B828" t="s">
        <v>301</v>
      </c>
      <c r="C828" t="s">
        <v>1141</v>
      </c>
      <c r="D828" s="30">
        <v>0.48499999999999999</v>
      </c>
      <c r="E828" t="s">
        <v>314</v>
      </c>
      <c r="F828" t="s">
        <v>299</v>
      </c>
      <c r="G828" t="s">
        <v>303</v>
      </c>
      <c r="H828">
        <v>82</v>
      </c>
      <c r="I828" s="30">
        <v>1.8518518518518519E-3</v>
      </c>
      <c r="J828">
        <v>4</v>
      </c>
    </row>
    <row r="829" spans="1:10" x14ac:dyDescent="0.35">
      <c r="A829" t="s">
        <v>1152</v>
      </c>
      <c r="B829" t="s">
        <v>296</v>
      </c>
      <c r="C829" t="s">
        <v>1141</v>
      </c>
      <c r="D829" s="30">
        <v>0.48499999999999999</v>
      </c>
      <c r="E829" t="s">
        <v>317</v>
      </c>
      <c r="F829" t="s">
        <v>299</v>
      </c>
      <c r="G829" t="s">
        <v>299</v>
      </c>
      <c r="H829">
        <v>91</v>
      </c>
      <c r="I829" s="30">
        <v>2.627314814814815E-3</v>
      </c>
      <c r="J829">
        <v>3</v>
      </c>
    </row>
    <row r="830" spans="1:10" x14ac:dyDescent="0.35">
      <c r="A830" t="s">
        <v>1153</v>
      </c>
      <c r="B830" t="s">
        <v>332</v>
      </c>
      <c r="C830" t="s">
        <v>1141</v>
      </c>
      <c r="D830" s="30">
        <v>0.49</v>
      </c>
      <c r="E830" t="s">
        <v>302</v>
      </c>
      <c r="F830" t="s">
        <v>299</v>
      </c>
      <c r="G830" t="s">
        <v>299</v>
      </c>
      <c r="H830">
        <v>111</v>
      </c>
      <c r="I830" s="30">
        <v>4.6296296296296298E-4</v>
      </c>
      <c r="J830">
        <v>4</v>
      </c>
    </row>
    <row r="831" spans="1:10" x14ac:dyDescent="0.35">
      <c r="A831" t="s">
        <v>1154</v>
      </c>
      <c r="B831" t="s">
        <v>323</v>
      </c>
      <c r="C831" t="s">
        <v>1141</v>
      </c>
      <c r="D831" s="30">
        <v>0.49</v>
      </c>
      <c r="E831" t="s">
        <v>314</v>
      </c>
      <c r="F831" t="s">
        <v>299</v>
      </c>
      <c r="G831" t="s">
        <v>299</v>
      </c>
      <c r="H831">
        <v>70</v>
      </c>
      <c r="I831" s="30">
        <v>3.6226851851851854E-3</v>
      </c>
      <c r="J831">
        <v>4</v>
      </c>
    </row>
    <row r="832" spans="1:10" x14ac:dyDescent="0.35">
      <c r="A832" t="s">
        <v>1155</v>
      </c>
      <c r="B832" t="s">
        <v>332</v>
      </c>
      <c r="C832" t="s">
        <v>1141</v>
      </c>
      <c r="D832" s="30">
        <v>0.57400462962962961</v>
      </c>
      <c r="E832" t="s">
        <v>302</v>
      </c>
      <c r="F832" t="s">
        <v>303</v>
      </c>
      <c r="G832" t="s">
        <v>303</v>
      </c>
    </row>
    <row r="833" spans="1:10" x14ac:dyDescent="0.35">
      <c r="A833" t="s">
        <v>1156</v>
      </c>
      <c r="B833" t="s">
        <v>319</v>
      </c>
      <c r="C833" t="s">
        <v>1141</v>
      </c>
      <c r="D833" s="30">
        <v>0.57400462962962961</v>
      </c>
      <c r="E833" t="s">
        <v>317</v>
      </c>
      <c r="F833" t="s">
        <v>299</v>
      </c>
      <c r="G833" t="s">
        <v>299</v>
      </c>
      <c r="H833">
        <v>58</v>
      </c>
      <c r="I833" s="30">
        <v>2.9976851851851853E-3</v>
      </c>
      <c r="J833">
        <v>4</v>
      </c>
    </row>
    <row r="834" spans="1:10" x14ac:dyDescent="0.35">
      <c r="A834" t="s">
        <v>1157</v>
      </c>
      <c r="B834" t="s">
        <v>316</v>
      </c>
      <c r="C834" t="s">
        <v>1141</v>
      </c>
      <c r="D834" s="30">
        <v>0.57900462962962962</v>
      </c>
      <c r="E834" t="s">
        <v>317</v>
      </c>
      <c r="F834" t="s">
        <v>299</v>
      </c>
      <c r="G834" t="s">
        <v>299</v>
      </c>
      <c r="H834">
        <v>10</v>
      </c>
      <c r="I834" s="30">
        <v>3.7847222222222223E-3</v>
      </c>
      <c r="J834">
        <v>4</v>
      </c>
    </row>
    <row r="835" spans="1:10" x14ac:dyDescent="0.35">
      <c r="A835" t="s">
        <v>1158</v>
      </c>
      <c r="B835" t="s">
        <v>301</v>
      </c>
      <c r="C835" t="s">
        <v>1141</v>
      </c>
      <c r="D835" s="30">
        <v>0.57900462962962962</v>
      </c>
      <c r="E835" t="s">
        <v>309</v>
      </c>
      <c r="F835" t="s">
        <v>299</v>
      </c>
      <c r="G835" t="s">
        <v>299</v>
      </c>
      <c r="H835">
        <v>77</v>
      </c>
      <c r="I835" s="30">
        <v>2.0833333333333333E-3</v>
      </c>
      <c r="J835">
        <v>1</v>
      </c>
    </row>
    <row r="836" spans="1:10" x14ac:dyDescent="0.35">
      <c r="A836" t="s">
        <v>1159</v>
      </c>
      <c r="B836" t="s">
        <v>296</v>
      </c>
      <c r="C836" t="s">
        <v>1141</v>
      </c>
      <c r="D836" s="30">
        <v>0.58900462962962963</v>
      </c>
      <c r="E836" t="s">
        <v>317</v>
      </c>
      <c r="F836" t="s">
        <v>299</v>
      </c>
      <c r="G836" t="s">
        <v>299</v>
      </c>
      <c r="H836">
        <v>92</v>
      </c>
      <c r="I836" s="30">
        <v>2.7662037037037039E-3</v>
      </c>
      <c r="J836">
        <v>4</v>
      </c>
    </row>
    <row r="837" spans="1:10" x14ac:dyDescent="0.35">
      <c r="A837" t="s">
        <v>1160</v>
      </c>
      <c r="B837" t="s">
        <v>316</v>
      </c>
      <c r="C837" t="s">
        <v>1141</v>
      </c>
      <c r="D837" s="30">
        <v>0.58900462962962963</v>
      </c>
      <c r="E837" t="s">
        <v>314</v>
      </c>
      <c r="F837" t="s">
        <v>299</v>
      </c>
      <c r="G837" t="s">
        <v>299</v>
      </c>
      <c r="H837">
        <v>59</v>
      </c>
      <c r="I837" s="30">
        <v>1.4930555555555556E-3</v>
      </c>
      <c r="J837">
        <v>1</v>
      </c>
    </row>
    <row r="838" spans="1:10" x14ac:dyDescent="0.35">
      <c r="A838" t="s">
        <v>1161</v>
      </c>
      <c r="B838" t="s">
        <v>296</v>
      </c>
      <c r="C838" t="s">
        <v>1141</v>
      </c>
      <c r="D838" s="30">
        <v>0.59299768518518514</v>
      </c>
      <c r="E838" t="s">
        <v>314</v>
      </c>
      <c r="F838" t="s">
        <v>299</v>
      </c>
      <c r="G838" t="s">
        <v>299</v>
      </c>
      <c r="H838">
        <v>42</v>
      </c>
      <c r="I838" s="30">
        <v>2.9976851851851853E-3</v>
      </c>
      <c r="J838">
        <v>2</v>
      </c>
    </row>
    <row r="839" spans="1:10" x14ac:dyDescent="0.35">
      <c r="A839" t="s">
        <v>1162</v>
      </c>
      <c r="B839" t="s">
        <v>307</v>
      </c>
      <c r="C839" t="s">
        <v>1141</v>
      </c>
      <c r="D839" s="30">
        <v>0.59299768518518514</v>
      </c>
      <c r="E839" t="s">
        <v>309</v>
      </c>
      <c r="F839" t="s">
        <v>299</v>
      </c>
      <c r="G839" t="s">
        <v>299</v>
      </c>
      <c r="H839">
        <v>110</v>
      </c>
      <c r="I839" s="30">
        <v>3.1481481481481482E-3</v>
      </c>
      <c r="J839">
        <v>3</v>
      </c>
    </row>
    <row r="840" spans="1:10" x14ac:dyDescent="0.35">
      <c r="A840" t="s">
        <v>1163</v>
      </c>
      <c r="B840" t="s">
        <v>316</v>
      </c>
      <c r="C840" t="s">
        <v>1141</v>
      </c>
      <c r="D840" s="30">
        <v>0.62599537037037034</v>
      </c>
      <c r="E840" t="s">
        <v>298</v>
      </c>
      <c r="F840" t="s">
        <v>299</v>
      </c>
      <c r="G840" t="s">
        <v>299</v>
      </c>
      <c r="H840">
        <v>21</v>
      </c>
      <c r="I840" s="30">
        <v>1.0648148148148149E-3</v>
      </c>
      <c r="J840">
        <v>5</v>
      </c>
    </row>
    <row r="841" spans="1:10" x14ac:dyDescent="0.35">
      <c r="A841" t="s">
        <v>1164</v>
      </c>
      <c r="B841" t="s">
        <v>296</v>
      </c>
      <c r="C841" t="s">
        <v>1141</v>
      </c>
      <c r="D841" s="30">
        <v>0.62599537037037034</v>
      </c>
      <c r="E841" t="s">
        <v>309</v>
      </c>
      <c r="F841" t="s">
        <v>303</v>
      </c>
      <c r="G841" t="s">
        <v>303</v>
      </c>
    </row>
    <row r="842" spans="1:10" x14ac:dyDescent="0.35">
      <c r="A842" t="s">
        <v>1165</v>
      </c>
      <c r="B842" t="s">
        <v>296</v>
      </c>
      <c r="C842" t="s">
        <v>1141</v>
      </c>
      <c r="D842" s="30">
        <v>0.64</v>
      </c>
      <c r="E842" t="s">
        <v>302</v>
      </c>
      <c r="F842" t="s">
        <v>299</v>
      </c>
      <c r="G842" t="s">
        <v>303</v>
      </c>
      <c r="H842">
        <v>60</v>
      </c>
      <c r="I842" s="30">
        <v>2.4074074074074076E-3</v>
      </c>
      <c r="J842">
        <v>4</v>
      </c>
    </row>
    <row r="843" spans="1:10" x14ac:dyDescent="0.35">
      <c r="A843" t="s">
        <v>1166</v>
      </c>
      <c r="B843" t="s">
        <v>307</v>
      </c>
      <c r="C843" t="s">
        <v>1141</v>
      </c>
      <c r="D843" s="30">
        <v>0.64</v>
      </c>
      <c r="E843" t="s">
        <v>309</v>
      </c>
      <c r="F843" t="s">
        <v>299</v>
      </c>
      <c r="G843" t="s">
        <v>299</v>
      </c>
      <c r="H843">
        <v>93</v>
      </c>
      <c r="I843" s="30">
        <v>1.6782407407407408E-3</v>
      </c>
      <c r="J843">
        <v>2</v>
      </c>
    </row>
    <row r="844" spans="1:10" x14ac:dyDescent="0.35">
      <c r="A844" t="s">
        <v>1167</v>
      </c>
      <c r="B844" t="s">
        <v>307</v>
      </c>
      <c r="C844" t="s">
        <v>1141</v>
      </c>
      <c r="D844" s="30">
        <v>0.64599537037037036</v>
      </c>
      <c r="E844" t="s">
        <v>298</v>
      </c>
      <c r="F844" t="s">
        <v>303</v>
      </c>
      <c r="G844" t="s">
        <v>303</v>
      </c>
    </row>
    <row r="845" spans="1:10" x14ac:dyDescent="0.35">
      <c r="A845" t="s">
        <v>1168</v>
      </c>
      <c r="B845" t="s">
        <v>296</v>
      </c>
      <c r="C845" t="s">
        <v>1141</v>
      </c>
      <c r="D845" s="30">
        <v>0.64599537037037036</v>
      </c>
      <c r="E845" t="s">
        <v>317</v>
      </c>
      <c r="F845" t="s">
        <v>299</v>
      </c>
      <c r="G845" t="s">
        <v>299</v>
      </c>
      <c r="H845">
        <v>79</v>
      </c>
      <c r="I845" s="30">
        <v>4.3055555555555555E-3</v>
      </c>
      <c r="J845">
        <v>3</v>
      </c>
    </row>
    <row r="846" spans="1:10" x14ac:dyDescent="0.35">
      <c r="A846" t="s">
        <v>1169</v>
      </c>
      <c r="B846" t="s">
        <v>296</v>
      </c>
      <c r="C846" t="s">
        <v>1141</v>
      </c>
      <c r="D846" s="30">
        <v>0.65700231481481486</v>
      </c>
      <c r="E846" t="s">
        <v>302</v>
      </c>
      <c r="F846" t="s">
        <v>299</v>
      </c>
      <c r="G846" t="s">
        <v>299</v>
      </c>
      <c r="H846">
        <v>21</v>
      </c>
      <c r="I846" s="30">
        <v>4.1319444444444442E-3</v>
      </c>
      <c r="J846">
        <v>5</v>
      </c>
    </row>
    <row r="847" spans="1:10" x14ac:dyDescent="0.35">
      <c r="A847" t="s">
        <v>1170</v>
      </c>
      <c r="B847" t="s">
        <v>305</v>
      </c>
      <c r="C847" t="s">
        <v>1141</v>
      </c>
      <c r="D847" s="30">
        <v>0.65700231481481486</v>
      </c>
      <c r="E847" t="s">
        <v>298</v>
      </c>
      <c r="F847" t="s">
        <v>299</v>
      </c>
      <c r="G847" t="s">
        <v>299</v>
      </c>
      <c r="H847">
        <v>102</v>
      </c>
      <c r="I847" s="30">
        <v>1.9212962962962964E-3</v>
      </c>
      <c r="J847">
        <v>5</v>
      </c>
    </row>
    <row r="848" spans="1:10" x14ac:dyDescent="0.35">
      <c r="A848" t="s">
        <v>1171</v>
      </c>
      <c r="B848" t="s">
        <v>319</v>
      </c>
      <c r="C848" t="s">
        <v>1141</v>
      </c>
      <c r="D848" s="30">
        <v>0.67099537037037038</v>
      </c>
      <c r="E848" t="s">
        <v>309</v>
      </c>
      <c r="F848" t="s">
        <v>299</v>
      </c>
      <c r="G848" t="s">
        <v>303</v>
      </c>
      <c r="H848">
        <v>10</v>
      </c>
      <c r="I848" s="30">
        <v>9.0277777777777774E-4</v>
      </c>
      <c r="J848">
        <v>5</v>
      </c>
    </row>
    <row r="849" spans="1:10" x14ac:dyDescent="0.35">
      <c r="A849" t="s">
        <v>1172</v>
      </c>
      <c r="B849" t="s">
        <v>305</v>
      </c>
      <c r="C849" t="s">
        <v>1141</v>
      </c>
      <c r="D849" s="30">
        <v>0.67099537037037038</v>
      </c>
      <c r="E849" t="s">
        <v>302</v>
      </c>
      <c r="F849" t="s">
        <v>299</v>
      </c>
      <c r="G849" t="s">
        <v>299</v>
      </c>
      <c r="H849">
        <v>117</v>
      </c>
      <c r="I849" s="30">
        <v>4.7453703703703698E-4</v>
      </c>
      <c r="J849">
        <v>4</v>
      </c>
    </row>
    <row r="850" spans="1:10" x14ac:dyDescent="0.35">
      <c r="A850" t="s">
        <v>1173</v>
      </c>
      <c r="B850" t="s">
        <v>301</v>
      </c>
      <c r="C850" t="s">
        <v>1141</v>
      </c>
      <c r="D850" s="30">
        <v>0.69299768518518523</v>
      </c>
      <c r="E850" t="s">
        <v>298</v>
      </c>
      <c r="F850" t="s">
        <v>299</v>
      </c>
      <c r="G850" t="s">
        <v>299</v>
      </c>
      <c r="H850">
        <v>45</v>
      </c>
      <c r="I850" s="30">
        <v>4.7800925925925927E-3</v>
      </c>
      <c r="J850">
        <v>3</v>
      </c>
    </row>
    <row r="851" spans="1:10" x14ac:dyDescent="0.35">
      <c r="A851" t="s">
        <v>1174</v>
      </c>
      <c r="B851" t="s">
        <v>307</v>
      </c>
      <c r="C851" t="s">
        <v>1141</v>
      </c>
      <c r="D851" s="30">
        <v>0.69299768518518523</v>
      </c>
      <c r="E851" t="s">
        <v>314</v>
      </c>
      <c r="F851" t="s">
        <v>299</v>
      </c>
      <c r="G851" t="s">
        <v>303</v>
      </c>
      <c r="H851">
        <v>50</v>
      </c>
      <c r="I851" s="30">
        <v>7.0601851851851847E-4</v>
      </c>
      <c r="J851">
        <v>3</v>
      </c>
    </row>
    <row r="852" spans="1:10" x14ac:dyDescent="0.35">
      <c r="A852" t="s">
        <v>1175</v>
      </c>
      <c r="B852" t="s">
        <v>301</v>
      </c>
      <c r="C852" t="s">
        <v>1141</v>
      </c>
      <c r="D852" s="30">
        <v>0.69499999999999995</v>
      </c>
      <c r="E852" t="s">
        <v>314</v>
      </c>
      <c r="F852" t="s">
        <v>299</v>
      </c>
      <c r="G852" t="s">
        <v>299</v>
      </c>
      <c r="H852">
        <v>42</v>
      </c>
      <c r="I852" s="30">
        <v>1.9444444444444444E-3</v>
      </c>
      <c r="J852">
        <v>3</v>
      </c>
    </row>
    <row r="853" spans="1:10" x14ac:dyDescent="0.35">
      <c r="A853" t="s">
        <v>1176</v>
      </c>
      <c r="B853" t="s">
        <v>316</v>
      </c>
      <c r="C853" t="s">
        <v>1141</v>
      </c>
      <c r="D853" s="30">
        <v>0.69499999999999995</v>
      </c>
      <c r="E853" t="s">
        <v>298</v>
      </c>
      <c r="F853" t="s">
        <v>299</v>
      </c>
      <c r="G853" t="s">
        <v>299</v>
      </c>
      <c r="H853">
        <v>86</v>
      </c>
      <c r="I853" s="30">
        <v>4.2013888888888891E-3</v>
      </c>
      <c r="J853">
        <v>3</v>
      </c>
    </row>
    <row r="854" spans="1:10" x14ac:dyDescent="0.35">
      <c r="A854" t="s">
        <v>1177</v>
      </c>
      <c r="B854" t="s">
        <v>316</v>
      </c>
      <c r="C854" t="s">
        <v>1141</v>
      </c>
      <c r="D854" s="30">
        <v>0.69700231481481478</v>
      </c>
      <c r="E854" t="s">
        <v>298</v>
      </c>
      <c r="F854" t="s">
        <v>299</v>
      </c>
      <c r="G854" t="s">
        <v>299</v>
      </c>
      <c r="H854">
        <v>92</v>
      </c>
      <c r="I854" s="30">
        <v>3.2754629629629631E-3</v>
      </c>
      <c r="J854">
        <v>5</v>
      </c>
    </row>
    <row r="855" spans="1:10" x14ac:dyDescent="0.35">
      <c r="A855" t="s">
        <v>1178</v>
      </c>
      <c r="B855" t="s">
        <v>296</v>
      </c>
      <c r="C855" t="s">
        <v>1141</v>
      </c>
      <c r="D855" s="30">
        <v>0.69700231481481478</v>
      </c>
      <c r="E855" t="s">
        <v>317</v>
      </c>
      <c r="F855" t="s">
        <v>299</v>
      </c>
      <c r="G855" t="s">
        <v>299</v>
      </c>
      <c r="H855">
        <v>54</v>
      </c>
      <c r="I855" s="30">
        <v>3.9236111111111112E-3</v>
      </c>
      <c r="J855">
        <v>5</v>
      </c>
    </row>
    <row r="856" spans="1:10" x14ac:dyDescent="0.35">
      <c r="A856" t="s">
        <v>1179</v>
      </c>
      <c r="B856" t="s">
        <v>332</v>
      </c>
      <c r="C856" t="s">
        <v>1141</v>
      </c>
      <c r="D856" s="30">
        <v>0.72299768518518515</v>
      </c>
      <c r="E856" t="s">
        <v>317</v>
      </c>
      <c r="F856" t="s">
        <v>299</v>
      </c>
      <c r="G856" t="s">
        <v>299</v>
      </c>
      <c r="H856">
        <v>76</v>
      </c>
      <c r="I856" s="30">
        <v>4.5717592592592589E-3</v>
      </c>
      <c r="J856">
        <v>3</v>
      </c>
    </row>
    <row r="857" spans="1:10" x14ac:dyDescent="0.35">
      <c r="A857" t="s">
        <v>1180</v>
      </c>
      <c r="B857" t="s">
        <v>307</v>
      </c>
      <c r="C857" t="s">
        <v>1141</v>
      </c>
      <c r="D857" s="30">
        <v>0.72299768518518515</v>
      </c>
      <c r="E857" t="s">
        <v>314</v>
      </c>
      <c r="F857" t="s">
        <v>299</v>
      </c>
      <c r="G857" t="s">
        <v>299</v>
      </c>
      <c r="H857">
        <v>49</v>
      </c>
      <c r="I857" s="30">
        <v>1.3773148148148147E-3</v>
      </c>
      <c r="J857">
        <v>5</v>
      </c>
    </row>
    <row r="858" spans="1:10" x14ac:dyDescent="0.35">
      <c r="A858" t="s">
        <v>1181</v>
      </c>
      <c r="B858" t="s">
        <v>319</v>
      </c>
      <c r="C858" t="s">
        <v>1141</v>
      </c>
      <c r="D858" s="30">
        <v>0.73499999999999999</v>
      </c>
      <c r="E858" t="s">
        <v>298</v>
      </c>
      <c r="F858" t="s">
        <v>299</v>
      </c>
      <c r="G858" t="s">
        <v>299</v>
      </c>
      <c r="H858">
        <v>13</v>
      </c>
      <c r="I858" s="30">
        <v>3.3564814814814816E-3</v>
      </c>
      <c r="J858">
        <v>3</v>
      </c>
    </row>
    <row r="859" spans="1:10" x14ac:dyDescent="0.35">
      <c r="A859" t="s">
        <v>1182</v>
      </c>
      <c r="B859" t="s">
        <v>301</v>
      </c>
      <c r="C859" t="s">
        <v>1141</v>
      </c>
      <c r="D859" s="30">
        <v>0.73499999999999999</v>
      </c>
      <c r="E859" t="s">
        <v>309</v>
      </c>
      <c r="F859" t="s">
        <v>303</v>
      </c>
      <c r="G859" t="s">
        <v>303</v>
      </c>
    </row>
    <row r="860" spans="1:10" x14ac:dyDescent="0.35">
      <c r="A860" t="s">
        <v>1183</v>
      </c>
      <c r="B860" t="s">
        <v>301</v>
      </c>
      <c r="C860" t="s">
        <v>1141</v>
      </c>
      <c r="D860" s="30">
        <v>0.73700231481481482</v>
      </c>
      <c r="E860" t="s">
        <v>317</v>
      </c>
      <c r="F860" t="s">
        <v>299</v>
      </c>
      <c r="G860" t="s">
        <v>299</v>
      </c>
      <c r="H860">
        <v>24</v>
      </c>
      <c r="I860" s="30">
        <v>3.8194444444444443E-3</v>
      </c>
      <c r="J860">
        <v>5</v>
      </c>
    </row>
    <row r="861" spans="1:10" x14ac:dyDescent="0.35">
      <c r="A861" t="s">
        <v>1184</v>
      </c>
      <c r="B861" t="s">
        <v>301</v>
      </c>
      <c r="C861" t="s">
        <v>1141</v>
      </c>
      <c r="D861" s="30">
        <v>0.73700231481481482</v>
      </c>
      <c r="E861" t="s">
        <v>317</v>
      </c>
      <c r="F861" t="s">
        <v>299</v>
      </c>
      <c r="G861" t="s">
        <v>299</v>
      </c>
      <c r="H861">
        <v>71</v>
      </c>
      <c r="I861" s="30">
        <v>1.8402777777777777E-3</v>
      </c>
      <c r="J861">
        <v>3</v>
      </c>
    </row>
    <row r="862" spans="1:10" x14ac:dyDescent="0.35">
      <c r="A862" t="s">
        <v>1185</v>
      </c>
      <c r="B862" t="s">
        <v>305</v>
      </c>
      <c r="C862" t="s">
        <v>1141</v>
      </c>
      <c r="D862" s="30">
        <v>0.75</v>
      </c>
      <c r="E862" t="s">
        <v>314</v>
      </c>
      <c r="F862" t="s">
        <v>299</v>
      </c>
      <c r="G862" t="s">
        <v>299</v>
      </c>
      <c r="H862">
        <v>42</v>
      </c>
      <c r="I862" s="30">
        <v>4.31712962962963E-3</v>
      </c>
      <c r="J862">
        <v>3</v>
      </c>
    </row>
    <row r="863" spans="1:10" x14ac:dyDescent="0.35">
      <c r="A863" t="s">
        <v>1186</v>
      </c>
      <c r="B863" t="s">
        <v>301</v>
      </c>
      <c r="C863" t="s">
        <v>1141</v>
      </c>
      <c r="D863" s="30">
        <v>0.75</v>
      </c>
      <c r="E863" t="s">
        <v>317</v>
      </c>
      <c r="F863" t="s">
        <v>299</v>
      </c>
      <c r="G863" t="s">
        <v>299</v>
      </c>
      <c r="H863">
        <v>63</v>
      </c>
      <c r="I863" s="30">
        <v>3.7615740740740739E-3</v>
      </c>
      <c r="J863">
        <v>1</v>
      </c>
    </row>
    <row r="864" spans="1:10" x14ac:dyDescent="0.35">
      <c r="A864" t="s">
        <v>1187</v>
      </c>
      <c r="B864" t="s">
        <v>301</v>
      </c>
      <c r="C864" t="s">
        <v>1188</v>
      </c>
      <c r="D864" s="30">
        <v>0.375</v>
      </c>
      <c r="E864" t="s">
        <v>302</v>
      </c>
      <c r="F864" t="s">
        <v>299</v>
      </c>
      <c r="G864" t="s">
        <v>303</v>
      </c>
      <c r="H864">
        <v>19</v>
      </c>
      <c r="I864" s="30">
        <v>4.1666666666666669E-4</v>
      </c>
      <c r="J864">
        <v>5</v>
      </c>
    </row>
    <row r="865" spans="1:10" x14ac:dyDescent="0.35">
      <c r="A865" t="s">
        <v>1189</v>
      </c>
      <c r="B865" t="s">
        <v>332</v>
      </c>
      <c r="C865" t="s">
        <v>1188</v>
      </c>
      <c r="D865" s="30">
        <v>0.375</v>
      </c>
      <c r="E865" t="s">
        <v>317</v>
      </c>
      <c r="F865" t="s">
        <v>299</v>
      </c>
      <c r="G865" t="s">
        <v>299</v>
      </c>
      <c r="H865">
        <v>107</v>
      </c>
      <c r="I865" s="30">
        <v>3.5995370370370369E-3</v>
      </c>
      <c r="J865">
        <v>1</v>
      </c>
    </row>
    <row r="866" spans="1:10" x14ac:dyDescent="0.35">
      <c r="A866" t="s">
        <v>1190</v>
      </c>
      <c r="B866" t="s">
        <v>332</v>
      </c>
      <c r="C866" t="s">
        <v>1188</v>
      </c>
      <c r="D866" s="30">
        <v>0.43099537037037039</v>
      </c>
      <c r="E866" t="s">
        <v>302</v>
      </c>
      <c r="F866" t="s">
        <v>303</v>
      </c>
      <c r="G866" t="s">
        <v>303</v>
      </c>
    </row>
    <row r="867" spans="1:10" x14ac:dyDescent="0.35">
      <c r="A867" t="s">
        <v>1191</v>
      </c>
      <c r="B867" t="s">
        <v>323</v>
      </c>
      <c r="C867" t="s">
        <v>1188</v>
      </c>
      <c r="D867" s="30">
        <v>0.43099537037037039</v>
      </c>
      <c r="E867" t="s">
        <v>314</v>
      </c>
      <c r="F867" t="s">
        <v>299</v>
      </c>
      <c r="G867" t="s">
        <v>299</v>
      </c>
      <c r="H867">
        <v>85</v>
      </c>
      <c r="I867" s="30">
        <v>3.7152777777777778E-3</v>
      </c>
      <c r="J867">
        <v>4</v>
      </c>
    </row>
    <row r="868" spans="1:10" x14ac:dyDescent="0.35">
      <c r="A868" t="s">
        <v>1192</v>
      </c>
      <c r="B868" t="s">
        <v>296</v>
      </c>
      <c r="C868" t="s">
        <v>1188</v>
      </c>
      <c r="D868" s="30">
        <v>0.43799768518518517</v>
      </c>
      <c r="E868" t="s">
        <v>302</v>
      </c>
      <c r="F868" t="s">
        <v>299</v>
      </c>
      <c r="G868" t="s">
        <v>299</v>
      </c>
      <c r="H868">
        <v>15</v>
      </c>
      <c r="I868" s="30">
        <v>7.9861111111111116E-4</v>
      </c>
      <c r="J868">
        <v>2</v>
      </c>
    </row>
    <row r="869" spans="1:10" x14ac:dyDescent="0.35">
      <c r="A869" t="s">
        <v>1193</v>
      </c>
      <c r="B869" t="s">
        <v>301</v>
      </c>
      <c r="C869" t="s">
        <v>1188</v>
      </c>
      <c r="D869" s="30">
        <v>0.43799768518518517</v>
      </c>
      <c r="E869" t="s">
        <v>302</v>
      </c>
      <c r="F869" t="s">
        <v>299</v>
      </c>
      <c r="G869" t="s">
        <v>299</v>
      </c>
      <c r="H869">
        <v>111</v>
      </c>
      <c r="I869" s="30">
        <v>4.6874999999999998E-3</v>
      </c>
      <c r="J869">
        <v>5</v>
      </c>
    </row>
    <row r="870" spans="1:10" x14ac:dyDescent="0.35">
      <c r="A870" t="s">
        <v>1194</v>
      </c>
      <c r="B870" t="s">
        <v>296</v>
      </c>
      <c r="C870" t="s">
        <v>1188</v>
      </c>
      <c r="D870" s="30">
        <v>0.45299768518518518</v>
      </c>
      <c r="E870" t="s">
        <v>298</v>
      </c>
      <c r="F870" t="s">
        <v>299</v>
      </c>
      <c r="G870" t="s">
        <v>299</v>
      </c>
      <c r="H870">
        <v>23</v>
      </c>
      <c r="I870" s="30">
        <v>7.0601851851851847E-4</v>
      </c>
      <c r="J870">
        <v>4</v>
      </c>
    </row>
    <row r="871" spans="1:10" x14ac:dyDescent="0.35">
      <c r="A871" t="s">
        <v>1195</v>
      </c>
      <c r="B871" t="s">
        <v>332</v>
      </c>
      <c r="C871" t="s">
        <v>1188</v>
      </c>
      <c r="D871" s="30">
        <v>0.45299768518518518</v>
      </c>
      <c r="E871" t="s">
        <v>309</v>
      </c>
      <c r="F871" t="s">
        <v>299</v>
      </c>
      <c r="G871" t="s">
        <v>299</v>
      </c>
      <c r="H871">
        <v>115</v>
      </c>
      <c r="I871" s="30">
        <v>4.1666666666666669E-4</v>
      </c>
      <c r="J871">
        <v>3</v>
      </c>
    </row>
    <row r="872" spans="1:10" x14ac:dyDescent="0.35">
      <c r="A872" t="s">
        <v>1196</v>
      </c>
      <c r="B872" t="s">
        <v>316</v>
      </c>
      <c r="C872" t="s">
        <v>1188</v>
      </c>
      <c r="D872" s="30">
        <v>0.46400462962962963</v>
      </c>
      <c r="E872" t="s">
        <v>302</v>
      </c>
      <c r="F872" t="s">
        <v>299</v>
      </c>
      <c r="G872" t="s">
        <v>299</v>
      </c>
      <c r="H872">
        <v>83</v>
      </c>
      <c r="I872" s="30">
        <v>6.018518518518519E-4</v>
      </c>
      <c r="J872">
        <v>3</v>
      </c>
    </row>
    <row r="873" spans="1:10" x14ac:dyDescent="0.35">
      <c r="A873" t="s">
        <v>1197</v>
      </c>
      <c r="B873" t="s">
        <v>307</v>
      </c>
      <c r="C873" t="s">
        <v>1188</v>
      </c>
      <c r="D873" s="30">
        <v>0.46400462962962963</v>
      </c>
      <c r="E873" t="s">
        <v>314</v>
      </c>
      <c r="F873" t="s">
        <v>303</v>
      </c>
      <c r="G873" t="s">
        <v>303</v>
      </c>
    </row>
    <row r="874" spans="1:10" x14ac:dyDescent="0.35">
      <c r="A874" t="s">
        <v>1198</v>
      </c>
      <c r="B874" t="s">
        <v>301</v>
      </c>
      <c r="C874" t="s">
        <v>1188</v>
      </c>
      <c r="D874" s="30">
        <v>0.51</v>
      </c>
      <c r="E874" t="s">
        <v>317</v>
      </c>
      <c r="F874" t="s">
        <v>303</v>
      </c>
      <c r="G874" t="s">
        <v>303</v>
      </c>
    </row>
    <row r="875" spans="1:10" x14ac:dyDescent="0.35">
      <c r="A875" t="s">
        <v>1199</v>
      </c>
      <c r="B875" t="s">
        <v>307</v>
      </c>
      <c r="C875" t="s">
        <v>1188</v>
      </c>
      <c r="D875" s="30">
        <v>0.51</v>
      </c>
      <c r="E875" t="s">
        <v>302</v>
      </c>
      <c r="F875" t="s">
        <v>299</v>
      </c>
      <c r="G875" t="s">
        <v>299</v>
      </c>
      <c r="H875">
        <v>50</v>
      </c>
      <c r="I875" s="30">
        <v>4.5023148148148149E-3</v>
      </c>
      <c r="J875">
        <v>3</v>
      </c>
    </row>
    <row r="876" spans="1:10" x14ac:dyDescent="0.35">
      <c r="A876" t="s">
        <v>1200</v>
      </c>
      <c r="B876" t="s">
        <v>301</v>
      </c>
      <c r="C876" t="s">
        <v>1188</v>
      </c>
      <c r="D876" s="30">
        <v>0.52</v>
      </c>
      <c r="E876" t="s">
        <v>309</v>
      </c>
      <c r="F876" t="s">
        <v>299</v>
      </c>
      <c r="G876" t="s">
        <v>299</v>
      </c>
      <c r="H876">
        <v>19</v>
      </c>
      <c r="I876" s="30">
        <v>9.6064814814814819E-4</v>
      </c>
      <c r="J876">
        <v>3</v>
      </c>
    </row>
    <row r="877" spans="1:10" x14ac:dyDescent="0.35">
      <c r="A877" t="s">
        <v>1201</v>
      </c>
      <c r="B877" t="s">
        <v>296</v>
      </c>
      <c r="C877" t="s">
        <v>1188</v>
      </c>
      <c r="D877" s="30">
        <v>0.52</v>
      </c>
      <c r="E877" t="s">
        <v>298</v>
      </c>
      <c r="F877" t="s">
        <v>299</v>
      </c>
      <c r="G877" t="s">
        <v>303</v>
      </c>
      <c r="H877">
        <v>107</v>
      </c>
      <c r="I877" s="30">
        <v>2.5000000000000001E-3</v>
      </c>
      <c r="J877">
        <v>4</v>
      </c>
    </row>
    <row r="878" spans="1:10" x14ac:dyDescent="0.35">
      <c r="A878" t="s">
        <v>1202</v>
      </c>
      <c r="B878" t="s">
        <v>319</v>
      </c>
      <c r="C878" t="s">
        <v>1188</v>
      </c>
      <c r="D878" s="30">
        <v>0.53099537037037037</v>
      </c>
      <c r="E878" t="s">
        <v>314</v>
      </c>
      <c r="F878" t="s">
        <v>299</v>
      </c>
      <c r="G878" t="s">
        <v>303</v>
      </c>
      <c r="H878">
        <v>121</v>
      </c>
      <c r="I878" s="30">
        <v>2.650462962962963E-3</v>
      </c>
      <c r="J878">
        <v>3</v>
      </c>
    </row>
    <row r="879" spans="1:10" x14ac:dyDescent="0.35">
      <c r="A879" t="s">
        <v>1203</v>
      </c>
      <c r="B879" t="s">
        <v>332</v>
      </c>
      <c r="C879" t="s">
        <v>1188</v>
      </c>
      <c r="D879" s="30">
        <v>0.53099537037037037</v>
      </c>
      <c r="E879" t="s">
        <v>309</v>
      </c>
      <c r="F879" t="s">
        <v>299</v>
      </c>
      <c r="G879" t="s">
        <v>299</v>
      </c>
      <c r="H879">
        <v>55</v>
      </c>
      <c r="I879" s="30">
        <v>3.5532407407407409E-3</v>
      </c>
      <c r="J879">
        <v>3</v>
      </c>
    </row>
    <row r="880" spans="1:10" x14ac:dyDescent="0.35">
      <c r="A880" t="s">
        <v>1204</v>
      </c>
      <c r="B880" t="s">
        <v>301</v>
      </c>
      <c r="C880" t="s">
        <v>1188</v>
      </c>
      <c r="D880" s="30">
        <v>0.53900462962962958</v>
      </c>
      <c r="E880" t="s">
        <v>317</v>
      </c>
      <c r="F880" t="s">
        <v>299</v>
      </c>
      <c r="G880" t="s">
        <v>299</v>
      </c>
      <c r="H880">
        <v>92</v>
      </c>
      <c r="I880" s="30">
        <v>9.1435185185185185E-4</v>
      </c>
      <c r="J880">
        <v>2</v>
      </c>
    </row>
    <row r="881" spans="1:10" x14ac:dyDescent="0.35">
      <c r="A881" t="s">
        <v>1205</v>
      </c>
      <c r="B881" t="s">
        <v>305</v>
      </c>
      <c r="C881" t="s">
        <v>1188</v>
      </c>
      <c r="D881" s="30">
        <v>0.53900462962962958</v>
      </c>
      <c r="E881" t="s">
        <v>314</v>
      </c>
      <c r="F881" t="s">
        <v>299</v>
      </c>
      <c r="G881" t="s">
        <v>303</v>
      </c>
      <c r="H881">
        <v>24</v>
      </c>
      <c r="I881" s="30">
        <v>4.0277777777777777E-3</v>
      </c>
      <c r="J881">
        <v>3</v>
      </c>
    </row>
    <row r="882" spans="1:10" x14ac:dyDescent="0.35">
      <c r="A882" t="s">
        <v>1206</v>
      </c>
      <c r="B882" t="s">
        <v>323</v>
      </c>
      <c r="C882" t="s">
        <v>1188</v>
      </c>
      <c r="D882" s="30">
        <v>0.54400462962962959</v>
      </c>
      <c r="E882" t="s">
        <v>302</v>
      </c>
      <c r="F882" t="s">
        <v>303</v>
      </c>
      <c r="G882" t="s">
        <v>303</v>
      </c>
    </row>
    <row r="883" spans="1:10" x14ac:dyDescent="0.35">
      <c r="A883" t="s">
        <v>1207</v>
      </c>
      <c r="B883" t="s">
        <v>316</v>
      </c>
      <c r="C883" t="s">
        <v>1188</v>
      </c>
      <c r="D883" s="30">
        <v>0.54400462962962959</v>
      </c>
      <c r="E883" t="s">
        <v>317</v>
      </c>
      <c r="F883" t="s">
        <v>299</v>
      </c>
      <c r="G883" t="s">
        <v>299</v>
      </c>
      <c r="H883">
        <v>58</v>
      </c>
      <c r="I883" s="30">
        <v>1.5972222222222223E-3</v>
      </c>
      <c r="J883">
        <v>5</v>
      </c>
    </row>
    <row r="884" spans="1:10" x14ac:dyDescent="0.35">
      <c r="A884" t="s">
        <v>1208</v>
      </c>
      <c r="B884" t="s">
        <v>332</v>
      </c>
      <c r="C884" t="s">
        <v>1188</v>
      </c>
      <c r="D884" s="30">
        <v>0.5659953703703704</v>
      </c>
      <c r="E884" t="s">
        <v>302</v>
      </c>
      <c r="F884" t="s">
        <v>303</v>
      </c>
      <c r="G884" t="s">
        <v>303</v>
      </c>
    </row>
    <row r="885" spans="1:10" x14ac:dyDescent="0.35">
      <c r="A885" t="s">
        <v>1209</v>
      </c>
      <c r="B885" t="s">
        <v>305</v>
      </c>
      <c r="C885" t="s">
        <v>1188</v>
      </c>
      <c r="D885" s="30">
        <v>0.5659953703703704</v>
      </c>
      <c r="E885" t="s">
        <v>309</v>
      </c>
      <c r="F885" t="s">
        <v>303</v>
      </c>
      <c r="G885" t="s">
        <v>303</v>
      </c>
    </row>
    <row r="886" spans="1:10" x14ac:dyDescent="0.35">
      <c r="A886" t="s">
        <v>1210</v>
      </c>
      <c r="B886" t="s">
        <v>307</v>
      </c>
      <c r="C886" t="s">
        <v>1188</v>
      </c>
      <c r="D886" s="30">
        <v>0.56700231481481478</v>
      </c>
      <c r="E886" t="s">
        <v>317</v>
      </c>
      <c r="F886" t="s">
        <v>299</v>
      </c>
      <c r="G886" t="s">
        <v>299</v>
      </c>
      <c r="H886">
        <v>28</v>
      </c>
      <c r="I886" s="30">
        <v>4.8032407407407407E-3</v>
      </c>
      <c r="J886">
        <v>4</v>
      </c>
    </row>
    <row r="887" spans="1:10" x14ac:dyDescent="0.35">
      <c r="A887" t="s">
        <v>1211</v>
      </c>
      <c r="B887" t="s">
        <v>319</v>
      </c>
      <c r="C887" t="s">
        <v>1188</v>
      </c>
      <c r="D887" s="30">
        <v>0.56700231481481478</v>
      </c>
      <c r="E887" t="s">
        <v>302</v>
      </c>
      <c r="F887" t="s">
        <v>299</v>
      </c>
      <c r="G887" t="s">
        <v>299</v>
      </c>
      <c r="H887">
        <v>30</v>
      </c>
      <c r="I887" s="30">
        <v>4.7337962962962967E-3</v>
      </c>
      <c r="J887">
        <v>4</v>
      </c>
    </row>
    <row r="888" spans="1:10" x14ac:dyDescent="0.35">
      <c r="A888" t="s">
        <v>1212</v>
      </c>
      <c r="B888" t="s">
        <v>307</v>
      </c>
      <c r="C888" t="s">
        <v>1188</v>
      </c>
      <c r="D888" s="30">
        <v>0.58499999999999996</v>
      </c>
      <c r="E888" t="s">
        <v>314</v>
      </c>
      <c r="F888" t="s">
        <v>299</v>
      </c>
      <c r="G888" t="s">
        <v>299</v>
      </c>
      <c r="H888">
        <v>84</v>
      </c>
      <c r="I888" s="30">
        <v>1.8749999999999999E-3</v>
      </c>
      <c r="J888">
        <v>3</v>
      </c>
    </row>
    <row r="889" spans="1:10" x14ac:dyDescent="0.35">
      <c r="A889" t="s">
        <v>1213</v>
      </c>
      <c r="B889" t="s">
        <v>316</v>
      </c>
      <c r="C889" t="s">
        <v>1188</v>
      </c>
      <c r="D889" s="30">
        <v>0.58499999999999996</v>
      </c>
      <c r="E889" t="s">
        <v>302</v>
      </c>
      <c r="F889" t="s">
        <v>299</v>
      </c>
      <c r="G889" t="s">
        <v>299</v>
      </c>
      <c r="H889">
        <v>78</v>
      </c>
      <c r="I889" s="30">
        <v>3.4375E-3</v>
      </c>
      <c r="J889">
        <v>2</v>
      </c>
    </row>
    <row r="890" spans="1:10" x14ac:dyDescent="0.35">
      <c r="A890" t="s">
        <v>1214</v>
      </c>
      <c r="B890" t="s">
        <v>316</v>
      </c>
      <c r="C890" t="s">
        <v>1188</v>
      </c>
      <c r="D890" s="30">
        <v>0.59099537037037042</v>
      </c>
      <c r="E890" t="s">
        <v>314</v>
      </c>
      <c r="F890" t="s">
        <v>299</v>
      </c>
      <c r="G890" t="s">
        <v>299</v>
      </c>
      <c r="H890">
        <v>122</v>
      </c>
      <c r="I890" s="30">
        <v>7.5231481481481482E-4</v>
      </c>
      <c r="J890">
        <v>3</v>
      </c>
    </row>
    <row r="891" spans="1:10" x14ac:dyDescent="0.35">
      <c r="A891" t="s">
        <v>1215</v>
      </c>
      <c r="B891" t="s">
        <v>296</v>
      </c>
      <c r="C891" t="s">
        <v>1188</v>
      </c>
      <c r="D891" s="30">
        <v>0.59099537037037042</v>
      </c>
      <c r="E891" t="s">
        <v>298</v>
      </c>
      <c r="F891" t="s">
        <v>299</v>
      </c>
      <c r="G891" t="s">
        <v>299</v>
      </c>
      <c r="H891">
        <v>26</v>
      </c>
      <c r="I891" s="30">
        <v>8.2175925925925927E-4</v>
      </c>
      <c r="J891">
        <v>1</v>
      </c>
    </row>
    <row r="892" spans="1:10" x14ac:dyDescent="0.35">
      <c r="A892" t="s">
        <v>1216</v>
      </c>
      <c r="B892" t="s">
        <v>316</v>
      </c>
      <c r="C892" t="s">
        <v>1188</v>
      </c>
      <c r="D892" s="30">
        <v>0.60099537037037032</v>
      </c>
      <c r="E892" t="s">
        <v>302</v>
      </c>
      <c r="F892" t="s">
        <v>299</v>
      </c>
      <c r="G892" t="s">
        <v>299</v>
      </c>
      <c r="H892">
        <v>95</v>
      </c>
      <c r="I892" s="30">
        <v>6.5972222222222224E-4</v>
      </c>
      <c r="J892">
        <v>3</v>
      </c>
    </row>
    <row r="893" spans="1:10" x14ac:dyDescent="0.35">
      <c r="A893" t="s">
        <v>1217</v>
      </c>
      <c r="B893" t="s">
        <v>305</v>
      </c>
      <c r="C893" t="s">
        <v>1188</v>
      </c>
      <c r="D893" s="30">
        <v>0.60099537037037032</v>
      </c>
      <c r="E893" t="s">
        <v>302</v>
      </c>
      <c r="F893" t="s">
        <v>299</v>
      </c>
      <c r="G893" t="s">
        <v>299</v>
      </c>
      <c r="H893">
        <v>45</v>
      </c>
      <c r="I893" s="30">
        <v>1.25E-3</v>
      </c>
      <c r="J893">
        <v>4</v>
      </c>
    </row>
    <row r="894" spans="1:10" x14ac:dyDescent="0.35">
      <c r="A894" t="s">
        <v>1218</v>
      </c>
      <c r="B894" t="s">
        <v>296</v>
      </c>
      <c r="C894" t="s">
        <v>1188</v>
      </c>
      <c r="D894" s="30">
        <v>0.61099537037037033</v>
      </c>
      <c r="E894" t="s">
        <v>302</v>
      </c>
      <c r="F894" t="s">
        <v>303</v>
      </c>
      <c r="G894" t="s">
        <v>303</v>
      </c>
    </row>
    <row r="895" spans="1:10" x14ac:dyDescent="0.35">
      <c r="A895" t="s">
        <v>1219</v>
      </c>
      <c r="B895" t="s">
        <v>296</v>
      </c>
      <c r="C895" t="s">
        <v>1188</v>
      </c>
      <c r="D895" s="30">
        <v>0.61099537037037033</v>
      </c>
      <c r="E895" t="s">
        <v>298</v>
      </c>
      <c r="F895" t="s">
        <v>303</v>
      </c>
      <c r="G895" t="s">
        <v>303</v>
      </c>
    </row>
    <row r="896" spans="1:10" x14ac:dyDescent="0.35">
      <c r="A896" t="s">
        <v>1220</v>
      </c>
      <c r="B896" t="s">
        <v>332</v>
      </c>
      <c r="C896" t="s">
        <v>1188</v>
      </c>
      <c r="D896" s="30">
        <v>0.61799768518518516</v>
      </c>
      <c r="E896" t="s">
        <v>317</v>
      </c>
      <c r="F896" t="s">
        <v>299</v>
      </c>
      <c r="G896" t="s">
        <v>303</v>
      </c>
      <c r="H896">
        <v>76</v>
      </c>
      <c r="I896" s="30">
        <v>4.6296296296296294E-3</v>
      </c>
      <c r="J896">
        <v>3</v>
      </c>
    </row>
    <row r="897" spans="1:10" x14ac:dyDescent="0.35">
      <c r="A897" t="s">
        <v>1221</v>
      </c>
      <c r="B897" t="s">
        <v>323</v>
      </c>
      <c r="C897" t="s">
        <v>1188</v>
      </c>
      <c r="D897" s="30">
        <v>0.61799768518518516</v>
      </c>
      <c r="E897" t="s">
        <v>317</v>
      </c>
      <c r="F897" t="s">
        <v>299</v>
      </c>
      <c r="G897" t="s">
        <v>303</v>
      </c>
      <c r="H897">
        <v>97</v>
      </c>
      <c r="I897" s="30">
        <v>1.1111111111111111E-3</v>
      </c>
      <c r="J897">
        <v>4</v>
      </c>
    </row>
    <row r="898" spans="1:10" x14ac:dyDescent="0.35">
      <c r="A898" t="s">
        <v>1222</v>
      </c>
      <c r="B898" t="s">
        <v>305</v>
      </c>
      <c r="C898" t="s">
        <v>1188</v>
      </c>
      <c r="D898" s="30">
        <v>0.64200231481481485</v>
      </c>
      <c r="E898" t="s">
        <v>302</v>
      </c>
      <c r="F898" t="s">
        <v>303</v>
      </c>
      <c r="G898" t="s">
        <v>303</v>
      </c>
    </row>
    <row r="899" spans="1:10" x14ac:dyDescent="0.35">
      <c r="A899" t="s">
        <v>1223</v>
      </c>
      <c r="B899" t="s">
        <v>305</v>
      </c>
      <c r="C899" t="s">
        <v>1188</v>
      </c>
      <c r="D899" s="30">
        <v>0.64200231481481485</v>
      </c>
      <c r="E899" t="s">
        <v>298</v>
      </c>
      <c r="F899" t="s">
        <v>299</v>
      </c>
      <c r="G899" t="s">
        <v>299</v>
      </c>
      <c r="H899">
        <v>22</v>
      </c>
      <c r="I899" s="30">
        <v>2.0486111111111113E-3</v>
      </c>
      <c r="J899">
        <v>3</v>
      </c>
    </row>
    <row r="900" spans="1:10" x14ac:dyDescent="0.35">
      <c r="A900" t="s">
        <v>1224</v>
      </c>
      <c r="B900" t="s">
        <v>301</v>
      </c>
      <c r="C900" t="s">
        <v>1188</v>
      </c>
      <c r="D900" s="30">
        <v>0.64599537037037036</v>
      </c>
      <c r="E900" t="s">
        <v>317</v>
      </c>
      <c r="F900" t="s">
        <v>299</v>
      </c>
      <c r="G900" t="s">
        <v>303</v>
      </c>
      <c r="H900">
        <v>55</v>
      </c>
      <c r="I900" s="30">
        <v>6.018518518518519E-4</v>
      </c>
      <c r="J900">
        <v>3</v>
      </c>
    </row>
    <row r="901" spans="1:10" x14ac:dyDescent="0.35">
      <c r="A901" t="s">
        <v>1225</v>
      </c>
      <c r="B901" t="s">
        <v>319</v>
      </c>
      <c r="C901" t="s">
        <v>1188</v>
      </c>
      <c r="D901" s="30">
        <v>0.64599537037037036</v>
      </c>
      <c r="E901" t="s">
        <v>309</v>
      </c>
      <c r="F901" t="s">
        <v>299</v>
      </c>
      <c r="G901" t="s">
        <v>303</v>
      </c>
      <c r="H901">
        <v>64</v>
      </c>
      <c r="I901" s="30">
        <v>7.8703703703703705E-4</v>
      </c>
      <c r="J901">
        <v>4</v>
      </c>
    </row>
    <row r="902" spans="1:10" x14ac:dyDescent="0.35">
      <c r="A902" t="s">
        <v>1226</v>
      </c>
      <c r="B902" t="s">
        <v>307</v>
      </c>
      <c r="C902" t="s">
        <v>1188</v>
      </c>
      <c r="D902" s="30">
        <v>0.6579976851851852</v>
      </c>
      <c r="E902" t="s">
        <v>317</v>
      </c>
      <c r="F902" t="s">
        <v>299</v>
      </c>
      <c r="G902" t="s">
        <v>299</v>
      </c>
      <c r="H902">
        <v>87</v>
      </c>
      <c r="I902" s="30">
        <v>8.4490740740740739E-4</v>
      </c>
      <c r="J902">
        <v>3</v>
      </c>
    </row>
    <row r="903" spans="1:10" x14ac:dyDescent="0.35">
      <c r="A903" t="s">
        <v>1227</v>
      </c>
      <c r="B903" t="s">
        <v>305</v>
      </c>
      <c r="C903" t="s">
        <v>1188</v>
      </c>
      <c r="D903" s="30">
        <v>0.6579976851851852</v>
      </c>
      <c r="E903" t="s">
        <v>302</v>
      </c>
      <c r="F903" t="s">
        <v>303</v>
      </c>
      <c r="G903" t="s">
        <v>303</v>
      </c>
    </row>
    <row r="904" spans="1:10" x14ac:dyDescent="0.35">
      <c r="A904" t="s">
        <v>1228</v>
      </c>
      <c r="B904" t="s">
        <v>323</v>
      </c>
      <c r="C904" t="s">
        <v>1188</v>
      </c>
      <c r="D904" s="30">
        <v>0.66200231481481486</v>
      </c>
      <c r="E904" t="s">
        <v>317</v>
      </c>
      <c r="F904" t="s">
        <v>299</v>
      </c>
      <c r="G904" t="s">
        <v>299</v>
      </c>
      <c r="H904">
        <v>79</v>
      </c>
      <c r="I904" s="30">
        <v>2.7777777777777779E-3</v>
      </c>
      <c r="J904">
        <v>4</v>
      </c>
    </row>
    <row r="905" spans="1:10" x14ac:dyDescent="0.35">
      <c r="A905" t="s">
        <v>1229</v>
      </c>
      <c r="B905" t="s">
        <v>301</v>
      </c>
      <c r="C905" t="s">
        <v>1188</v>
      </c>
      <c r="D905" s="30">
        <v>0.66200231481481486</v>
      </c>
      <c r="E905" t="s">
        <v>298</v>
      </c>
      <c r="F905" t="s">
        <v>299</v>
      </c>
      <c r="G905" t="s">
        <v>299</v>
      </c>
      <c r="H905">
        <v>33</v>
      </c>
      <c r="I905" s="30">
        <v>3.4953703703703705E-3</v>
      </c>
      <c r="J905">
        <v>4</v>
      </c>
    </row>
    <row r="906" spans="1:10" x14ac:dyDescent="0.35">
      <c r="A906" t="s">
        <v>1230</v>
      </c>
      <c r="B906" t="s">
        <v>319</v>
      </c>
      <c r="C906" t="s">
        <v>1188</v>
      </c>
      <c r="D906" s="30">
        <v>0.6909953703703704</v>
      </c>
      <c r="E906" t="s">
        <v>302</v>
      </c>
      <c r="F906" t="s">
        <v>299</v>
      </c>
      <c r="G906" t="s">
        <v>299</v>
      </c>
      <c r="H906">
        <v>114</v>
      </c>
      <c r="I906" s="30">
        <v>3.7268518518518519E-3</v>
      </c>
      <c r="J906">
        <v>4</v>
      </c>
    </row>
    <row r="907" spans="1:10" x14ac:dyDescent="0.35">
      <c r="A907" t="s">
        <v>1231</v>
      </c>
      <c r="B907" t="s">
        <v>305</v>
      </c>
      <c r="C907" t="s">
        <v>1188</v>
      </c>
      <c r="D907" s="30">
        <v>0.6909953703703704</v>
      </c>
      <c r="E907" t="s">
        <v>302</v>
      </c>
      <c r="F907" t="s">
        <v>299</v>
      </c>
      <c r="G907" t="s">
        <v>299</v>
      </c>
      <c r="H907">
        <v>112</v>
      </c>
      <c r="I907" s="30">
        <v>6.2500000000000001E-4</v>
      </c>
      <c r="J907">
        <v>5</v>
      </c>
    </row>
    <row r="908" spans="1:10" x14ac:dyDescent="0.35">
      <c r="A908" t="s">
        <v>1232</v>
      </c>
      <c r="B908" t="s">
        <v>301</v>
      </c>
      <c r="C908" t="s">
        <v>1188</v>
      </c>
      <c r="D908" s="30">
        <v>0.69200231481481478</v>
      </c>
      <c r="E908" t="s">
        <v>302</v>
      </c>
      <c r="F908" t="s">
        <v>299</v>
      </c>
      <c r="G908" t="s">
        <v>299</v>
      </c>
      <c r="H908">
        <v>61</v>
      </c>
      <c r="I908" s="30">
        <v>4.3287037037037035E-3</v>
      </c>
      <c r="J908">
        <v>3</v>
      </c>
    </row>
    <row r="909" spans="1:10" x14ac:dyDescent="0.35">
      <c r="A909" t="s">
        <v>1233</v>
      </c>
      <c r="B909" t="s">
        <v>316</v>
      </c>
      <c r="C909" t="s">
        <v>1188</v>
      </c>
      <c r="D909" s="30">
        <v>0.69200231481481478</v>
      </c>
      <c r="E909" t="s">
        <v>302</v>
      </c>
      <c r="F909" t="s">
        <v>303</v>
      </c>
      <c r="G909" t="s">
        <v>303</v>
      </c>
    </row>
    <row r="910" spans="1:10" x14ac:dyDescent="0.35">
      <c r="A910" t="s">
        <v>1234</v>
      </c>
      <c r="B910" t="s">
        <v>316</v>
      </c>
      <c r="C910" t="s">
        <v>1188</v>
      </c>
      <c r="D910" s="30">
        <v>0.70299768518518524</v>
      </c>
      <c r="E910" t="s">
        <v>309</v>
      </c>
      <c r="F910" t="s">
        <v>299</v>
      </c>
      <c r="G910" t="s">
        <v>303</v>
      </c>
      <c r="H910">
        <v>58</v>
      </c>
      <c r="I910" s="30">
        <v>3.1365740740740742E-3</v>
      </c>
      <c r="J910">
        <v>2</v>
      </c>
    </row>
    <row r="911" spans="1:10" x14ac:dyDescent="0.35">
      <c r="A911" t="s">
        <v>1235</v>
      </c>
      <c r="B911" t="s">
        <v>301</v>
      </c>
      <c r="C911" t="s">
        <v>1188</v>
      </c>
      <c r="D911" s="30">
        <v>0.70299768518518524</v>
      </c>
      <c r="E911" t="s">
        <v>317</v>
      </c>
      <c r="F911" t="s">
        <v>299</v>
      </c>
      <c r="G911" t="s">
        <v>299</v>
      </c>
      <c r="H911">
        <v>13</v>
      </c>
      <c r="I911" s="30">
        <v>1.4467592592592592E-3</v>
      </c>
      <c r="J911">
        <v>3</v>
      </c>
    </row>
    <row r="912" spans="1:10" x14ac:dyDescent="0.35">
      <c r="A912" t="s">
        <v>1236</v>
      </c>
      <c r="B912" t="s">
        <v>305</v>
      </c>
      <c r="C912" t="s">
        <v>1188</v>
      </c>
      <c r="D912" s="30">
        <v>0.73799768518518516</v>
      </c>
      <c r="E912" t="s">
        <v>298</v>
      </c>
      <c r="F912" t="s">
        <v>299</v>
      </c>
      <c r="G912" t="s">
        <v>299</v>
      </c>
      <c r="H912">
        <v>36</v>
      </c>
      <c r="I912" s="30">
        <v>2.7546296296296294E-3</v>
      </c>
      <c r="J912">
        <v>4</v>
      </c>
    </row>
    <row r="913" spans="1:10" x14ac:dyDescent="0.35">
      <c r="A913" t="s">
        <v>1237</v>
      </c>
      <c r="B913" t="s">
        <v>307</v>
      </c>
      <c r="C913" t="s">
        <v>1188</v>
      </c>
      <c r="D913" s="30">
        <v>0.73799768518518516</v>
      </c>
      <c r="E913" t="s">
        <v>298</v>
      </c>
      <c r="F913" t="s">
        <v>299</v>
      </c>
      <c r="G913" t="s">
        <v>299</v>
      </c>
      <c r="H913">
        <v>48</v>
      </c>
      <c r="I913" s="30">
        <v>2.5231481481481481E-3</v>
      </c>
      <c r="J913">
        <v>3</v>
      </c>
    </row>
    <row r="914" spans="1:10" x14ac:dyDescent="0.35">
      <c r="A914" t="s">
        <v>1238</v>
      </c>
      <c r="B914" t="s">
        <v>305</v>
      </c>
      <c r="C914" t="s">
        <v>1188</v>
      </c>
      <c r="D914" s="30">
        <v>0.74799768518518517</v>
      </c>
      <c r="E914" t="s">
        <v>309</v>
      </c>
      <c r="F914" t="s">
        <v>299</v>
      </c>
      <c r="G914" t="s">
        <v>299</v>
      </c>
      <c r="H914">
        <v>99</v>
      </c>
      <c r="I914" s="30">
        <v>3.8194444444444452E-4</v>
      </c>
      <c r="J914">
        <v>5</v>
      </c>
    </row>
    <row r="915" spans="1:10" x14ac:dyDescent="0.35">
      <c r="A915" t="s">
        <v>1239</v>
      </c>
      <c r="B915" t="s">
        <v>319</v>
      </c>
      <c r="C915" t="s">
        <v>1188</v>
      </c>
      <c r="D915" s="30">
        <v>0.74799768518518517</v>
      </c>
      <c r="E915" t="s">
        <v>302</v>
      </c>
      <c r="F915" t="s">
        <v>299</v>
      </c>
      <c r="G915" t="s">
        <v>299</v>
      </c>
      <c r="H915">
        <v>78</v>
      </c>
      <c r="I915" s="30">
        <v>1.238425925925926E-3</v>
      </c>
      <c r="J915">
        <v>3</v>
      </c>
    </row>
    <row r="916" spans="1:10" x14ac:dyDescent="0.35">
      <c r="A916" t="s">
        <v>1240</v>
      </c>
      <c r="B916" t="s">
        <v>307</v>
      </c>
      <c r="C916" t="s">
        <v>1188</v>
      </c>
      <c r="D916" s="30">
        <v>0.74900462962962966</v>
      </c>
      <c r="E916" t="s">
        <v>317</v>
      </c>
      <c r="F916" t="s">
        <v>299</v>
      </c>
      <c r="G916" t="s">
        <v>299</v>
      </c>
      <c r="H916">
        <v>82</v>
      </c>
      <c r="I916" s="30">
        <v>1.9907407407407408E-3</v>
      </c>
      <c r="J916">
        <v>4</v>
      </c>
    </row>
    <row r="917" spans="1:10" x14ac:dyDescent="0.35">
      <c r="A917" t="s">
        <v>1241</v>
      </c>
      <c r="B917" t="s">
        <v>301</v>
      </c>
      <c r="C917" t="s">
        <v>1188</v>
      </c>
      <c r="D917" s="30">
        <v>0.74900462962962966</v>
      </c>
      <c r="E917" t="s">
        <v>314</v>
      </c>
      <c r="F917" t="s">
        <v>303</v>
      </c>
      <c r="G917" t="s">
        <v>303</v>
      </c>
    </row>
    <row r="918" spans="1:10" x14ac:dyDescent="0.35">
      <c r="A918" t="s">
        <v>1242</v>
      </c>
      <c r="B918" t="s">
        <v>305</v>
      </c>
      <c r="C918" t="s">
        <v>1188</v>
      </c>
      <c r="D918" s="30">
        <v>0.75</v>
      </c>
      <c r="E918" t="s">
        <v>317</v>
      </c>
      <c r="F918" t="s">
        <v>299</v>
      </c>
      <c r="G918" t="s">
        <v>299</v>
      </c>
      <c r="H918">
        <v>19</v>
      </c>
      <c r="I918" s="30">
        <v>1.1921296296296296E-3</v>
      </c>
      <c r="J918">
        <v>5</v>
      </c>
    </row>
    <row r="919" spans="1:10" x14ac:dyDescent="0.35">
      <c r="A919" t="s">
        <v>1243</v>
      </c>
      <c r="B919" t="s">
        <v>301</v>
      </c>
      <c r="C919" t="s">
        <v>1188</v>
      </c>
      <c r="D919" s="30">
        <v>0.75</v>
      </c>
      <c r="E919" t="s">
        <v>317</v>
      </c>
      <c r="F919" t="s">
        <v>299</v>
      </c>
      <c r="G919" t="s">
        <v>299</v>
      </c>
      <c r="H919">
        <v>34</v>
      </c>
      <c r="I919" s="30">
        <v>4.6874999999999998E-3</v>
      </c>
      <c r="J919">
        <v>4</v>
      </c>
    </row>
    <row r="920" spans="1:10" x14ac:dyDescent="0.35">
      <c r="A920" t="s">
        <v>1244</v>
      </c>
      <c r="B920" t="s">
        <v>301</v>
      </c>
      <c r="C920" t="s">
        <v>1245</v>
      </c>
      <c r="D920" s="30">
        <v>0.41099537037037037</v>
      </c>
      <c r="E920" t="s">
        <v>302</v>
      </c>
      <c r="F920" t="s">
        <v>299</v>
      </c>
      <c r="G920" t="s">
        <v>299</v>
      </c>
      <c r="H920">
        <v>89</v>
      </c>
      <c r="I920" s="30">
        <v>2.2106481481481482E-3</v>
      </c>
      <c r="J920">
        <v>3</v>
      </c>
    </row>
    <row r="921" spans="1:10" x14ac:dyDescent="0.35">
      <c r="A921" t="s">
        <v>1246</v>
      </c>
      <c r="B921" t="s">
        <v>323</v>
      </c>
      <c r="C921" t="s">
        <v>1245</v>
      </c>
      <c r="D921" s="30">
        <v>0.41099537037037037</v>
      </c>
      <c r="E921" t="s">
        <v>298</v>
      </c>
      <c r="F921" t="s">
        <v>299</v>
      </c>
      <c r="G921" t="s">
        <v>299</v>
      </c>
      <c r="H921">
        <v>116</v>
      </c>
      <c r="I921" s="30">
        <v>4.3750000000000004E-3</v>
      </c>
      <c r="J921">
        <v>4</v>
      </c>
    </row>
    <row r="922" spans="1:10" x14ac:dyDescent="0.35">
      <c r="A922" t="s">
        <v>1247</v>
      </c>
      <c r="B922" t="s">
        <v>323</v>
      </c>
      <c r="C922" t="s">
        <v>1245</v>
      </c>
      <c r="D922" s="30">
        <v>0.43900462962962961</v>
      </c>
      <c r="E922" t="s">
        <v>317</v>
      </c>
      <c r="F922" t="s">
        <v>299</v>
      </c>
      <c r="G922" t="s">
        <v>299</v>
      </c>
      <c r="H922">
        <v>88</v>
      </c>
      <c r="I922" s="30">
        <v>2.8124999999999999E-3</v>
      </c>
      <c r="J922">
        <v>4</v>
      </c>
    </row>
    <row r="923" spans="1:10" x14ac:dyDescent="0.35">
      <c r="A923" t="s">
        <v>1248</v>
      </c>
      <c r="B923" t="s">
        <v>305</v>
      </c>
      <c r="C923" t="s">
        <v>1245</v>
      </c>
      <c r="D923" s="30">
        <v>0.43900462962962961</v>
      </c>
      <c r="E923" t="s">
        <v>317</v>
      </c>
      <c r="F923" t="s">
        <v>299</v>
      </c>
      <c r="G923" t="s">
        <v>299</v>
      </c>
      <c r="H923">
        <v>15</v>
      </c>
      <c r="I923" s="30">
        <v>2.1296296296296298E-3</v>
      </c>
      <c r="J923">
        <v>3</v>
      </c>
    </row>
    <row r="924" spans="1:10" x14ac:dyDescent="0.35">
      <c r="A924" t="s">
        <v>1249</v>
      </c>
      <c r="B924" t="s">
        <v>323</v>
      </c>
      <c r="C924" t="s">
        <v>1245</v>
      </c>
      <c r="D924" s="30">
        <v>0.48799768518518516</v>
      </c>
      <c r="E924" t="s">
        <v>298</v>
      </c>
      <c r="F924" t="s">
        <v>299</v>
      </c>
      <c r="G924" t="s">
        <v>299</v>
      </c>
      <c r="H924">
        <v>59</v>
      </c>
      <c r="I924" s="30">
        <v>1.5856481481481481E-3</v>
      </c>
      <c r="J924">
        <v>5</v>
      </c>
    </row>
    <row r="925" spans="1:10" x14ac:dyDescent="0.35">
      <c r="A925" t="s">
        <v>1250</v>
      </c>
      <c r="B925" t="s">
        <v>307</v>
      </c>
      <c r="C925" t="s">
        <v>1245</v>
      </c>
      <c r="D925" s="30">
        <v>0.48799768518518516</v>
      </c>
      <c r="E925" t="s">
        <v>298</v>
      </c>
      <c r="F925" t="s">
        <v>303</v>
      </c>
      <c r="G925" t="s">
        <v>303</v>
      </c>
    </row>
    <row r="926" spans="1:10" x14ac:dyDescent="0.35">
      <c r="A926" t="s">
        <v>1251</v>
      </c>
      <c r="B926" t="s">
        <v>323</v>
      </c>
      <c r="C926" t="s">
        <v>1245</v>
      </c>
      <c r="D926" s="30">
        <v>0.48799768518518516</v>
      </c>
      <c r="E926" t="s">
        <v>298</v>
      </c>
      <c r="F926" t="s">
        <v>299</v>
      </c>
      <c r="G926" t="s">
        <v>299</v>
      </c>
      <c r="H926">
        <v>125</v>
      </c>
      <c r="I926" s="30">
        <v>2.1875000000000002E-3</v>
      </c>
      <c r="J926">
        <v>2</v>
      </c>
    </row>
    <row r="927" spans="1:10" x14ac:dyDescent="0.35">
      <c r="A927" t="s">
        <v>1252</v>
      </c>
      <c r="B927" t="s">
        <v>307</v>
      </c>
      <c r="C927" t="s">
        <v>1245</v>
      </c>
      <c r="D927" s="30">
        <v>0.48799768518518516</v>
      </c>
      <c r="E927" t="s">
        <v>317</v>
      </c>
      <c r="F927" t="s">
        <v>299</v>
      </c>
      <c r="G927" t="s">
        <v>299</v>
      </c>
      <c r="H927">
        <v>88</v>
      </c>
      <c r="I927" s="30">
        <v>2.8472222222222223E-3</v>
      </c>
      <c r="J927">
        <v>4</v>
      </c>
    </row>
    <row r="928" spans="1:10" x14ac:dyDescent="0.35">
      <c r="A928" t="s">
        <v>1253</v>
      </c>
      <c r="B928" t="s">
        <v>316</v>
      </c>
      <c r="C928" t="s">
        <v>1245</v>
      </c>
      <c r="D928" s="30">
        <v>0.49</v>
      </c>
      <c r="E928" t="s">
        <v>317</v>
      </c>
      <c r="F928" t="s">
        <v>299</v>
      </c>
      <c r="G928" t="s">
        <v>299</v>
      </c>
      <c r="H928">
        <v>20</v>
      </c>
      <c r="I928" s="30">
        <v>3.2291666666666666E-3</v>
      </c>
      <c r="J928">
        <v>5</v>
      </c>
    </row>
    <row r="929" spans="1:10" x14ac:dyDescent="0.35">
      <c r="A929" t="s">
        <v>1254</v>
      </c>
      <c r="B929" t="s">
        <v>305</v>
      </c>
      <c r="C929" t="s">
        <v>1245</v>
      </c>
      <c r="D929" s="30">
        <v>0.49</v>
      </c>
      <c r="E929" t="s">
        <v>298</v>
      </c>
      <c r="F929" t="s">
        <v>299</v>
      </c>
      <c r="G929" t="s">
        <v>299</v>
      </c>
      <c r="H929">
        <v>64</v>
      </c>
      <c r="I929" s="30">
        <v>4.0046296296296297E-3</v>
      </c>
      <c r="J929">
        <v>3</v>
      </c>
    </row>
    <row r="930" spans="1:10" x14ac:dyDescent="0.35">
      <c r="A930" t="s">
        <v>1255</v>
      </c>
      <c r="B930" t="s">
        <v>316</v>
      </c>
      <c r="C930" t="s">
        <v>1245</v>
      </c>
      <c r="D930" s="30">
        <v>0.52700231481481485</v>
      </c>
      <c r="E930" t="s">
        <v>317</v>
      </c>
      <c r="F930" t="s">
        <v>303</v>
      </c>
      <c r="G930" t="s">
        <v>303</v>
      </c>
    </row>
    <row r="931" spans="1:10" x14ac:dyDescent="0.35">
      <c r="A931" t="s">
        <v>1256</v>
      </c>
      <c r="B931" t="s">
        <v>305</v>
      </c>
      <c r="C931" t="s">
        <v>1245</v>
      </c>
      <c r="D931" s="30">
        <v>0.52700231481481485</v>
      </c>
      <c r="E931" t="s">
        <v>314</v>
      </c>
      <c r="F931" t="s">
        <v>299</v>
      </c>
      <c r="G931" t="s">
        <v>299</v>
      </c>
      <c r="H931">
        <v>111</v>
      </c>
      <c r="I931" s="30">
        <v>1.6087962962962963E-3</v>
      </c>
      <c r="J931">
        <v>5</v>
      </c>
    </row>
    <row r="932" spans="1:10" x14ac:dyDescent="0.35">
      <c r="A932" t="s">
        <v>1257</v>
      </c>
      <c r="B932" t="s">
        <v>319</v>
      </c>
      <c r="C932" t="s">
        <v>1245</v>
      </c>
      <c r="D932" s="30">
        <v>0.53099537037037037</v>
      </c>
      <c r="E932" t="s">
        <v>314</v>
      </c>
      <c r="F932" t="s">
        <v>303</v>
      </c>
      <c r="G932" t="s">
        <v>303</v>
      </c>
    </row>
    <row r="933" spans="1:10" x14ac:dyDescent="0.35">
      <c r="A933" t="s">
        <v>1258</v>
      </c>
      <c r="B933" t="s">
        <v>316</v>
      </c>
      <c r="C933" t="s">
        <v>1245</v>
      </c>
      <c r="D933" s="30">
        <v>0.53099537037037037</v>
      </c>
      <c r="E933" t="s">
        <v>302</v>
      </c>
      <c r="F933" t="s">
        <v>303</v>
      </c>
      <c r="G933" t="s">
        <v>303</v>
      </c>
    </row>
    <row r="934" spans="1:10" x14ac:dyDescent="0.35">
      <c r="A934" t="s">
        <v>1259</v>
      </c>
      <c r="B934" t="s">
        <v>319</v>
      </c>
      <c r="C934" t="s">
        <v>1245</v>
      </c>
      <c r="D934" s="30">
        <v>0.56200231481481477</v>
      </c>
      <c r="E934" t="s">
        <v>302</v>
      </c>
      <c r="F934" t="s">
        <v>299</v>
      </c>
      <c r="G934" t="s">
        <v>299</v>
      </c>
      <c r="H934">
        <v>40</v>
      </c>
      <c r="I934" s="30">
        <v>2.0949074074074073E-3</v>
      </c>
      <c r="J934">
        <v>4</v>
      </c>
    </row>
    <row r="935" spans="1:10" x14ac:dyDescent="0.35">
      <c r="A935" t="s">
        <v>1260</v>
      </c>
      <c r="B935" t="s">
        <v>323</v>
      </c>
      <c r="C935" t="s">
        <v>1245</v>
      </c>
      <c r="D935" s="30">
        <v>0.56200231481481477</v>
      </c>
      <c r="E935" t="s">
        <v>302</v>
      </c>
      <c r="F935" t="s">
        <v>299</v>
      </c>
      <c r="G935" t="s">
        <v>299</v>
      </c>
      <c r="H935">
        <v>35</v>
      </c>
      <c r="I935" s="30">
        <v>2.1643518518518518E-3</v>
      </c>
      <c r="J935">
        <v>2</v>
      </c>
    </row>
    <row r="936" spans="1:10" x14ac:dyDescent="0.35">
      <c r="A936" t="s">
        <v>1261</v>
      </c>
      <c r="B936" t="s">
        <v>323</v>
      </c>
      <c r="C936" t="s">
        <v>1245</v>
      </c>
      <c r="D936" s="30">
        <v>0.56299768518518523</v>
      </c>
      <c r="E936" t="s">
        <v>298</v>
      </c>
      <c r="F936" t="s">
        <v>299</v>
      </c>
      <c r="G936" t="s">
        <v>299</v>
      </c>
      <c r="H936">
        <v>106</v>
      </c>
      <c r="I936" s="30">
        <v>1.9328703703703704E-3</v>
      </c>
      <c r="J936">
        <v>5</v>
      </c>
    </row>
    <row r="937" spans="1:10" x14ac:dyDescent="0.35">
      <c r="A937" t="s">
        <v>1262</v>
      </c>
      <c r="B937" t="s">
        <v>296</v>
      </c>
      <c r="C937" t="s">
        <v>1245</v>
      </c>
      <c r="D937" s="30">
        <v>0.56299768518518523</v>
      </c>
      <c r="E937" t="s">
        <v>309</v>
      </c>
      <c r="F937" t="s">
        <v>299</v>
      </c>
      <c r="G937" t="s">
        <v>299</v>
      </c>
      <c r="H937">
        <v>97</v>
      </c>
      <c r="I937" s="30">
        <v>1.8402777777777777E-3</v>
      </c>
      <c r="J937">
        <v>2</v>
      </c>
    </row>
    <row r="938" spans="1:10" x14ac:dyDescent="0.35">
      <c r="A938" t="s">
        <v>1263</v>
      </c>
      <c r="B938" t="s">
        <v>296</v>
      </c>
      <c r="C938" t="s">
        <v>1245</v>
      </c>
      <c r="D938" s="30">
        <v>0.56700231481481478</v>
      </c>
      <c r="E938" t="s">
        <v>298</v>
      </c>
      <c r="F938" t="s">
        <v>299</v>
      </c>
      <c r="G938" t="s">
        <v>299</v>
      </c>
      <c r="H938">
        <v>67</v>
      </c>
      <c r="I938" s="30">
        <v>1.2847222222222223E-3</v>
      </c>
      <c r="J938">
        <v>3</v>
      </c>
    </row>
    <row r="939" spans="1:10" x14ac:dyDescent="0.35">
      <c r="A939" t="s">
        <v>1264</v>
      </c>
      <c r="B939" t="s">
        <v>305</v>
      </c>
      <c r="C939" t="s">
        <v>1245</v>
      </c>
      <c r="D939" s="30">
        <v>0.56700231481481478</v>
      </c>
      <c r="E939" t="s">
        <v>298</v>
      </c>
      <c r="F939" t="s">
        <v>299</v>
      </c>
      <c r="G939" t="s">
        <v>299</v>
      </c>
      <c r="H939">
        <v>98</v>
      </c>
      <c r="I939" s="30">
        <v>8.7962962962962962E-4</v>
      </c>
      <c r="J939">
        <v>5</v>
      </c>
    </row>
    <row r="940" spans="1:10" x14ac:dyDescent="0.35">
      <c r="A940" t="s">
        <v>1265</v>
      </c>
      <c r="B940" t="s">
        <v>319</v>
      </c>
      <c r="C940" t="s">
        <v>1245</v>
      </c>
      <c r="D940" s="30">
        <v>0.57900462962962962</v>
      </c>
      <c r="E940" t="s">
        <v>298</v>
      </c>
      <c r="F940" t="s">
        <v>299</v>
      </c>
      <c r="G940" t="s">
        <v>299</v>
      </c>
      <c r="H940">
        <v>120</v>
      </c>
      <c r="I940" s="30">
        <v>1.6203703703703703E-3</v>
      </c>
      <c r="J940">
        <v>4</v>
      </c>
    </row>
    <row r="941" spans="1:10" x14ac:dyDescent="0.35">
      <c r="A941" t="s">
        <v>1266</v>
      </c>
      <c r="B941" t="s">
        <v>301</v>
      </c>
      <c r="C941" t="s">
        <v>1245</v>
      </c>
      <c r="D941" s="30">
        <v>0.57900462962962962</v>
      </c>
      <c r="E941" t="s">
        <v>302</v>
      </c>
      <c r="F941" t="s">
        <v>299</v>
      </c>
      <c r="G941" t="s">
        <v>299</v>
      </c>
      <c r="H941">
        <v>91</v>
      </c>
      <c r="I941" s="30">
        <v>5.2083333333333333E-4</v>
      </c>
      <c r="J941">
        <v>5</v>
      </c>
    </row>
    <row r="942" spans="1:10" x14ac:dyDescent="0.35">
      <c r="A942" t="s">
        <v>1267</v>
      </c>
      <c r="B942" t="s">
        <v>323</v>
      </c>
      <c r="C942" t="s">
        <v>1245</v>
      </c>
      <c r="D942" s="30">
        <v>0.58400462962962962</v>
      </c>
      <c r="E942" t="s">
        <v>309</v>
      </c>
      <c r="F942" t="s">
        <v>299</v>
      </c>
      <c r="G942" t="s">
        <v>299</v>
      </c>
      <c r="H942">
        <v>22</v>
      </c>
      <c r="I942" s="30">
        <v>3.3912037037037036E-3</v>
      </c>
      <c r="J942">
        <v>5</v>
      </c>
    </row>
    <row r="943" spans="1:10" x14ac:dyDescent="0.35">
      <c r="A943" t="s">
        <v>1268</v>
      </c>
      <c r="B943" t="s">
        <v>296</v>
      </c>
      <c r="C943" t="s">
        <v>1245</v>
      </c>
      <c r="D943" s="30">
        <v>0.58400462962962962</v>
      </c>
      <c r="E943" t="s">
        <v>317</v>
      </c>
      <c r="F943" t="s">
        <v>299</v>
      </c>
      <c r="G943" t="s">
        <v>303</v>
      </c>
      <c r="H943">
        <v>113</v>
      </c>
      <c r="I943" s="30">
        <v>1.9097222222222222E-3</v>
      </c>
      <c r="J943">
        <v>2</v>
      </c>
    </row>
    <row r="944" spans="1:10" x14ac:dyDescent="0.35">
      <c r="A944" t="s">
        <v>1269</v>
      </c>
      <c r="B944" t="s">
        <v>296</v>
      </c>
      <c r="C944" t="s">
        <v>1245</v>
      </c>
      <c r="D944" s="30">
        <v>0.59599537037037043</v>
      </c>
      <c r="E944" t="s">
        <v>317</v>
      </c>
      <c r="F944" t="s">
        <v>303</v>
      </c>
      <c r="G944" t="s">
        <v>303</v>
      </c>
    </row>
    <row r="945" spans="1:10" x14ac:dyDescent="0.35">
      <c r="A945" t="s">
        <v>1270</v>
      </c>
      <c r="B945" t="s">
        <v>316</v>
      </c>
      <c r="C945" t="s">
        <v>1245</v>
      </c>
      <c r="D945" s="30">
        <v>0.59599537037037043</v>
      </c>
      <c r="E945" t="s">
        <v>309</v>
      </c>
      <c r="F945" t="s">
        <v>299</v>
      </c>
      <c r="G945" t="s">
        <v>299</v>
      </c>
      <c r="H945">
        <v>60</v>
      </c>
      <c r="I945" s="30">
        <v>1.3657407407407407E-3</v>
      </c>
      <c r="J945">
        <v>4</v>
      </c>
    </row>
    <row r="946" spans="1:10" x14ac:dyDescent="0.35">
      <c r="A946" t="s">
        <v>1271</v>
      </c>
      <c r="B946" t="s">
        <v>296</v>
      </c>
      <c r="C946" t="s">
        <v>1245</v>
      </c>
      <c r="D946" s="30">
        <v>0.60299768518518515</v>
      </c>
      <c r="E946" t="s">
        <v>309</v>
      </c>
      <c r="F946" t="s">
        <v>299</v>
      </c>
      <c r="G946" t="s">
        <v>299</v>
      </c>
      <c r="H946">
        <v>97</v>
      </c>
      <c r="I946" s="30">
        <v>1.7939814814814815E-3</v>
      </c>
      <c r="J946">
        <v>5</v>
      </c>
    </row>
    <row r="947" spans="1:10" x14ac:dyDescent="0.35">
      <c r="A947" t="s">
        <v>1272</v>
      </c>
      <c r="B947" t="s">
        <v>301</v>
      </c>
      <c r="C947" t="s">
        <v>1245</v>
      </c>
      <c r="D947" s="30">
        <v>0.60299768518518515</v>
      </c>
      <c r="E947" t="s">
        <v>317</v>
      </c>
      <c r="F947" t="s">
        <v>299</v>
      </c>
      <c r="G947" t="s">
        <v>299</v>
      </c>
      <c r="H947">
        <v>118</v>
      </c>
      <c r="I947" s="30">
        <v>6.018518518518519E-4</v>
      </c>
      <c r="J947">
        <v>4</v>
      </c>
    </row>
    <row r="948" spans="1:10" x14ac:dyDescent="0.35">
      <c r="A948" t="s">
        <v>1273</v>
      </c>
      <c r="B948" t="s">
        <v>332</v>
      </c>
      <c r="C948" t="s">
        <v>1245</v>
      </c>
      <c r="D948" s="30">
        <v>0.60499999999999998</v>
      </c>
      <c r="E948" t="s">
        <v>302</v>
      </c>
      <c r="F948" t="s">
        <v>299</v>
      </c>
      <c r="G948" t="s">
        <v>299</v>
      </c>
      <c r="H948">
        <v>19</v>
      </c>
      <c r="I948" s="30">
        <v>9.3749999999999997E-4</v>
      </c>
      <c r="J948">
        <v>5</v>
      </c>
    </row>
    <row r="949" spans="1:10" x14ac:dyDescent="0.35">
      <c r="A949" t="s">
        <v>1274</v>
      </c>
      <c r="B949" t="s">
        <v>305</v>
      </c>
      <c r="C949" t="s">
        <v>1245</v>
      </c>
      <c r="D949" s="30">
        <v>0.60499999999999998</v>
      </c>
      <c r="E949" t="s">
        <v>298</v>
      </c>
      <c r="F949" t="s">
        <v>303</v>
      </c>
      <c r="G949" t="s">
        <v>303</v>
      </c>
    </row>
    <row r="950" spans="1:10" x14ac:dyDescent="0.35">
      <c r="A950" t="s">
        <v>1275</v>
      </c>
      <c r="B950" t="s">
        <v>307</v>
      </c>
      <c r="C950" t="s">
        <v>1245</v>
      </c>
      <c r="D950" s="30">
        <v>0.625</v>
      </c>
      <c r="E950" t="s">
        <v>317</v>
      </c>
      <c r="F950" t="s">
        <v>303</v>
      </c>
      <c r="G950" t="s">
        <v>303</v>
      </c>
    </row>
    <row r="951" spans="1:10" x14ac:dyDescent="0.35">
      <c r="A951" t="s">
        <v>1276</v>
      </c>
      <c r="B951" t="s">
        <v>332</v>
      </c>
      <c r="C951" t="s">
        <v>1245</v>
      </c>
      <c r="D951" s="30">
        <v>0.625</v>
      </c>
      <c r="E951" t="s">
        <v>317</v>
      </c>
      <c r="F951" t="s">
        <v>299</v>
      </c>
      <c r="G951" t="s">
        <v>299</v>
      </c>
      <c r="H951">
        <v>124</v>
      </c>
      <c r="I951" s="30">
        <v>4.3750000000000004E-3</v>
      </c>
      <c r="J951">
        <v>4</v>
      </c>
    </row>
    <row r="952" spans="1:10" x14ac:dyDescent="0.35">
      <c r="A952" t="s">
        <v>1277</v>
      </c>
      <c r="B952" t="s">
        <v>332</v>
      </c>
      <c r="C952" t="s">
        <v>1245</v>
      </c>
      <c r="D952" s="30">
        <v>0.62599537037037034</v>
      </c>
      <c r="E952" t="s">
        <v>309</v>
      </c>
      <c r="F952" t="s">
        <v>299</v>
      </c>
      <c r="G952" t="s">
        <v>299</v>
      </c>
      <c r="H952">
        <v>53</v>
      </c>
      <c r="I952" s="30">
        <v>3.5995370370370369E-3</v>
      </c>
      <c r="J952">
        <v>2</v>
      </c>
    </row>
    <row r="953" spans="1:10" x14ac:dyDescent="0.35">
      <c r="A953" t="s">
        <v>1278</v>
      </c>
      <c r="B953" t="s">
        <v>296</v>
      </c>
      <c r="C953" t="s">
        <v>1245</v>
      </c>
      <c r="D953" s="30">
        <v>0.62599537037037034</v>
      </c>
      <c r="E953" t="s">
        <v>314</v>
      </c>
      <c r="F953" t="s">
        <v>299</v>
      </c>
      <c r="G953" t="s">
        <v>299</v>
      </c>
      <c r="H953">
        <v>61</v>
      </c>
      <c r="I953" s="30">
        <v>4.3981481481481481E-4</v>
      </c>
      <c r="J953">
        <v>5</v>
      </c>
    </row>
    <row r="954" spans="1:10" x14ac:dyDescent="0.35">
      <c r="A954" t="s">
        <v>1279</v>
      </c>
      <c r="B954" t="s">
        <v>319</v>
      </c>
      <c r="C954" t="s">
        <v>1245</v>
      </c>
      <c r="D954" s="30">
        <v>0.64</v>
      </c>
      <c r="E954" t="s">
        <v>298</v>
      </c>
      <c r="F954" t="s">
        <v>299</v>
      </c>
      <c r="G954" t="s">
        <v>299</v>
      </c>
      <c r="H954">
        <v>18</v>
      </c>
      <c r="I954" s="30">
        <v>5.3240740740740744E-4</v>
      </c>
      <c r="J954">
        <v>1</v>
      </c>
    </row>
    <row r="955" spans="1:10" x14ac:dyDescent="0.35">
      <c r="A955" t="s">
        <v>1280</v>
      </c>
      <c r="B955" t="s">
        <v>307</v>
      </c>
      <c r="C955" t="s">
        <v>1245</v>
      </c>
      <c r="D955" s="30">
        <v>0.64</v>
      </c>
      <c r="E955" t="s">
        <v>314</v>
      </c>
      <c r="F955" t="s">
        <v>299</v>
      </c>
      <c r="G955" t="s">
        <v>299</v>
      </c>
      <c r="H955">
        <v>80</v>
      </c>
      <c r="I955" s="30">
        <v>8.7962962962962962E-4</v>
      </c>
      <c r="J955">
        <v>3</v>
      </c>
    </row>
    <row r="956" spans="1:10" x14ac:dyDescent="0.35">
      <c r="A956" t="s">
        <v>1281</v>
      </c>
      <c r="B956" t="s">
        <v>305</v>
      </c>
      <c r="C956" t="s">
        <v>1245</v>
      </c>
      <c r="D956" s="30">
        <v>0.68200231481481477</v>
      </c>
      <c r="E956" t="s">
        <v>302</v>
      </c>
      <c r="F956" t="s">
        <v>299</v>
      </c>
      <c r="G956" t="s">
        <v>299</v>
      </c>
      <c r="H956">
        <v>47</v>
      </c>
      <c r="I956" s="30">
        <v>2.8703703703703703E-3</v>
      </c>
      <c r="J956">
        <v>4</v>
      </c>
    </row>
    <row r="957" spans="1:10" x14ac:dyDescent="0.35">
      <c r="A957" t="s">
        <v>1282</v>
      </c>
      <c r="B957" t="s">
        <v>305</v>
      </c>
      <c r="C957" t="s">
        <v>1245</v>
      </c>
      <c r="D957" s="30">
        <v>0.68200231481481477</v>
      </c>
      <c r="E957" t="s">
        <v>309</v>
      </c>
      <c r="F957" t="s">
        <v>299</v>
      </c>
      <c r="G957" t="s">
        <v>299</v>
      </c>
      <c r="H957">
        <v>101</v>
      </c>
      <c r="I957" s="30">
        <v>3.7037037037037038E-3</v>
      </c>
      <c r="J957">
        <v>2</v>
      </c>
    </row>
    <row r="958" spans="1:10" x14ac:dyDescent="0.35">
      <c r="A958" t="s">
        <v>1283</v>
      </c>
      <c r="B958" t="s">
        <v>319</v>
      </c>
      <c r="C958" t="s">
        <v>1245</v>
      </c>
      <c r="D958" s="30">
        <v>0.6840046296296296</v>
      </c>
      <c r="E958" t="s">
        <v>317</v>
      </c>
      <c r="F958" t="s">
        <v>299</v>
      </c>
      <c r="G958" t="s">
        <v>299</v>
      </c>
      <c r="H958">
        <v>71</v>
      </c>
      <c r="I958" s="30">
        <v>3.9351851851851848E-3</v>
      </c>
      <c r="J958">
        <v>3</v>
      </c>
    </row>
    <row r="959" spans="1:10" x14ac:dyDescent="0.35">
      <c r="A959" t="s">
        <v>1284</v>
      </c>
      <c r="B959" t="s">
        <v>323</v>
      </c>
      <c r="C959" t="s">
        <v>1245</v>
      </c>
      <c r="D959" s="30">
        <v>0.6840046296296296</v>
      </c>
      <c r="E959" t="s">
        <v>302</v>
      </c>
      <c r="F959" t="s">
        <v>299</v>
      </c>
      <c r="G959" t="s">
        <v>299</v>
      </c>
      <c r="H959">
        <v>44</v>
      </c>
      <c r="I959" s="30">
        <v>2.8587962962962963E-3</v>
      </c>
      <c r="J959">
        <v>4</v>
      </c>
    </row>
    <row r="960" spans="1:10" x14ac:dyDescent="0.35">
      <c r="A960" t="s">
        <v>1285</v>
      </c>
      <c r="B960" t="s">
        <v>301</v>
      </c>
      <c r="C960" t="s">
        <v>1245</v>
      </c>
      <c r="D960" s="30">
        <v>0.68700231481481477</v>
      </c>
      <c r="E960" t="s">
        <v>309</v>
      </c>
      <c r="F960" t="s">
        <v>299</v>
      </c>
      <c r="G960" t="s">
        <v>299</v>
      </c>
      <c r="H960">
        <v>14</v>
      </c>
      <c r="I960" s="30">
        <v>2.0833333333333333E-3</v>
      </c>
      <c r="J960">
        <v>4</v>
      </c>
    </row>
    <row r="961" spans="1:10" x14ac:dyDescent="0.35">
      <c r="A961" t="s">
        <v>1286</v>
      </c>
      <c r="B961" t="s">
        <v>323</v>
      </c>
      <c r="C961" t="s">
        <v>1245</v>
      </c>
      <c r="D961" s="30">
        <v>0.68700231481481477</v>
      </c>
      <c r="E961" t="s">
        <v>309</v>
      </c>
      <c r="F961" t="s">
        <v>303</v>
      </c>
      <c r="G961" t="s">
        <v>303</v>
      </c>
    </row>
    <row r="962" spans="1:10" x14ac:dyDescent="0.35">
      <c r="A962" t="s">
        <v>1287</v>
      </c>
      <c r="B962" t="s">
        <v>316</v>
      </c>
      <c r="C962" t="s">
        <v>1245</v>
      </c>
      <c r="D962" s="30">
        <v>0.71299768518518514</v>
      </c>
      <c r="E962" t="s">
        <v>298</v>
      </c>
      <c r="F962" t="s">
        <v>299</v>
      </c>
      <c r="G962" t="s">
        <v>299</v>
      </c>
      <c r="H962">
        <v>44</v>
      </c>
      <c r="I962" s="30">
        <v>1.8518518518518519E-3</v>
      </c>
      <c r="J962">
        <v>2</v>
      </c>
    </row>
    <row r="963" spans="1:10" x14ac:dyDescent="0.35">
      <c r="A963" t="s">
        <v>1288</v>
      </c>
      <c r="B963" t="s">
        <v>296</v>
      </c>
      <c r="C963" t="s">
        <v>1245</v>
      </c>
      <c r="D963" s="30">
        <v>0.71299768518518514</v>
      </c>
      <c r="E963" t="s">
        <v>314</v>
      </c>
      <c r="F963" t="s">
        <v>299</v>
      </c>
      <c r="G963" t="s">
        <v>299</v>
      </c>
      <c r="H963">
        <v>97</v>
      </c>
      <c r="I963" s="30">
        <v>4.6990740740740743E-3</v>
      </c>
      <c r="J963">
        <v>4</v>
      </c>
    </row>
    <row r="964" spans="1:10" x14ac:dyDescent="0.35">
      <c r="A964" t="s">
        <v>1289</v>
      </c>
      <c r="B964" t="s">
        <v>301</v>
      </c>
      <c r="C964" t="s">
        <v>1245</v>
      </c>
      <c r="D964" s="30">
        <v>0.72</v>
      </c>
      <c r="E964" t="s">
        <v>317</v>
      </c>
      <c r="F964" t="s">
        <v>303</v>
      </c>
      <c r="G964" t="s">
        <v>303</v>
      </c>
    </row>
    <row r="965" spans="1:10" x14ac:dyDescent="0.35">
      <c r="A965" t="s">
        <v>1290</v>
      </c>
      <c r="B965" t="s">
        <v>296</v>
      </c>
      <c r="C965" t="s">
        <v>1245</v>
      </c>
      <c r="D965" s="30">
        <v>0.72</v>
      </c>
      <c r="E965" t="s">
        <v>314</v>
      </c>
      <c r="F965" t="s">
        <v>299</v>
      </c>
      <c r="G965" t="s">
        <v>303</v>
      </c>
      <c r="H965">
        <v>91</v>
      </c>
      <c r="I965" s="30">
        <v>2.8819444444444444E-3</v>
      </c>
      <c r="J965">
        <v>3</v>
      </c>
    </row>
    <row r="966" spans="1:10" x14ac:dyDescent="0.35">
      <c r="A966" t="s">
        <v>1291</v>
      </c>
      <c r="B966" t="s">
        <v>332</v>
      </c>
      <c r="C966" t="s">
        <v>1245</v>
      </c>
      <c r="D966" s="30">
        <v>0.72299768518518515</v>
      </c>
      <c r="E966" t="s">
        <v>309</v>
      </c>
      <c r="F966" t="s">
        <v>299</v>
      </c>
      <c r="G966" t="s">
        <v>299</v>
      </c>
      <c r="H966">
        <v>48</v>
      </c>
      <c r="I966" s="30">
        <v>2.2337962962962962E-3</v>
      </c>
      <c r="J966">
        <v>3</v>
      </c>
    </row>
    <row r="967" spans="1:10" x14ac:dyDescent="0.35">
      <c r="A967" t="s">
        <v>1292</v>
      </c>
      <c r="B967" t="s">
        <v>307</v>
      </c>
      <c r="C967" t="s">
        <v>1245</v>
      </c>
      <c r="D967" s="30">
        <v>0.72299768518518515</v>
      </c>
      <c r="E967" t="s">
        <v>298</v>
      </c>
      <c r="F967" t="s">
        <v>299</v>
      </c>
      <c r="G967" t="s">
        <v>299</v>
      </c>
      <c r="H967">
        <v>45</v>
      </c>
      <c r="I967" s="30">
        <v>1.1458333333333333E-3</v>
      </c>
      <c r="J967">
        <v>3</v>
      </c>
    </row>
    <row r="968" spans="1:10" x14ac:dyDescent="0.35">
      <c r="A968" t="s">
        <v>1293</v>
      </c>
      <c r="B968" t="s">
        <v>301</v>
      </c>
      <c r="C968" t="s">
        <v>1245</v>
      </c>
      <c r="D968" s="30">
        <v>0.74599537037037034</v>
      </c>
      <c r="E968" t="s">
        <v>314</v>
      </c>
      <c r="F968" t="s">
        <v>299</v>
      </c>
      <c r="G968" t="s">
        <v>299</v>
      </c>
      <c r="H968">
        <v>60</v>
      </c>
      <c r="I968" s="30">
        <v>1.3888888888888889E-3</v>
      </c>
      <c r="J968">
        <v>5</v>
      </c>
    </row>
    <row r="969" spans="1:10" x14ac:dyDescent="0.35">
      <c r="A969" t="s">
        <v>1294</v>
      </c>
      <c r="B969" t="s">
        <v>316</v>
      </c>
      <c r="C969" t="s">
        <v>1245</v>
      </c>
      <c r="D969" s="30">
        <v>0.74599537037037034</v>
      </c>
      <c r="E969" t="s">
        <v>317</v>
      </c>
      <c r="F969" t="s">
        <v>299</v>
      </c>
      <c r="G969" t="s">
        <v>299</v>
      </c>
      <c r="H969">
        <v>85</v>
      </c>
      <c r="I969" s="30">
        <v>3.8425925925925928E-3</v>
      </c>
      <c r="J969">
        <v>4</v>
      </c>
    </row>
    <row r="970" spans="1:10" x14ac:dyDescent="0.35">
      <c r="A970" t="s">
        <v>1295</v>
      </c>
      <c r="B970" t="s">
        <v>319</v>
      </c>
      <c r="C970" t="s">
        <v>1296</v>
      </c>
      <c r="D970" s="30">
        <v>0.39200231481481479</v>
      </c>
      <c r="E970" t="s">
        <v>314</v>
      </c>
      <c r="F970" t="s">
        <v>299</v>
      </c>
      <c r="G970" t="s">
        <v>299</v>
      </c>
      <c r="H970">
        <v>53</v>
      </c>
      <c r="I970" s="30">
        <v>4.2361111111111115E-3</v>
      </c>
      <c r="J970">
        <v>4</v>
      </c>
    </row>
    <row r="971" spans="1:10" x14ac:dyDescent="0.35">
      <c r="A971" t="s">
        <v>1297</v>
      </c>
      <c r="B971" t="s">
        <v>307</v>
      </c>
      <c r="C971" t="s">
        <v>1296</v>
      </c>
      <c r="D971" s="30">
        <v>0.39200231481481479</v>
      </c>
      <c r="E971" t="s">
        <v>298</v>
      </c>
      <c r="F971" t="s">
        <v>299</v>
      </c>
      <c r="G971" t="s">
        <v>303</v>
      </c>
      <c r="H971">
        <v>27</v>
      </c>
      <c r="I971" s="30">
        <v>4.3287037037037035E-3</v>
      </c>
      <c r="J971">
        <v>5</v>
      </c>
    </row>
    <row r="972" spans="1:10" x14ac:dyDescent="0.35">
      <c r="A972" t="s">
        <v>1298</v>
      </c>
      <c r="B972" t="s">
        <v>319</v>
      </c>
      <c r="C972" t="s">
        <v>1296</v>
      </c>
      <c r="D972" s="30">
        <v>0.39200231481481479</v>
      </c>
      <c r="E972" t="s">
        <v>314</v>
      </c>
      <c r="F972" t="s">
        <v>299</v>
      </c>
      <c r="G972" t="s">
        <v>299</v>
      </c>
      <c r="H972">
        <v>30</v>
      </c>
      <c r="I972" s="30">
        <v>2.8124999999999999E-3</v>
      </c>
      <c r="J972">
        <v>3</v>
      </c>
    </row>
    <row r="973" spans="1:10" x14ac:dyDescent="0.35">
      <c r="A973" t="s">
        <v>1299</v>
      </c>
      <c r="B973" t="s">
        <v>332</v>
      </c>
      <c r="C973" t="s">
        <v>1296</v>
      </c>
      <c r="D973" s="30">
        <v>0.39200231481481479</v>
      </c>
      <c r="E973" t="s">
        <v>298</v>
      </c>
      <c r="F973" t="s">
        <v>303</v>
      </c>
      <c r="G973" t="s">
        <v>303</v>
      </c>
    </row>
    <row r="974" spans="1:10" x14ac:dyDescent="0.35">
      <c r="A974" t="s">
        <v>1300</v>
      </c>
      <c r="B974" t="s">
        <v>316</v>
      </c>
      <c r="C974" t="s">
        <v>1296</v>
      </c>
      <c r="D974" s="30">
        <v>0.39700231481481479</v>
      </c>
      <c r="E974" t="s">
        <v>314</v>
      </c>
      <c r="F974" t="s">
        <v>299</v>
      </c>
      <c r="G974" t="s">
        <v>299</v>
      </c>
      <c r="H974">
        <v>113</v>
      </c>
      <c r="I974" s="30">
        <v>2.0949074074074073E-3</v>
      </c>
      <c r="J974">
        <v>5</v>
      </c>
    </row>
    <row r="975" spans="1:10" x14ac:dyDescent="0.35">
      <c r="A975" t="s">
        <v>1301</v>
      </c>
      <c r="B975" t="s">
        <v>316</v>
      </c>
      <c r="C975" t="s">
        <v>1296</v>
      </c>
      <c r="D975" s="30">
        <v>0.39700231481481479</v>
      </c>
      <c r="E975" t="s">
        <v>302</v>
      </c>
      <c r="F975" t="s">
        <v>303</v>
      </c>
      <c r="G975" t="s">
        <v>303</v>
      </c>
    </row>
    <row r="976" spans="1:10" x14ac:dyDescent="0.35">
      <c r="A976" t="s">
        <v>1302</v>
      </c>
      <c r="B976" t="s">
        <v>296</v>
      </c>
      <c r="C976" t="s">
        <v>1296</v>
      </c>
      <c r="D976" s="30">
        <v>0.4</v>
      </c>
      <c r="E976" t="s">
        <v>314</v>
      </c>
      <c r="F976" t="s">
        <v>303</v>
      </c>
      <c r="G976" t="s">
        <v>303</v>
      </c>
    </row>
    <row r="977" spans="1:10" x14ac:dyDescent="0.35">
      <c r="A977" t="s">
        <v>1303</v>
      </c>
      <c r="B977" t="s">
        <v>316</v>
      </c>
      <c r="C977" t="s">
        <v>1296</v>
      </c>
      <c r="D977" s="30">
        <v>0.4</v>
      </c>
      <c r="E977" t="s">
        <v>317</v>
      </c>
      <c r="F977" t="s">
        <v>299</v>
      </c>
      <c r="G977" t="s">
        <v>299</v>
      </c>
      <c r="H977">
        <v>80</v>
      </c>
      <c r="I977" s="30">
        <v>4.8263888888888887E-3</v>
      </c>
      <c r="J977">
        <v>4</v>
      </c>
    </row>
    <row r="978" spans="1:10" x14ac:dyDescent="0.35">
      <c r="A978" t="s">
        <v>1304</v>
      </c>
      <c r="B978" t="s">
        <v>305</v>
      </c>
      <c r="C978" t="s">
        <v>1296</v>
      </c>
      <c r="D978" s="30">
        <v>0.42799768518518516</v>
      </c>
      <c r="E978" t="s">
        <v>298</v>
      </c>
      <c r="F978" t="s">
        <v>299</v>
      </c>
      <c r="G978" t="s">
        <v>299</v>
      </c>
      <c r="H978">
        <v>45</v>
      </c>
      <c r="I978" s="30">
        <v>4.8611111111111112E-3</v>
      </c>
      <c r="J978">
        <v>5</v>
      </c>
    </row>
    <row r="979" spans="1:10" x14ac:dyDescent="0.35">
      <c r="A979" t="s">
        <v>1305</v>
      </c>
      <c r="B979" t="s">
        <v>319</v>
      </c>
      <c r="C979" t="s">
        <v>1296</v>
      </c>
      <c r="D979" s="30">
        <v>0.42799768518518516</v>
      </c>
      <c r="E979" t="s">
        <v>314</v>
      </c>
      <c r="F979" t="s">
        <v>299</v>
      </c>
      <c r="G979" t="s">
        <v>299</v>
      </c>
      <c r="H979">
        <v>95</v>
      </c>
      <c r="I979" s="30">
        <v>1.5740740740740741E-3</v>
      </c>
      <c r="J979">
        <v>1</v>
      </c>
    </row>
    <row r="980" spans="1:10" x14ac:dyDescent="0.35">
      <c r="A980" t="s">
        <v>1306</v>
      </c>
      <c r="B980" t="s">
        <v>323</v>
      </c>
      <c r="C980" t="s">
        <v>1296</v>
      </c>
      <c r="D980" s="30">
        <v>0.47799768518518521</v>
      </c>
      <c r="E980" t="s">
        <v>317</v>
      </c>
      <c r="F980" t="s">
        <v>303</v>
      </c>
      <c r="G980" t="s">
        <v>303</v>
      </c>
    </row>
    <row r="981" spans="1:10" x14ac:dyDescent="0.35">
      <c r="A981" t="s">
        <v>1307</v>
      </c>
      <c r="B981" t="s">
        <v>332</v>
      </c>
      <c r="C981" t="s">
        <v>1296</v>
      </c>
      <c r="D981" s="30">
        <v>0.47799768518518521</v>
      </c>
      <c r="E981" t="s">
        <v>309</v>
      </c>
      <c r="F981" t="s">
        <v>299</v>
      </c>
      <c r="G981" t="s">
        <v>299</v>
      </c>
      <c r="H981">
        <v>33</v>
      </c>
      <c r="I981" s="30">
        <v>1.0185185185185184E-3</v>
      </c>
      <c r="J981">
        <v>3</v>
      </c>
    </row>
    <row r="982" spans="1:10" x14ac:dyDescent="0.35">
      <c r="A982" t="s">
        <v>1308</v>
      </c>
      <c r="B982" t="s">
        <v>305</v>
      </c>
      <c r="C982" t="s">
        <v>1296</v>
      </c>
      <c r="D982" s="30">
        <v>0.49099537037037039</v>
      </c>
      <c r="E982" t="s">
        <v>309</v>
      </c>
      <c r="F982" t="s">
        <v>303</v>
      </c>
      <c r="G982" t="s">
        <v>303</v>
      </c>
    </row>
    <row r="983" spans="1:10" x14ac:dyDescent="0.35">
      <c r="A983" t="s">
        <v>1309</v>
      </c>
      <c r="B983" t="s">
        <v>316</v>
      </c>
      <c r="C983" t="s">
        <v>1296</v>
      </c>
      <c r="D983" s="30">
        <v>0.49099537037037039</v>
      </c>
      <c r="E983" t="s">
        <v>317</v>
      </c>
      <c r="F983" t="s">
        <v>299</v>
      </c>
      <c r="G983" t="s">
        <v>299</v>
      </c>
      <c r="H983">
        <v>90</v>
      </c>
      <c r="I983" s="30">
        <v>4.7106481481481478E-3</v>
      </c>
      <c r="J983">
        <v>3</v>
      </c>
    </row>
    <row r="984" spans="1:10" x14ac:dyDescent="0.35">
      <c r="A984" t="s">
        <v>1310</v>
      </c>
      <c r="B984" t="s">
        <v>307</v>
      </c>
      <c r="C984" t="s">
        <v>1296</v>
      </c>
      <c r="D984" s="30">
        <v>0.49400462962962965</v>
      </c>
      <c r="E984" t="s">
        <v>309</v>
      </c>
      <c r="F984" t="s">
        <v>299</v>
      </c>
      <c r="G984" t="s">
        <v>299</v>
      </c>
      <c r="H984">
        <v>90</v>
      </c>
      <c r="I984" s="30">
        <v>1.5509259259259259E-3</v>
      </c>
      <c r="J984">
        <v>3</v>
      </c>
    </row>
    <row r="985" spans="1:10" x14ac:dyDescent="0.35">
      <c r="A985" t="s">
        <v>1311</v>
      </c>
      <c r="B985" t="s">
        <v>316</v>
      </c>
      <c r="C985" t="s">
        <v>1296</v>
      </c>
      <c r="D985" s="30">
        <v>0.49400462962962965</v>
      </c>
      <c r="E985" t="s">
        <v>317</v>
      </c>
      <c r="F985" t="s">
        <v>299</v>
      </c>
      <c r="G985" t="s">
        <v>303</v>
      </c>
      <c r="H985">
        <v>57</v>
      </c>
      <c r="I985" s="30">
        <v>2.8935185185185184E-3</v>
      </c>
      <c r="J985">
        <v>1</v>
      </c>
    </row>
    <row r="986" spans="1:10" x14ac:dyDescent="0.35">
      <c r="A986" t="s">
        <v>1312</v>
      </c>
      <c r="B986" t="s">
        <v>301</v>
      </c>
      <c r="C986" t="s">
        <v>1296</v>
      </c>
      <c r="D986" s="30">
        <v>0.49700231481481483</v>
      </c>
      <c r="E986" t="s">
        <v>314</v>
      </c>
      <c r="F986" t="s">
        <v>299</v>
      </c>
      <c r="G986" t="s">
        <v>299</v>
      </c>
      <c r="H986">
        <v>123</v>
      </c>
      <c r="I986" s="30">
        <v>4.0509259259259257E-3</v>
      </c>
      <c r="J986">
        <v>2</v>
      </c>
    </row>
    <row r="987" spans="1:10" x14ac:dyDescent="0.35">
      <c r="A987" t="s">
        <v>1313</v>
      </c>
      <c r="B987" t="s">
        <v>296</v>
      </c>
      <c r="C987" t="s">
        <v>1296</v>
      </c>
      <c r="D987" s="30">
        <v>0.49700231481481483</v>
      </c>
      <c r="E987" t="s">
        <v>314</v>
      </c>
      <c r="F987" t="s">
        <v>299</v>
      </c>
      <c r="G987" t="s">
        <v>299</v>
      </c>
      <c r="H987">
        <v>39</v>
      </c>
      <c r="I987" s="30">
        <v>4.7569444444444447E-3</v>
      </c>
      <c r="J987">
        <v>4</v>
      </c>
    </row>
    <row r="988" spans="1:10" x14ac:dyDescent="0.35">
      <c r="A988" t="s">
        <v>1314</v>
      </c>
      <c r="B988" t="s">
        <v>307</v>
      </c>
      <c r="C988" t="s">
        <v>1296</v>
      </c>
      <c r="D988" s="30">
        <v>0.49799768518518517</v>
      </c>
      <c r="E988" t="s">
        <v>302</v>
      </c>
      <c r="F988" t="s">
        <v>299</v>
      </c>
      <c r="G988" t="s">
        <v>303</v>
      </c>
      <c r="H988">
        <v>38</v>
      </c>
      <c r="I988" s="30">
        <v>1.5740740740740741E-3</v>
      </c>
      <c r="J988">
        <v>5</v>
      </c>
    </row>
    <row r="989" spans="1:10" x14ac:dyDescent="0.35">
      <c r="A989" t="s">
        <v>1315</v>
      </c>
      <c r="B989" t="s">
        <v>296</v>
      </c>
      <c r="C989" t="s">
        <v>1296</v>
      </c>
      <c r="D989" s="30">
        <v>0.49799768518518517</v>
      </c>
      <c r="E989" t="s">
        <v>317</v>
      </c>
      <c r="F989" t="s">
        <v>299</v>
      </c>
      <c r="G989" t="s">
        <v>299</v>
      </c>
      <c r="H989">
        <v>26</v>
      </c>
      <c r="I989" s="30">
        <v>1.0995370370370371E-3</v>
      </c>
      <c r="J989">
        <v>1</v>
      </c>
    </row>
    <row r="990" spans="1:10" x14ac:dyDescent="0.35">
      <c r="A990" t="s">
        <v>1316</v>
      </c>
      <c r="B990" t="s">
        <v>296</v>
      </c>
      <c r="C990" t="s">
        <v>1296</v>
      </c>
      <c r="D990" s="30">
        <v>0.4990046296296296</v>
      </c>
      <c r="E990" t="s">
        <v>298</v>
      </c>
      <c r="F990" t="s">
        <v>299</v>
      </c>
      <c r="G990" t="s">
        <v>299</v>
      </c>
      <c r="H990">
        <v>43</v>
      </c>
      <c r="I990" s="30">
        <v>1.7824074074074075E-3</v>
      </c>
      <c r="J990">
        <v>3</v>
      </c>
    </row>
    <row r="991" spans="1:10" x14ac:dyDescent="0.35">
      <c r="A991" t="s">
        <v>1317</v>
      </c>
      <c r="B991" t="s">
        <v>316</v>
      </c>
      <c r="C991" t="s">
        <v>1296</v>
      </c>
      <c r="D991" s="30">
        <v>0.4990046296296296</v>
      </c>
      <c r="E991" t="s">
        <v>317</v>
      </c>
      <c r="F991" t="s">
        <v>299</v>
      </c>
      <c r="G991" t="s">
        <v>299</v>
      </c>
      <c r="H991">
        <v>89</v>
      </c>
      <c r="I991" s="30">
        <v>4.0856481481481481E-3</v>
      </c>
      <c r="J991">
        <v>3</v>
      </c>
    </row>
    <row r="992" spans="1:10" x14ac:dyDescent="0.35">
      <c r="A992" t="s">
        <v>1318</v>
      </c>
      <c r="B992" t="s">
        <v>316</v>
      </c>
      <c r="C992" t="s">
        <v>1296</v>
      </c>
      <c r="D992" s="30">
        <v>0.5</v>
      </c>
      <c r="E992" t="s">
        <v>298</v>
      </c>
      <c r="F992" t="s">
        <v>299</v>
      </c>
      <c r="G992" t="s">
        <v>299</v>
      </c>
      <c r="H992">
        <v>121</v>
      </c>
      <c r="I992" s="30">
        <v>3.7499999999999999E-3</v>
      </c>
      <c r="J992">
        <v>3</v>
      </c>
    </row>
    <row r="993" spans="1:10" x14ac:dyDescent="0.35">
      <c r="A993" t="s">
        <v>1319</v>
      </c>
      <c r="B993" t="s">
        <v>316</v>
      </c>
      <c r="C993" t="s">
        <v>1296</v>
      </c>
      <c r="D993" s="30">
        <v>0.5</v>
      </c>
      <c r="E993" t="s">
        <v>309</v>
      </c>
      <c r="F993" t="s">
        <v>299</v>
      </c>
      <c r="G993" t="s">
        <v>299</v>
      </c>
      <c r="H993">
        <v>114</v>
      </c>
      <c r="I993" s="30">
        <v>2.1990740740740742E-3</v>
      </c>
      <c r="J993">
        <v>4</v>
      </c>
    </row>
    <row r="994" spans="1:10" x14ac:dyDescent="0.35">
      <c r="A994" t="s">
        <v>1320</v>
      </c>
      <c r="B994" t="s">
        <v>305</v>
      </c>
      <c r="C994" t="s">
        <v>1296</v>
      </c>
      <c r="D994" s="30">
        <v>0.52400462962962968</v>
      </c>
      <c r="E994" t="s">
        <v>298</v>
      </c>
      <c r="F994" t="s">
        <v>303</v>
      </c>
      <c r="G994" t="s">
        <v>303</v>
      </c>
    </row>
    <row r="995" spans="1:10" x14ac:dyDescent="0.35">
      <c r="A995" t="s">
        <v>1321</v>
      </c>
      <c r="B995" t="s">
        <v>332</v>
      </c>
      <c r="C995" t="s">
        <v>1296</v>
      </c>
      <c r="D995" s="30">
        <v>0.52400462962962968</v>
      </c>
      <c r="E995" t="s">
        <v>302</v>
      </c>
      <c r="F995" t="s">
        <v>303</v>
      </c>
      <c r="G995" t="s">
        <v>303</v>
      </c>
    </row>
    <row r="996" spans="1:10" x14ac:dyDescent="0.35">
      <c r="A996" t="s">
        <v>1322</v>
      </c>
      <c r="B996" t="s">
        <v>301</v>
      </c>
      <c r="C996" t="s">
        <v>1296</v>
      </c>
      <c r="D996" s="30">
        <v>0.52599537037037036</v>
      </c>
      <c r="E996" t="s">
        <v>317</v>
      </c>
      <c r="F996" t="s">
        <v>303</v>
      </c>
      <c r="G996" t="s">
        <v>303</v>
      </c>
    </row>
    <row r="997" spans="1:10" x14ac:dyDescent="0.35">
      <c r="A997" t="s">
        <v>1323</v>
      </c>
      <c r="B997" t="s">
        <v>301</v>
      </c>
      <c r="C997" t="s">
        <v>1296</v>
      </c>
      <c r="D997" s="30">
        <v>0.52599537037037036</v>
      </c>
      <c r="E997" t="s">
        <v>314</v>
      </c>
      <c r="F997" t="s">
        <v>299</v>
      </c>
      <c r="G997" t="s">
        <v>303</v>
      </c>
      <c r="H997">
        <v>101</v>
      </c>
      <c r="I997" s="30">
        <v>3.1944444444444446E-3</v>
      </c>
      <c r="J997">
        <v>3</v>
      </c>
    </row>
    <row r="998" spans="1:10" x14ac:dyDescent="0.35">
      <c r="A998" t="s">
        <v>1324</v>
      </c>
      <c r="B998" t="s">
        <v>319</v>
      </c>
      <c r="C998" t="s">
        <v>1296</v>
      </c>
      <c r="D998" s="30">
        <v>0.52700231481481485</v>
      </c>
      <c r="E998" t="s">
        <v>309</v>
      </c>
      <c r="F998" t="s">
        <v>299</v>
      </c>
      <c r="G998" t="s">
        <v>299</v>
      </c>
      <c r="H998">
        <v>87</v>
      </c>
      <c r="I998" s="30">
        <v>3.6921296296296298E-3</v>
      </c>
      <c r="J998">
        <v>4</v>
      </c>
    </row>
    <row r="999" spans="1:10" x14ac:dyDescent="0.35">
      <c r="A999" t="s">
        <v>1325</v>
      </c>
      <c r="B999" t="s">
        <v>307</v>
      </c>
      <c r="C999" t="s">
        <v>1296</v>
      </c>
      <c r="D999" s="30">
        <v>0.52700231481481485</v>
      </c>
      <c r="E999" t="s">
        <v>314</v>
      </c>
      <c r="F999" t="s">
        <v>299</v>
      </c>
      <c r="G999" t="s">
        <v>299</v>
      </c>
      <c r="H999">
        <v>22</v>
      </c>
      <c r="I999" s="30">
        <v>4.1898148148148146E-3</v>
      </c>
      <c r="J999">
        <v>5</v>
      </c>
    </row>
    <row r="1000" spans="1:10" x14ac:dyDescent="0.35">
      <c r="A1000" t="s">
        <v>1326</v>
      </c>
      <c r="B1000" t="s">
        <v>305</v>
      </c>
      <c r="C1000" t="s">
        <v>1296</v>
      </c>
      <c r="D1000" s="30">
        <v>0.52900462962962957</v>
      </c>
      <c r="E1000" t="s">
        <v>317</v>
      </c>
      <c r="F1000" t="s">
        <v>299</v>
      </c>
      <c r="G1000" t="s">
        <v>299</v>
      </c>
      <c r="H1000">
        <v>19</v>
      </c>
      <c r="I1000" s="30">
        <v>2.7430555555555554E-3</v>
      </c>
      <c r="J1000">
        <v>2</v>
      </c>
    </row>
    <row r="1001" spans="1:10" x14ac:dyDescent="0.35">
      <c r="A1001" t="s">
        <v>1327</v>
      </c>
      <c r="B1001" t="s">
        <v>301</v>
      </c>
      <c r="C1001" t="s">
        <v>1296</v>
      </c>
      <c r="D1001" s="30">
        <v>0.52900462962962957</v>
      </c>
      <c r="E1001" t="s">
        <v>314</v>
      </c>
      <c r="F1001" t="s">
        <v>299</v>
      </c>
      <c r="G1001" t="s">
        <v>299</v>
      </c>
      <c r="H1001">
        <v>31</v>
      </c>
      <c r="I1001" s="30">
        <v>1.736111111111111E-3</v>
      </c>
      <c r="J1001">
        <v>4</v>
      </c>
    </row>
    <row r="1002" spans="1:10" x14ac:dyDescent="0.35">
      <c r="A1002" t="s">
        <v>1328</v>
      </c>
      <c r="B1002" t="s">
        <v>323</v>
      </c>
      <c r="C1002" t="s">
        <v>1296</v>
      </c>
      <c r="D1002" s="30">
        <v>0.53400462962962958</v>
      </c>
      <c r="E1002" t="s">
        <v>309</v>
      </c>
      <c r="F1002" t="s">
        <v>299</v>
      </c>
      <c r="G1002" t="s">
        <v>299</v>
      </c>
      <c r="H1002">
        <v>24</v>
      </c>
      <c r="I1002" s="30">
        <v>4.2013888888888891E-3</v>
      </c>
      <c r="J1002">
        <v>4</v>
      </c>
    </row>
    <row r="1003" spans="1:10" x14ac:dyDescent="0.35">
      <c r="A1003" t="s">
        <v>1329</v>
      </c>
      <c r="B1003" t="s">
        <v>332</v>
      </c>
      <c r="C1003" t="s">
        <v>1296</v>
      </c>
      <c r="D1003" s="30">
        <v>0.53400462962962958</v>
      </c>
      <c r="E1003" t="s">
        <v>309</v>
      </c>
      <c r="F1003" t="s">
        <v>299</v>
      </c>
      <c r="G1003" t="s">
        <v>303</v>
      </c>
      <c r="H1003">
        <v>94</v>
      </c>
      <c r="I1003" s="30">
        <v>3.2638888888888891E-3</v>
      </c>
      <c r="J1003">
        <v>4</v>
      </c>
    </row>
    <row r="1004" spans="1:10" x14ac:dyDescent="0.35">
      <c r="A1004" t="s">
        <v>1330</v>
      </c>
      <c r="B1004" t="s">
        <v>332</v>
      </c>
      <c r="C1004" t="s">
        <v>1296</v>
      </c>
      <c r="D1004" s="30">
        <v>0.54900462962962959</v>
      </c>
      <c r="E1004" t="s">
        <v>317</v>
      </c>
      <c r="F1004" t="s">
        <v>299</v>
      </c>
      <c r="G1004" t="s">
        <v>299</v>
      </c>
      <c r="H1004">
        <v>79</v>
      </c>
      <c r="I1004" s="30">
        <v>5.4398148148148144E-4</v>
      </c>
      <c r="J1004">
        <v>4</v>
      </c>
    </row>
    <row r="1005" spans="1:10" x14ac:dyDescent="0.35">
      <c r="A1005" t="s">
        <v>1331</v>
      </c>
      <c r="B1005" t="s">
        <v>316</v>
      </c>
      <c r="C1005" t="s">
        <v>1296</v>
      </c>
      <c r="D1005" s="30">
        <v>0.54900462962962959</v>
      </c>
      <c r="E1005" t="s">
        <v>302</v>
      </c>
      <c r="F1005" t="s">
        <v>303</v>
      </c>
      <c r="G1005" t="s">
        <v>303</v>
      </c>
    </row>
    <row r="1006" spans="1:10" x14ac:dyDescent="0.35">
      <c r="A1006" t="s">
        <v>1332</v>
      </c>
      <c r="B1006" t="s">
        <v>323</v>
      </c>
      <c r="C1006" t="s">
        <v>1296</v>
      </c>
      <c r="D1006" s="30">
        <v>0.54900462962962959</v>
      </c>
      <c r="E1006" t="s">
        <v>314</v>
      </c>
      <c r="F1006" t="s">
        <v>299</v>
      </c>
      <c r="G1006" t="s">
        <v>299</v>
      </c>
      <c r="H1006">
        <v>87</v>
      </c>
      <c r="I1006" s="30">
        <v>3.2407407407407406E-3</v>
      </c>
      <c r="J1006">
        <v>4</v>
      </c>
    </row>
    <row r="1007" spans="1:10" x14ac:dyDescent="0.35">
      <c r="A1007" t="s">
        <v>1333</v>
      </c>
      <c r="B1007" t="s">
        <v>332</v>
      </c>
      <c r="C1007" t="s">
        <v>1296</v>
      </c>
      <c r="D1007" s="30">
        <v>0.54900462962962959</v>
      </c>
      <c r="E1007" t="s">
        <v>298</v>
      </c>
      <c r="F1007" t="s">
        <v>299</v>
      </c>
      <c r="G1007" t="s">
        <v>303</v>
      </c>
      <c r="H1007">
        <v>65</v>
      </c>
      <c r="I1007" s="30">
        <v>4.2129629629629626E-3</v>
      </c>
      <c r="J1007">
        <v>4</v>
      </c>
    </row>
    <row r="1008" spans="1:10" x14ac:dyDescent="0.35">
      <c r="A1008" t="s">
        <v>1334</v>
      </c>
      <c r="B1008" t="s">
        <v>323</v>
      </c>
      <c r="C1008" t="s">
        <v>1296</v>
      </c>
      <c r="D1008" s="30">
        <v>0.62400462962962966</v>
      </c>
      <c r="E1008" t="s">
        <v>298</v>
      </c>
      <c r="F1008" t="s">
        <v>299</v>
      </c>
      <c r="G1008" t="s">
        <v>299</v>
      </c>
      <c r="H1008">
        <v>36</v>
      </c>
      <c r="I1008" s="30">
        <v>3.0439814814814813E-3</v>
      </c>
      <c r="J1008">
        <v>3</v>
      </c>
    </row>
    <row r="1009" spans="1:10" x14ac:dyDescent="0.35">
      <c r="A1009" t="s">
        <v>1335</v>
      </c>
      <c r="B1009" t="s">
        <v>319</v>
      </c>
      <c r="C1009" t="s">
        <v>1296</v>
      </c>
      <c r="D1009" s="30">
        <v>0.62400462962962966</v>
      </c>
      <c r="E1009" t="s">
        <v>302</v>
      </c>
      <c r="F1009" t="s">
        <v>303</v>
      </c>
      <c r="G1009" t="s">
        <v>303</v>
      </c>
    </row>
    <row r="1010" spans="1:10" x14ac:dyDescent="0.35">
      <c r="A1010" t="s">
        <v>1336</v>
      </c>
      <c r="B1010" t="s">
        <v>305</v>
      </c>
      <c r="C1010" t="s">
        <v>1296</v>
      </c>
      <c r="D1010" s="30">
        <v>0.63799768518518518</v>
      </c>
      <c r="E1010" t="s">
        <v>317</v>
      </c>
      <c r="F1010" t="s">
        <v>299</v>
      </c>
      <c r="G1010" t="s">
        <v>299</v>
      </c>
      <c r="H1010">
        <v>33</v>
      </c>
      <c r="I1010" s="30">
        <v>1.5740740740740741E-3</v>
      </c>
      <c r="J1010">
        <v>4</v>
      </c>
    </row>
    <row r="1011" spans="1:10" x14ac:dyDescent="0.35">
      <c r="A1011" t="s">
        <v>1337</v>
      </c>
      <c r="B1011" t="s">
        <v>301</v>
      </c>
      <c r="C1011" t="s">
        <v>1296</v>
      </c>
      <c r="D1011" s="30">
        <v>0.63799768518518518</v>
      </c>
      <c r="E1011" t="s">
        <v>298</v>
      </c>
      <c r="F1011" t="s">
        <v>303</v>
      </c>
      <c r="G1011" t="s">
        <v>303</v>
      </c>
    </row>
    <row r="1012" spans="1:10" x14ac:dyDescent="0.35">
      <c r="A1012" t="s">
        <v>1338</v>
      </c>
      <c r="B1012" t="s">
        <v>316</v>
      </c>
      <c r="C1012" t="s">
        <v>1296</v>
      </c>
      <c r="D1012" s="30">
        <v>0.66</v>
      </c>
      <c r="E1012" t="s">
        <v>314</v>
      </c>
      <c r="F1012" t="s">
        <v>303</v>
      </c>
      <c r="G1012" t="s">
        <v>303</v>
      </c>
    </row>
    <row r="1013" spans="1:10" x14ac:dyDescent="0.35">
      <c r="A1013" t="s">
        <v>1339</v>
      </c>
      <c r="B1013" t="s">
        <v>307</v>
      </c>
      <c r="C1013" t="s">
        <v>1296</v>
      </c>
      <c r="D1013" s="30">
        <v>0.66</v>
      </c>
      <c r="E1013" t="s">
        <v>317</v>
      </c>
      <c r="F1013" t="s">
        <v>299</v>
      </c>
      <c r="G1013" t="s">
        <v>299</v>
      </c>
      <c r="H1013">
        <v>24</v>
      </c>
      <c r="I1013" s="30">
        <v>2.2569444444444442E-3</v>
      </c>
      <c r="J1013">
        <v>5</v>
      </c>
    </row>
    <row r="1014" spans="1:10" x14ac:dyDescent="0.35">
      <c r="A1014" t="s">
        <v>1340</v>
      </c>
      <c r="B1014" t="s">
        <v>305</v>
      </c>
      <c r="C1014" t="s">
        <v>1296</v>
      </c>
      <c r="D1014" s="30">
        <v>0.67500000000000004</v>
      </c>
      <c r="E1014" t="s">
        <v>314</v>
      </c>
      <c r="F1014" t="s">
        <v>299</v>
      </c>
      <c r="G1014" t="s">
        <v>299</v>
      </c>
      <c r="H1014">
        <v>32</v>
      </c>
      <c r="I1014" s="30">
        <v>2.5462962962962965E-3</v>
      </c>
      <c r="J1014">
        <v>5</v>
      </c>
    </row>
    <row r="1015" spans="1:10" x14ac:dyDescent="0.35">
      <c r="A1015" t="s">
        <v>1341</v>
      </c>
      <c r="B1015" t="s">
        <v>319</v>
      </c>
      <c r="C1015" t="s">
        <v>1296</v>
      </c>
      <c r="D1015" s="30">
        <v>0.67500000000000004</v>
      </c>
      <c r="E1015" t="s">
        <v>298</v>
      </c>
      <c r="F1015" t="s">
        <v>299</v>
      </c>
      <c r="G1015" t="s">
        <v>303</v>
      </c>
      <c r="H1015">
        <v>24</v>
      </c>
      <c r="I1015" s="30">
        <v>2.6157407407407405E-3</v>
      </c>
      <c r="J1015">
        <v>4</v>
      </c>
    </row>
    <row r="1016" spans="1:10" x14ac:dyDescent="0.35">
      <c r="A1016" t="s">
        <v>1342</v>
      </c>
      <c r="B1016" t="s">
        <v>305</v>
      </c>
      <c r="C1016" t="s">
        <v>1296</v>
      </c>
      <c r="D1016" s="30">
        <v>0.70099537037037041</v>
      </c>
      <c r="E1016" t="s">
        <v>302</v>
      </c>
      <c r="F1016" t="s">
        <v>299</v>
      </c>
      <c r="G1016" t="s">
        <v>299</v>
      </c>
      <c r="H1016">
        <v>96</v>
      </c>
      <c r="I1016" s="30">
        <v>3.8078703703703703E-3</v>
      </c>
      <c r="J1016">
        <v>5</v>
      </c>
    </row>
    <row r="1017" spans="1:10" x14ac:dyDescent="0.35">
      <c r="A1017" t="s">
        <v>1343</v>
      </c>
      <c r="B1017" t="s">
        <v>319</v>
      </c>
      <c r="C1017" t="s">
        <v>1296</v>
      </c>
      <c r="D1017" s="30">
        <v>0.70099537037037041</v>
      </c>
      <c r="E1017" t="s">
        <v>302</v>
      </c>
      <c r="F1017" t="s">
        <v>299</v>
      </c>
      <c r="G1017" t="s">
        <v>299</v>
      </c>
      <c r="H1017">
        <v>45</v>
      </c>
      <c r="I1017" s="30">
        <v>1.4467592592592592E-3</v>
      </c>
      <c r="J1017">
        <v>5</v>
      </c>
    </row>
    <row r="1018" spans="1:10" x14ac:dyDescent="0.35">
      <c r="A1018" t="s">
        <v>1344</v>
      </c>
      <c r="B1018" t="s">
        <v>316</v>
      </c>
      <c r="C1018" t="s">
        <v>1296</v>
      </c>
      <c r="D1018" s="30">
        <v>0.71799768518518514</v>
      </c>
      <c r="E1018" t="s">
        <v>314</v>
      </c>
      <c r="F1018" t="s">
        <v>299</v>
      </c>
      <c r="G1018" t="s">
        <v>299</v>
      </c>
      <c r="H1018">
        <v>16</v>
      </c>
      <c r="I1018" s="30">
        <v>3.5763888888888889E-3</v>
      </c>
      <c r="J1018">
        <v>1</v>
      </c>
    </row>
    <row r="1019" spans="1:10" x14ac:dyDescent="0.35">
      <c r="A1019" t="s">
        <v>1345</v>
      </c>
      <c r="B1019" t="s">
        <v>307</v>
      </c>
      <c r="C1019" t="s">
        <v>1296</v>
      </c>
      <c r="D1019" s="30">
        <v>0.71799768518518514</v>
      </c>
      <c r="E1019" t="s">
        <v>302</v>
      </c>
      <c r="F1019" t="s">
        <v>299</v>
      </c>
      <c r="G1019" t="s">
        <v>299</v>
      </c>
      <c r="H1019">
        <v>75</v>
      </c>
      <c r="I1019" s="30">
        <v>4.8148148148148152E-3</v>
      </c>
      <c r="J1019">
        <v>5</v>
      </c>
    </row>
    <row r="1020" spans="1:10" x14ac:dyDescent="0.35">
      <c r="A1020" t="s">
        <v>1346</v>
      </c>
      <c r="B1020" t="s">
        <v>319</v>
      </c>
      <c r="C1020" t="s">
        <v>1296</v>
      </c>
      <c r="D1020" s="30">
        <v>0.72099537037037043</v>
      </c>
      <c r="E1020" t="s">
        <v>298</v>
      </c>
      <c r="F1020" t="s">
        <v>299</v>
      </c>
      <c r="G1020" t="s">
        <v>299</v>
      </c>
      <c r="H1020">
        <v>71</v>
      </c>
      <c r="I1020" s="30">
        <v>4.2824074074074081E-4</v>
      </c>
      <c r="J1020">
        <v>3</v>
      </c>
    </row>
    <row r="1021" spans="1:10" x14ac:dyDescent="0.35">
      <c r="A1021" t="s">
        <v>1347</v>
      </c>
      <c r="B1021" t="s">
        <v>305</v>
      </c>
      <c r="C1021" t="s">
        <v>1296</v>
      </c>
      <c r="D1021" s="30">
        <v>0.72099537037037043</v>
      </c>
      <c r="E1021" t="s">
        <v>302</v>
      </c>
      <c r="F1021" t="s">
        <v>299</v>
      </c>
      <c r="G1021" t="s">
        <v>299</v>
      </c>
      <c r="H1021">
        <v>47</v>
      </c>
      <c r="I1021" s="30">
        <v>1.5856481481481481E-3</v>
      </c>
      <c r="J1021">
        <v>3</v>
      </c>
    </row>
    <row r="1022" spans="1:10" x14ac:dyDescent="0.35">
      <c r="A1022" t="s">
        <v>1348</v>
      </c>
      <c r="B1022" t="s">
        <v>305</v>
      </c>
      <c r="C1022" t="s">
        <v>1296</v>
      </c>
      <c r="D1022" s="30">
        <v>0.72099537037037043</v>
      </c>
      <c r="E1022" t="s">
        <v>314</v>
      </c>
      <c r="F1022" t="s">
        <v>299</v>
      </c>
      <c r="G1022" t="s">
        <v>299</v>
      </c>
      <c r="H1022">
        <v>54</v>
      </c>
      <c r="I1022" s="30">
        <v>3.3333333333333335E-3</v>
      </c>
      <c r="J1022">
        <v>3</v>
      </c>
    </row>
    <row r="1023" spans="1:10" x14ac:dyDescent="0.35">
      <c r="A1023" t="s">
        <v>1349</v>
      </c>
      <c r="B1023" t="s">
        <v>301</v>
      </c>
      <c r="C1023" t="s">
        <v>1296</v>
      </c>
      <c r="D1023" s="30">
        <v>0.72099537037037043</v>
      </c>
      <c r="E1023" t="s">
        <v>309</v>
      </c>
      <c r="F1023" t="s">
        <v>299</v>
      </c>
      <c r="G1023" t="s">
        <v>299</v>
      </c>
      <c r="H1023">
        <v>101</v>
      </c>
      <c r="I1023" s="30">
        <v>3.1134259259259257E-3</v>
      </c>
      <c r="J1023">
        <v>4</v>
      </c>
    </row>
    <row r="1024" spans="1:10" x14ac:dyDescent="0.35">
      <c r="A1024" t="s">
        <v>1350</v>
      </c>
      <c r="B1024" t="s">
        <v>323</v>
      </c>
      <c r="C1024" t="s">
        <v>1296</v>
      </c>
      <c r="D1024" s="30">
        <v>0.72599537037037032</v>
      </c>
      <c r="E1024" t="s">
        <v>317</v>
      </c>
      <c r="F1024" t="s">
        <v>299</v>
      </c>
      <c r="G1024" t="s">
        <v>299</v>
      </c>
      <c r="H1024">
        <v>46</v>
      </c>
      <c r="I1024" s="30">
        <v>1.4699074074074074E-3</v>
      </c>
      <c r="J1024">
        <v>3</v>
      </c>
    </row>
    <row r="1025" spans="1:10" x14ac:dyDescent="0.35">
      <c r="A1025" t="s">
        <v>1351</v>
      </c>
      <c r="B1025" t="s">
        <v>301</v>
      </c>
      <c r="C1025" t="s">
        <v>1296</v>
      </c>
      <c r="D1025" s="30">
        <v>0.72599537037037032</v>
      </c>
      <c r="E1025" t="s">
        <v>302</v>
      </c>
      <c r="F1025" t="s">
        <v>299</v>
      </c>
      <c r="G1025" t="s">
        <v>299</v>
      </c>
      <c r="H1025">
        <v>45</v>
      </c>
      <c r="I1025" s="30">
        <v>4.8032407407407407E-3</v>
      </c>
      <c r="J1025">
        <v>3</v>
      </c>
    </row>
    <row r="1026" spans="1:10" x14ac:dyDescent="0.35">
      <c r="A1026" t="s">
        <v>1352</v>
      </c>
      <c r="B1026" t="s">
        <v>323</v>
      </c>
      <c r="C1026" t="s">
        <v>1296</v>
      </c>
      <c r="D1026" s="30">
        <v>0.72700231481481481</v>
      </c>
      <c r="E1026" t="s">
        <v>302</v>
      </c>
      <c r="F1026" t="s">
        <v>299</v>
      </c>
      <c r="G1026" t="s">
        <v>299</v>
      </c>
      <c r="H1026">
        <v>45</v>
      </c>
      <c r="I1026" s="30">
        <v>3.7615740740740739E-3</v>
      </c>
      <c r="J1026">
        <v>4</v>
      </c>
    </row>
    <row r="1027" spans="1:10" x14ac:dyDescent="0.35">
      <c r="A1027" t="s">
        <v>1353</v>
      </c>
      <c r="B1027" t="s">
        <v>316</v>
      </c>
      <c r="C1027" t="s">
        <v>1296</v>
      </c>
      <c r="D1027" s="30">
        <v>0.72700231481481481</v>
      </c>
      <c r="E1027" t="s">
        <v>314</v>
      </c>
      <c r="F1027" t="s">
        <v>299</v>
      </c>
      <c r="G1027" t="s">
        <v>299</v>
      </c>
      <c r="H1027">
        <v>30</v>
      </c>
      <c r="I1027" s="30">
        <v>3.449074074074074E-3</v>
      </c>
      <c r="J1027">
        <v>5</v>
      </c>
    </row>
    <row r="1028" spans="1:10" x14ac:dyDescent="0.35">
      <c r="A1028" t="s">
        <v>1354</v>
      </c>
      <c r="B1028" t="s">
        <v>307</v>
      </c>
      <c r="C1028" t="s">
        <v>1296</v>
      </c>
      <c r="D1028" s="30">
        <v>0.73799768518518516</v>
      </c>
      <c r="E1028" t="s">
        <v>302</v>
      </c>
      <c r="F1028" t="s">
        <v>299</v>
      </c>
      <c r="G1028" t="s">
        <v>299</v>
      </c>
      <c r="H1028">
        <v>105</v>
      </c>
      <c r="I1028" s="30">
        <v>3.4027777777777776E-3</v>
      </c>
      <c r="J1028">
        <v>4</v>
      </c>
    </row>
    <row r="1029" spans="1:10" x14ac:dyDescent="0.35">
      <c r="A1029" t="s">
        <v>1355</v>
      </c>
      <c r="B1029" t="s">
        <v>316</v>
      </c>
      <c r="C1029" t="s">
        <v>1296</v>
      </c>
      <c r="D1029" s="30">
        <v>0.73799768518518516</v>
      </c>
      <c r="E1029" t="s">
        <v>309</v>
      </c>
      <c r="F1029" t="s">
        <v>299</v>
      </c>
      <c r="G1029" t="s">
        <v>299</v>
      </c>
      <c r="H1029">
        <v>102</v>
      </c>
      <c r="I1029" s="30">
        <v>3.4027777777777776E-3</v>
      </c>
      <c r="J1029">
        <v>4</v>
      </c>
    </row>
    <row r="1030" spans="1:10" x14ac:dyDescent="0.35">
      <c r="A1030" t="s">
        <v>1356</v>
      </c>
      <c r="B1030" t="s">
        <v>307</v>
      </c>
      <c r="C1030" t="s">
        <v>1296</v>
      </c>
      <c r="D1030" s="30">
        <v>0.74700231481481483</v>
      </c>
      <c r="E1030" t="s">
        <v>309</v>
      </c>
      <c r="F1030" t="s">
        <v>299</v>
      </c>
      <c r="G1030" t="s">
        <v>299</v>
      </c>
      <c r="H1030">
        <v>46</v>
      </c>
      <c r="I1030" s="30">
        <v>3.4837962962962965E-3</v>
      </c>
      <c r="J1030">
        <v>3</v>
      </c>
    </row>
    <row r="1031" spans="1:10" x14ac:dyDescent="0.35">
      <c r="A1031" t="s">
        <v>1357</v>
      </c>
      <c r="B1031" t="s">
        <v>305</v>
      </c>
      <c r="C1031" t="s">
        <v>1296</v>
      </c>
      <c r="D1031" s="30">
        <v>0.74700231481481483</v>
      </c>
      <c r="E1031" t="s">
        <v>314</v>
      </c>
      <c r="F1031" t="s">
        <v>299</v>
      </c>
      <c r="G1031" t="s">
        <v>299</v>
      </c>
      <c r="H1031">
        <v>11</v>
      </c>
      <c r="I1031" s="30">
        <v>6.018518518518519E-4</v>
      </c>
      <c r="J1031">
        <v>1</v>
      </c>
    </row>
    <row r="1032" spans="1:10" x14ac:dyDescent="0.35">
      <c r="A1032" t="s">
        <v>1358</v>
      </c>
      <c r="B1032" t="s">
        <v>332</v>
      </c>
      <c r="C1032" t="s">
        <v>1359</v>
      </c>
      <c r="D1032" s="30">
        <v>0.37700231481481483</v>
      </c>
      <c r="E1032" t="s">
        <v>309</v>
      </c>
      <c r="F1032" t="s">
        <v>299</v>
      </c>
      <c r="G1032" t="s">
        <v>299</v>
      </c>
      <c r="H1032">
        <v>125</v>
      </c>
      <c r="I1032" s="30">
        <v>4.2013888888888891E-3</v>
      </c>
      <c r="J1032">
        <v>3</v>
      </c>
    </row>
    <row r="1033" spans="1:10" x14ac:dyDescent="0.35">
      <c r="A1033" t="s">
        <v>1360</v>
      </c>
      <c r="B1033" t="s">
        <v>305</v>
      </c>
      <c r="C1033" t="s">
        <v>1359</v>
      </c>
      <c r="D1033" s="30">
        <v>0.37700231481481483</v>
      </c>
      <c r="E1033" t="s">
        <v>314</v>
      </c>
      <c r="F1033" t="s">
        <v>299</v>
      </c>
      <c r="G1033" t="s">
        <v>299</v>
      </c>
      <c r="H1033">
        <v>112</v>
      </c>
      <c r="I1033" s="30">
        <v>1.3078703703703703E-3</v>
      </c>
      <c r="J1033">
        <v>3</v>
      </c>
    </row>
    <row r="1034" spans="1:10" x14ac:dyDescent="0.35">
      <c r="A1034" t="s">
        <v>1361</v>
      </c>
      <c r="B1034" t="s">
        <v>301</v>
      </c>
      <c r="C1034" t="s">
        <v>1359</v>
      </c>
      <c r="D1034" s="30">
        <v>0.38599537037037035</v>
      </c>
      <c r="E1034" t="s">
        <v>302</v>
      </c>
      <c r="F1034" t="s">
        <v>299</v>
      </c>
      <c r="G1034" t="s">
        <v>299</v>
      </c>
      <c r="H1034">
        <v>14</v>
      </c>
      <c r="I1034" s="30">
        <v>1.3425925925925925E-3</v>
      </c>
      <c r="J1034">
        <v>3</v>
      </c>
    </row>
    <row r="1035" spans="1:10" x14ac:dyDescent="0.35">
      <c r="A1035" t="s">
        <v>1362</v>
      </c>
      <c r="B1035" t="s">
        <v>319</v>
      </c>
      <c r="C1035" t="s">
        <v>1359</v>
      </c>
      <c r="D1035" s="30">
        <v>0.38599537037037035</v>
      </c>
      <c r="E1035" t="s">
        <v>298</v>
      </c>
      <c r="F1035" t="s">
        <v>299</v>
      </c>
      <c r="G1035" t="s">
        <v>303</v>
      </c>
      <c r="H1035">
        <v>10</v>
      </c>
      <c r="I1035" s="30">
        <v>3.2754629629629631E-3</v>
      </c>
      <c r="J1035">
        <v>4</v>
      </c>
    </row>
    <row r="1036" spans="1:10" x14ac:dyDescent="0.35">
      <c r="A1036" t="s">
        <v>1363</v>
      </c>
      <c r="B1036" t="s">
        <v>323</v>
      </c>
      <c r="C1036" t="s">
        <v>1359</v>
      </c>
      <c r="D1036" s="30">
        <v>0.38799768518518518</v>
      </c>
      <c r="E1036" t="s">
        <v>298</v>
      </c>
      <c r="F1036" t="s">
        <v>299</v>
      </c>
      <c r="G1036" t="s">
        <v>299</v>
      </c>
      <c r="H1036">
        <v>60</v>
      </c>
      <c r="I1036" s="30">
        <v>3.7037037037037041E-4</v>
      </c>
      <c r="J1036">
        <v>3</v>
      </c>
    </row>
    <row r="1037" spans="1:10" x14ac:dyDescent="0.35">
      <c r="A1037" t="s">
        <v>1364</v>
      </c>
      <c r="B1037" t="s">
        <v>296</v>
      </c>
      <c r="C1037" t="s">
        <v>1359</v>
      </c>
      <c r="D1037" s="30">
        <v>0.38799768518518518</v>
      </c>
      <c r="E1037" t="s">
        <v>317</v>
      </c>
      <c r="F1037" t="s">
        <v>299</v>
      </c>
      <c r="G1037" t="s">
        <v>299</v>
      </c>
      <c r="H1037">
        <v>59</v>
      </c>
      <c r="I1037" s="30">
        <v>3.4953703703703705E-3</v>
      </c>
      <c r="J1037">
        <v>5</v>
      </c>
    </row>
    <row r="1038" spans="1:10" x14ac:dyDescent="0.35">
      <c r="A1038" t="s">
        <v>1365</v>
      </c>
      <c r="B1038" t="s">
        <v>305</v>
      </c>
      <c r="C1038" t="s">
        <v>1359</v>
      </c>
      <c r="D1038" s="30">
        <v>0.4</v>
      </c>
      <c r="E1038" t="s">
        <v>302</v>
      </c>
      <c r="F1038" t="s">
        <v>299</v>
      </c>
      <c r="G1038" t="s">
        <v>299</v>
      </c>
      <c r="H1038">
        <v>87</v>
      </c>
      <c r="I1038" s="30">
        <v>2.5810185185185185E-3</v>
      </c>
      <c r="J1038">
        <v>5</v>
      </c>
    </row>
    <row r="1039" spans="1:10" x14ac:dyDescent="0.35">
      <c r="A1039" t="s">
        <v>1366</v>
      </c>
      <c r="B1039" t="s">
        <v>323</v>
      </c>
      <c r="C1039" t="s">
        <v>1359</v>
      </c>
      <c r="D1039" s="30">
        <v>0.4</v>
      </c>
      <c r="E1039" t="s">
        <v>298</v>
      </c>
      <c r="F1039" t="s">
        <v>299</v>
      </c>
      <c r="G1039" t="s">
        <v>299</v>
      </c>
      <c r="H1039">
        <v>111</v>
      </c>
      <c r="I1039" s="30">
        <v>2.1527777777777778E-3</v>
      </c>
      <c r="J1039">
        <v>5</v>
      </c>
    </row>
    <row r="1040" spans="1:10" x14ac:dyDescent="0.35">
      <c r="A1040" t="s">
        <v>1367</v>
      </c>
      <c r="B1040" t="s">
        <v>319</v>
      </c>
      <c r="C1040" t="s">
        <v>1359</v>
      </c>
      <c r="D1040" s="30">
        <v>0.40599537037037037</v>
      </c>
      <c r="E1040" t="s">
        <v>298</v>
      </c>
      <c r="F1040" t="s">
        <v>303</v>
      </c>
      <c r="G1040" t="s">
        <v>303</v>
      </c>
    </row>
    <row r="1041" spans="1:10" x14ac:dyDescent="0.35">
      <c r="A1041" t="s">
        <v>1368</v>
      </c>
      <c r="B1041" t="s">
        <v>301</v>
      </c>
      <c r="C1041" t="s">
        <v>1359</v>
      </c>
      <c r="D1041" s="30">
        <v>0.40599537037037037</v>
      </c>
      <c r="E1041" t="s">
        <v>309</v>
      </c>
      <c r="F1041" t="s">
        <v>299</v>
      </c>
      <c r="G1041" t="s">
        <v>299</v>
      </c>
      <c r="H1041">
        <v>10</v>
      </c>
      <c r="I1041" s="30">
        <v>2.2106481481481482E-3</v>
      </c>
      <c r="J1041">
        <v>2</v>
      </c>
    </row>
    <row r="1042" spans="1:10" x14ac:dyDescent="0.35">
      <c r="A1042" t="s">
        <v>1369</v>
      </c>
      <c r="B1042" t="s">
        <v>319</v>
      </c>
      <c r="C1042" t="s">
        <v>1359</v>
      </c>
      <c r="D1042" s="30">
        <v>0.42599537037037039</v>
      </c>
      <c r="E1042" t="s">
        <v>302</v>
      </c>
      <c r="F1042" t="s">
        <v>303</v>
      </c>
      <c r="G1042" t="s">
        <v>303</v>
      </c>
    </row>
    <row r="1043" spans="1:10" x14ac:dyDescent="0.35">
      <c r="A1043" t="s">
        <v>1370</v>
      </c>
      <c r="B1043" t="s">
        <v>319</v>
      </c>
      <c r="C1043" t="s">
        <v>1359</v>
      </c>
      <c r="D1043" s="30">
        <v>0.42599537037037039</v>
      </c>
      <c r="E1043" t="s">
        <v>317</v>
      </c>
      <c r="F1043" t="s">
        <v>303</v>
      </c>
      <c r="G1043" t="s">
        <v>303</v>
      </c>
    </row>
    <row r="1044" spans="1:10" x14ac:dyDescent="0.35">
      <c r="A1044" t="s">
        <v>1371</v>
      </c>
      <c r="B1044" t="s">
        <v>307</v>
      </c>
      <c r="C1044" t="s">
        <v>1359</v>
      </c>
      <c r="D1044" s="30">
        <v>0.43</v>
      </c>
      <c r="E1044" t="s">
        <v>309</v>
      </c>
      <c r="F1044" t="s">
        <v>299</v>
      </c>
      <c r="G1044" t="s">
        <v>299</v>
      </c>
      <c r="H1044">
        <v>116</v>
      </c>
      <c r="I1044" s="30">
        <v>4.0277777777777777E-3</v>
      </c>
      <c r="J1044">
        <v>5</v>
      </c>
    </row>
    <row r="1045" spans="1:10" x14ac:dyDescent="0.35">
      <c r="A1045" t="s">
        <v>1372</v>
      </c>
      <c r="B1045" t="s">
        <v>296</v>
      </c>
      <c r="C1045" t="s">
        <v>1359</v>
      </c>
      <c r="D1045" s="30">
        <v>0.43</v>
      </c>
      <c r="E1045" t="s">
        <v>314</v>
      </c>
      <c r="F1045" t="s">
        <v>299</v>
      </c>
      <c r="G1045" t="s">
        <v>303</v>
      </c>
      <c r="H1045">
        <v>89</v>
      </c>
      <c r="I1045" s="30">
        <v>2.3148148148148147E-3</v>
      </c>
      <c r="J1045">
        <v>3</v>
      </c>
    </row>
    <row r="1046" spans="1:10" x14ac:dyDescent="0.35">
      <c r="A1046" t="s">
        <v>1373</v>
      </c>
      <c r="B1046" t="s">
        <v>301</v>
      </c>
      <c r="C1046" t="s">
        <v>1359</v>
      </c>
      <c r="D1046" s="30">
        <v>0.44</v>
      </c>
      <c r="E1046" t="s">
        <v>298</v>
      </c>
      <c r="F1046" t="s">
        <v>303</v>
      </c>
      <c r="G1046" t="s">
        <v>303</v>
      </c>
    </row>
    <row r="1047" spans="1:10" x14ac:dyDescent="0.35">
      <c r="A1047" t="s">
        <v>1374</v>
      </c>
      <c r="B1047" t="s">
        <v>319</v>
      </c>
      <c r="C1047" t="s">
        <v>1359</v>
      </c>
      <c r="D1047" s="30">
        <v>0.44</v>
      </c>
      <c r="E1047" t="s">
        <v>298</v>
      </c>
      <c r="F1047" t="s">
        <v>299</v>
      </c>
      <c r="G1047" t="s">
        <v>303</v>
      </c>
      <c r="H1047">
        <v>106</v>
      </c>
      <c r="I1047" s="30">
        <v>2.685185185185185E-3</v>
      </c>
      <c r="J1047">
        <v>4</v>
      </c>
    </row>
    <row r="1048" spans="1:10" x14ac:dyDescent="0.35">
      <c r="A1048" t="s">
        <v>1375</v>
      </c>
      <c r="B1048" t="s">
        <v>305</v>
      </c>
      <c r="C1048" t="s">
        <v>1359</v>
      </c>
      <c r="D1048" s="30">
        <v>0.45299768518518518</v>
      </c>
      <c r="E1048" t="s">
        <v>317</v>
      </c>
      <c r="F1048" t="s">
        <v>303</v>
      </c>
      <c r="G1048" t="s">
        <v>303</v>
      </c>
    </row>
    <row r="1049" spans="1:10" x14ac:dyDescent="0.35">
      <c r="A1049" t="s">
        <v>1376</v>
      </c>
      <c r="B1049" t="s">
        <v>323</v>
      </c>
      <c r="C1049" t="s">
        <v>1359</v>
      </c>
      <c r="D1049" s="30">
        <v>0.45299768518518518</v>
      </c>
      <c r="E1049" t="s">
        <v>317</v>
      </c>
      <c r="F1049" t="s">
        <v>299</v>
      </c>
      <c r="G1049" t="s">
        <v>299</v>
      </c>
      <c r="H1049">
        <v>81</v>
      </c>
      <c r="I1049" s="30">
        <v>1.0069444444444444E-3</v>
      </c>
      <c r="J1049">
        <v>4</v>
      </c>
    </row>
    <row r="1050" spans="1:10" x14ac:dyDescent="0.35">
      <c r="A1050" t="s">
        <v>1377</v>
      </c>
      <c r="B1050" t="s">
        <v>332</v>
      </c>
      <c r="C1050" t="s">
        <v>1359</v>
      </c>
      <c r="D1050" s="30">
        <v>0.47599537037037037</v>
      </c>
      <c r="E1050" t="s">
        <v>298</v>
      </c>
      <c r="F1050" t="s">
        <v>303</v>
      </c>
      <c r="G1050" t="s">
        <v>303</v>
      </c>
    </row>
    <row r="1051" spans="1:10" x14ac:dyDescent="0.35">
      <c r="A1051" t="s">
        <v>1378</v>
      </c>
      <c r="B1051" t="s">
        <v>316</v>
      </c>
      <c r="C1051" t="s">
        <v>1359</v>
      </c>
      <c r="D1051" s="30">
        <v>0.47599537037037037</v>
      </c>
      <c r="E1051" t="s">
        <v>314</v>
      </c>
      <c r="F1051" t="s">
        <v>299</v>
      </c>
      <c r="G1051" t="s">
        <v>299</v>
      </c>
      <c r="H1051">
        <v>96</v>
      </c>
      <c r="I1051" s="30">
        <v>3.9236111111111112E-3</v>
      </c>
      <c r="J1051">
        <v>5</v>
      </c>
    </row>
    <row r="1052" spans="1:10" x14ac:dyDescent="0.35">
      <c r="A1052" t="s">
        <v>1379</v>
      </c>
      <c r="B1052" t="s">
        <v>316</v>
      </c>
      <c r="C1052" t="s">
        <v>1359</v>
      </c>
      <c r="D1052" s="30">
        <v>0.48900462962962965</v>
      </c>
      <c r="E1052" t="s">
        <v>309</v>
      </c>
      <c r="F1052" t="s">
        <v>299</v>
      </c>
      <c r="G1052" t="s">
        <v>299</v>
      </c>
      <c r="H1052">
        <v>64</v>
      </c>
      <c r="I1052" s="30">
        <v>4.2361111111111115E-3</v>
      </c>
      <c r="J1052">
        <v>5</v>
      </c>
    </row>
    <row r="1053" spans="1:10" x14ac:dyDescent="0.35">
      <c r="A1053" t="s">
        <v>1380</v>
      </c>
      <c r="B1053" t="s">
        <v>316</v>
      </c>
      <c r="C1053" t="s">
        <v>1359</v>
      </c>
      <c r="D1053" s="30">
        <v>0.48900462962962965</v>
      </c>
      <c r="E1053" t="s">
        <v>298</v>
      </c>
      <c r="F1053" t="s">
        <v>299</v>
      </c>
      <c r="G1053" t="s">
        <v>303</v>
      </c>
      <c r="H1053">
        <v>79</v>
      </c>
      <c r="I1053" s="30">
        <v>4.7337962962962967E-3</v>
      </c>
      <c r="J1053">
        <v>1</v>
      </c>
    </row>
    <row r="1054" spans="1:10" x14ac:dyDescent="0.35">
      <c r="A1054" t="s">
        <v>1381</v>
      </c>
      <c r="B1054" t="s">
        <v>316</v>
      </c>
      <c r="C1054" t="s">
        <v>1359</v>
      </c>
      <c r="D1054" s="30">
        <v>0.49700231481481483</v>
      </c>
      <c r="E1054" t="s">
        <v>309</v>
      </c>
      <c r="F1054" t="s">
        <v>299</v>
      </c>
      <c r="G1054" t="s">
        <v>299</v>
      </c>
      <c r="H1054">
        <v>98</v>
      </c>
      <c r="I1054" s="30">
        <v>1.6550925925925926E-3</v>
      </c>
      <c r="J1054">
        <v>1</v>
      </c>
    </row>
    <row r="1055" spans="1:10" x14ac:dyDescent="0.35">
      <c r="A1055" t="s">
        <v>1382</v>
      </c>
      <c r="B1055" t="s">
        <v>319</v>
      </c>
      <c r="C1055" t="s">
        <v>1359</v>
      </c>
      <c r="D1055" s="30">
        <v>0.49700231481481483</v>
      </c>
      <c r="E1055" t="s">
        <v>314</v>
      </c>
      <c r="F1055" t="s">
        <v>299</v>
      </c>
      <c r="G1055" t="s">
        <v>299</v>
      </c>
      <c r="H1055">
        <v>91</v>
      </c>
      <c r="I1055" s="30">
        <v>2.7777777777777779E-3</v>
      </c>
      <c r="J1055">
        <v>5</v>
      </c>
    </row>
    <row r="1056" spans="1:10" x14ac:dyDescent="0.35">
      <c r="A1056" t="s">
        <v>1383</v>
      </c>
      <c r="B1056" t="s">
        <v>323</v>
      </c>
      <c r="C1056" t="s">
        <v>1359</v>
      </c>
      <c r="D1056" s="30">
        <v>0.52</v>
      </c>
      <c r="E1056" t="s">
        <v>317</v>
      </c>
      <c r="F1056" t="s">
        <v>303</v>
      </c>
      <c r="G1056" t="s">
        <v>303</v>
      </c>
    </row>
    <row r="1057" spans="1:10" x14ac:dyDescent="0.35">
      <c r="A1057" t="s">
        <v>1384</v>
      </c>
      <c r="B1057" t="s">
        <v>305</v>
      </c>
      <c r="C1057" t="s">
        <v>1359</v>
      </c>
      <c r="D1057" s="30">
        <v>0.52</v>
      </c>
      <c r="E1057" t="s">
        <v>298</v>
      </c>
      <c r="F1057" t="s">
        <v>299</v>
      </c>
      <c r="G1057" t="s">
        <v>299</v>
      </c>
      <c r="H1057">
        <v>84</v>
      </c>
      <c r="I1057" s="30">
        <v>4.6759259259259263E-3</v>
      </c>
      <c r="J1057">
        <v>2</v>
      </c>
    </row>
    <row r="1058" spans="1:10" x14ac:dyDescent="0.35">
      <c r="A1058" t="s">
        <v>1385</v>
      </c>
      <c r="B1058" t="s">
        <v>319</v>
      </c>
      <c r="C1058" t="s">
        <v>1359</v>
      </c>
      <c r="D1058" s="30">
        <v>0.52799768518518519</v>
      </c>
      <c r="E1058" t="s">
        <v>302</v>
      </c>
      <c r="F1058" t="s">
        <v>299</v>
      </c>
      <c r="G1058" t="s">
        <v>299</v>
      </c>
      <c r="H1058">
        <v>47</v>
      </c>
      <c r="I1058" s="30">
        <v>4.1435185185185186E-3</v>
      </c>
      <c r="J1058">
        <v>5</v>
      </c>
    </row>
    <row r="1059" spans="1:10" x14ac:dyDescent="0.35">
      <c r="A1059" t="s">
        <v>1386</v>
      </c>
      <c r="B1059" t="s">
        <v>323</v>
      </c>
      <c r="C1059" t="s">
        <v>1359</v>
      </c>
      <c r="D1059" s="30">
        <v>0.52799768518518519</v>
      </c>
      <c r="E1059" t="s">
        <v>309</v>
      </c>
      <c r="F1059" t="s">
        <v>299</v>
      </c>
      <c r="G1059" t="s">
        <v>299</v>
      </c>
      <c r="H1059">
        <v>42</v>
      </c>
      <c r="I1059" s="30">
        <v>1.4583333333333334E-3</v>
      </c>
      <c r="J1059">
        <v>5</v>
      </c>
    </row>
    <row r="1060" spans="1:10" x14ac:dyDescent="0.35">
      <c r="A1060" t="s">
        <v>1387</v>
      </c>
      <c r="B1060" t="s">
        <v>332</v>
      </c>
      <c r="C1060" t="s">
        <v>1359</v>
      </c>
      <c r="D1060" s="30">
        <v>0.54099537037037038</v>
      </c>
      <c r="E1060" t="s">
        <v>317</v>
      </c>
      <c r="F1060" t="s">
        <v>299</v>
      </c>
      <c r="G1060" t="s">
        <v>303</v>
      </c>
      <c r="H1060">
        <v>45</v>
      </c>
      <c r="I1060" s="30">
        <v>2.5925925925925925E-3</v>
      </c>
      <c r="J1060">
        <v>4</v>
      </c>
    </row>
    <row r="1061" spans="1:10" x14ac:dyDescent="0.35">
      <c r="A1061" t="s">
        <v>1388</v>
      </c>
      <c r="B1061" t="s">
        <v>332</v>
      </c>
      <c r="C1061" t="s">
        <v>1359</v>
      </c>
      <c r="D1061" s="30">
        <v>0.54099537037037038</v>
      </c>
      <c r="E1061" t="s">
        <v>302</v>
      </c>
      <c r="F1061" t="s">
        <v>303</v>
      </c>
      <c r="G1061" t="s">
        <v>303</v>
      </c>
    </row>
    <row r="1062" spans="1:10" x14ac:dyDescent="0.35">
      <c r="A1062" t="s">
        <v>1389</v>
      </c>
      <c r="B1062" t="s">
        <v>316</v>
      </c>
      <c r="C1062" t="s">
        <v>1359</v>
      </c>
      <c r="D1062" s="30">
        <v>0.55200231481481477</v>
      </c>
      <c r="E1062" t="s">
        <v>309</v>
      </c>
      <c r="F1062" t="s">
        <v>299</v>
      </c>
      <c r="G1062" t="s">
        <v>299</v>
      </c>
      <c r="H1062">
        <v>19</v>
      </c>
      <c r="I1062" s="30">
        <v>1.1111111111111111E-3</v>
      </c>
      <c r="J1062">
        <v>5</v>
      </c>
    </row>
    <row r="1063" spans="1:10" x14ac:dyDescent="0.35">
      <c r="A1063" t="s">
        <v>1390</v>
      </c>
      <c r="B1063" t="s">
        <v>307</v>
      </c>
      <c r="C1063" t="s">
        <v>1359</v>
      </c>
      <c r="D1063" s="30">
        <v>0.55200231481481477</v>
      </c>
      <c r="E1063" t="s">
        <v>298</v>
      </c>
      <c r="F1063" t="s">
        <v>299</v>
      </c>
      <c r="G1063" t="s">
        <v>299</v>
      </c>
      <c r="H1063">
        <v>114</v>
      </c>
      <c r="I1063" s="30">
        <v>9.837962962962962E-4</v>
      </c>
      <c r="J1063">
        <v>3</v>
      </c>
    </row>
    <row r="1064" spans="1:10" x14ac:dyDescent="0.35">
      <c r="A1064" t="s">
        <v>1391</v>
      </c>
      <c r="B1064" t="s">
        <v>316</v>
      </c>
      <c r="C1064" t="s">
        <v>1359</v>
      </c>
      <c r="D1064" s="30">
        <v>0.55700231481481477</v>
      </c>
      <c r="E1064" t="s">
        <v>314</v>
      </c>
      <c r="F1064" t="s">
        <v>299</v>
      </c>
      <c r="G1064" t="s">
        <v>299</v>
      </c>
      <c r="H1064">
        <v>94</v>
      </c>
      <c r="I1064" s="30">
        <v>6.5972222222222224E-4</v>
      </c>
      <c r="J1064">
        <v>5</v>
      </c>
    </row>
    <row r="1065" spans="1:10" x14ac:dyDescent="0.35">
      <c r="A1065" t="s">
        <v>1392</v>
      </c>
      <c r="B1065" t="s">
        <v>332</v>
      </c>
      <c r="C1065" t="s">
        <v>1359</v>
      </c>
      <c r="D1065" s="30">
        <v>0.55700231481481477</v>
      </c>
      <c r="E1065" t="s">
        <v>309</v>
      </c>
      <c r="F1065" t="s">
        <v>303</v>
      </c>
      <c r="G1065" t="s">
        <v>303</v>
      </c>
    </row>
    <row r="1066" spans="1:10" x14ac:dyDescent="0.35">
      <c r="A1066" t="s">
        <v>1393</v>
      </c>
      <c r="B1066" t="s">
        <v>296</v>
      </c>
      <c r="C1066" t="s">
        <v>1359</v>
      </c>
      <c r="D1066" s="30">
        <v>0.56000000000000005</v>
      </c>
      <c r="E1066" t="s">
        <v>317</v>
      </c>
      <c r="F1066" t="s">
        <v>299</v>
      </c>
      <c r="G1066" t="s">
        <v>299</v>
      </c>
      <c r="H1066">
        <v>99</v>
      </c>
      <c r="I1066" s="30">
        <v>1.5740740740740741E-3</v>
      </c>
      <c r="J1066">
        <v>5</v>
      </c>
    </row>
    <row r="1067" spans="1:10" x14ac:dyDescent="0.35">
      <c r="A1067" t="s">
        <v>1394</v>
      </c>
      <c r="B1067" t="s">
        <v>296</v>
      </c>
      <c r="C1067" t="s">
        <v>1359</v>
      </c>
      <c r="D1067" s="30">
        <v>0.56000000000000005</v>
      </c>
      <c r="E1067" t="s">
        <v>317</v>
      </c>
      <c r="F1067" t="s">
        <v>299</v>
      </c>
      <c r="G1067" t="s">
        <v>299</v>
      </c>
      <c r="H1067">
        <v>23</v>
      </c>
      <c r="I1067" s="30">
        <v>3.1481481481481482E-3</v>
      </c>
      <c r="J1067">
        <v>4</v>
      </c>
    </row>
    <row r="1068" spans="1:10" x14ac:dyDescent="0.35">
      <c r="A1068" t="s">
        <v>1395</v>
      </c>
      <c r="B1068" t="s">
        <v>307</v>
      </c>
      <c r="C1068" t="s">
        <v>1359</v>
      </c>
      <c r="D1068" s="30">
        <v>0.56700231481481478</v>
      </c>
      <c r="E1068" t="s">
        <v>302</v>
      </c>
      <c r="F1068" t="s">
        <v>303</v>
      </c>
      <c r="G1068" t="s">
        <v>303</v>
      </c>
    </row>
    <row r="1069" spans="1:10" x14ac:dyDescent="0.35">
      <c r="A1069" t="s">
        <v>1396</v>
      </c>
      <c r="B1069" t="s">
        <v>332</v>
      </c>
      <c r="C1069" t="s">
        <v>1359</v>
      </c>
      <c r="D1069" s="30">
        <v>0.56700231481481478</v>
      </c>
      <c r="E1069" t="s">
        <v>314</v>
      </c>
      <c r="F1069" t="s">
        <v>299</v>
      </c>
      <c r="G1069" t="s">
        <v>299</v>
      </c>
      <c r="H1069">
        <v>80</v>
      </c>
      <c r="I1069" s="30">
        <v>3.3796296296296296E-3</v>
      </c>
      <c r="J1069">
        <v>5</v>
      </c>
    </row>
    <row r="1070" spans="1:10" x14ac:dyDescent="0.35">
      <c r="A1070" t="s">
        <v>1397</v>
      </c>
      <c r="B1070" t="s">
        <v>305</v>
      </c>
      <c r="C1070" t="s">
        <v>1359</v>
      </c>
      <c r="D1070" s="30">
        <v>0.56799768518518523</v>
      </c>
      <c r="E1070" t="s">
        <v>309</v>
      </c>
      <c r="F1070" t="s">
        <v>299</v>
      </c>
      <c r="G1070" t="s">
        <v>299</v>
      </c>
      <c r="H1070">
        <v>18</v>
      </c>
      <c r="I1070" s="30">
        <v>3.6921296296296298E-3</v>
      </c>
      <c r="J1070">
        <v>3</v>
      </c>
    </row>
    <row r="1071" spans="1:10" x14ac:dyDescent="0.35">
      <c r="A1071" t="s">
        <v>1398</v>
      </c>
      <c r="B1071" t="s">
        <v>296</v>
      </c>
      <c r="C1071" t="s">
        <v>1359</v>
      </c>
      <c r="D1071" s="30">
        <v>0.56799768518518523</v>
      </c>
      <c r="E1071" t="s">
        <v>298</v>
      </c>
      <c r="F1071" t="s">
        <v>303</v>
      </c>
      <c r="G1071" t="s">
        <v>303</v>
      </c>
    </row>
    <row r="1072" spans="1:10" x14ac:dyDescent="0.35">
      <c r="A1072" t="s">
        <v>1399</v>
      </c>
      <c r="B1072" t="s">
        <v>323</v>
      </c>
      <c r="C1072" t="s">
        <v>1359</v>
      </c>
      <c r="D1072" s="30">
        <v>0.57299768518518523</v>
      </c>
      <c r="E1072" t="s">
        <v>309</v>
      </c>
      <c r="F1072" t="s">
        <v>299</v>
      </c>
      <c r="G1072" t="s">
        <v>299</v>
      </c>
      <c r="H1072">
        <v>104</v>
      </c>
      <c r="I1072" s="30">
        <v>2.4652777777777776E-3</v>
      </c>
      <c r="J1072">
        <v>4</v>
      </c>
    </row>
    <row r="1073" spans="1:10" x14ac:dyDescent="0.35">
      <c r="A1073" t="s">
        <v>1400</v>
      </c>
      <c r="B1073" t="s">
        <v>323</v>
      </c>
      <c r="C1073" t="s">
        <v>1359</v>
      </c>
      <c r="D1073" s="30">
        <v>0.57299768518518523</v>
      </c>
      <c r="E1073" t="s">
        <v>309</v>
      </c>
      <c r="F1073" t="s">
        <v>299</v>
      </c>
      <c r="G1073" t="s">
        <v>299</v>
      </c>
      <c r="H1073">
        <v>116</v>
      </c>
      <c r="I1073" s="30">
        <v>3.9930555555555552E-3</v>
      </c>
      <c r="J1073">
        <v>3</v>
      </c>
    </row>
    <row r="1074" spans="1:10" x14ac:dyDescent="0.35">
      <c r="A1074" t="s">
        <v>1401</v>
      </c>
      <c r="B1074" t="s">
        <v>305</v>
      </c>
      <c r="C1074" t="s">
        <v>1359</v>
      </c>
      <c r="D1074" s="30">
        <v>0.59900462962962964</v>
      </c>
      <c r="E1074" t="s">
        <v>317</v>
      </c>
      <c r="F1074" t="s">
        <v>299</v>
      </c>
      <c r="G1074" t="s">
        <v>299</v>
      </c>
      <c r="H1074">
        <v>44</v>
      </c>
      <c r="I1074" s="30">
        <v>4.2708333333333331E-3</v>
      </c>
      <c r="J1074">
        <v>5</v>
      </c>
    </row>
    <row r="1075" spans="1:10" x14ac:dyDescent="0.35">
      <c r="A1075" t="s">
        <v>1402</v>
      </c>
      <c r="B1075" t="s">
        <v>319</v>
      </c>
      <c r="C1075" t="s">
        <v>1359</v>
      </c>
      <c r="D1075" s="30">
        <v>0.59900462962962964</v>
      </c>
      <c r="E1075" t="s">
        <v>309</v>
      </c>
      <c r="F1075" t="s">
        <v>299</v>
      </c>
      <c r="G1075" t="s">
        <v>299</v>
      </c>
      <c r="H1075">
        <v>91</v>
      </c>
      <c r="I1075" s="30">
        <v>4.6643518518518518E-3</v>
      </c>
      <c r="J1075">
        <v>4</v>
      </c>
    </row>
    <row r="1076" spans="1:10" x14ac:dyDescent="0.35">
      <c r="A1076" t="s">
        <v>1403</v>
      </c>
      <c r="B1076" t="s">
        <v>307</v>
      </c>
      <c r="C1076" t="s">
        <v>1359</v>
      </c>
      <c r="D1076" s="30">
        <v>0.625</v>
      </c>
      <c r="E1076" t="s">
        <v>298</v>
      </c>
      <c r="F1076" t="s">
        <v>303</v>
      </c>
      <c r="G1076" t="s">
        <v>303</v>
      </c>
    </row>
    <row r="1077" spans="1:10" x14ac:dyDescent="0.35">
      <c r="A1077" t="s">
        <v>1404</v>
      </c>
      <c r="B1077" t="s">
        <v>323</v>
      </c>
      <c r="C1077" t="s">
        <v>1359</v>
      </c>
      <c r="D1077" s="30">
        <v>0.625</v>
      </c>
      <c r="E1077" t="s">
        <v>302</v>
      </c>
      <c r="F1077" t="s">
        <v>299</v>
      </c>
      <c r="G1077" t="s">
        <v>299</v>
      </c>
      <c r="H1077">
        <v>122</v>
      </c>
      <c r="I1077" s="30">
        <v>2.9513888888888888E-3</v>
      </c>
      <c r="J1077">
        <v>3</v>
      </c>
    </row>
    <row r="1078" spans="1:10" x14ac:dyDescent="0.35">
      <c r="A1078" t="s">
        <v>1405</v>
      </c>
      <c r="B1078" t="s">
        <v>301</v>
      </c>
      <c r="C1078" t="s">
        <v>1359</v>
      </c>
      <c r="D1078" s="30">
        <v>0.64599537037037036</v>
      </c>
      <c r="E1078" t="s">
        <v>317</v>
      </c>
      <c r="F1078" t="s">
        <v>299</v>
      </c>
      <c r="G1078" t="s">
        <v>299</v>
      </c>
      <c r="H1078">
        <v>103</v>
      </c>
      <c r="I1078" s="30">
        <v>1.9560185185185184E-3</v>
      </c>
      <c r="J1078">
        <v>3</v>
      </c>
    </row>
    <row r="1079" spans="1:10" x14ac:dyDescent="0.35">
      <c r="A1079" t="s">
        <v>1406</v>
      </c>
      <c r="B1079" t="s">
        <v>301</v>
      </c>
      <c r="C1079" t="s">
        <v>1359</v>
      </c>
      <c r="D1079" s="30">
        <v>0.64599537037037036</v>
      </c>
      <c r="E1079" t="s">
        <v>302</v>
      </c>
      <c r="F1079" t="s">
        <v>299</v>
      </c>
      <c r="G1079" t="s">
        <v>299</v>
      </c>
      <c r="H1079">
        <v>18</v>
      </c>
      <c r="I1079" s="30">
        <v>1.4004629629629629E-3</v>
      </c>
      <c r="J1079">
        <v>5</v>
      </c>
    </row>
    <row r="1080" spans="1:10" x14ac:dyDescent="0.35">
      <c r="A1080" t="s">
        <v>1407</v>
      </c>
      <c r="B1080" t="s">
        <v>316</v>
      </c>
      <c r="C1080" t="s">
        <v>1359</v>
      </c>
      <c r="D1080" s="30">
        <v>0.64900462962962968</v>
      </c>
      <c r="E1080" t="s">
        <v>298</v>
      </c>
      <c r="F1080" t="s">
        <v>299</v>
      </c>
      <c r="G1080" t="s">
        <v>299</v>
      </c>
      <c r="H1080">
        <v>20</v>
      </c>
      <c r="I1080" s="30">
        <v>1.7013888888888888E-3</v>
      </c>
      <c r="J1080">
        <v>4</v>
      </c>
    </row>
    <row r="1081" spans="1:10" x14ac:dyDescent="0.35">
      <c r="A1081" t="s">
        <v>1408</v>
      </c>
      <c r="B1081" t="s">
        <v>307</v>
      </c>
      <c r="C1081" t="s">
        <v>1359</v>
      </c>
      <c r="D1081" s="30">
        <v>0.64900462962962968</v>
      </c>
      <c r="E1081" t="s">
        <v>309</v>
      </c>
      <c r="F1081" t="s">
        <v>299</v>
      </c>
      <c r="G1081" t="s">
        <v>299</v>
      </c>
      <c r="H1081">
        <v>93</v>
      </c>
      <c r="I1081" s="30">
        <v>1.1689814814814816E-3</v>
      </c>
      <c r="J1081">
        <v>2</v>
      </c>
    </row>
    <row r="1082" spans="1:10" x14ac:dyDescent="0.35">
      <c r="A1082" t="s">
        <v>1409</v>
      </c>
      <c r="B1082" t="s">
        <v>301</v>
      </c>
      <c r="C1082" t="s">
        <v>1359</v>
      </c>
      <c r="D1082" s="30">
        <v>0.6629976851851852</v>
      </c>
      <c r="E1082" t="s">
        <v>314</v>
      </c>
      <c r="F1082" t="s">
        <v>303</v>
      </c>
      <c r="G1082" t="s">
        <v>303</v>
      </c>
    </row>
    <row r="1083" spans="1:10" x14ac:dyDescent="0.35">
      <c r="A1083" t="s">
        <v>1410</v>
      </c>
      <c r="B1083" t="s">
        <v>319</v>
      </c>
      <c r="C1083" t="s">
        <v>1359</v>
      </c>
      <c r="D1083" s="30">
        <v>0.6629976851851852</v>
      </c>
      <c r="E1083" t="s">
        <v>302</v>
      </c>
      <c r="F1083" t="s">
        <v>299</v>
      </c>
      <c r="G1083" t="s">
        <v>299</v>
      </c>
      <c r="H1083">
        <v>63</v>
      </c>
      <c r="I1083" s="30">
        <v>3.0092592592592593E-3</v>
      </c>
      <c r="J1083">
        <v>4</v>
      </c>
    </row>
    <row r="1084" spans="1:10" x14ac:dyDescent="0.35">
      <c r="A1084" t="s">
        <v>1411</v>
      </c>
      <c r="B1084" t="s">
        <v>307</v>
      </c>
      <c r="C1084" t="s">
        <v>1359</v>
      </c>
      <c r="D1084" s="30">
        <v>0.67299768518518521</v>
      </c>
      <c r="E1084" t="s">
        <v>298</v>
      </c>
      <c r="F1084" t="s">
        <v>299</v>
      </c>
      <c r="G1084" t="s">
        <v>299</v>
      </c>
      <c r="H1084">
        <v>90</v>
      </c>
      <c r="I1084" s="30">
        <v>4.5370370370370373E-3</v>
      </c>
      <c r="J1084">
        <v>4</v>
      </c>
    </row>
    <row r="1085" spans="1:10" x14ac:dyDescent="0.35">
      <c r="A1085" t="s">
        <v>1412</v>
      </c>
      <c r="B1085" t="s">
        <v>332</v>
      </c>
      <c r="C1085" t="s">
        <v>1359</v>
      </c>
      <c r="D1085" s="30">
        <v>0.67299768518518521</v>
      </c>
      <c r="E1085" t="s">
        <v>298</v>
      </c>
      <c r="F1085" t="s">
        <v>299</v>
      </c>
      <c r="G1085" t="s">
        <v>299</v>
      </c>
      <c r="H1085">
        <v>43</v>
      </c>
      <c r="I1085" s="30">
        <v>2.7777777777777779E-3</v>
      </c>
      <c r="J1085">
        <v>4</v>
      </c>
    </row>
    <row r="1086" spans="1:10" x14ac:dyDescent="0.35">
      <c r="A1086" t="s">
        <v>1413</v>
      </c>
      <c r="B1086" t="s">
        <v>316</v>
      </c>
      <c r="C1086" t="s">
        <v>1359</v>
      </c>
      <c r="D1086" s="30">
        <v>0.69499999999999995</v>
      </c>
      <c r="E1086" t="s">
        <v>298</v>
      </c>
      <c r="F1086" t="s">
        <v>299</v>
      </c>
      <c r="G1086" t="s">
        <v>303</v>
      </c>
      <c r="H1086">
        <v>105</v>
      </c>
      <c r="I1086" s="30">
        <v>1.2731481481481483E-3</v>
      </c>
      <c r="J1086">
        <v>4</v>
      </c>
    </row>
    <row r="1087" spans="1:10" x14ac:dyDescent="0.35">
      <c r="A1087" t="s">
        <v>1414</v>
      </c>
      <c r="B1087" t="s">
        <v>319</v>
      </c>
      <c r="C1087" t="s">
        <v>1359</v>
      </c>
      <c r="D1087" s="30">
        <v>0.69499999999999995</v>
      </c>
      <c r="E1087" t="s">
        <v>298</v>
      </c>
      <c r="F1087" t="s">
        <v>299</v>
      </c>
      <c r="G1087" t="s">
        <v>299</v>
      </c>
      <c r="H1087">
        <v>59</v>
      </c>
      <c r="I1087" s="30">
        <v>3.5879629629629629E-3</v>
      </c>
      <c r="J1087">
        <v>5</v>
      </c>
    </row>
    <row r="1088" spans="1:10" x14ac:dyDescent="0.35">
      <c r="A1088" t="s">
        <v>1415</v>
      </c>
      <c r="B1088" t="s">
        <v>319</v>
      </c>
      <c r="C1088" t="s">
        <v>1359</v>
      </c>
      <c r="D1088" s="30">
        <v>0.70599537037037041</v>
      </c>
      <c r="E1088" t="s">
        <v>314</v>
      </c>
      <c r="F1088" t="s">
        <v>299</v>
      </c>
      <c r="G1088" t="s">
        <v>299</v>
      </c>
      <c r="H1088">
        <v>115</v>
      </c>
      <c r="I1088" s="30">
        <v>4.7106481481481478E-3</v>
      </c>
      <c r="J1088">
        <v>4</v>
      </c>
    </row>
    <row r="1089" spans="1:10" x14ac:dyDescent="0.35">
      <c r="A1089" t="s">
        <v>1416</v>
      </c>
      <c r="B1089" t="s">
        <v>332</v>
      </c>
      <c r="C1089" t="s">
        <v>1359</v>
      </c>
      <c r="D1089" s="30">
        <v>0.70599537037037041</v>
      </c>
      <c r="E1089" t="s">
        <v>309</v>
      </c>
      <c r="F1089" t="s">
        <v>299</v>
      </c>
      <c r="G1089" t="s">
        <v>299</v>
      </c>
      <c r="H1089">
        <v>106</v>
      </c>
      <c r="I1089" s="30">
        <v>1.2847222222222223E-3</v>
      </c>
      <c r="J1089">
        <v>4</v>
      </c>
    </row>
    <row r="1090" spans="1:10" x14ac:dyDescent="0.35">
      <c r="A1090" t="s">
        <v>1417</v>
      </c>
      <c r="B1090" t="s">
        <v>301</v>
      </c>
      <c r="C1090" t="s">
        <v>1359</v>
      </c>
      <c r="D1090" s="30">
        <v>0.71900462962962963</v>
      </c>
      <c r="E1090" t="s">
        <v>317</v>
      </c>
      <c r="F1090" t="s">
        <v>299</v>
      </c>
      <c r="G1090" t="s">
        <v>299</v>
      </c>
      <c r="H1090">
        <v>35</v>
      </c>
      <c r="I1090" s="30">
        <v>6.8287037037037036E-4</v>
      </c>
      <c r="J1090">
        <v>3</v>
      </c>
    </row>
    <row r="1091" spans="1:10" x14ac:dyDescent="0.35">
      <c r="A1091" t="s">
        <v>1418</v>
      </c>
      <c r="B1091" t="s">
        <v>296</v>
      </c>
      <c r="C1091" t="s">
        <v>1359</v>
      </c>
      <c r="D1091" s="30">
        <v>0.71900462962962963</v>
      </c>
      <c r="E1091" t="s">
        <v>298</v>
      </c>
      <c r="F1091" t="s">
        <v>299</v>
      </c>
      <c r="G1091" t="s">
        <v>299</v>
      </c>
      <c r="H1091">
        <v>48</v>
      </c>
      <c r="I1091" s="30">
        <v>4.5717592592592589E-3</v>
      </c>
      <c r="J1091">
        <v>4</v>
      </c>
    </row>
    <row r="1092" spans="1:10" x14ac:dyDescent="0.35">
      <c r="A1092" t="s">
        <v>1419</v>
      </c>
      <c r="B1092" t="s">
        <v>316</v>
      </c>
      <c r="C1092" t="s">
        <v>1359</v>
      </c>
      <c r="D1092" s="30">
        <v>0.72499999999999998</v>
      </c>
      <c r="E1092" t="s">
        <v>298</v>
      </c>
      <c r="F1092" t="s">
        <v>303</v>
      </c>
      <c r="G1092" t="s">
        <v>303</v>
      </c>
    </row>
    <row r="1093" spans="1:10" x14ac:dyDescent="0.35">
      <c r="A1093" t="s">
        <v>1420</v>
      </c>
      <c r="B1093" t="s">
        <v>316</v>
      </c>
      <c r="C1093" t="s">
        <v>1359</v>
      </c>
      <c r="D1093" s="30">
        <v>0.72499999999999998</v>
      </c>
      <c r="E1093" t="s">
        <v>302</v>
      </c>
      <c r="F1093" t="s">
        <v>299</v>
      </c>
      <c r="G1093" t="s">
        <v>299</v>
      </c>
      <c r="H1093">
        <v>56</v>
      </c>
      <c r="I1093" s="30">
        <v>4.6064814814814814E-3</v>
      </c>
      <c r="J1093">
        <v>4</v>
      </c>
    </row>
    <row r="1094" spans="1:10" x14ac:dyDescent="0.35">
      <c r="A1094" t="s">
        <v>1421</v>
      </c>
      <c r="B1094" t="s">
        <v>305</v>
      </c>
      <c r="C1094" t="s">
        <v>1422</v>
      </c>
      <c r="D1094" s="30">
        <v>0.37900462962962961</v>
      </c>
      <c r="E1094" t="s">
        <v>302</v>
      </c>
      <c r="F1094" t="s">
        <v>303</v>
      </c>
      <c r="G1094" t="s">
        <v>303</v>
      </c>
    </row>
    <row r="1095" spans="1:10" x14ac:dyDescent="0.35">
      <c r="A1095" t="s">
        <v>1423</v>
      </c>
      <c r="B1095" t="s">
        <v>305</v>
      </c>
      <c r="C1095" t="s">
        <v>1422</v>
      </c>
      <c r="D1095" s="30">
        <v>0.37900462962962961</v>
      </c>
      <c r="E1095" t="s">
        <v>314</v>
      </c>
      <c r="F1095" t="s">
        <v>299</v>
      </c>
      <c r="G1095" t="s">
        <v>299</v>
      </c>
      <c r="H1095">
        <v>99</v>
      </c>
      <c r="I1095" s="30">
        <v>3.2291666666666666E-3</v>
      </c>
      <c r="J1095">
        <v>4</v>
      </c>
    </row>
    <row r="1096" spans="1:10" x14ac:dyDescent="0.35">
      <c r="A1096" t="s">
        <v>1424</v>
      </c>
      <c r="B1096" t="s">
        <v>319</v>
      </c>
      <c r="C1096" t="s">
        <v>1422</v>
      </c>
      <c r="D1096" s="30">
        <v>0.4070023148148148</v>
      </c>
      <c r="E1096" t="s">
        <v>314</v>
      </c>
      <c r="F1096" t="s">
        <v>299</v>
      </c>
      <c r="G1096" t="s">
        <v>299</v>
      </c>
      <c r="H1096">
        <v>71</v>
      </c>
      <c r="I1096" s="30">
        <v>1.8634259259259259E-3</v>
      </c>
      <c r="J1096">
        <v>3</v>
      </c>
    </row>
    <row r="1097" spans="1:10" x14ac:dyDescent="0.35">
      <c r="A1097" t="s">
        <v>1425</v>
      </c>
      <c r="B1097" t="s">
        <v>305</v>
      </c>
      <c r="C1097" t="s">
        <v>1422</v>
      </c>
      <c r="D1097" s="30">
        <v>0.4070023148148148</v>
      </c>
      <c r="E1097" t="s">
        <v>309</v>
      </c>
      <c r="F1097" t="s">
        <v>299</v>
      </c>
      <c r="G1097" t="s">
        <v>299</v>
      </c>
      <c r="H1097">
        <v>54</v>
      </c>
      <c r="I1097" s="30">
        <v>3.0555555555555557E-3</v>
      </c>
      <c r="J1097">
        <v>4</v>
      </c>
    </row>
    <row r="1098" spans="1:10" x14ac:dyDescent="0.35">
      <c r="A1098" t="s">
        <v>1426</v>
      </c>
      <c r="B1098" t="s">
        <v>307</v>
      </c>
      <c r="C1098" t="s">
        <v>1422</v>
      </c>
      <c r="D1098" s="30">
        <v>0.4070023148148148</v>
      </c>
      <c r="E1098" t="s">
        <v>314</v>
      </c>
      <c r="F1098" t="s">
        <v>303</v>
      </c>
      <c r="G1098" t="s">
        <v>303</v>
      </c>
    </row>
    <row r="1099" spans="1:10" x14ac:dyDescent="0.35">
      <c r="A1099" t="s">
        <v>1427</v>
      </c>
      <c r="B1099" t="s">
        <v>332</v>
      </c>
      <c r="C1099" t="s">
        <v>1422</v>
      </c>
      <c r="D1099" s="30">
        <v>0.4070023148148148</v>
      </c>
      <c r="E1099" t="s">
        <v>309</v>
      </c>
      <c r="F1099" t="s">
        <v>303</v>
      </c>
      <c r="G1099" t="s">
        <v>303</v>
      </c>
    </row>
    <row r="1100" spans="1:10" x14ac:dyDescent="0.35">
      <c r="A1100" t="s">
        <v>1428</v>
      </c>
      <c r="B1100" t="s">
        <v>316</v>
      </c>
      <c r="C1100" t="s">
        <v>1422</v>
      </c>
      <c r="D1100" s="30">
        <v>0.4070023148148148</v>
      </c>
      <c r="E1100" t="s">
        <v>317</v>
      </c>
      <c r="F1100" t="s">
        <v>299</v>
      </c>
      <c r="G1100" t="s">
        <v>299</v>
      </c>
      <c r="H1100">
        <v>54</v>
      </c>
      <c r="I1100" s="30">
        <v>9.9537037037037042E-4</v>
      </c>
      <c r="J1100">
        <v>4</v>
      </c>
    </row>
    <row r="1101" spans="1:10" x14ac:dyDescent="0.35">
      <c r="A1101" t="s">
        <v>1429</v>
      </c>
      <c r="B1101" t="s">
        <v>319</v>
      </c>
      <c r="C1101" t="s">
        <v>1422</v>
      </c>
      <c r="D1101" s="30">
        <v>0.4070023148148148</v>
      </c>
      <c r="E1101" t="s">
        <v>302</v>
      </c>
      <c r="F1101" t="s">
        <v>299</v>
      </c>
      <c r="G1101" t="s">
        <v>299</v>
      </c>
      <c r="H1101">
        <v>62</v>
      </c>
      <c r="I1101" s="30">
        <v>1.261574074074074E-3</v>
      </c>
      <c r="J1101">
        <v>2</v>
      </c>
    </row>
    <row r="1102" spans="1:10" x14ac:dyDescent="0.35">
      <c r="A1102" t="s">
        <v>1430</v>
      </c>
      <c r="B1102" t="s">
        <v>305</v>
      </c>
      <c r="C1102" t="s">
        <v>1422</v>
      </c>
      <c r="D1102" s="30">
        <v>0.43200231481481483</v>
      </c>
      <c r="E1102" t="s">
        <v>309</v>
      </c>
      <c r="F1102" t="s">
        <v>299</v>
      </c>
      <c r="G1102" t="s">
        <v>299</v>
      </c>
      <c r="H1102">
        <v>24</v>
      </c>
      <c r="I1102" s="30">
        <v>2.8703703703703703E-3</v>
      </c>
      <c r="J1102">
        <v>4</v>
      </c>
    </row>
    <row r="1103" spans="1:10" x14ac:dyDescent="0.35">
      <c r="A1103" t="s">
        <v>1431</v>
      </c>
      <c r="B1103" t="s">
        <v>316</v>
      </c>
      <c r="C1103" t="s">
        <v>1422</v>
      </c>
      <c r="D1103" s="30">
        <v>0.43200231481481483</v>
      </c>
      <c r="E1103" t="s">
        <v>314</v>
      </c>
      <c r="F1103" t="s">
        <v>299</v>
      </c>
      <c r="G1103" t="s">
        <v>299</v>
      </c>
      <c r="H1103">
        <v>94</v>
      </c>
      <c r="I1103" s="30">
        <v>2.8935185185185184E-3</v>
      </c>
      <c r="J1103">
        <v>5</v>
      </c>
    </row>
    <row r="1104" spans="1:10" x14ac:dyDescent="0.35">
      <c r="A1104" t="s">
        <v>1432</v>
      </c>
      <c r="B1104" t="s">
        <v>301</v>
      </c>
      <c r="C1104" t="s">
        <v>1422</v>
      </c>
      <c r="D1104" s="30">
        <v>0.47499999999999998</v>
      </c>
      <c r="E1104" t="s">
        <v>309</v>
      </c>
      <c r="F1104" t="s">
        <v>299</v>
      </c>
      <c r="G1104" t="s">
        <v>299</v>
      </c>
      <c r="H1104">
        <v>43</v>
      </c>
      <c r="I1104" s="30">
        <v>6.4814814814814813E-4</v>
      </c>
      <c r="J1104">
        <v>3</v>
      </c>
    </row>
    <row r="1105" spans="1:10" x14ac:dyDescent="0.35">
      <c r="A1105" t="s">
        <v>1433</v>
      </c>
      <c r="B1105" t="s">
        <v>323</v>
      </c>
      <c r="C1105" t="s">
        <v>1422</v>
      </c>
      <c r="D1105" s="30">
        <v>0.47499999999999998</v>
      </c>
      <c r="E1105" t="s">
        <v>317</v>
      </c>
      <c r="F1105" t="s">
        <v>303</v>
      </c>
      <c r="G1105" t="s">
        <v>303</v>
      </c>
    </row>
    <row r="1106" spans="1:10" x14ac:dyDescent="0.35">
      <c r="A1106" t="s">
        <v>1434</v>
      </c>
      <c r="B1106" t="s">
        <v>319</v>
      </c>
      <c r="C1106" t="s">
        <v>1422</v>
      </c>
      <c r="D1106" s="30">
        <v>0.5</v>
      </c>
      <c r="E1106" t="s">
        <v>317</v>
      </c>
      <c r="F1106" t="s">
        <v>299</v>
      </c>
      <c r="G1106" t="s">
        <v>299</v>
      </c>
      <c r="H1106">
        <v>58</v>
      </c>
      <c r="I1106" s="30">
        <v>2.9398148148148148E-3</v>
      </c>
      <c r="J1106">
        <v>5</v>
      </c>
    </row>
    <row r="1107" spans="1:10" x14ac:dyDescent="0.35">
      <c r="A1107" t="s">
        <v>1435</v>
      </c>
      <c r="B1107" t="s">
        <v>307</v>
      </c>
      <c r="C1107" t="s">
        <v>1422</v>
      </c>
      <c r="D1107" s="30">
        <v>0.5</v>
      </c>
      <c r="E1107" t="s">
        <v>309</v>
      </c>
      <c r="F1107" t="s">
        <v>299</v>
      </c>
      <c r="G1107" t="s">
        <v>299</v>
      </c>
      <c r="H1107">
        <v>15</v>
      </c>
      <c r="I1107" s="30">
        <v>4.5717592592592589E-3</v>
      </c>
      <c r="J1107">
        <v>1</v>
      </c>
    </row>
    <row r="1108" spans="1:10" x14ac:dyDescent="0.35">
      <c r="A1108" t="s">
        <v>1436</v>
      </c>
      <c r="B1108" t="s">
        <v>301</v>
      </c>
      <c r="C1108" t="s">
        <v>1422</v>
      </c>
      <c r="D1108" s="30">
        <v>0.505</v>
      </c>
      <c r="E1108" t="s">
        <v>298</v>
      </c>
      <c r="F1108" t="s">
        <v>299</v>
      </c>
      <c r="G1108" t="s">
        <v>299</v>
      </c>
      <c r="H1108">
        <v>102</v>
      </c>
      <c r="I1108" s="30">
        <v>8.7962962962962962E-4</v>
      </c>
      <c r="J1108">
        <v>1</v>
      </c>
    </row>
    <row r="1109" spans="1:10" x14ac:dyDescent="0.35">
      <c r="A1109" t="s">
        <v>1437</v>
      </c>
      <c r="B1109" t="s">
        <v>307</v>
      </c>
      <c r="C1109" t="s">
        <v>1422</v>
      </c>
      <c r="D1109" s="30">
        <v>0.505</v>
      </c>
      <c r="E1109" t="s">
        <v>298</v>
      </c>
      <c r="F1109" t="s">
        <v>299</v>
      </c>
      <c r="G1109" t="s">
        <v>299</v>
      </c>
      <c r="H1109">
        <v>40</v>
      </c>
      <c r="I1109" s="30">
        <v>3.7268518518518519E-3</v>
      </c>
      <c r="J1109">
        <v>2</v>
      </c>
    </row>
    <row r="1110" spans="1:10" x14ac:dyDescent="0.35">
      <c r="A1110" t="s">
        <v>1438</v>
      </c>
      <c r="B1110" t="s">
        <v>296</v>
      </c>
      <c r="C1110" t="s">
        <v>1422</v>
      </c>
      <c r="D1110" s="30">
        <v>0.51900462962962968</v>
      </c>
      <c r="E1110" t="s">
        <v>302</v>
      </c>
      <c r="F1110" t="s">
        <v>299</v>
      </c>
      <c r="G1110" t="s">
        <v>299</v>
      </c>
      <c r="H1110">
        <v>63</v>
      </c>
      <c r="I1110" s="30">
        <v>3.3564814814814816E-3</v>
      </c>
      <c r="J1110">
        <v>2</v>
      </c>
    </row>
    <row r="1111" spans="1:10" x14ac:dyDescent="0.35">
      <c r="A1111" t="s">
        <v>1439</v>
      </c>
      <c r="B1111" t="s">
        <v>323</v>
      </c>
      <c r="C1111" t="s">
        <v>1422</v>
      </c>
      <c r="D1111" s="30">
        <v>0.51900462962962968</v>
      </c>
      <c r="E1111" t="s">
        <v>317</v>
      </c>
      <c r="F1111" t="s">
        <v>299</v>
      </c>
      <c r="G1111" t="s">
        <v>299</v>
      </c>
      <c r="H1111">
        <v>77</v>
      </c>
      <c r="I1111" s="30">
        <v>4.4212962962962964E-3</v>
      </c>
      <c r="J1111">
        <v>4</v>
      </c>
    </row>
    <row r="1112" spans="1:10" x14ac:dyDescent="0.35">
      <c r="A1112" t="s">
        <v>1440</v>
      </c>
      <c r="B1112" t="s">
        <v>323</v>
      </c>
      <c r="C1112" t="s">
        <v>1422</v>
      </c>
      <c r="D1112" s="30">
        <v>0.54099537037037038</v>
      </c>
      <c r="E1112" t="s">
        <v>302</v>
      </c>
      <c r="F1112" t="s">
        <v>299</v>
      </c>
      <c r="G1112" t="s">
        <v>299</v>
      </c>
      <c r="H1112">
        <v>93</v>
      </c>
      <c r="I1112" s="30">
        <v>3.8194444444444443E-3</v>
      </c>
      <c r="J1112">
        <v>4</v>
      </c>
    </row>
    <row r="1113" spans="1:10" x14ac:dyDescent="0.35">
      <c r="A1113" t="s">
        <v>1441</v>
      </c>
      <c r="B1113" t="s">
        <v>301</v>
      </c>
      <c r="C1113" t="s">
        <v>1422</v>
      </c>
      <c r="D1113" s="30">
        <v>0.54099537037037038</v>
      </c>
      <c r="E1113" t="s">
        <v>317</v>
      </c>
      <c r="F1113" t="s">
        <v>299</v>
      </c>
      <c r="G1113" t="s">
        <v>299</v>
      </c>
      <c r="H1113">
        <v>101</v>
      </c>
      <c r="I1113" s="30">
        <v>2.3379629629629631E-3</v>
      </c>
      <c r="J1113">
        <v>5</v>
      </c>
    </row>
    <row r="1114" spans="1:10" x14ac:dyDescent="0.35">
      <c r="A1114" t="s">
        <v>1442</v>
      </c>
      <c r="B1114" t="s">
        <v>305</v>
      </c>
      <c r="C1114" t="s">
        <v>1422</v>
      </c>
      <c r="D1114" s="30">
        <v>0.54200231481481487</v>
      </c>
      <c r="E1114" t="s">
        <v>309</v>
      </c>
      <c r="F1114" t="s">
        <v>299</v>
      </c>
      <c r="G1114" t="s">
        <v>299</v>
      </c>
      <c r="H1114">
        <v>34</v>
      </c>
      <c r="I1114" s="30">
        <v>3.9351851851851852E-4</v>
      </c>
      <c r="J1114">
        <v>5</v>
      </c>
    </row>
    <row r="1115" spans="1:10" x14ac:dyDescent="0.35">
      <c r="A1115" t="s">
        <v>1443</v>
      </c>
      <c r="B1115" t="s">
        <v>305</v>
      </c>
      <c r="C1115" t="s">
        <v>1422</v>
      </c>
      <c r="D1115" s="30">
        <v>0.54200231481481487</v>
      </c>
      <c r="E1115" t="s">
        <v>309</v>
      </c>
      <c r="F1115" t="s">
        <v>299</v>
      </c>
      <c r="G1115" t="s">
        <v>299</v>
      </c>
      <c r="H1115">
        <v>64</v>
      </c>
      <c r="I1115" s="30">
        <v>1.0879629629629629E-3</v>
      </c>
      <c r="J1115">
        <v>5</v>
      </c>
    </row>
    <row r="1116" spans="1:10" x14ac:dyDescent="0.35">
      <c r="A1116" t="s">
        <v>1444</v>
      </c>
      <c r="B1116" t="s">
        <v>307</v>
      </c>
      <c r="C1116" t="s">
        <v>1422</v>
      </c>
      <c r="D1116" s="30">
        <v>0.56000000000000005</v>
      </c>
      <c r="E1116" t="s">
        <v>302</v>
      </c>
      <c r="F1116" t="s">
        <v>299</v>
      </c>
      <c r="G1116" t="s">
        <v>303</v>
      </c>
      <c r="H1116">
        <v>25</v>
      </c>
      <c r="I1116" s="30">
        <v>4.5370370370370373E-3</v>
      </c>
      <c r="J1116">
        <v>3</v>
      </c>
    </row>
    <row r="1117" spans="1:10" x14ac:dyDescent="0.35">
      <c r="A1117" t="s">
        <v>1445</v>
      </c>
      <c r="B1117" t="s">
        <v>316</v>
      </c>
      <c r="C1117" t="s">
        <v>1422</v>
      </c>
      <c r="D1117" s="30">
        <v>0.56000000000000005</v>
      </c>
      <c r="E1117" t="s">
        <v>314</v>
      </c>
      <c r="F1117" t="s">
        <v>299</v>
      </c>
      <c r="G1117" t="s">
        <v>299</v>
      </c>
      <c r="H1117">
        <v>122</v>
      </c>
      <c r="I1117" s="30">
        <v>1.5393518518518519E-3</v>
      </c>
      <c r="J1117">
        <v>4</v>
      </c>
    </row>
    <row r="1118" spans="1:10" x14ac:dyDescent="0.35">
      <c r="A1118" t="s">
        <v>1446</v>
      </c>
      <c r="B1118" t="s">
        <v>305</v>
      </c>
      <c r="C1118" t="s">
        <v>1422</v>
      </c>
      <c r="D1118" s="30">
        <v>0.56000000000000005</v>
      </c>
      <c r="E1118" t="s">
        <v>317</v>
      </c>
      <c r="F1118" t="s">
        <v>299</v>
      </c>
      <c r="G1118" t="s">
        <v>299</v>
      </c>
      <c r="H1118">
        <v>36</v>
      </c>
      <c r="I1118" s="30">
        <v>7.0601851851851847E-4</v>
      </c>
      <c r="J1118">
        <v>4</v>
      </c>
    </row>
    <row r="1119" spans="1:10" x14ac:dyDescent="0.35">
      <c r="A1119" t="s">
        <v>1447</v>
      </c>
      <c r="B1119" t="s">
        <v>305</v>
      </c>
      <c r="C1119" t="s">
        <v>1422</v>
      </c>
      <c r="D1119" s="30">
        <v>0.56000000000000005</v>
      </c>
      <c r="E1119" t="s">
        <v>298</v>
      </c>
      <c r="F1119" t="s">
        <v>299</v>
      </c>
      <c r="G1119" t="s">
        <v>299</v>
      </c>
      <c r="H1119">
        <v>37</v>
      </c>
      <c r="I1119" s="30">
        <v>1.0879629629629629E-3</v>
      </c>
      <c r="J1119">
        <v>3</v>
      </c>
    </row>
    <row r="1120" spans="1:10" x14ac:dyDescent="0.35">
      <c r="A1120" t="s">
        <v>1448</v>
      </c>
      <c r="B1120" t="s">
        <v>319</v>
      </c>
      <c r="C1120" t="s">
        <v>1422</v>
      </c>
      <c r="D1120" s="30">
        <v>0.58299768518518513</v>
      </c>
      <c r="E1120" t="s">
        <v>317</v>
      </c>
      <c r="F1120" t="s">
        <v>299</v>
      </c>
      <c r="G1120" t="s">
        <v>299</v>
      </c>
      <c r="H1120">
        <v>112</v>
      </c>
      <c r="I1120" s="30">
        <v>4.6990740740740743E-3</v>
      </c>
      <c r="J1120">
        <v>3</v>
      </c>
    </row>
    <row r="1121" spans="1:10" x14ac:dyDescent="0.35">
      <c r="A1121" t="s">
        <v>1449</v>
      </c>
      <c r="B1121" t="s">
        <v>296</v>
      </c>
      <c r="C1121" t="s">
        <v>1422</v>
      </c>
      <c r="D1121" s="30">
        <v>0.58299768518518513</v>
      </c>
      <c r="E1121" t="s">
        <v>309</v>
      </c>
      <c r="F1121" t="s">
        <v>303</v>
      </c>
      <c r="G1121" t="s">
        <v>303</v>
      </c>
    </row>
    <row r="1122" spans="1:10" x14ac:dyDescent="0.35">
      <c r="A1122" t="s">
        <v>1450</v>
      </c>
      <c r="B1122" t="s">
        <v>316</v>
      </c>
      <c r="C1122" t="s">
        <v>1422</v>
      </c>
      <c r="D1122" s="30">
        <v>0.58599537037037042</v>
      </c>
      <c r="E1122" t="s">
        <v>314</v>
      </c>
      <c r="F1122" t="s">
        <v>299</v>
      </c>
      <c r="G1122" t="s">
        <v>299</v>
      </c>
      <c r="H1122">
        <v>57</v>
      </c>
      <c r="I1122" s="30">
        <v>3.3912037037037036E-3</v>
      </c>
      <c r="J1122">
        <v>3</v>
      </c>
    </row>
    <row r="1123" spans="1:10" x14ac:dyDescent="0.35">
      <c r="A1123" t="s">
        <v>1451</v>
      </c>
      <c r="B1123" t="s">
        <v>316</v>
      </c>
      <c r="C1123" t="s">
        <v>1422</v>
      </c>
      <c r="D1123" s="30">
        <v>0.58599537037037042</v>
      </c>
      <c r="E1123" t="s">
        <v>314</v>
      </c>
      <c r="F1123" t="s">
        <v>299</v>
      </c>
      <c r="G1123" t="s">
        <v>299</v>
      </c>
      <c r="H1123">
        <v>14</v>
      </c>
      <c r="I1123" s="30">
        <v>1.712962962962963E-3</v>
      </c>
      <c r="J1123">
        <v>3</v>
      </c>
    </row>
    <row r="1124" spans="1:10" x14ac:dyDescent="0.35">
      <c r="A1124" t="s">
        <v>1452</v>
      </c>
      <c r="B1124" t="s">
        <v>301</v>
      </c>
      <c r="C1124" t="s">
        <v>1422</v>
      </c>
      <c r="D1124" s="30">
        <v>0.66700231481481487</v>
      </c>
      <c r="E1124" t="s">
        <v>314</v>
      </c>
      <c r="F1124" t="s">
        <v>299</v>
      </c>
      <c r="G1124" t="s">
        <v>299</v>
      </c>
      <c r="H1124">
        <v>72</v>
      </c>
      <c r="I1124" s="30">
        <v>2.9050925925925928E-3</v>
      </c>
      <c r="J1124">
        <v>2</v>
      </c>
    </row>
    <row r="1125" spans="1:10" x14ac:dyDescent="0.35">
      <c r="A1125" t="s">
        <v>1453</v>
      </c>
      <c r="B1125" t="s">
        <v>301</v>
      </c>
      <c r="C1125" t="s">
        <v>1422</v>
      </c>
      <c r="D1125" s="30">
        <v>0.66700231481481487</v>
      </c>
      <c r="E1125" t="s">
        <v>314</v>
      </c>
      <c r="F1125" t="s">
        <v>299</v>
      </c>
      <c r="G1125" t="s">
        <v>299</v>
      </c>
      <c r="H1125">
        <v>60</v>
      </c>
      <c r="I1125" s="30">
        <v>4.5370370370370373E-3</v>
      </c>
      <c r="J1125">
        <v>3</v>
      </c>
    </row>
    <row r="1126" spans="1:10" x14ac:dyDescent="0.35">
      <c r="A1126" t="s">
        <v>1454</v>
      </c>
      <c r="B1126" t="s">
        <v>301</v>
      </c>
      <c r="C1126" t="s">
        <v>1422</v>
      </c>
      <c r="D1126" s="30">
        <v>0.68099537037037039</v>
      </c>
      <c r="E1126" t="s">
        <v>309</v>
      </c>
      <c r="F1126" t="s">
        <v>299</v>
      </c>
      <c r="G1126" t="s">
        <v>299</v>
      </c>
      <c r="H1126">
        <v>52</v>
      </c>
      <c r="I1126" s="30">
        <v>2.0486111111111113E-3</v>
      </c>
      <c r="J1126">
        <v>5</v>
      </c>
    </row>
    <row r="1127" spans="1:10" x14ac:dyDescent="0.35">
      <c r="A1127" t="s">
        <v>1455</v>
      </c>
      <c r="B1127" t="s">
        <v>305</v>
      </c>
      <c r="C1127" t="s">
        <v>1422</v>
      </c>
      <c r="D1127" s="30">
        <v>0.68099537037037039</v>
      </c>
      <c r="E1127" t="s">
        <v>298</v>
      </c>
      <c r="F1127" t="s">
        <v>303</v>
      </c>
      <c r="G1127" t="s">
        <v>303</v>
      </c>
    </row>
    <row r="1128" spans="1:10" x14ac:dyDescent="0.35">
      <c r="A1128" t="s">
        <v>1456</v>
      </c>
      <c r="B1128" t="s">
        <v>319</v>
      </c>
      <c r="C1128" t="s">
        <v>1422</v>
      </c>
      <c r="D1128" s="30">
        <v>0.73799768518518516</v>
      </c>
      <c r="E1128" t="s">
        <v>317</v>
      </c>
      <c r="F1128" t="s">
        <v>299</v>
      </c>
      <c r="G1128" t="s">
        <v>299</v>
      </c>
      <c r="H1128">
        <v>73</v>
      </c>
      <c r="I1128" s="30">
        <v>5.2083333333333333E-4</v>
      </c>
      <c r="J1128">
        <v>3</v>
      </c>
    </row>
    <row r="1129" spans="1:10" x14ac:dyDescent="0.35">
      <c r="A1129" t="s">
        <v>1457</v>
      </c>
      <c r="B1129" t="s">
        <v>301</v>
      </c>
      <c r="C1129" t="s">
        <v>1422</v>
      </c>
      <c r="D1129" s="30">
        <v>0.73799768518518516</v>
      </c>
      <c r="E1129" t="s">
        <v>298</v>
      </c>
      <c r="F1129" t="s">
        <v>299</v>
      </c>
      <c r="G1129" t="s">
        <v>299</v>
      </c>
      <c r="H1129">
        <v>108</v>
      </c>
      <c r="I1129" s="30">
        <v>1.6203703703703703E-3</v>
      </c>
      <c r="J1129">
        <v>4</v>
      </c>
    </row>
    <row r="1130" spans="1:10" x14ac:dyDescent="0.35">
      <c r="A1130" t="s">
        <v>1458</v>
      </c>
      <c r="B1130" t="s">
        <v>319</v>
      </c>
      <c r="C1130" t="s">
        <v>1422</v>
      </c>
      <c r="D1130" s="30">
        <v>0.74700231481481483</v>
      </c>
      <c r="E1130" t="s">
        <v>317</v>
      </c>
      <c r="F1130" t="s">
        <v>299</v>
      </c>
      <c r="G1130" t="s">
        <v>299</v>
      </c>
      <c r="H1130">
        <v>50</v>
      </c>
      <c r="I1130" s="30">
        <v>1.25E-3</v>
      </c>
      <c r="J1130">
        <v>4</v>
      </c>
    </row>
    <row r="1131" spans="1:10" x14ac:dyDescent="0.35">
      <c r="A1131" t="s">
        <v>1459</v>
      </c>
      <c r="B1131" t="s">
        <v>305</v>
      </c>
      <c r="C1131" t="s">
        <v>1422</v>
      </c>
      <c r="D1131" s="30">
        <v>0.74700231481481483</v>
      </c>
      <c r="E1131" t="s">
        <v>302</v>
      </c>
      <c r="F1131" t="s">
        <v>303</v>
      </c>
      <c r="G1131" t="s">
        <v>303</v>
      </c>
    </row>
    <row r="1132" spans="1:10" x14ac:dyDescent="0.35">
      <c r="A1132" t="s">
        <v>1460</v>
      </c>
      <c r="B1132" t="s">
        <v>319</v>
      </c>
      <c r="C1132" t="s">
        <v>1422</v>
      </c>
      <c r="D1132" s="30">
        <v>0.74799768518518517</v>
      </c>
      <c r="E1132" t="s">
        <v>314</v>
      </c>
      <c r="F1132" t="s">
        <v>299</v>
      </c>
      <c r="G1132" t="s">
        <v>303</v>
      </c>
      <c r="H1132">
        <v>100</v>
      </c>
      <c r="I1132" s="30">
        <v>2.8240740740740739E-3</v>
      </c>
      <c r="J1132">
        <v>2</v>
      </c>
    </row>
    <row r="1133" spans="1:10" x14ac:dyDescent="0.35">
      <c r="A1133" t="s">
        <v>1461</v>
      </c>
      <c r="B1133" t="s">
        <v>319</v>
      </c>
      <c r="C1133" t="s">
        <v>1422</v>
      </c>
      <c r="D1133" s="30">
        <v>0.74799768518518517</v>
      </c>
      <c r="E1133" t="s">
        <v>302</v>
      </c>
      <c r="F1133" t="s">
        <v>299</v>
      </c>
      <c r="G1133" t="s">
        <v>299</v>
      </c>
      <c r="H1133">
        <v>69</v>
      </c>
      <c r="I1133" s="30">
        <v>9.4907407407407408E-4</v>
      </c>
      <c r="J1133">
        <v>3</v>
      </c>
    </row>
    <row r="1134" spans="1:10" x14ac:dyDescent="0.35">
      <c r="A1134" t="s">
        <v>1462</v>
      </c>
      <c r="B1134" t="s">
        <v>301</v>
      </c>
      <c r="C1134" t="s">
        <v>1463</v>
      </c>
      <c r="D1134" s="30">
        <v>0.38900462962962962</v>
      </c>
      <c r="E1134" t="s">
        <v>317</v>
      </c>
      <c r="F1134" t="s">
        <v>299</v>
      </c>
      <c r="G1134" t="s">
        <v>299</v>
      </c>
      <c r="H1134">
        <v>39</v>
      </c>
      <c r="I1134" s="30">
        <v>1.5162037037037036E-3</v>
      </c>
      <c r="J1134">
        <v>1</v>
      </c>
    </row>
    <row r="1135" spans="1:10" x14ac:dyDescent="0.35">
      <c r="A1135" t="s">
        <v>1464</v>
      </c>
      <c r="B1135" t="s">
        <v>316</v>
      </c>
      <c r="C1135" t="s">
        <v>1463</v>
      </c>
      <c r="D1135" s="30">
        <v>0.38900462962962962</v>
      </c>
      <c r="E1135" t="s">
        <v>302</v>
      </c>
      <c r="F1135" t="s">
        <v>299</v>
      </c>
      <c r="G1135" t="s">
        <v>299</v>
      </c>
      <c r="H1135">
        <v>71</v>
      </c>
      <c r="I1135" s="30">
        <v>2.0138888888888888E-3</v>
      </c>
      <c r="J1135">
        <v>5</v>
      </c>
    </row>
    <row r="1136" spans="1:10" x14ac:dyDescent="0.35">
      <c r="A1136" t="s">
        <v>1465</v>
      </c>
      <c r="B1136" t="s">
        <v>332</v>
      </c>
      <c r="C1136" t="s">
        <v>1463</v>
      </c>
      <c r="D1136" s="30">
        <v>0.40099537037037036</v>
      </c>
      <c r="E1136" t="s">
        <v>317</v>
      </c>
      <c r="F1136" t="s">
        <v>303</v>
      </c>
      <c r="G1136" t="s">
        <v>303</v>
      </c>
    </row>
    <row r="1137" spans="1:10" x14ac:dyDescent="0.35">
      <c r="A1137" t="s">
        <v>1466</v>
      </c>
      <c r="B1137" t="s">
        <v>307</v>
      </c>
      <c r="C1137" t="s">
        <v>1463</v>
      </c>
      <c r="D1137" s="30">
        <v>0.40099537037037036</v>
      </c>
      <c r="E1137" t="s">
        <v>302</v>
      </c>
      <c r="F1137" t="s">
        <v>299</v>
      </c>
      <c r="G1137" t="s">
        <v>299</v>
      </c>
      <c r="H1137">
        <v>79</v>
      </c>
      <c r="I1137" s="30">
        <v>9.1435185185185185E-4</v>
      </c>
      <c r="J1137">
        <v>5</v>
      </c>
    </row>
    <row r="1138" spans="1:10" x14ac:dyDescent="0.35">
      <c r="A1138" t="s">
        <v>1467</v>
      </c>
      <c r="B1138" t="s">
        <v>323</v>
      </c>
      <c r="C1138" t="s">
        <v>1463</v>
      </c>
      <c r="D1138" s="30">
        <v>0.41400462962962964</v>
      </c>
      <c r="E1138" t="s">
        <v>298</v>
      </c>
      <c r="F1138" t="s">
        <v>299</v>
      </c>
      <c r="G1138" t="s">
        <v>299</v>
      </c>
      <c r="H1138">
        <v>57</v>
      </c>
      <c r="I1138" s="30">
        <v>3.7499999999999999E-3</v>
      </c>
      <c r="J1138">
        <v>3</v>
      </c>
    </row>
    <row r="1139" spans="1:10" x14ac:dyDescent="0.35">
      <c r="A1139" t="s">
        <v>1468</v>
      </c>
      <c r="B1139" t="s">
        <v>296</v>
      </c>
      <c r="C1139" t="s">
        <v>1463</v>
      </c>
      <c r="D1139" s="30">
        <v>0.41400462962962964</v>
      </c>
      <c r="E1139" t="s">
        <v>314</v>
      </c>
      <c r="F1139" t="s">
        <v>299</v>
      </c>
      <c r="G1139" t="s">
        <v>299</v>
      </c>
      <c r="H1139">
        <v>82</v>
      </c>
      <c r="I1139" s="30">
        <v>3.3912037037037036E-3</v>
      </c>
      <c r="J1139">
        <v>4</v>
      </c>
    </row>
    <row r="1140" spans="1:10" x14ac:dyDescent="0.35">
      <c r="A1140" t="s">
        <v>1469</v>
      </c>
      <c r="B1140" t="s">
        <v>316</v>
      </c>
      <c r="C1140" t="s">
        <v>1463</v>
      </c>
      <c r="D1140" s="30">
        <v>0.42700231481481482</v>
      </c>
      <c r="E1140" t="s">
        <v>298</v>
      </c>
      <c r="F1140" t="s">
        <v>299</v>
      </c>
      <c r="G1140" t="s">
        <v>299</v>
      </c>
      <c r="H1140">
        <v>73</v>
      </c>
      <c r="I1140" s="30">
        <v>2.2337962962962962E-3</v>
      </c>
      <c r="J1140">
        <v>1</v>
      </c>
    </row>
    <row r="1141" spans="1:10" x14ac:dyDescent="0.35">
      <c r="A1141" t="s">
        <v>1470</v>
      </c>
      <c r="B1141" t="s">
        <v>316</v>
      </c>
      <c r="C1141" t="s">
        <v>1463</v>
      </c>
      <c r="D1141" s="30">
        <v>0.42700231481481482</v>
      </c>
      <c r="E1141" t="s">
        <v>302</v>
      </c>
      <c r="F1141" t="s">
        <v>299</v>
      </c>
      <c r="G1141" t="s">
        <v>299</v>
      </c>
      <c r="H1141">
        <v>110</v>
      </c>
      <c r="I1141" s="30">
        <v>1.5162037037037036E-3</v>
      </c>
      <c r="J1141">
        <v>5</v>
      </c>
    </row>
    <row r="1142" spans="1:10" x14ac:dyDescent="0.35">
      <c r="A1142" t="s">
        <v>1471</v>
      </c>
      <c r="B1142" t="s">
        <v>323</v>
      </c>
      <c r="C1142" t="s">
        <v>1463</v>
      </c>
      <c r="D1142" s="30">
        <v>0.43</v>
      </c>
      <c r="E1142" t="s">
        <v>314</v>
      </c>
      <c r="F1142" t="s">
        <v>299</v>
      </c>
      <c r="G1142" t="s">
        <v>299</v>
      </c>
      <c r="H1142">
        <v>106</v>
      </c>
      <c r="I1142" s="30">
        <v>1.261574074074074E-3</v>
      </c>
      <c r="J1142">
        <v>5</v>
      </c>
    </row>
    <row r="1143" spans="1:10" x14ac:dyDescent="0.35">
      <c r="A1143" t="s">
        <v>1472</v>
      </c>
      <c r="B1143" t="s">
        <v>316</v>
      </c>
      <c r="C1143" t="s">
        <v>1463</v>
      </c>
      <c r="D1143" s="30">
        <v>0.43</v>
      </c>
      <c r="E1143" t="s">
        <v>317</v>
      </c>
      <c r="F1143" t="s">
        <v>299</v>
      </c>
      <c r="G1143" t="s">
        <v>299</v>
      </c>
      <c r="H1143">
        <v>92</v>
      </c>
      <c r="I1143" s="30">
        <v>1.5393518518518519E-3</v>
      </c>
      <c r="J1143">
        <v>4</v>
      </c>
    </row>
    <row r="1144" spans="1:10" x14ac:dyDescent="0.35">
      <c r="A1144" t="s">
        <v>1473</v>
      </c>
      <c r="B1144" t="s">
        <v>307</v>
      </c>
      <c r="C1144" t="s">
        <v>1463</v>
      </c>
      <c r="D1144" s="30">
        <v>0.43400462962962966</v>
      </c>
      <c r="E1144" t="s">
        <v>317</v>
      </c>
      <c r="F1144" t="s">
        <v>299</v>
      </c>
      <c r="G1144" t="s">
        <v>299</v>
      </c>
      <c r="H1144">
        <v>28</v>
      </c>
      <c r="I1144" s="30">
        <v>4.1666666666666666E-3</v>
      </c>
      <c r="J1144">
        <v>4</v>
      </c>
    </row>
    <row r="1145" spans="1:10" x14ac:dyDescent="0.35">
      <c r="A1145" t="s">
        <v>1474</v>
      </c>
      <c r="B1145" t="s">
        <v>323</v>
      </c>
      <c r="C1145" t="s">
        <v>1463</v>
      </c>
      <c r="D1145" s="30">
        <v>0.43400462962962966</v>
      </c>
      <c r="E1145" t="s">
        <v>298</v>
      </c>
      <c r="F1145" t="s">
        <v>299</v>
      </c>
      <c r="G1145" t="s">
        <v>299</v>
      </c>
      <c r="H1145">
        <v>108</v>
      </c>
      <c r="I1145" s="30">
        <v>4.1898148148148146E-3</v>
      </c>
      <c r="J1145">
        <v>1</v>
      </c>
    </row>
    <row r="1146" spans="1:10" x14ac:dyDescent="0.35">
      <c r="A1146" t="s">
        <v>1475</v>
      </c>
      <c r="B1146" t="s">
        <v>301</v>
      </c>
      <c r="C1146" t="s">
        <v>1463</v>
      </c>
      <c r="D1146" s="30">
        <v>0.45400462962962962</v>
      </c>
      <c r="E1146" t="s">
        <v>317</v>
      </c>
      <c r="F1146" t="s">
        <v>299</v>
      </c>
      <c r="G1146" t="s">
        <v>299</v>
      </c>
      <c r="H1146">
        <v>57</v>
      </c>
      <c r="I1146" s="30">
        <v>1.238425925925926E-3</v>
      </c>
      <c r="J1146">
        <v>4</v>
      </c>
    </row>
    <row r="1147" spans="1:10" x14ac:dyDescent="0.35">
      <c r="A1147" t="s">
        <v>1476</v>
      </c>
      <c r="B1147" t="s">
        <v>323</v>
      </c>
      <c r="C1147" t="s">
        <v>1463</v>
      </c>
      <c r="D1147" s="30">
        <v>0.45400462962962962</v>
      </c>
      <c r="E1147" t="s">
        <v>298</v>
      </c>
      <c r="F1147" t="s">
        <v>299</v>
      </c>
      <c r="G1147" t="s">
        <v>299</v>
      </c>
      <c r="H1147">
        <v>109</v>
      </c>
      <c r="I1147" s="30">
        <v>4.1203703703703706E-3</v>
      </c>
      <c r="J1147">
        <v>3</v>
      </c>
    </row>
    <row r="1148" spans="1:10" x14ac:dyDescent="0.35">
      <c r="A1148" t="s">
        <v>1477</v>
      </c>
      <c r="B1148" t="s">
        <v>307</v>
      </c>
      <c r="C1148" t="s">
        <v>1463</v>
      </c>
      <c r="D1148" s="30">
        <v>0.45799768518518519</v>
      </c>
      <c r="E1148" t="s">
        <v>298</v>
      </c>
      <c r="F1148" t="s">
        <v>299</v>
      </c>
      <c r="G1148" t="s">
        <v>299</v>
      </c>
      <c r="H1148">
        <v>55</v>
      </c>
      <c r="I1148" s="30">
        <v>1.1226851851851851E-3</v>
      </c>
      <c r="J1148">
        <v>2</v>
      </c>
    </row>
    <row r="1149" spans="1:10" x14ac:dyDescent="0.35">
      <c r="A1149" t="s">
        <v>1478</v>
      </c>
      <c r="B1149" t="s">
        <v>323</v>
      </c>
      <c r="C1149" t="s">
        <v>1463</v>
      </c>
      <c r="D1149" s="30">
        <v>0.45799768518518519</v>
      </c>
      <c r="E1149" t="s">
        <v>302</v>
      </c>
      <c r="F1149" t="s">
        <v>303</v>
      </c>
      <c r="G1149" t="s">
        <v>303</v>
      </c>
    </row>
    <row r="1150" spans="1:10" x14ac:dyDescent="0.35">
      <c r="A1150" t="s">
        <v>1479</v>
      </c>
      <c r="B1150" t="s">
        <v>332</v>
      </c>
      <c r="C1150" t="s">
        <v>1463</v>
      </c>
      <c r="D1150" s="30">
        <v>0.46900462962962963</v>
      </c>
      <c r="E1150" t="s">
        <v>309</v>
      </c>
      <c r="F1150" t="s">
        <v>299</v>
      </c>
      <c r="G1150" t="s">
        <v>299</v>
      </c>
      <c r="H1150">
        <v>68</v>
      </c>
      <c r="I1150" s="30">
        <v>4.7800925925925927E-3</v>
      </c>
      <c r="J1150">
        <v>1</v>
      </c>
    </row>
    <row r="1151" spans="1:10" x14ac:dyDescent="0.35">
      <c r="A1151" t="s">
        <v>1480</v>
      </c>
      <c r="B1151" t="s">
        <v>316</v>
      </c>
      <c r="C1151" t="s">
        <v>1463</v>
      </c>
      <c r="D1151" s="30">
        <v>0.46900462962962963</v>
      </c>
      <c r="E1151" t="s">
        <v>314</v>
      </c>
      <c r="F1151" t="s">
        <v>299</v>
      </c>
      <c r="G1151" t="s">
        <v>303</v>
      </c>
      <c r="H1151">
        <v>46</v>
      </c>
      <c r="I1151" s="30">
        <v>3.9351851851851852E-4</v>
      </c>
      <c r="J1151">
        <v>3</v>
      </c>
    </row>
    <row r="1152" spans="1:10" x14ac:dyDescent="0.35">
      <c r="A1152" t="s">
        <v>1481</v>
      </c>
      <c r="B1152" t="s">
        <v>316</v>
      </c>
      <c r="C1152" t="s">
        <v>1463</v>
      </c>
      <c r="D1152" s="30">
        <v>0.50200231481481483</v>
      </c>
      <c r="E1152" t="s">
        <v>302</v>
      </c>
      <c r="F1152" t="s">
        <v>299</v>
      </c>
      <c r="G1152" t="s">
        <v>299</v>
      </c>
      <c r="H1152">
        <v>30</v>
      </c>
      <c r="I1152" s="30">
        <v>3.460648148148148E-3</v>
      </c>
      <c r="J1152">
        <v>3</v>
      </c>
    </row>
    <row r="1153" spans="1:10" x14ac:dyDescent="0.35">
      <c r="A1153" t="s">
        <v>1482</v>
      </c>
      <c r="B1153" t="s">
        <v>323</v>
      </c>
      <c r="C1153" t="s">
        <v>1463</v>
      </c>
      <c r="D1153" s="30">
        <v>0.50200231481481483</v>
      </c>
      <c r="E1153" t="s">
        <v>314</v>
      </c>
      <c r="F1153" t="s">
        <v>299</v>
      </c>
      <c r="G1153" t="s">
        <v>299</v>
      </c>
      <c r="H1153">
        <v>107</v>
      </c>
      <c r="I1153" s="30">
        <v>5.7870370370370367E-4</v>
      </c>
      <c r="J1153">
        <v>4</v>
      </c>
    </row>
    <row r="1154" spans="1:10" x14ac:dyDescent="0.35">
      <c r="A1154" t="s">
        <v>1483</v>
      </c>
      <c r="B1154" t="s">
        <v>307</v>
      </c>
      <c r="C1154" t="s">
        <v>1463</v>
      </c>
      <c r="D1154" s="30">
        <v>0.50200231481481483</v>
      </c>
      <c r="E1154" t="s">
        <v>302</v>
      </c>
      <c r="F1154" t="s">
        <v>299</v>
      </c>
      <c r="G1154" t="s">
        <v>299</v>
      </c>
      <c r="H1154">
        <v>122</v>
      </c>
      <c r="I1154" s="30">
        <v>4.4560185185185189E-3</v>
      </c>
      <c r="J1154">
        <v>5</v>
      </c>
    </row>
    <row r="1155" spans="1:10" x14ac:dyDescent="0.35">
      <c r="A1155" t="s">
        <v>1484</v>
      </c>
      <c r="B1155" t="s">
        <v>323</v>
      </c>
      <c r="C1155" t="s">
        <v>1463</v>
      </c>
      <c r="D1155" s="30">
        <v>0.50200231481481483</v>
      </c>
      <c r="E1155" t="s">
        <v>314</v>
      </c>
      <c r="F1155" t="s">
        <v>303</v>
      </c>
      <c r="G1155" t="s">
        <v>303</v>
      </c>
    </row>
    <row r="1156" spans="1:10" x14ac:dyDescent="0.35">
      <c r="A1156" t="s">
        <v>1485</v>
      </c>
      <c r="B1156" t="s">
        <v>305</v>
      </c>
      <c r="C1156" t="s">
        <v>1463</v>
      </c>
      <c r="D1156" s="30">
        <v>0.505</v>
      </c>
      <c r="E1156" t="s">
        <v>302</v>
      </c>
      <c r="F1156" t="s">
        <v>299</v>
      </c>
      <c r="G1156" t="s">
        <v>299</v>
      </c>
      <c r="H1156">
        <v>18</v>
      </c>
      <c r="I1156" s="30">
        <v>4.2824074074074081E-4</v>
      </c>
      <c r="J1156">
        <v>5</v>
      </c>
    </row>
    <row r="1157" spans="1:10" x14ac:dyDescent="0.35">
      <c r="A1157" t="s">
        <v>1486</v>
      </c>
      <c r="B1157" t="s">
        <v>319</v>
      </c>
      <c r="C1157" t="s">
        <v>1463</v>
      </c>
      <c r="D1157" s="30">
        <v>0.505</v>
      </c>
      <c r="E1157" t="s">
        <v>317</v>
      </c>
      <c r="F1157" t="s">
        <v>303</v>
      </c>
      <c r="G1157" t="s">
        <v>303</v>
      </c>
    </row>
    <row r="1158" spans="1:10" x14ac:dyDescent="0.35">
      <c r="A1158" t="s">
        <v>1487</v>
      </c>
      <c r="B1158" t="s">
        <v>319</v>
      </c>
      <c r="C1158" t="s">
        <v>1463</v>
      </c>
      <c r="D1158" s="30">
        <v>0.6579976851851852</v>
      </c>
      <c r="E1158" t="s">
        <v>309</v>
      </c>
      <c r="F1158" t="s">
        <v>303</v>
      </c>
      <c r="G1158" t="s">
        <v>303</v>
      </c>
    </row>
    <row r="1159" spans="1:10" x14ac:dyDescent="0.35">
      <c r="A1159" t="s">
        <v>1488</v>
      </c>
      <c r="B1159" t="s">
        <v>319</v>
      </c>
      <c r="C1159" t="s">
        <v>1463</v>
      </c>
      <c r="D1159" s="30">
        <v>0.6579976851851852</v>
      </c>
      <c r="E1159" t="s">
        <v>302</v>
      </c>
      <c r="F1159" t="s">
        <v>303</v>
      </c>
      <c r="G1159" t="s">
        <v>303</v>
      </c>
    </row>
    <row r="1160" spans="1:10" x14ac:dyDescent="0.35">
      <c r="A1160" t="s">
        <v>1489</v>
      </c>
      <c r="B1160" t="s">
        <v>323</v>
      </c>
      <c r="C1160" t="s">
        <v>1463</v>
      </c>
      <c r="D1160" s="30">
        <v>0.65900462962962958</v>
      </c>
      <c r="E1160" t="s">
        <v>302</v>
      </c>
      <c r="F1160" t="s">
        <v>303</v>
      </c>
      <c r="G1160" t="s">
        <v>303</v>
      </c>
    </row>
    <row r="1161" spans="1:10" x14ac:dyDescent="0.35">
      <c r="A1161" t="s">
        <v>1490</v>
      </c>
      <c r="B1161" t="s">
        <v>305</v>
      </c>
      <c r="C1161" t="s">
        <v>1463</v>
      </c>
      <c r="D1161" s="30">
        <v>0.65900462962962958</v>
      </c>
      <c r="E1161" t="s">
        <v>317</v>
      </c>
      <c r="F1161" t="s">
        <v>299</v>
      </c>
      <c r="G1161" t="s">
        <v>299</v>
      </c>
      <c r="H1161">
        <v>99</v>
      </c>
      <c r="I1161" s="30">
        <v>1.5509259259259259E-3</v>
      </c>
      <c r="J1161">
        <v>4</v>
      </c>
    </row>
    <row r="1162" spans="1:10" x14ac:dyDescent="0.35">
      <c r="A1162" t="s">
        <v>1491</v>
      </c>
      <c r="B1162" t="s">
        <v>332</v>
      </c>
      <c r="C1162" t="s">
        <v>1463</v>
      </c>
      <c r="D1162" s="30">
        <v>0.66900462962962959</v>
      </c>
      <c r="E1162" t="s">
        <v>298</v>
      </c>
      <c r="F1162" t="s">
        <v>299</v>
      </c>
      <c r="G1162" t="s">
        <v>299</v>
      </c>
      <c r="H1162">
        <v>52</v>
      </c>
      <c r="I1162" s="30">
        <v>1.238425925925926E-3</v>
      </c>
      <c r="J1162">
        <v>2</v>
      </c>
    </row>
    <row r="1163" spans="1:10" x14ac:dyDescent="0.35">
      <c r="A1163" t="s">
        <v>1492</v>
      </c>
      <c r="B1163" t="s">
        <v>323</v>
      </c>
      <c r="C1163" t="s">
        <v>1463</v>
      </c>
      <c r="D1163" s="30">
        <v>0.66900462962962959</v>
      </c>
      <c r="E1163" t="s">
        <v>314</v>
      </c>
      <c r="F1163" t="s">
        <v>303</v>
      </c>
      <c r="G1163" t="s">
        <v>303</v>
      </c>
    </row>
    <row r="1164" spans="1:10" x14ac:dyDescent="0.35">
      <c r="A1164" t="s">
        <v>1493</v>
      </c>
      <c r="B1164" t="s">
        <v>301</v>
      </c>
      <c r="C1164" t="s">
        <v>1463</v>
      </c>
      <c r="D1164" s="30">
        <v>0.68099537037037039</v>
      </c>
      <c r="E1164" t="s">
        <v>309</v>
      </c>
      <c r="F1164" t="s">
        <v>303</v>
      </c>
      <c r="G1164" t="s">
        <v>303</v>
      </c>
    </row>
    <row r="1165" spans="1:10" x14ac:dyDescent="0.35">
      <c r="A1165" t="s">
        <v>1494</v>
      </c>
      <c r="B1165" t="s">
        <v>316</v>
      </c>
      <c r="C1165" t="s">
        <v>1463</v>
      </c>
      <c r="D1165" s="30">
        <v>0.68099537037037039</v>
      </c>
      <c r="E1165" t="s">
        <v>298</v>
      </c>
      <c r="F1165" t="s">
        <v>299</v>
      </c>
      <c r="G1165" t="s">
        <v>299</v>
      </c>
      <c r="H1165">
        <v>79</v>
      </c>
      <c r="I1165" s="30">
        <v>5.4398148148148144E-4</v>
      </c>
      <c r="J1165">
        <v>3</v>
      </c>
    </row>
    <row r="1166" spans="1:10" x14ac:dyDescent="0.35">
      <c r="A1166" t="s">
        <v>1495</v>
      </c>
      <c r="B1166" t="s">
        <v>323</v>
      </c>
      <c r="C1166" t="s">
        <v>1463</v>
      </c>
      <c r="D1166" s="30">
        <v>0.68700231481481477</v>
      </c>
      <c r="E1166" t="s">
        <v>317</v>
      </c>
      <c r="F1166" t="s">
        <v>299</v>
      </c>
      <c r="G1166" t="s">
        <v>299</v>
      </c>
      <c r="H1166">
        <v>112</v>
      </c>
      <c r="I1166" s="30">
        <v>1.9791666666666668E-3</v>
      </c>
      <c r="J1166">
        <v>5</v>
      </c>
    </row>
    <row r="1167" spans="1:10" x14ac:dyDescent="0.35">
      <c r="A1167" t="s">
        <v>1496</v>
      </c>
      <c r="B1167" t="s">
        <v>296</v>
      </c>
      <c r="C1167" t="s">
        <v>1463</v>
      </c>
      <c r="D1167" s="30">
        <v>0.68700231481481477</v>
      </c>
      <c r="E1167" t="s">
        <v>309</v>
      </c>
      <c r="F1167" t="s">
        <v>299</v>
      </c>
      <c r="G1167" t="s">
        <v>299</v>
      </c>
      <c r="H1167">
        <v>16</v>
      </c>
      <c r="I1167" s="30">
        <v>3.0439814814814813E-3</v>
      </c>
      <c r="J1167">
        <v>3</v>
      </c>
    </row>
    <row r="1168" spans="1:10" x14ac:dyDescent="0.35">
      <c r="A1168" t="s">
        <v>1497</v>
      </c>
      <c r="B1168" t="s">
        <v>319</v>
      </c>
      <c r="C1168" t="s">
        <v>1463</v>
      </c>
      <c r="D1168" s="30">
        <v>0.69900462962962961</v>
      </c>
      <c r="E1168" t="s">
        <v>298</v>
      </c>
      <c r="F1168" t="s">
        <v>299</v>
      </c>
      <c r="G1168" t="s">
        <v>299</v>
      </c>
      <c r="H1168">
        <v>22</v>
      </c>
      <c r="I1168" s="30">
        <v>4.8379629629629632E-3</v>
      </c>
      <c r="J1168">
        <v>3</v>
      </c>
    </row>
    <row r="1169" spans="1:10" x14ac:dyDescent="0.35">
      <c r="A1169" t="s">
        <v>1498</v>
      </c>
      <c r="B1169" t="s">
        <v>332</v>
      </c>
      <c r="C1169" t="s">
        <v>1463</v>
      </c>
      <c r="D1169" s="30">
        <v>0.69900462962962961</v>
      </c>
      <c r="E1169" t="s">
        <v>298</v>
      </c>
      <c r="F1169" t="s">
        <v>299</v>
      </c>
      <c r="G1169" t="s">
        <v>299</v>
      </c>
      <c r="H1169">
        <v>115</v>
      </c>
      <c r="I1169" s="30">
        <v>9.837962962962962E-4</v>
      </c>
      <c r="J1169">
        <v>1</v>
      </c>
    </row>
    <row r="1170" spans="1:10" x14ac:dyDescent="0.35">
      <c r="A1170" t="s">
        <v>1499</v>
      </c>
      <c r="B1170" t="s">
        <v>332</v>
      </c>
      <c r="C1170" t="s">
        <v>1463</v>
      </c>
      <c r="D1170" s="30">
        <v>0.71599537037037042</v>
      </c>
      <c r="E1170" t="s">
        <v>302</v>
      </c>
      <c r="F1170" t="s">
        <v>299</v>
      </c>
      <c r="G1170" t="s">
        <v>299</v>
      </c>
      <c r="H1170">
        <v>125</v>
      </c>
      <c r="I1170" s="30">
        <v>3.2060185185185186E-3</v>
      </c>
      <c r="J1170">
        <v>4</v>
      </c>
    </row>
    <row r="1171" spans="1:10" x14ac:dyDescent="0.35">
      <c r="A1171" t="s">
        <v>1500</v>
      </c>
      <c r="B1171" t="s">
        <v>323</v>
      </c>
      <c r="C1171" t="s">
        <v>1463</v>
      </c>
      <c r="D1171" s="30">
        <v>0.71599537037037042</v>
      </c>
      <c r="E1171" t="s">
        <v>309</v>
      </c>
      <c r="F1171" t="s">
        <v>299</v>
      </c>
      <c r="G1171" t="s">
        <v>299</v>
      </c>
      <c r="H1171">
        <v>68</v>
      </c>
      <c r="I1171" s="30">
        <v>3.5416666666666665E-3</v>
      </c>
      <c r="J1171">
        <v>3</v>
      </c>
    </row>
    <row r="1172" spans="1:10" x14ac:dyDescent="0.35">
      <c r="A1172" t="s">
        <v>1501</v>
      </c>
      <c r="B1172" t="s">
        <v>316</v>
      </c>
      <c r="C1172" t="s">
        <v>1463</v>
      </c>
      <c r="D1172" s="30">
        <v>0.72700231481481481</v>
      </c>
      <c r="E1172" t="s">
        <v>302</v>
      </c>
      <c r="F1172" t="s">
        <v>299</v>
      </c>
      <c r="G1172" t="s">
        <v>299</v>
      </c>
      <c r="H1172">
        <v>44</v>
      </c>
      <c r="I1172" s="30">
        <v>8.7962962962962962E-4</v>
      </c>
      <c r="J1172">
        <v>4</v>
      </c>
    </row>
    <row r="1173" spans="1:10" x14ac:dyDescent="0.35">
      <c r="A1173" t="s">
        <v>1502</v>
      </c>
      <c r="B1173" t="s">
        <v>301</v>
      </c>
      <c r="C1173" t="s">
        <v>1463</v>
      </c>
      <c r="D1173" s="30">
        <v>0.72700231481481481</v>
      </c>
      <c r="E1173" t="s">
        <v>302</v>
      </c>
      <c r="F1173" t="s">
        <v>303</v>
      </c>
      <c r="G1173" t="s">
        <v>303</v>
      </c>
    </row>
    <row r="1174" spans="1:10" x14ac:dyDescent="0.35">
      <c r="A1174" t="s">
        <v>1503</v>
      </c>
      <c r="B1174" t="s">
        <v>305</v>
      </c>
      <c r="C1174" t="s">
        <v>1463</v>
      </c>
      <c r="D1174" s="30">
        <v>0.72700231481481481</v>
      </c>
      <c r="E1174" t="s">
        <v>317</v>
      </c>
      <c r="F1174" t="s">
        <v>299</v>
      </c>
      <c r="G1174" t="s">
        <v>299</v>
      </c>
      <c r="H1174">
        <v>119</v>
      </c>
      <c r="I1174" s="30">
        <v>4.861111111111111E-4</v>
      </c>
      <c r="J1174">
        <v>4</v>
      </c>
    </row>
    <row r="1175" spans="1:10" x14ac:dyDescent="0.35">
      <c r="A1175" t="s">
        <v>1504</v>
      </c>
      <c r="B1175" t="s">
        <v>323</v>
      </c>
      <c r="C1175" t="s">
        <v>1463</v>
      </c>
      <c r="D1175" s="30">
        <v>0.72700231481481481</v>
      </c>
      <c r="E1175" t="s">
        <v>317</v>
      </c>
      <c r="F1175" t="s">
        <v>299</v>
      </c>
      <c r="G1175" t="s">
        <v>299</v>
      </c>
      <c r="H1175">
        <v>62</v>
      </c>
      <c r="I1175" s="30">
        <v>6.2500000000000001E-4</v>
      </c>
      <c r="J1175">
        <v>5</v>
      </c>
    </row>
    <row r="1176" spans="1:10" x14ac:dyDescent="0.35">
      <c r="A1176" t="s">
        <v>1505</v>
      </c>
      <c r="B1176" t="s">
        <v>307</v>
      </c>
      <c r="C1176" t="s">
        <v>1463</v>
      </c>
      <c r="D1176" s="30">
        <v>0.72700231481481481</v>
      </c>
      <c r="E1176" t="s">
        <v>317</v>
      </c>
      <c r="F1176" t="s">
        <v>299</v>
      </c>
      <c r="G1176" t="s">
        <v>299</v>
      </c>
      <c r="H1176">
        <v>84</v>
      </c>
      <c r="I1176" s="30">
        <v>4.2129629629629626E-3</v>
      </c>
      <c r="J1176">
        <v>5</v>
      </c>
    </row>
    <row r="1177" spans="1:10" x14ac:dyDescent="0.35">
      <c r="A1177" t="s">
        <v>1506</v>
      </c>
      <c r="B1177" t="s">
        <v>323</v>
      </c>
      <c r="C1177" t="s">
        <v>1463</v>
      </c>
      <c r="D1177" s="30">
        <v>0.72700231481481481</v>
      </c>
      <c r="E1177" t="s">
        <v>302</v>
      </c>
      <c r="F1177" t="s">
        <v>303</v>
      </c>
      <c r="G1177" t="s">
        <v>303</v>
      </c>
    </row>
    <row r="1178" spans="1:10" x14ac:dyDescent="0.35">
      <c r="A1178" t="s">
        <v>1507</v>
      </c>
      <c r="B1178" t="s">
        <v>307</v>
      </c>
      <c r="C1178" t="s">
        <v>1463</v>
      </c>
      <c r="D1178" s="30">
        <v>0.73400462962962965</v>
      </c>
      <c r="E1178" t="s">
        <v>317</v>
      </c>
      <c r="F1178" t="s">
        <v>299</v>
      </c>
      <c r="G1178" t="s">
        <v>299</v>
      </c>
      <c r="H1178">
        <v>75</v>
      </c>
      <c r="I1178" s="30">
        <v>4.4907407407407405E-3</v>
      </c>
      <c r="J1178">
        <v>4</v>
      </c>
    </row>
    <row r="1179" spans="1:10" x14ac:dyDescent="0.35">
      <c r="A1179" t="s">
        <v>1508</v>
      </c>
      <c r="B1179" t="s">
        <v>323</v>
      </c>
      <c r="C1179" t="s">
        <v>1463</v>
      </c>
      <c r="D1179" s="30">
        <v>0.73400462962962965</v>
      </c>
      <c r="E1179" t="s">
        <v>309</v>
      </c>
      <c r="F1179" t="s">
        <v>299</v>
      </c>
      <c r="G1179" t="s">
        <v>299</v>
      </c>
      <c r="H1179">
        <v>114</v>
      </c>
      <c r="I1179" s="30">
        <v>2.0138888888888888E-3</v>
      </c>
      <c r="J1179">
        <v>4</v>
      </c>
    </row>
    <row r="1180" spans="1:10" x14ac:dyDescent="0.35">
      <c r="A1180" t="s">
        <v>1509</v>
      </c>
      <c r="B1180" t="s">
        <v>332</v>
      </c>
      <c r="C1180" t="s">
        <v>1463</v>
      </c>
      <c r="D1180" s="30">
        <v>0.73499999999999999</v>
      </c>
      <c r="E1180" t="s">
        <v>302</v>
      </c>
      <c r="F1180" t="s">
        <v>303</v>
      </c>
      <c r="G1180" t="s">
        <v>303</v>
      </c>
    </row>
    <row r="1181" spans="1:10" x14ac:dyDescent="0.35">
      <c r="A1181" t="s">
        <v>1510</v>
      </c>
      <c r="B1181" t="s">
        <v>305</v>
      </c>
      <c r="C1181" t="s">
        <v>1463</v>
      </c>
      <c r="D1181" s="30">
        <v>0.73499999999999999</v>
      </c>
      <c r="E1181" t="s">
        <v>314</v>
      </c>
      <c r="F1181" t="s">
        <v>299</v>
      </c>
      <c r="G1181" t="s">
        <v>299</v>
      </c>
      <c r="H1181">
        <v>21</v>
      </c>
      <c r="I1181" s="30">
        <v>1.5046296296296296E-3</v>
      </c>
      <c r="J1181">
        <v>4</v>
      </c>
    </row>
    <row r="1182" spans="1:10" x14ac:dyDescent="0.35">
      <c r="A1182" t="s">
        <v>1511</v>
      </c>
      <c r="B1182" t="s">
        <v>305</v>
      </c>
      <c r="C1182" t="s">
        <v>1512</v>
      </c>
      <c r="D1182" s="30">
        <v>0.38299768518518518</v>
      </c>
      <c r="E1182" t="s">
        <v>302</v>
      </c>
      <c r="F1182" t="s">
        <v>303</v>
      </c>
      <c r="G1182" t="s">
        <v>303</v>
      </c>
    </row>
    <row r="1183" spans="1:10" x14ac:dyDescent="0.35">
      <c r="A1183" t="s">
        <v>1513</v>
      </c>
      <c r="B1183" t="s">
        <v>296</v>
      </c>
      <c r="C1183" t="s">
        <v>1512</v>
      </c>
      <c r="D1183" s="30">
        <v>0.38299768518518518</v>
      </c>
      <c r="E1183" t="s">
        <v>314</v>
      </c>
      <c r="F1183" t="s">
        <v>299</v>
      </c>
      <c r="G1183" t="s">
        <v>299</v>
      </c>
      <c r="H1183">
        <v>20</v>
      </c>
      <c r="I1183" s="30">
        <v>7.8703703703703705E-4</v>
      </c>
      <c r="J1183">
        <v>3</v>
      </c>
    </row>
    <row r="1184" spans="1:10" x14ac:dyDescent="0.35">
      <c r="A1184" t="s">
        <v>1514</v>
      </c>
      <c r="B1184" t="s">
        <v>296</v>
      </c>
      <c r="C1184" t="s">
        <v>1512</v>
      </c>
      <c r="D1184" s="30">
        <v>0.38299768518518518</v>
      </c>
      <c r="E1184" t="s">
        <v>302</v>
      </c>
      <c r="F1184" t="s">
        <v>299</v>
      </c>
      <c r="G1184" t="s">
        <v>299</v>
      </c>
      <c r="H1184">
        <v>112</v>
      </c>
      <c r="I1184" s="30">
        <v>2.5115740740740741E-3</v>
      </c>
      <c r="J1184">
        <v>1</v>
      </c>
    </row>
    <row r="1185" spans="1:10" x14ac:dyDescent="0.35">
      <c r="A1185" t="s">
        <v>1515</v>
      </c>
      <c r="B1185" t="s">
        <v>301</v>
      </c>
      <c r="C1185" t="s">
        <v>1512</v>
      </c>
      <c r="D1185" s="30">
        <v>0.38299768518518518</v>
      </c>
      <c r="E1185" t="s">
        <v>317</v>
      </c>
      <c r="F1185" t="s">
        <v>299</v>
      </c>
      <c r="G1185" t="s">
        <v>299</v>
      </c>
      <c r="H1185">
        <v>85</v>
      </c>
      <c r="I1185" s="30">
        <v>3.7499999999999999E-3</v>
      </c>
      <c r="J1185">
        <v>4</v>
      </c>
    </row>
    <row r="1186" spans="1:10" x14ac:dyDescent="0.35">
      <c r="A1186" t="s">
        <v>1516</v>
      </c>
      <c r="B1186" t="s">
        <v>323</v>
      </c>
      <c r="C1186" t="s">
        <v>1512</v>
      </c>
      <c r="D1186" s="30">
        <v>0.39200231481481479</v>
      </c>
      <c r="E1186" t="s">
        <v>314</v>
      </c>
      <c r="F1186" t="s">
        <v>299</v>
      </c>
      <c r="G1186" t="s">
        <v>299</v>
      </c>
      <c r="H1186">
        <v>34</v>
      </c>
      <c r="I1186" s="30">
        <v>4.2476851851851851E-3</v>
      </c>
      <c r="J1186">
        <v>3</v>
      </c>
    </row>
    <row r="1187" spans="1:10" x14ac:dyDescent="0.35">
      <c r="A1187" t="s">
        <v>1517</v>
      </c>
      <c r="B1187" t="s">
        <v>296</v>
      </c>
      <c r="C1187" t="s">
        <v>1512</v>
      </c>
      <c r="D1187" s="30">
        <v>0.39200231481481479</v>
      </c>
      <c r="E1187" t="s">
        <v>317</v>
      </c>
      <c r="F1187" t="s">
        <v>299</v>
      </c>
      <c r="G1187" t="s">
        <v>299</v>
      </c>
      <c r="H1187">
        <v>53</v>
      </c>
      <c r="I1187" s="30">
        <v>3.4953703703703705E-3</v>
      </c>
      <c r="J1187">
        <v>4</v>
      </c>
    </row>
    <row r="1188" spans="1:10" x14ac:dyDescent="0.35">
      <c r="A1188" t="s">
        <v>1518</v>
      </c>
      <c r="B1188" t="s">
        <v>323</v>
      </c>
      <c r="C1188" t="s">
        <v>1512</v>
      </c>
      <c r="D1188" s="30">
        <v>0.40900462962962963</v>
      </c>
      <c r="E1188" t="s">
        <v>317</v>
      </c>
      <c r="F1188" t="s">
        <v>299</v>
      </c>
      <c r="G1188" t="s">
        <v>299</v>
      </c>
      <c r="H1188">
        <v>103</v>
      </c>
      <c r="I1188" s="30">
        <v>1.5509259259259259E-3</v>
      </c>
      <c r="J1188">
        <v>5</v>
      </c>
    </row>
    <row r="1189" spans="1:10" x14ac:dyDescent="0.35">
      <c r="A1189" t="s">
        <v>1519</v>
      </c>
      <c r="B1189" t="s">
        <v>301</v>
      </c>
      <c r="C1189" t="s">
        <v>1512</v>
      </c>
      <c r="D1189" s="30">
        <v>0.40900462962962963</v>
      </c>
      <c r="E1189" t="s">
        <v>298</v>
      </c>
      <c r="F1189" t="s">
        <v>299</v>
      </c>
      <c r="G1189" t="s">
        <v>299</v>
      </c>
      <c r="H1189">
        <v>98</v>
      </c>
      <c r="I1189" s="30">
        <v>4.7800925925925927E-3</v>
      </c>
      <c r="J1189">
        <v>4</v>
      </c>
    </row>
    <row r="1190" spans="1:10" x14ac:dyDescent="0.35">
      <c r="A1190" t="s">
        <v>1520</v>
      </c>
      <c r="B1190" t="s">
        <v>301</v>
      </c>
      <c r="C1190" t="s">
        <v>1512</v>
      </c>
      <c r="D1190" s="30">
        <v>0.41599537037037038</v>
      </c>
      <c r="E1190" t="s">
        <v>302</v>
      </c>
      <c r="F1190" t="s">
        <v>299</v>
      </c>
      <c r="G1190" t="s">
        <v>299</v>
      </c>
      <c r="H1190">
        <v>23</v>
      </c>
      <c r="I1190" s="30">
        <v>3.2870370370370371E-3</v>
      </c>
      <c r="J1190">
        <v>1</v>
      </c>
    </row>
    <row r="1191" spans="1:10" x14ac:dyDescent="0.35">
      <c r="A1191" t="s">
        <v>1521</v>
      </c>
      <c r="B1191" t="s">
        <v>323</v>
      </c>
      <c r="C1191" t="s">
        <v>1512</v>
      </c>
      <c r="D1191" s="30">
        <v>0.41599537037037038</v>
      </c>
      <c r="E1191" t="s">
        <v>314</v>
      </c>
      <c r="F1191" t="s">
        <v>299</v>
      </c>
      <c r="G1191" t="s">
        <v>299</v>
      </c>
      <c r="H1191">
        <v>53</v>
      </c>
      <c r="I1191" s="30">
        <v>8.9120370370370373E-4</v>
      </c>
      <c r="J1191">
        <v>2</v>
      </c>
    </row>
    <row r="1192" spans="1:10" x14ac:dyDescent="0.35">
      <c r="A1192" t="s">
        <v>1522</v>
      </c>
      <c r="B1192" t="s">
        <v>301</v>
      </c>
      <c r="C1192" t="s">
        <v>1512</v>
      </c>
      <c r="D1192" s="30">
        <v>0.44299768518518517</v>
      </c>
      <c r="E1192" t="s">
        <v>302</v>
      </c>
      <c r="F1192" t="s">
        <v>303</v>
      </c>
      <c r="G1192" t="s">
        <v>303</v>
      </c>
    </row>
    <row r="1193" spans="1:10" x14ac:dyDescent="0.35">
      <c r="A1193" t="s">
        <v>1523</v>
      </c>
      <c r="B1193" t="s">
        <v>296</v>
      </c>
      <c r="C1193" t="s">
        <v>1512</v>
      </c>
      <c r="D1193" s="30">
        <v>0.44299768518518517</v>
      </c>
      <c r="E1193" t="s">
        <v>298</v>
      </c>
      <c r="F1193" t="s">
        <v>299</v>
      </c>
      <c r="G1193" t="s">
        <v>303</v>
      </c>
      <c r="H1193">
        <v>55</v>
      </c>
      <c r="I1193" s="30">
        <v>3.2407407407407406E-3</v>
      </c>
      <c r="J1193">
        <v>4</v>
      </c>
    </row>
    <row r="1194" spans="1:10" x14ac:dyDescent="0.35">
      <c r="A1194" t="s">
        <v>1524</v>
      </c>
      <c r="B1194" t="s">
        <v>323</v>
      </c>
      <c r="C1194" t="s">
        <v>1512</v>
      </c>
      <c r="D1194" s="30">
        <v>0.48599537037037038</v>
      </c>
      <c r="E1194" t="s">
        <v>314</v>
      </c>
      <c r="F1194" t="s">
        <v>299</v>
      </c>
      <c r="G1194" t="s">
        <v>299</v>
      </c>
      <c r="H1194">
        <v>77</v>
      </c>
      <c r="I1194" s="30">
        <v>3.4953703703703705E-3</v>
      </c>
      <c r="J1194">
        <v>5</v>
      </c>
    </row>
    <row r="1195" spans="1:10" x14ac:dyDescent="0.35">
      <c r="A1195" t="s">
        <v>1525</v>
      </c>
      <c r="B1195" t="s">
        <v>301</v>
      </c>
      <c r="C1195" t="s">
        <v>1512</v>
      </c>
      <c r="D1195" s="30">
        <v>0.48599537037037038</v>
      </c>
      <c r="E1195" t="s">
        <v>302</v>
      </c>
      <c r="F1195" t="s">
        <v>299</v>
      </c>
      <c r="G1195" t="s">
        <v>299</v>
      </c>
      <c r="H1195">
        <v>46</v>
      </c>
      <c r="I1195" s="30">
        <v>4.2245370370370371E-3</v>
      </c>
      <c r="J1195">
        <v>3</v>
      </c>
    </row>
    <row r="1196" spans="1:10" x14ac:dyDescent="0.35">
      <c r="A1196" t="s">
        <v>1526</v>
      </c>
      <c r="B1196" t="s">
        <v>307</v>
      </c>
      <c r="C1196" t="s">
        <v>1512</v>
      </c>
      <c r="D1196" s="30">
        <v>0.48799768518518516</v>
      </c>
      <c r="E1196" t="s">
        <v>302</v>
      </c>
      <c r="F1196" t="s">
        <v>303</v>
      </c>
      <c r="G1196" t="s">
        <v>303</v>
      </c>
    </row>
    <row r="1197" spans="1:10" x14ac:dyDescent="0.35">
      <c r="A1197" t="s">
        <v>1527</v>
      </c>
      <c r="B1197" t="s">
        <v>323</v>
      </c>
      <c r="C1197" t="s">
        <v>1512</v>
      </c>
      <c r="D1197" s="30">
        <v>0.48799768518518516</v>
      </c>
      <c r="E1197" t="s">
        <v>309</v>
      </c>
      <c r="F1197" t="s">
        <v>299</v>
      </c>
      <c r="G1197" t="s">
        <v>299</v>
      </c>
      <c r="H1197">
        <v>39</v>
      </c>
      <c r="I1197" s="30">
        <v>3.5300925925925925E-3</v>
      </c>
      <c r="J1197">
        <v>4</v>
      </c>
    </row>
    <row r="1198" spans="1:10" x14ac:dyDescent="0.35">
      <c r="A1198" t="s">
        <v>1528</v>
      </c>
      <c r="B1198" t="s">
        <v>307</v>
      </c>
      <c r="C1198" t="s">
        <v>1512</v>
      </c>
      <c r="D1198" s="30">
        <v>0.49700231481481483</v>
      </c>
      <c r="E1198" t="s">
        <v>309</v>
      </c>
      <c r="F1198" t="s">
        <v>299</v>
      </c>
      <c r="G1198" t="s">
        <v>299</v>
      </c>
      <c r="H1198">
        <v>13</v>
      </c>
      <c r="I1198" s="30">
        <v>4.8611111111111112E-3</v>
      </c>
      <c r="J1198">
        <v>3</v>
      </c>
    </row>
    <row r="1199" spans="1:10" x14ac:dyDescent="0.35">
      <c r="A1199" t="s">
        <v>1529</v>
      </c>
      <c r="B1199" t="s">
        <v>316</v>
      </c>
      <c r="C1199" t="s">
        <v>1512</v>
      </c>
      <c r="D1199" s="30">
        <v>0.49700231481481483</v>
      </c>
      <c r="E1199" t="s">
        <v>314</v>
      </c>
      <c r="F1199" t="s">
        <v>299</v>
      </c>
      <c r="G1199" t="s">
        <v>299</v>
      </c>
      <c r="H1199">
        <v>84</v>
      </c>
      <c r="I1199" s="30">
        <v>3.8657407407407408E-3</v>
      </c>
      <c r="J1199">
        <v>5</v>
      </c>
    </row>
    <row r="1200" spans="1:10" x14ac:dyDescent="0.35">
      <c r="A1200" t="s">
        <v>1530</v>
      </c>
      <c r="B1200" t="s">
        <v>332</v>
      </c>
      <c r="C1200" t="s">
        <v>1512</v>
      </c>
      <c r="D1200" s="30">
        <v>0.49700231481481483</v>
      </c>
      <c r="E1200" t="s">
        <v>314</v>
      </c>
      <c r="F1200" t="s">
        <v>299</v>
      </c>
      <c r="G1200" t="s">
        <v>299</v>
      </c>
      <c r="H1200">
        <v>60</v>
      </c>
      <c r="I1200" s="30">
        <v>3.3101851851851851E-3</v>
      </c>
      <c r="J1200">
        <v>3</v>
      </c>
    </row>
    <row r="1201" spans="1:10" x14ac:dyDescent="0.35">
      <c r="A1201" t="s">
        <v>1531</v>
      </c>
      <c r="B1201" t="s">
        <v>332</v>
      </c>
      <c r="C1201" t="s">
        <v>1512</v>
      </c>
      <c r="D1201" s="30">
        <v>0.49700231481481483</v>
      </c>
      <c r="E1201" t="s">
        <v>314</v>
      </c>
      <c r="F1201" t="s">
        <v>299</v>
      </c>
      <c r="G1201" t="s">
        <v>299</v>
      </c>
      <c r="H1201">
        <v>32</v>
      </c>
      <c r="I1201" s="30">
        <v>4.0509259259259258E-4</v>
      </c>
      <c r="J1201">
        <v>5</v>
      </c>
    </row>
    <row r="1202" spans="1:10" x14ac:dyDescent="0.35">
      <c r="A1202" t="s">
        <v>1532</v>
      </c>
      <c r="B1202" t="s">
        <v>305</v>
      </c>
      <c r="C1202" t="s">
        <v>1512</v>
      </c>
      <c r="D1202" s="30">
        <v>0.5329976851851852</v>
      </c>
      <c r="E1202" t="s">
        <v>302</v>
      </c>
      <c r="F1202" t="s">
        <v>303</v>
      </c>
      <c r="G1202" t="s">
        <v>303</v>
      </c>
    </row>
    <row r="1203" spans="1:10" x14ac:dyDescent="0.35">
      <c r="A1203" t="s">
        <v>1533</v>
      </c>
      <c r="B1203" t="s">
        <v>307</v>
      </c>
      <c r="C1203" t="s">
        <v>1512</v>
      </c>
      <c r="D1203" s="30">
        <v>0.5329976851851852</v>
      </c>
      <c r="E1203" t="s">
        <v>298</v>
      </c>
      <c r="F1203" t="s">
        <v>303</v>
      </c>
      <c r="G1203" t="s">
        <v>303</v>
      </c>
    </row>
    <row r="1204" spans="1:10" x14ac:dyDescent="0.35">
      <c r="A1204" t="s">
        <v>1534</v>
      </c>
      <c r="B1204" t="s">
        <v>319</v>
      </c>
      <c r="C1204" t="s">
        <v>1512</v>
      </c>
      <c r="D1204" s="30">
        <v>0.59700231481481481</v>
      </c>
      <c r="E1204" t="s">
        <v>314</v>
      </c>
      <c r="F1204" t="s">
        <v>303</v>
      </c>
      <c r="G1204" t="s">
        <v>303</v>
      </c>
    </row>
    <row r="1205" spans="1:10" x14ac:dyDescent="0.35">
      <c r="A1205" t="s">
        <v>1535</v>
      </c>
      <c r="B1205" t="s">
        <v>332</v>
      </c>
      <c r="C1205" t="s">
        <v>1512</v>
      </c>
      <c r="D1205" s="30">
        <v>0.59700231481481481</v>
      </c>
      <c r="E1205" t="s">
        <v>309</v>
      </c>
      <c r="F1205" t="s">
        <v>299</v>
      </c>
      <c r="G1205" t="s">
        <v>299</v>
      </c>
      <c r="H1205">
        <v>67</v>
      </c>
      <c r="I1205" s="30">
        <v>4.6527777777777774E-3</v>
      </c>
      <c r="J1205">
        <v>4</v>
      </c>
    </row>
    <row r="1206" spans="1:10" x14ac:dyDescent="0.35">
      <c r="A1206" t="s">
        <v>1536</v>
      </c>
      <c r="B1206" t="s">
        <v>305</v>
      </c>
      <c r="C1206" t="s">
        <v>1512</v>
      </c>
      <c r="D1206" s="30">
        <v>0.59900462962962964</v>
      </c>
      <c r="E1206" t="s">
        <v>317</v>
      </c>
      <c r="F1206" t="s">
        <v>299</v>
      </c>
      <c r="G1206" t="s">
        <v>303</v>
      </c>
      <c r="H1206">
        <v>94</v>
      </c>
      <c r="I1206" s="30">
        <v>2.7546296296296294E-3</v>
      </c>
      <c r="J1206">
        <v>4</v>
      </c>
    </row>
    <row r="1207" spans="1:10" x14ac:dyDescent="0.35">
      <c r="A1207" t="s">
        <v>1537</v>
      </c>
      <c r="B1207" t="s">
        <v>305</v>
      </c>
      <c r="C1207" t="s">
        <v>1512</v>
      </c>
      <c r="D1207" s="30">
        <v>0.59900462962962964</v>
      </c>
      <c r="E1207" t="s">
        <v>317</v>
      </c>
      <c r="F1207" t="s">
        <v>299</v>
      </c>
      <c r="G1207" t="s">
        <v>299</v>
      </c>
      <c r="H1207">
        <v>92</v>
      </c>
      <c r="I1207" s="30">
        <v>4.2824074074074075E-3</v>
      </c>
      <c r="J1207">
        <v>1</v>
      </c>
    </row>
    <row r="1208" spans="1:10" x14ac:dyDescent="0.35">
      <c r="A1208" t="s">
        <v>1538</v>
      </c>
      <c r="B1208" t="s">
        <v>301</v>
      </c>
      <c r="C1208" t="s">
        <v>1512</v>
      </c>
      <c r="D1208" s="30">
        <v>0.61400462962962965</v>
      </c>
      <c r="E1208" t="s">
        <v>317</v>
      </c>
      <c r="F1208" t="s">
        <v>299</v>
      </c>
      <c r="G1208" t="s">
        <v>299</v>
      </c>
      <c r="H1208">
        <v>35</v>
      </c>
      <c r="I1208" s="30">
        <v>8.1018518518518516E-4</v>
      </c>
      <c r="J1208">
        <v>3</v>
      </c>
    </row>
    <row r="1209" spans="1:10" x14ac:dyDescent="0.35">
      <c r="A1209" t="s">
        <v>1539</v>
      </c>
      <c r="B1209" t="s">
        <v>296</v>
      </c>
      <c r="C1209" t="s">
        <v>1512</v>
      </c>
      <c r="D1209" s="30">
        <v>0.61400462962962965</v>
      </c>
      <c r="E1209" t="s">
        <v>314</v>
      </c>
      <c r="F1209" t="s">
        <v>299</v>
      </c>
      <c r="G1209" t="s">
        <v>299</v>
      </c>
      <c r="H1209">
        <v>57</v>
      </c>
      <c r="I1209" s="30">
        <v>9.3749999999999997E-4</v>
      </c>
      <c r="J1209">
        <v>5</v>
      </c>
    </row>
    <row r="1210" spans="1:10" x14ac:dyDescent="0.35">
      <c r="A1210" t="s">
        <v>1540</v>
      </c>
      <c r="B1210" t="s">
        <v>305</v>
      </c>
      <c r="C1210" t="s">
        <v>1512</v>
      </c>
      <c r="D1210" s="30">
        <v>0.61700231481481482</v>
      </c>
      <c r="E1210" t="s">
        <v>317</v>
      </c>
      <c r="F1210" t="s">
        <v>303</v>
      </c>
      <c r="G1210" t="s">
        <v>303</v>
      </c>
    </row>
    <row r="1211" spans="1:10" x14ac:dyDescent="0.35">
      <c r="A1211" t="s">
        <v>1541</v>
      </c>
      <c r="B1211" t="s">
        <v>316</v>
      </c>
      <c r="C1211" t="s">
        <v>1512</v>
      </c>
      <c r="D1211" s="30">
        <v>0.61700231481481482</v>
      </c>
      <c r="E1211" t="s">
        <v>314</v>
      </c>
      <c r="F1211" t="s">
        <v>299</v>
      </c>
      <c r="G1211" t="s">
        <v>299</v>
      </c>
      <c r="H1211">
        <v>15</v>
      </c>
      <c r="I1211" s="30">
        <v>3.414351851851852E-3</v>
      </c>
      <c r="J1211">
        <v>4</v>
      </c>
    </row>
    <row r="1212" spans="1:10" x14ac:dyDescent="0.35">
      <c r="A1212" t="s">
        <v>1542</v>
      </c>
      <c r="B1212" t="s">
        <v>301</v>
      </c>
      <c r="C1212" t="s">
        <v>1512</v>
      </c>
      <c r="D1212" s="30">
        <v>0.61799768518518516</v>
      </c>
      <c r="E1212" t="s">
        <v>314</v>
      </c>
      <c r="F1212" t="s">
        <v>299</v>
      </c>
      <c r="G1212" t="s">
        <v>303</v>
      </c>
      <c r="H1212">
        <v>54</v>
      </c>
      <c r="I1212" s="30">
        <v>2.2569444444444442E-3</v>
      </c>
      <c r="J1212">
        <v>5</v>
      </c>
    </row>
    <row r="1213" spans="1:10" x14ac:dyDescent="0.35">
      <c r="A1213" t="s">
        <v>1543</v>
      </c>
      <c r="B1213" t="s">
        <v>307</v>
      </c>
      <c r="C1213" t="s">
        <v>1512</v>
      </c>
      <c r="D1213" s="30">
        <v>0.61799768518518516</v>
      </c>
      <c r="E1213" t="s">
        <v>309</v>
      </c>
      <c r="F1213" t="s">
        <v>299</v>
      </c>
      <c r="G1213" t="s">
        <v>299</v>
      </c>
      <c r="H1213">
        <v>99</v>
      </c>
      <c r="I1213" s="30">
        <v>6.9444444444444447E-4</v>
      </c>
      <c r="J1213">
        <v>1</v>
      </c>
    </row>
    <row r="1214" spans="1:10" x14ac:dyDescent="0.35">
      <c r="A1214" t="s">
        <v>1544</v>
      </c>
      <c r="B1214" t="s">
        <v>323</v>
      </c>
      <c r="C1214" t="s">
        <v>1512</v>
      </c>
      <c r="D1214" s="30">
        <v>0.64599537037037036</v>
      </c>
      <c r="E1214" t="s">
        <v>298</v>
      </c>
      <c r="F1214" t="s">
        <v>303</v>
      </c>
      <c r="G1214" t="s">
        <v>303</v>
      </c>
    </row>
    <row r="1215" spans="1:10" x14ac:dyDescent="0.35">
      <c r="A1215" t="s">
        <v>1545</v>
      </c>
      <c r="B1215" t="s">
        <v>316</v>
      </c>
      <c r="C1215" t="s">
        <v>1512</v>
      </c>
      <c r="D1215" s="30">
        <v>0.64599537037037036</v>
      </c>
      <c r="E1215" t="s">
        <v>317</v>
      </c>
      <c r="F1215" t="s">
        <v>303</v>
      </c>
      <c r="G1215" t="s">
        <v>303</v>
      </c>
    </row>
    <row r="1216" spans="1:10" x14ac:dyDescent="0.35">
      <c r="A1216" t="s">
        <v>1546</v>
      </c>
      <c r="B1216" t="s">
        <v>323</v>
      </c>
      <c r="C1216" t="s">
        <v>1512</v>
      </c>
      <c r="D1216" s="30">
        <v>0.66400462962962958</v>
      </c>
      <c r="E1216" t="s">
        <v>317</v>
      </c>
      <c r="F1216" t="s">
        <v>303</v>
      </c>
      <c r="G1216" t="s">
        <v>303</v>
      </c>
    </row>
    <row r="1217" spans="1:10" x14ac:dyDescent="0.35">
      <c r="A1217" t="s">
        <v>1547</v>
      </c>
      <c r="B1217" t="s">
        <v>323</v>
      </c>
      <c r="C1217" t="s">
        <v>1512</v>
      </c>
      <c r="D1217" s="30">
        <v>0.66400462962962958</v>
      </c>
      <c r="E1217" t="s">
        <v>314</v>
      </c>
      <c r="F1217" t="s">
        <v>303</v>
      </c>
      <c r="G1217" t="s">
        <v>303</v>
      </c>
    </row>
    <row r="1218" spans="1:10" x14ac:dyDescent="0.35">
      <c r="A1218" t="s">
        <v>1548</v>
      </c>
      <c r="B1218" t="s">
        <v>323</v>
      </c>
      <c r="C1218" t="s">
        <v>1512</v>
      </c>
      <c r="D1218" s="30">
        <v>0.66799768518518521</v>
      </c>
      <c r="E1218" t="s">
        <v>309</v>
      </c>
      <c r="F1218" t="s">
        <v>303</v>
      </c>
      <c r="G1218" t="s">
        <v>303</v>
      </c>
    </row>
    <row r="1219" spans="1:10" x14ac:dyDescent="0.35">
      <c r="A1219" t="s">
        <v>1549</v>
      </c>
      <c r="B1219" t="s">
        <v>301</v>
      </c>
      <c r="C1219" t="s">
        <v>1512</v>
      </c>
      <c r="D1219" s="30">
        <v>0.66799768518518521</v>
      </c>
      <c r="E1219" t="s">
        <v>317</v>
      </c>
      <c r="F1219" t="s">
        <v>299</v>
      </c>
      <c r="G1219" t="s">
        <v>299</v>
      </c>
      <c r="H1219">
        <v>78</v>
      </c>
      <c r="I1219" s="30">
        <v>7.5231481481481482E-4</v>
      </c>
      <c r="J1219">
        <v>5</v>
      </c>
    </row>
    <row r="1220" spans="1:10" x14ac:dyDescent="0.35">
      <c r="A1220" t="s">
        <v>1550</v>
      </c>
      <c r="B1220" t="s">
        <v>307</v>
      </c>
      <c r="C1220" t="s">
        <v>1512</v>
      </c>
      <c r="D1220" s="30">
        <v>0.69400462962962961</v>
      </c>
      <c r="E1220" t="s">
        <v>314</v>
      </c>
      <c r="F1220" t="s">
        <v>303</v>
      </c>
      <c r="G1220" t="s">
        <v>303</v>
      </c>
    </row>
    <row r="1221" spans="1:10" x14ac:dyDescent="0.35">
      <c r="A1221" t="s">
        <v>1551</v>
      </c>
      <c r="B1221" t="s">
        <v>316</v>
      </c>
      <c r="C1221" t="s">
        <v>1512</v>
      </c>
      <c r="D1221" s="30">
        <v>0.69400462962962961</v>
      </c>
      <c r="E1221" t="s">
        <v>309</v>
      </c>
      <c r="F1221" t="s">
        <v>299</v>
      </c>
      <c r="G1221" t="s">
        <v>303</v>
      </c>
      <c r="H1221">
        <v>35</v>
      </c>
      <c r="I1221" s="30">
        <v>3.5763888888888889E-3</v>
      </c>
      <c r="J1221">
        <v>5</v>
      </c>
    </row>
    <row r="1222" spans="1:10" x14ac:dyDescent="0.35">
      <c r="A1222" t="s">
        <v>1552</v>
      </c>
      <c r="B1222" t="s">
        <v>301</v>
      </c>
      <c r="C1222" t="s">
        <v>1512</v>
      </c>
      <c r="D1222" s="30">
        <v>0.70200231481481479</v>
      </c>
      <c r="E1222" t="s">
        <v>298</v>
      </c>
      <c r="F1222" t="s">
        <v>303</v>
      </c>
      <c r="G1222" t="s">
        <v>303</v>
      </c>
    </row>
    <row r="1223" spans="1:10" x14ac:dyDescent="0.35">
      <c r="A1223" t="s">
        <v>1553</v>
      </c>
      <c r="B1223" t="s">
        <v>305</v>
      </c>
      <c r="C1223" t="s">
        <v>1512</v>
      </c>
      <c r="D1223" s="30">
        <v>0.70200231481481479</v>
      </c>
      <c r="E1223" t="s">
        <v>298</v>
      </c>
      <c r="F1223" t="s">
        <v>299</v>
      </c>
      <c r="G1223" t="s">
        <v>299</v>
      </c>
      <c r="H1223">
        <v>33</v>
      </c>
      <c r="I1223" s="30">
        <v>4.2708333333333331E-3</v>
      </c>
      <c r="J1223">
        <v>5</v>
      </c>
    </row>
    <row r="1224" spans="1:10" x14ac:dyDescent="0.35">
      <c r="A1224" t="s">
        <v>1554</v>
      </c>
      <c r="B1224" t="s">
        <v>307</v>
      </c>
      <c r="C1224" t="s">
        <v>1512</v>
      </c>
      <c r="D1224" s="30">
        <v>0.70599537037037041</v>
      </c>
      <c r="E1224" t="s">
        <v>317</v>
      </c>
      <c r="F1224" t="s">
        <v>299</v>
      </c>
      <c r="G1224" t="s">
        <v>299</v>
      </c>
      <c r="H1224">
        <v>72</v>
      </c>
      <c r="I1224" s="30">
        <v>2.8819444444444444E-3</v>
      </c>
      <c r="J1224">
        <v>5</v>
      </c>
    </row>
    <row r="1225" spans="1:10" x14ac:dyDescent="0.35">
      <c r="A1225" t="s">
        <v>1555</v>
      </c>
      <c r="B1225" t="s">
        <v>319</v>
      </c>
      <c r="C1225" t="s">
        <v>1512</v>
      </c>
      <c r="D1225" s="30">
        <v>0.70599537037037041</v>
      </c>
      <c r="E1225" t="s">
        <v>302</v>
      </c>
      <c r="F1225" t="s">
        <v>299</v>
      </c>
      <c r="G1225" t="s">
        <v>303</v>
      </c>
      <c r="H1225">
        <v>82</v>
      </c>
      <c r="I1225" s="30">
        <v>3.4953703703703705E-3</v>
      </c>
      <c r="J1225">
        <v>1</v>
      </c>
    </row>
    <row r="1226" spans="1:10" x14ac:dyDescent="0.35">
      <c r="A1226" t="s">
        <v>1556</v>
      </c>
      <c r="B1226" t="s">
        <v>307</v>
      </c>
      <c r="C1226" t="s">
        <v>1512</v>
      </c>
      <c r="D1226" s="30">
        <v>0.72599537037037032</v>
      </c>
      <c r="E1226" t="s">
        <v>314</v>
      </c>
      <c r="F1226" t="s">
        <v>303</v>
      </c>
      <c r="G1226" t="s">
        <v>303</v>
      </c>
    </row>
    <row r="1227" spans="1:10" x14ac:dyDescent="0.35">
      <c r="A1227" t="s">
        <v>1557</v>
      </c>
      <c r="B1227" t="s">
        <v>307</v>
      </c>
      <c r="C1227" t="s">
        <v>1512</v>
      </c>
      <c r="D1227" s="30">
        <v>0.72599537037037032</v>
      </c>
      <c r="E1227" t="s">
        <v>309</v>
      </c>
      <c r="F1227" t="s">
        <v>299</v>
      </c>
      <c r="G1227" t="s">
        <v>299</v>
      </c>
      <c r="H1227">
        <v>115</v>
      </c>
      <c r="I1227" s="30">
        <v>2.9166666666666668E-3</v>
      </c>
      <c r="J1227">
        <v>5</v>
      </c>
    </row>
    <row r="1228" spans="1:10" x14ac:dyDescent="0.35">
      <c r="A1228" t="s">
        <v>1558</v>
      </c>
      <c r="B1228" t="s">
        <v>296</v>
      </c>
      <c r="C1228" t="s">
        <v>1512</v>
      </c>
      <c r="D1228" s="30">
        <v>0.73499999999999999</v>
      </c>
      <c r="E1228" t="s">
        <v>317</v>
      </c>
      <c r="F1228" t="s">
        <v>299</v>
      </c>
      <c r="G1228" t="s">
        <v>299</v>
      </c>
      <c r="H1228">
        <v>64</v>
      </c>
      <c r="I1228" s="30">
        <v>1.1805555555555556E-3</v>
      </c>
      <c r="J1228">
        <v>3</v>
      </c>
    </row>
    <row r="1229" spans="1:10" x14ac:dyDescent="0.35">
      <c r="A1229" t="s">
        <v>1559</v>
      </c>
      <c r="B1229" t="s">
        <v>323</v>
      </c>
      <c r="C1229" t="s">
        <v>1512</v>
      </c>
      <c r="D1229" s="30">
        <v>0.73499999999999999</v>
      </c>
      <c r="E1229" t="s">
        <v>302</v>
      </c>
      <c r="F1229" t="s">
        <v>303</v>
      </c>
      <c r="G1229" t="s">
        <v>303</v>
      </c>
    </row>
    <row r="1230" spans="1:10" x14ac:dyDescent="0.35">
      <c r="A1230" t="s">
        <v>1560</v>
      </c>
      <c r="B1230" t="s">
        <v>316</v>
      </c>
      <c r="C1230" t="s">
        <v>1512</v>
      </c>
      <c r="D1230" s="30">
        <v>0.74099537037037033</v>
      </c>
      <c r="E1230" t="s">
        <v>309</v>
      </c>
      <c r="F1230" t="s">
        <v>299</v>
      </c>
      <c r="G1230" t="s">
        <v>299</v>
      </c>
      <c r="H1230">
        <v>71</v>
      </c>
      <c r="I1230" s="30">
        <v>2.7893518518518519E-3</v>
      </c>
      <c r="J1230">
        <v>2</v>
      </c>
    </row>
    <row r="1231" spans="1:10" x14ac:dyDescent="0.35">
      <c r="A1231" t="s">
        <v>1561</v>
      </c>
      <c r="B1231" t="s">
        <v>301</v>
      </c>
      <c r="C1231" t="s">
        <v>1512</v>
      </c>
      <c r="D1231" s="30">
        <v>0.74099537037037033</v>
      </c>
      <c r="E1231" t="s">
        <v>317</v>
      </c>
      <c r="F1231" t="s">
        <v>299</v>
      </c>
      <c r="G1231" t="s">
        <v>303</v>
      </c>
      <c r="H1231">
        <v>50</v>
      </c>
      <c r="I1231" s="30">
        <v>3.5648148148148149E-3</v>
      </c>
      <c r="J1231">
        <v>3</v>
      </c>
    </row>
    <row r="1232" spans="1:10" x14ac:dyDescent="0.35">
      <c r="A1232" t="s">
        <v>1562</v>
      </c>
      <c r="B1232" t="s">
        <v>307</v>
      </c>
      <c r="C1232" t="s">
        <v>1563</v>
      </c>
      <c r="D1232" s="30">
        <v>0.39700231481481479</v>
      </c>
      <c r="E1232" t="s">
        <v>317</v>
      </c>
      <c r="F1232" t="s">
        <v>299</v>
      </c>
      <c r="G1232" t="s">
        <v>299</v>
      </c>
      <c r="H1232">
        <v>116</v>
      </c>
      <c r="I1232" s="30">
        <v>8.4490740740740739E-4</v>
      </c>
      <c r="J1232">
        <v>2</v>
      </c>
    </row>
    <row r="1233" spans="1:10" x14ac:dyDescent="0.35">
      <c r="A1233" t="s">
        <v>1564</v>
      </c>
      <c r="B1233" t="s">
        <v>323</v>
      </c>
      <c r="C1233" t="s">
        <v>1563</v>
      </c>
      <c r="D1233" s="30">
        <v>0.39700231481481479</v>
      </c>
      <c r="E1233" t="s">
        <v>314</v>
      </c>
      <c r="F1233" t="s">
        <v>299</v>
      </c>
      <c r="G1233" t="s">
        <v>299</v>
      </c>
      <c r="H1233">
        <v>52</v>
      </c>
      <c r="I1233" s="30">
        <v>1.0069444444444444E-3</v>
      </c>
      <c r="J1233">
        <v>5</v>
      </c>
    </row>
    <row r="1234" spans="1:10" x14ac:dyDescent="0.35">
      <c r="A1234" t="s">
        <v>1565</v>
      </c>
      <c r="B1234" t="s">
        <v>307</v>
      </c>
      <c r="C1234" t="s">
        <v>1563</v>
      </c>
      <c r="D1234" s="30">
        <v>0.40299768518518519</v>
      </c>
      <c r="E1234" t="s">
        <v>302</v>
      </c>
      <c r="F1234" t="s">
        <v>299</v>
      </c>
      <c r="G1234" t="s">
        <v>299</v>
      </c>
      <c r="H1234">
        <v>112</v>
      </c>
      <c r="I1234" s="30">
        <v>2.5115740740740741E-3</v>
      </c>
      <c r="J1234">
        <v>5</v>
      </c>
    </row>
    <row r="1235" spans="1:10" x14ac:dyDescent="0.35">
      <c r="A1235" t="s">
        <v>1566</v>
      </c>
      <c r="B1235" t="s">
        <v>305</v>
      </c>
      <c r="C1235" t="s">
        <v>1563</v>
      </c>
      <c r="D1235" s="30">
        <v>0.40299768518518519</v>
      </c>
      <c r="E1235" t="s">
        <v>314</v>
      </c>
      <c r="F1235" t="s">
        <v>299</v>
      </c>
      <c r="G1235" t="s">
        <v>299</v>
      </c>
      <c r="H1235">
        <v>116</v>
      </c>
      <c r="I1235" s="30">
        <v>1.8749999999999999E-3</v>
      </c>
      <c r="J1235">
        <v>3</v>
      </c>
    </row>
    <row r="1236" spans="1:10" x14ac:dyDescent="0.35">
      <c r="A1236" t="s">
        <v>1567</v>
      </c>
      <c r="B1236" t="s">
        <v>301</v>
      </c>
      <c r="C1236" t="s">
        <v>1563</v>
      </c>
      <c r="D1236" s="30">
        <v>0.41099537037037037</v>
      </c>
      <c r="E1236" t="s">
        <v>309</v>
      </c>
      <c r="F1236" t="s">
        <v>299</v>
      </c>
      <c r="G1236" t="s">
        <v>303</v>
      </c>
      <c r="H1236">
        <v>112</v>
      </c>
      <c r="I1236" s="30">
        <v>4.3750000000000004E-3</v>
      </c>
      <c r="J1236">
        <v>2</v>
      </c>
    </row>
    <row r="1237" spans="1:10" x14ac:dyDescent="0.35">
      <c r="A1237" t="s">
        <v>1568</v>
      </c>
      <c r="B1237" t="s">
        <v>332</v>
      </c>
      <c r="C1237" t="s">
        <v>1563</v>
      </c>
      <c r="D1237" s="30">
        <v>0.41099537037037037</v>
      </c>
      <c r="E1237" t="s">
        <v>317</v>
      </c>
      <c r="F1237" t="s">
        <v>299</v>
      </c>
      <c r="G1237" t="s">
        <v>299</v>
      </c>
      <c r="H1237">
        <v>53</v>
      </c>
      <c r="I1237" s="30">
        <v>4.0046296296296297E-3</v>
      </c>
      <c r="J1237">
        <v>4</v>
      </c>
    </row>
    <row r="1238" spans="1:10" x14ac:dyDescent="0.35">
      <c r="A1238" t="s">
        <v>1569</v>
      </c>
      <c r="B1238" t="s">
        <v>296</v>
      </c>
      <c r="C1238" t="s">
        <v>1563</v>
      </c>
      <c r="D1238" s="30">
        <v>0.41499999999999998</v>
      </c>
      <c r="E1238" t="s">
        <v>314</v>
      </c>
      <c r="F1238" t="s">
        <v>299</v>
      </c>
      <c r="G1238" t="s">
        <v>299</v>
      </c>
      <c r="H1238">
        <v>12</v>
      </c>
      <c r="I1238" s="30">
        <v>3.8310185185185183E-3</v>
      </c>
      <c r="J1238">
        <v>3</v>
      </c>
    </row>
    <row r="1239" spans="1:10" x14ac:dyDescent="0.35">
      <c r="A1239" t="s">
        <v>1570</v>
      </c>
      <c r="B1239" t="s">
        <v>319</v>
      </c>
      <c r="C1239" t="s">
        <v>1563</v>
      </c>
      <c r="D1239" s="30">
        <v>0.41499999999999998</v>
      </c>
      <c r="E1239" t="s">
        <v>302</v>
      </c>
      <c r="F1239" t="s">
        <v>299</v>
      </c>
      <c r="G1239" t="s">
        <v>303</v>
      </c>
      <c r="H1239">
        <v>120</v>
      </c>
      <c r="I1239" s="30">
        <v>6.2500000000000001E-4</v>
      </c>
      <c r="J1239">
        <v>4</v>
      </c>
    </row>
    <row r="1240" spans="1:10" x14ac:dyDescent="0.35">
      <c r="A1240" t="s">
        <v>1571</v>
      </c>
      <c r="B1240" t="s">
        <v>296</v>
      </c>
      <c r="C1240" t="s">
        <v>1563</v>
      </c>
      <c r="D1240" s="30">
        <v>0.45099537037037035</v>
      </c>
      <c r="E1240" t="s">
        <v>314</v>
      </c>
      <c r="F1240" t="s">
        <v>303</v>
      </c>
      <c r="G1240" t="s">
        <v>303</v>
      </c>
    </row>
    <row r="1241" spans="1:10" x14ac:dyDescent="0.35">
      <c r="A1241" t="s">
        <v>1572</v>
      </c>
      <c r="B1241" t="s">
        <v>332</v>
      </c>
      <c r="C1241" t="s">
        <v>1563</v>
      </c>
      <c r="D1241" s="30">
        <v>0.45099537037037035</v>
      </c>
      <c r="E1241" t="s">
        <v>302</v>
      </c>
      <c r="F1241" t="s">
        <v>299</v>
      </c>
      <c r="G1241" t="s">
        <v>299</v>
      </c>
      <c r="H1241">
        <v>118</v>
      </c>
      <c r="I1241" s="30">
        <v>1.9560185185185184E-3</v>
      </c>
      <c r="J1241">
        <v>4</v>
      </c>
    </row>
    <row r="1242" spans="1:10" x14ac:dyDescent="0.35">
      <c r="A1242" t="s">
        <v>1573</v>
      </c>
      <c r="B1242" t="s">
        <v>316</v>
      </c>
      <c r="C1242" t="s">
        <v>1563</v>
      </c>
      <c r="D1242" s="30">
        <v>0.45900462962962962</v>
      </c>
      <c r="E1242" t="s">
        <v>298</v>
      </c>
      <c r="F1242" t="s">
        <v>299</v>
      </c>
      <c r="G1242" t="s">
        <v>299</v>
      </c>
      <c r="H1242">
        <v>121</v>
      </c>
      <c r="I1242" s="30">
        <v>1.9560185185185184E-3</v>
      </c>
      <c r="J1242">
        <v>2</v>
      </c>
    </row>
    <row r="1243" spans="1:10" x14ac:dyDescent="0.35">
      <c r="A1243" t="s">
        <v>1574</v>
      </c>
      <c r="B1243" t="s">
        <v>323</v>
      </c>
      <c r="C1243" t="s">
        <v>1563</v>
      </c>
      <c r="D1243" s="30">
        <v>0.45900462962962962</v>
      </c>
      <c r="E1243" t="s">
        <v>317</v>
      </c>
      <c r="F1243" t="s">
        <v>299</v>
      </c>
      <c r="G1243" t="s">
        <v>299</v>
      </c>
      <c r="H1243">
        <v>83</v>
      </c>
      <c r="I1243" s="30">
        <v>4.7222222222222223E-3</v>
      </c>
      <c r="J1243">
        <v>5</v>
      </c>
    </row>
    <row r="1244" spans="1:10" x14ac:dyDescent="0.35">
      <c r="A1244" t="s">
        <v>1575</v>
      </c>
      <c r="B1244" t="s">
        <v>319</v>
      </c>
      <c r="C1244" t="s">
        <v>1563</v>
      </c>
      <c r="D1244" s="30">
        <v>0.47099537037037037</v>
      </c>
      <c r="E1244" t="s">
        <v>317</v>
      </c>
      <c r="F1244" t="s">
        <v>299</v>
      </c>
      <c r="G1244" t="s">
        <v>299</v>
      </c>
      <c r="H1244">
        <v>84</v>
      </c>
      <c r="I1244" s="30">
        <v>9.3749999999999997E-4</v>
      </c>
      <c r="J1244">
        <v>5</v>
      </c>
    </row>
    <row r="1245" spans="1:10" x14ac:dyDescent="0.35">
      <c r="A1245" t="s">
        <v>1576</v>
      </c>
      <c r="B1245" t="s">
        <v>301</v>
      </c>
      <c r="C1245" t="s">
        <v>1563</v>
      </c>
      <c r="D1245" s="30">
        <v>0.47099537037037037</v>
      </c>
      <c r="E1245" t="s">
        <v>309</v>
      </c>
      <c r="F1245" t="s">
        <v>299</v>
      </c>
      <c r="G1245" t="s">
        <v>303</v>
      </c>
      <c r="H1245">
        <v>63</v>
      </c>
      <c r="I1245" s="30">
        <v>3.472222222222222E-3</v>
      </c>
      <c r="J1245">
        <v>4</v>
      </c>
    </row>
    <row r="1246" spans="1:10" x14ac:dyDescent="0.35">
      <c r="A1246" t="s">
        <v>1577</v>
      </c>
      <c r="B1246" t="s">
        <v>316</v>
      </c>
      <c r="C1246" t="s">
        <v>1563</v>
      </c>
      <c r="D1246" s="30">
        <v>0.47900462962962964</v>
      </c>
      <c r="E1246" t="s">
        <v>302</v>
      </c>
      <c r="F1246" t="s">
        <v>299</v>
      </c>
      <c r="G1246" t="s">
        <v>299</v>
      </c>
      <c r="H1246">
        <v>33</v>
      </c>
      <c r="I1246" s="30">
        <v>2.4189814814814816E-3</v>
      </c>
      <c r="J1246">
        <v>3</v>
      </c>
    </row>
    <row r="1247" spans="1:10" x14ac:dyDescent="0.35">
      <c r="A1247" t="s">
        <v>1578</v>
      </c>
      <c r="B1247" t="s">
        <v>332</v>
      </c>
      <c r="C1247" t="s">
        <v>1563</v>
      </c>
      <c r="D1247" s="30">
        <v>0.47900462962962964</v>
      </c>
      <c r="E1247" t="s">
        <v>298</v>
      </c>
      <c r="F1247" t="s">
        <v>303</v>
      </c>
      <c r="G1247" t="s">
        <v>303</v>
      </c>
    </row>
    <row r="1248" spans="1:10" x14ac:dyDescent="0.35">
      <c r="A1248" t="s">
        <v>1579</v>
      </c>
      <c r="B1248" t="s">
        <v>307</v>
      </c>
      <c r="C1248" t="s">
        <v>1563</v>
      </c>
      <c r="D1248" s="30">
        <v>0.48099537037037038</v>
      </c>
      <c r="E1248" t="s">
        <v>314</v>
      </c>
      <c r="F1248" t="s">
        <v>299</v>
      </c>
      <c r="G1248" t="s">
        <v>303</v>
      </c>
      <c r="H1248">
        <v>10</v>
      </c>
      <c r="I1248" s="30">
        <v>7.0601851851851847E-4</v>
      </c>
      <c r="J1248">
        <v>5</v>
      </c>
    </row>
    <row r="1249" spans="1:10" x14ac:dyDescent="0.35">
      <c r="A1249" t="s">
        <v>1580</v>
      </c>
      <c r="B1249" t="s">
        <v>319</v>
      </c>
      <c r="C1249" t="s">
        <v>1563</v>
      </c>
      <c r="D1249" s="30">
        <v>0.48099537037037038</v>
      </c>
      <c r="E1249" t="s">
        <v>314</v>
      </c>
      <c r="F1249" t="s">
        <v>299</v>
      </c>
      <c r="G1249" t="s">
        <v>299</v>
      </c>
      <c r="H1249">
        <v>100</v>
      </c>
      <c r="I1249" s="30">
        <v>4.861111111111111E-4</v>
      </c>
      <c r="J1249">
        <v>5</v>
      </c>
    </row>
    <row r="1250" spans="1:10" x14ac:dyDescent="0.35">
      <c r="A1250" t="s">
        <v>1581</v>
      </c>
      <c r="B1250" t="s">
        <v>296</v>
      </c>
      <c r="C1250" t="s">
        <v>1563</v>
      </c>
      <c r="D1250" s="30">
        <v>0.48299768518518521</v>
      </c>
      <c r="E1250" t="s">
        <v>298</v>
      </c>
      <c r="F1250" t="s">
        <v>299</v>
      </c>
      <c r="G1250" t="s">
        <v>299</v>
      </c>
      <c r="H1250">
        <v>110</v>
      </c>
      <c r="I1250" s="30">
        <v>3.5069444444444445E-3</v>
      </c>
      <c r="J1250">
        <v>5</v>
      </c>
    </row>
    <row r="1251" spans="1:10" x14ac:dyDescent="0.35">
      <c r="A1251" t="s">
        <v>1582</v>
      </c>
      <c r="B1251" t="s">
        <v>305</v>
      </c>
      <c r="C1251" t="s">
        <v>1563</v>
      </c>
      <c r="D1251" s="30">
        <v>0.48299768518518521</v>
      </c>
      <c r="E1251" t="s">
        <v>309</v>
      </c>
      <c r="F1251" t="s">
        <v>299</v>
      </c>
      <c r="G1251" t="s">
        <v>299</v>
      </c>
      <c r="H1251">
        <v>28</v>
      </c>
      <c r="I1251" s="30">
        <v>3.6574074074074074E-3</v>
      </c>
      <c r="J1251">
        <v>2</v>
      </c>
    </row>
    <row r="1252" spans="1:10" x14ac:dyDescent="0.35">
      <c r="A1252" t="s">
        <v>1583</v>
      </c>
      <c r="B1252" t="s">
        <v>319</v>
      </c>
      <c r="C1252" t="s">
        <v>1563</v>
      </c>
      <c r="D1252" s="30">
        <v>0.48400462962962965</v>
      </c>
      <c r="E1252" t="s">
        <v>314</v>
      </c>
      <c r="F1252" t="s">
        <v>299</v>
      </c>
      <c r="G1252" t="s">
        <v>299</v>
      </c>
      <c r="H1252">
        <v>74</v>
      </c>
      <c r="I1252" s="30">
        <v>8.6805555555555551E-4</v>
      </c>
      <c r="J1252">
        <v>3</v>
      </c>
    </row>
    <row r="1253" spans="1:10" x14ac:dyDescent="0.35">
      <c r="A1253" t="s">
        <v>1584</v>
      </c>
      <c r="B1253" t="s">
        <v>316</v>
      </c>
      <c r="C1253" t="s">
        <v>1563</v>
      </c>
      <c r="D1253" s="30">
        <v>0.48400462962962965</v>
      </c>
      <c r="E1253" t="s">
        <v>314</v>
      </c>
      <c r="F1253" t="s">
        <v>299</v>
      </c>
      <c r="G1253" t="s">
        <v>299</v>
      </c>
      <c r="H1253">
        <v>18</v>
      </c>
      <c r="I1253" s="30">
        <v>9.3749999999999997E-4</v>
      </c>
      <c r="J1253">
        <v>3</v>
      </c>
    </row>
    <row r="1254" spans="1:10" x14ac:dyDescent="0.35">
      <c r="A1254" t="s">
        <v>1585</v>
      </c>
      <c r="B1254" t="s">
        <v>301</v>
      </c>
      <c r="C1254" t="s">
        <v>1563</v>
      </c>
      <c r="D1254" s="30">
        <v>0.48900462962962965</v>
      </c>
      <c r="E1254" t="s">
        <v>317</v>
      </c>
      <c r="F1254" t="s">
        <v>299</v>
      </c>
      <c r="G1254" t="s">
        <v>299</v>
      </c>
      <c r="H1254">
        <v>22</v>
      </c>
      <c r="I1254" s="30">
        <v>4.3055555555555555E-3</v>
      </c>
      <c r="J1254">
        <v>3</v>
      </c>
    </row>
    <row r="1255" spans="1:10" x14ac:dyDescent="0.35">
      <c r="A1255" t="s">
        <v>1586</v>
      </c>
      <c r="B1255" t="s">
        <v>296</v>
      </c>
      <c r="C1255" t="s">
        <v>1563</v>
      </c>
      <c r="D1255" s="30">
        <v>0.48900462962962965</v>
      </c>
      <c r="E1255" t="s">
        <v>317</v>
      </c>
      <c r="F1255" t="s">
        <v>303</v>
      </c>
      <c r="G1255" t="s">
        <v>303</v>
      </c>
    </row>
    <row r="1256" spans="1:10" x14ac:dyDescent="0.35">
      <c r="A1256" t="s">
        <v>1587</v>
      </c>
      <c r="B1256" t="s">
        <v>323</v>
      </c>
      <c r="C1256" t="s">
        <v>1563</v>
      </c>
      <c r="D1256" s="30">
        <v>0.49700231481481483</v>
      </c>
      <c r="E1256" t="s">
        <v>298</v>
      </c>
      <c r="F1256" t="s">
        <v>299</v>
      </c>
      <c r="G1256" t="s">
        <v>299</v>
      </c>
      <c r="H1256">
        <v>15</v>
      </c>
      <c r="I1256" s="30">
        <v>2.5115740740740741E-3</v>
      </c>
      <c r="J1256">
        <v>3</v>
      </c>
    </row>
    <row r="1257" spans="1:10" x14ac:dyDescent="0.35">
      <c r="A1257" t="s">
        <v>1588</v>
      </c>
      <c r="B1257" t="s">
        <v>323</v>
      </c>
      <c r="C1257" t="s">
        <v>1563</v>
      </c>
      <c r="D1257" s="30">
        <v>0.49700231481481483</v>
      </c>
      <c r="E1257" t="s">
        <v>314</v>
      </c>
      <c r="F1257" t="s">
        <v>299</v>
      </c>
      <c r="G1257" t="s">
        <v>299</v>
      </c>
      <c r="H1257">
        <v>120</v>
      </c>
      <c r="I1257" s="30">
        <v>2.9166666666666668E-3</v>
      </c>
      <c r="J1257">
        <v>2</v>
      </c>
    </row>
    <row r="1258" spans="1:10" x14ac:dyDescent="0.35">
      <c r="A1258" t="s">
        <v>1589</v>
      </c>
      <c r="B1258" t="s">
        <v>323</v>
      </c>
      <c r="C1258" t="s">
        <v>1563</v>
      </c>
      <c r="D1258" s="30">
        <v>0.51</v>
      </c>
      <c r="E1258" t="s">
        <v>298</v>
      </c>
      <c r="F1258" t="s">
        <v>299</v>
      </c>
      <c r="G1258" t="s">
        <v>299</v>
      </c>
      <c r="H1258">
        <v>26</v>
      </c>
      <c r="I1258" s="30">
        <v>2.627314814814815E-3</v>
      </c>
      <c r="J1258">
        <v>3</v>
      </c>
    </row>
    <row r="1259" spans="1:10" x14ac:dyDescent="0.35">
      <c r="A1259" t="s">
        <v>1590</v>
      </c>
      <c r="B1259" t="s">
        <v>296</v>
      </c>
      <c r="C1259" t="s">
        <v>1563</v>
      </c>
      <c r="D1259" s="30">
        <v>0.51</v>
      </c>
      <c r="E1259" t="s">
        <v>309</v>
      </c>
      <c r="F1259" t="s">
        <v>299</v>
      </c>
      <c r="G1259" t="s">
        <v>299</v>
      </c>
      <c r="H1259">
        <v>33</v>
      </c>
      <c r="I1259" s="30">
        <v>1.2037037037037038E-3</v>
      </c>
      <c r="J1259">
        <v>5</v>
      </c>
    </row>
    <row r="1260" spans="1:10" x14ac:dyDescent="0.35">
      <c r="A1260" t="s">
        <v>1591</v>
      </c>
      <c r="B1260" t="s">
        <v>332</v>
      </c>
      <c r="C1260" t="s">
        <v>1563</v>
      </c>
      <c r="D1260" s="30">
        <v>0.53</v>
      </c>
      <c r="E1260" t="s">
        <v>317</v>
      </c>
      <c r="F1260" t="s">
        <v>299</v>
      </c>
      <c r="G1260" t="s">
        <v>299</v>
      </c>
      <c r="H1260">
        <v>18</v>
      </c>
      <c r="I1260" s="30">
        <v>8.564814814814815E-4</v>
      </c>
      <c r="J1260">
        <v>4</v>
      </c>
    </row>
    <row r="1261" spans="1:10" x14ac:dyDescent="0.35">
      <c r="A1261" t="s">
        <v>1592</v>
      </c>
      <c r="B1261" t="s">
        <v>307</v>
      </c>
      <c r="C1261" t="s">
        <v>1563</v>
      </c>
      <c r="D1261" s="30">
        <v>0.53</v>
      </c>
      <c r="E1261" t="s">
        <v>309</v>
      </c>
      <c r="F1261" t="s">
        <v>299</v>
      </c>
      <c r="G1261" t="s">
        <v>299</v>
      </c>
      <c r="H1261">
        <v>29</v>
      </c>
      <c r="I1261" s="30">
        <v>4.1087962962962962E-3</v>
      </c>
      <c r="J1261">
        <v>5</v>
      </c>
    </row>
    <row r="1262" spans="1:10" x14ac:dyDescent="0.35">
      <c r="A1262" t="s">
        <v>1593</v>
      </c>
      <c r="B1262" t="s">
        <v>307</v>
      </c>
      <c r="C1262" t="s">
        <v>1563</v>
      </c>
      <c r="D1262" s="30">
        <v>0.5379976851851852</v>
      </c>
      <c r="E1262" t="s">
        <v>309</v>
      </c>
      <c r="F1262" t="s">
        <v>299</v>
      </c>
      <c r="G1262" t="s">
        <v>299</v>
      </c>
      <c r="H1262">
        <v>89</v>
      </c>
      <c r="I1262" s="30">
        <v>1.0879629629629629E-3</v>
      </c>
      <c r="J1262">
        <v>2</v>
      </c>
    </row>
    <row r="1263" spans="1:10" x14ac:dyDescent="0.35">
      <c r="A1263" t="s">
        <v>1594</v>
      </c>
      <c r="B1263" t="s">
        <v>323</v>
      </c>
      <c r="C1263" t="s">
        <v>1563</v>
      </c>
      <c r="D1263" s="30">
        <v>0.5379976851851852</v>
      </c>
      <c r="E1263" t="s">
        <v>302</v>
      </c>
      <c r="F1263" t="s">
        <v>303</v>
      </c>
      <c r="G1263" t="s">
        <v>303</v>
      </c>
    </row>
    <row r="1264" spans="1:10" x14ac:dyDescent="0.35">
      <c r="A1264" t="s">
        <v>1595</v>
      </c>
      <c r="B1264" t="s">
        <v>296</v>
      </c>
      <c r="C1264" t="s">
        <v>1563</v>
      </c>
      <c r="D1264" s="30">
        <v>0.56499999999999995</v>
      </c>
      <c r="E1264" t="s">
        <v>314</v>
      </c>
      <c r="F1264" t="s">
        <v>299</v>
      </c>
      <c r="G1264" t="s">
        <v>299</v>
      </c>
      <c r="H1264">
        <v>44</v>
      </c>
      <c r="I1264" s="30">
        <v>2.2222222222222222E-3</v>
      </c>
      <c r="J1264">
        <v>5</v>
      </c>
    </row>
    <row r="1265" spans="1:10" x14ac:dyDescent="0.35">
      <c r="A1265" t="s">
        <v>1596</v>
      </c>
      <c r="B1265" t="s">
        <v>296</v>
      </c>
      <c r="C1265" t="s">
        <v>1563</v>
      </c>
      <c r="D1265" s="30">
        <v>0.56499999999999995</v>
      </c>
      <c r="E1265" t="s">
        <v>298</v>
      </c>
      <c r="F1265" t="s">
        <v>299</v>
      </c>
      <c r="G1265" t="s">
        <v>303</v>
      </c>
      <c r="H1265">
        <v>62</v>
      </c>
      <c r="I1265" s="30">
        <v>2.4652777777777776E-3</v>
      </c>
      <c r="J1265">
        <v>4</v>
      </c>
    </row>
    <row r="1266" spans="1:10" x14ac:dyDescent="0.35">
      <c r="A1266" t="s">
        <v>1597</v>
      </c>
      <c r="B1266" t="s">
        <v>332</v>
      </c>
      <c r="C1266" t="s">
        <v>1563</v>
      </c>
      <c r="D1266" s="30">
        <v>0.56799768518518523</v>
      </c>
      <c r="E1266" t="s">
        <v>314</v>
      </c>
      <c r="F1266" t="s">
        <v>299</v>
      </c>
      <c r="G1266" t="s">
        <v>299</v>
      </c>
      <c r="H1266">
        <v>29</v>
      </c>
      <c r="I1266" s="30">
        <v>1.2731481481481483E-3</v>
      </c>
      <c r="J1266">
        <v>5</v>
      </c>
    </row>
    <row r="1267" spans="1:10" x14ac:dyDescent="0.35">
      <c r="A1267" t="s">
        <v>1598</v>
      </c>
      <c r="B1267" t="s">
        <v>319</v>
      </c>
      <c r="C1267" t="s">
        <v>1563</v>
      </c>
      <c r="D1267" s="30">
        <v>0.56799768518518523</v>
      </c>
      <c r="E1267" t="s">
        <v>314</v>
      </c>
      <c r="F1267" t="s">
        <v>299</v>
      </c>
      <c r="G1267" t="s">
        <v>299</v>
      </c>
      <c r="H1267">
        <v>10</v>
      </c>
      <c r="I1267" s="30">
        <v>4.6527777777777774E-3</v>
      </c>
      <c r="J1267">
        <v>5</v>
      </c>
    </row>
    <row r="1268" spans="1:10" x14ac:dyDescent="0.35">
      <c r="A1268" t="s">
        <v>1599</v>
      </c>
      <c r="B1268" t="s">
        <v>332</v>
      </c>
      <c r="C1268" t="s">
        <v>1563</v>
      </c>
      <c r="D1268" s="30">
        <v>0.59299768518518514</v>
      </c>
      <c r="E1268" t="s">
        <v>309</v>
      </c>
      <c r="F1268" t="s">
        <v>299</v>
      </c>
      <c r="G1268" t="s">
        <v>299</v>
      </c>
      <c r="H1268">
        <v>75</v>
      </c>
      <c r="I1268" s="30">
        <v>1.3888888888888889E-3</v>
      </c>
      <c r="J1268">
        <v>4</v>
      </c>
    </row>
    <row r="1269" spans="1:10" x14ac:dyDescent="0.35">
      <c r="A1269" t="s">
        <v>1600</v>
      </c>
      <c r="B1269" t="s">
        <v>323</v>
      </c>
      <c r="C1269" t="s">
        <v>1563</v>
      </c>
      <c r="D1269" s="30">
        <v>0.59299768518518514</v>
      </c>
      <c r="E1269" t="s">
        <v>317</v>
      </c>
      <c r="F1269" t="s">
        <v>303</v>
      </c>
      <c r="G1269" t="s">
        <v>303</v>
      </c>
    </row>
    <row r="1270" spans="1:10" x14ac:dyDescent="0.35">
      <c r="A1270" t="s">
        <v>1601</v>
      </c>
      <c r="B1270" t="s">
        <v>332</v>
      </c>
      <c r="C1270" t="s">
        <v>1563</v>
      </c>
      <c r="D1270" s="30">
        <v>0.62</v>
      </c>
      <c r="E1270" t="s">
        <v>302</v>
      </c>
      <c r="F1270" t="s">
        <v>299</v>
      </c>
      <c r="G1270" t="s">
        <v>299</v>
      </c>
      <c r="H1270">
        <v>33</v>
      </c>
      <c r="I1270" s="30">
        <v>7.6388888888888893E-4</v>
      </c>
      <c r="J1270">
        <v>5</v>
      </c>
    </row>
    <row r="1271" spans="1:10" x14ac:dyDescent="0.35">
      <c r="A1271" t="s">
        <v>1602</v>
      </c>
      <c r="B1271" t="s">
        <v>301</v>
      </c>
      <c r="C1271" t="s">
        <v>1563</v>
      </c>
      <c r="D1271" s="30">
        <v>0.62</v>
      </c>
      <c r="E1271" t="s">
        <v>302</v>
      </c>
      <c r="F1271" t="s">
        <v>303</v>
      </c>
      <c r="G1271" t="s">
        <v>303</v>
      </c>
    </row>
    <row r="1272" spans="1:10" x14ac:dyDescent="0.35">
      <c r="A1272" t="s">
        <v>1603</v>
      </c>
      <c r="B1272" t="s">
        <v>301</v>
      </c>
      <c r="C1272" t="s">
        <v>1563</v>
      </c>
      <c r="D1272" s="30">
        <v>0.66799768518518521</v>
      </c>
      <c r="E1272" t="s">
        <v>309</v>
      </c>
      <c r="F1272" t="s">
        <v>299</v>
      </c>
      <c r="G1272" t="s">
        <v>303</v>
      </c>
      <c r="H1272">
        <v>56</v>
      </c>
      <c r="I1272" s="30">
        <v>1.3657407407407407E-3</v>
      </c>
      <c r="J1272">
        <v>4</v>
      </c>
    </row>
    <row r="1273" spans="1:10" x14ac:dyDescent="0.35">
      <c r="A1273" t="s">
        <v>1604</v>
      </c>
      <c r="B1273" t="s">
        <v>323</v>
      </c>
      <c r="C1273" t="s">
        <v>1563</v>
      </c>
      <c r="D1273" s="30">
        <v>0.66799768518518521</v>
      </c>
      <c r="E1273" t="s">
        <v>314</v>
      </c>
      <c r="F1273" t="s">
        <v>303</v>
      </c>
      <c r="G1273" t="s">
        <v>303</v>
      </c>
    </row>
    <row r="1274" spans="1:10" x14ac:dyDescent="0.35">
      <c r="A1274" t="s">
        <v>1605</v>
      </c>
      <c r="B1274" t="s">
        <v>305</v>
      </c>
      <c r="C1274" t="s">
        <v>1563</v>
      </c>
      <c r="D1274" s="30">
        <v>0.67599537037037039</v>
      </c>
      <c r="E1274" t="s">
        <v>298</v>
      </c>
      <c r="F1274" t="s">
        <v>299</v>
      </c>
      <c r="G1274" t="s">
        <v>303</v>
      </c>
      <c r="H1274">
        <v>31</v>
      </c>
      <c r="I1274" s="30">
        <v>3.5879629629629629E-4</v>
      </c>
      <c r="J1274">
        <v>3</v>
      </c>
    </row>
    <row r="1275" spans="1:10" x14ac:dyDescent="0.35">
      <c r="A1275" t="s">
        <v>1606</v>
      </c>
      <c r="B1275" t="s">
        <v>307</v>
      </c>
      <c r="C1275" t="s">
        <v>1563</v>
      </c>
      <c r="D1275" s="30">
        <v>0.67599537037037039</v>
      </c>
      <c r="E1275" t="s">
        <v>317</v>
      </c>
      <c r="F1275" t="s">
        <v>299</v>
      </c>
      <c r="G1275" t="s">
        <v>299</v>
      </c>
      <c r="H1275">
        <v>56</v>
      </c>
      <c r="I1275" s="30">
        <v>9.2592592592592596E-4</v>
      </c>
      <c r="J1275">
        <v>2</v>
      </c>
    </row>
    <row r="1276" spans="1:10" x14ac:dyDescent="0.35">
      <c r="A1276" t="s">
        <v>1607</v>
      </c>
      <c r="B1276" t="s">
        <v>316</v>
      </c>
      <c r="C1276" t="s">
        <v>1563</v>
      </c>
      <c r="D1276" s="30">
        <v>0.69299768518518523</v>
      </c>
      <c r="E1276" t="s">
        <v>309</v>
      </c>
      <c r="F1276" t="s">
        <v>299</v>
      </c>
      <c r="G1276" t="s">
        <v>299</v>
      </c>
      <c r="H1276">
        <v>53</v>
      </c>
      <c r="I1276" s="30">
        <v>1.1921296296296296E-3</v>
      </c>
      <c r="J1276">
        <v>4</v>
      </c>
    </row>
    <row r="1277" spans="1:10" x14ac:dyDescent="0.35">
      <c r="A1277" t="s">
        <v>1608</v>
      </c>
      <c r="B1277" t="s">
        <v>296</v>
      </c>
      <c r="C1277" t="s">
        <v>1563</v>
      </c>
      <c r="D1277" s="30">
        <v>0.69299768518518523</v>
      </c>
      <c r="E1277" t="s">
        <v>302</v>
      </c>
      <c r="F1277" t="s">
        <v>299</v>
      </c>
      <c r="G1277" t="s">
        <v>299</v>
      </c>
      <c r="H1277">
        <v>12</v>
      </c>
      <c r="I1277" s="30">
        <v>4.0277777777777777E-3</v>
      </c>
      <c r="J1277">
        <v>3</v>
      </c>
    </row>
    <row r="1278" spans="1:10" x14ac:dyDescent="0.35">
      <c r="A1278" t="s">
        <v>1609</v>
      </c>
      <c r="B1278" t="s">
        <v>305</v>
      </c>
      <c r="C1278" t="s">
        <v>1563</v>
      </c>
      <c r="D1278" s="30">
        <v>0.69799768518518523</v>
      </c>
      <c r="E1278" t="s">
        <v>317</v>
      </c>
      <c r="F1278" t="s">
        <v>299</v>
      </c>
      <c r="G1278" t="s">
        <v>299</v>
      </c>
      <c r="H1278">
        <v>53</v>
      </c>
      <c r="I1278" s="30">
        <v>4.2013888888888891E-3</v>
      </c>
      <c r="J1278">
        <v>3</v>
      </c>
    </row>
    <row r="1279" spans="1:10" x14ac:dyDescent="0.35">
      <c r="A1279" t="s">
        <v>1610</v>
      </c>
      <c r="B1279" t="s">
        <v>296</v>
      </c>
      <c r="C1279" t="s">
        <v>1563</v>
      </c>
      <c r="D1279" s="30">
        <v>0.69799768518518523</v>
      </c>
      <c r="E1279" t="s">
        <v>317</v>
      </c>
      <c r="F1279" t="s">
        <v>299</v>
      </c>
      <c r="G1279" t="s">
        <v>299</v>
      </c>
      <c r="H1279">
        <v>116</v>
      </c>
      <c r="I1279" s="30">
        <v>3.449074074074074E-3</v>
      </c>
      <c r="J1279">
        <v>3</v>
      </c>
    </row>
    <row r="1280" spans="1:10" x14ac:dyDescent="0.35">
      <c r="A1280" t="s">
        <v>1611</v>
      </c>
      <c r="B1280" t="s">
        <v>319</v>
      </c>
      <c r="C1280" t="s">
        <v>1563</v>
      </c>
      <c r="D1280" s="30">
        <v>0.72499999999999998</v>
      </c>
      <c r="E1280" t="s">
        <v>309</v>
      </c>
      <c r="F1280" t="s">
        <v>299</v>
      </c>
      <c r="G1280" t="s">
        <v>299</v>
      </c>
      <c r="H1280">
        <v>19</v>
      </c>
      <c r="I1280" s="30">
        <v>8.2175925925925927E-4</v>
      </c>
      <c r="J1280">
        <v>4</v>
      </c>
    </row>
    <row r="1281" spans="1:10" x14ac:dyDescent="0.35">
      <c r="A1281" t="s">
        <v>1612</v>
      </c>
      <c r="B1281" t="s">
        <v>332</v>
      </c>
      <c r="C1281" t="s">
        <v>1563</v>
      </c>
      <c r="D1281" s="30">
        <v>0.72499999999999998</v>
      </c>
      <c r="E1281" t="s">
        <v>298</v>
      </c>
      <c r="F1281" t="s">
        <v>303</v>
      </c>
      <c r="G1281" t="s">
        <v>303</v>
      </c>
    </row>
    <row r="1282" spans="1:10" x14ac:dyDescent="0.35">
      <c r="A1282" t="s">
        <v>1613</v>
      </c>
      <c r="B1282" t="s">
        <v>319</v>
      </c>
      <c r="C1282" t="s">
        <v>1563</v>
      </c>
      <c r="D1282" s="30">
        <v>0.73700231481481482</v>
      </c>
      <c r="E1282" t="s">
        <v>317</v>
      </c>
      <c r="F1282" t="s">
        <v>299</v>
      </c>
      <c r="G1282" t="s">
        <v>299</v>
      </c>
      <c r="H1282">
        <v>74</v>
      </c>
      <c r="I1282" s="30">
        <v>4.0972222222222226E-3</v>
      </c>
      <c r="J1282">
        <v>2</v>
      </c>
    </row>
    <row r="1283" spans="1:10" x14ac:dyDescent="0.35">
      <c r="A1283" t="s">
        <v>1614</v>
      </c>
      <c r="B1283" t="s">
        <v>307</v>
      </c>
      <c r="C1283" t="s">
        <v>1563</v>
      </c>
      <c r="D1283" s="30">
        <v>0.73700231481481482</v>
      </c>
      <c r="E1283" t="s">
        <v>317</v>
      </c>
      <c r="F1283" t="s">
        <v>299</v>
      </c>
      <c r="G1283" t="s">
        <v>299</v>
      </c>
      <c r="H1283">
        <v>85</v>
      </c>
      <c r="I1283" s="30">
        <v>1.8981481481481482E-3</v>
      </c>
      <c r="J1283">
        <v>3</v>
      </c>
    </row>
    <row r="1284" spans="1:10" x14ac:dyDescent="0.35">
      <c r="A1284" t="s">
        <v>1615</v>
      </c>
      <c r="B1284" t="s">
        <v>307</v>
      </c>
      <c r="C1284" t="s">
        <v>1563</v>
      </c>
      <c r="D1284" s="30">
        <v>0.73900462962962965</v>
      </c>
      <c r="E1284" t="s">
        <v>298</v>
      </c>
      <c r="F1284" t="s">
        <v>303</v>
      </c>
      <c r="G1284" t="s">
        <v>303</v>
      </c>
    </row>
    <row r="1285" spans="1:10" x14ac:dyDescent="0.35">
      <c r="A1285" t="s">
        <v>1616</v>
      </c>
      <c r="B1285" t="s">
        <v>305</v>
      </c>
      <c r="C1285" t="s">
        <v>1563</v>
      </c>
      <c r="D1285" s="30">
        <v>0.73900462962962965</v>
      </c>
      <c r="E1285" t="s">
        <v>309</v>
      </c>
      <c r="F1285" t="s">
        <v>303</v>
      </c>
      <c r="G1285" t="s">
        <v>303</v>
      </c>
    </row>
    <row r="1286" spans="1:10" x14ac:dyDescent="0.35">
      <c r="A1286" t="s">
        <v>1617</v>
      </c>
      <c r="B1286" t="s">
        <v>332</v>
      </c>
      <c r="C1286" t="s">
        <v>1618</v>
      </c>
      <c r="D1286" s="30">
        <v>0.37900462962962961</v>
      </c>
      <c r="E1286" t="s">
        <v>309</v>
      </c>
      <c r="F1286" t="s">
        <v>303</v>
      </c>
      <c r="G1286" t="s">
        <v>303</v>
      </c>
    </row>
    <row r="1287" spans="1:10" x14ac:dyDescent="0.35">
      <c r="A1287" t="s">
        <v>1619</v>
      </c>
      <c r="B1287" t="s">
        <v>296</v>
      </c>
      <c r="C1287" t="s">
        <v>1618</v>
      </c>
      <c r="D1287" s="30">
        <v>0.37900462962962961</v>
      </c>
      <c r="E1287" t="s">
        <v>317</v>
      </c>
      <c r="F1287" t="s">
        <v>299</v>
      </c>
      <c r="G1287" t="s">
        <v>299</v>
      </c>
      <c r="H1287">
        <v>48</v>
      </c>
      <c r="I1287" s="30">
        <v>4.5833333333333334E-3</v>
      </c>
      <c r="J1287">
        <v>2</v>
      </c>
    </row>
    <row r="1288" spans="1:10" x14ac:dyDescent="0.35">
      <c r="A1288" t="s">
        <v>1620</v>
      </c>
      <c r="B1288" t="s">
        <v>319</v>
      </c>
      <c r="C1288" t="s">
        <v>1618</v>
      </c>
      <c r="D1288" s="30">
        <v>0.37900462962962961</v>
      </c>
      <c r="E1288" t="s">
        <v>309</v>
      </c>
      <c r="F1288" t="s">
        <v>299</v>
      </c>
      <c r="G1288" t="s">
        <v>299</v>
      </c>
      <c r="H1288">
        <v>57</v>
      </c>
      <c r="I1288" s="30">
        <v>3.1481481481481482E-3</v>
      </c>
      <c r="J1288">
        <v>3</v>
      </c>
    </row>
    <row r="1289" spans="1:10" x14ac:dyDescent="0.35">
      <c r="A1289" t="s">
        <v>1621</v>
      </c>
      <c r="B1289" t="s">
        <v>316</v>
      </c>
      <c r="C1289" t="s">
        <v>1618</v>
      </c>
      <c r="D1289" s="30">
        <v>0.37900462962962961</v>
      </c>
      <c r="E1289" t="s">
        <v>314</v>
      </c>
      <c r="F1289" t="s">
        <v>299</v>
      </c>
      <c r="G1289" t="s">
        <v>303</v>
      </c>
      <c r="H1289">
        <v>116</v>
      </c>
      <c r="I1289" s="30">
        <v>3.5763888888888889E-3</v>
      </c>
      <c r="J1289">
        <v>3</v>
      </c>
    </row>
    <row r="1290" spans="1:10" x14ac:dyDescent="0.35">
      <c r="A1290" t="s">
        <v>1622</v>
      </c>
      <c r="B1290" t="s">
        <v>307</v>
      </c>
      <c r="C1290" t="s">
        <v>1618</v>
      </c>
      <c r="D1290" s="30">
        <v>0.38400462962962961</v>
      </c>
      <c r="E1290" t="s">
        <v>314</v>
      </c>
      <c r="F1290" t="s">
        <v>299</v>
      </c>
      <c r="G1290" t="s">
        <v>299</v>
      </c>
      <c r="H1290">
        <v>21</v>
      </c>
      <c r="I1290" s="30">
        <v>5.7870370370370367E-4</v>
      </c>
      <c r="J1290">
        <v>1</v>
      </c>
    </row>
    <row r="1291" spans="1:10" x14ac:dyDescent="0.35">
      <c r="A1291" t="s">
        <v>1623</v>
      </c>
      <c r="B1291" t="s">
        <v>323</v>
      </c>
      <c r="C1291" t="s">
        <v>1618</v>
      </c>
      <c r="D1291" s="30">
        <v>0.38400462962962961</v>
      </c>
      <c r="E1291" t="s">
        <v>298</v>
      </c>
      <c r="F1291" t="s">
        <v>299</v>
      </c>
      <c r="G1291" t="s">
        <v>299</v>
      </c>
      <c r="H1291">
        <v>87</v>
      </c>
      <c r="I1291" s="30">
        <v>1.5162037037037036E-3</v>
      </c>
      <c r="J1291">
        <v>3</v>
      </c>
    </row>
    <row r="1292" spans="1:10" x14ac:dyDescent="0.35">
      <c r="A1292" t="s">
        <v>1624</v>
      </c>
      <c r="B1292" t="s">
        <v>319</v>
      </c>
      <c r="C1292" t="s">
        <v>1618</v>
      </c>
      <c r="D1292" s="30">
        <v>0.38900462962962962</v>
      </c>
      <c r="E1292" t="s">
        <v>302</v>
      </c>
      <c r="F1292" t="s">
        <v>299</v>
      </c>
      <c r="G1292" t="s">
        <v>299</v>
      </c>
      <c r="H1292">
        <v>42</v>
      </c>
      <c r="I1292" s="30">
        <v>2.7314814814814814E-3</v>
      </c>
      <c r="J1292">
        <v>3</v>
      </c>
    </row>
    <row r="1293" spans="1:10" x14ac:dyDescent="0.35">
      <c r="A1293" t="s">
        <v>1625</v>
      </c>
      <c r="B1293" t="s">
        <v>307</v>
      </c>
      <c r="C1293" t="s">
        <v>1618</v>
      </c>
      <c r="D1293" s="30">
        <v>0.38900462962962962</v>
      </c>
      <c r="E1293" t="s">
        <v>302</v>
      </c>
      <c r="F1293" t="s">
        <v>299</v>
      </c>
      <c r="G1293" t="s">
        <v>299</v>
      </c>
      <c r="H1293">
        <v>86</v>
      </c>
      <c r="I1293" s="30">
        <v>1.0185185185185184E-3</v>
      </c>
      <c r="J1293">
        <v>1</v>
      </c>
    </row>
    <row r="1294" spans="1:10" x14ac:dyDescent="0.35">
      <c r="A1294" t="s">
        <v>1626</v>
      </c>
      <c r="B1294" t="s">
        <v>319</v>
      </c>
      <c r="C1294" t="s">
        <v>1618</v>
      </c>
      <c r="D1294" s="30">
        <v>0.39200231481481479</v>
      </c>
      <c r="E1294" t="s">
        <v>309</v>
      </c>
      <c r="F1294" t="s">
        <v>299</v>
      </c>
      <c r="G1294" t="s">
        <v>299</v>
      </c>
      <c r="H1294">
        <v>95</v>
      </c>
      <c r="I1294" s="30">
        <v>2.1412037037037038E-3</v>
      </c>
      <c r="J1294">
        <v>5</v>
      </c>
    </row>
    <row r="1295" spans="1:10" x14ac:dyDescent="0.35">
      <c r="A1295" t="s">
        <v>1627</v>
      </c>
      <c r="B1295" t="s">
        <v>319</v>
      </c>
      <c r="C1295" t="s">
        <v>1618</v>
      </c>
      <c r="D1295" s="30">
        <v>0.39200231481481479</v>
      </c>
      <c r="E1295" t="s">
        <v>298</v>
      </c>
      <c r="F1295" t="s">
        <v>303</v>
      </c>
      <c r="G1295" t="s">
        <v>303</v>
      </c>
    </row>
    <row r="1296" spans="1:10" x14ac:dyDescent="0.35">
      <c r="A1296" t="s">
        <v>1628</v>
      </c>
      <c r="B1296" t="s">
        <v>316</v>
      </c>
      <c r="C1296" t="s">
        <v>1618</v>
      </c>
      <c r="D1296" s="30">
        <v>0.4129976851851852</v>
      </c>
      <c r="E1296" t="s">
        <v>302</v>
      </c>
      <c r="F1296" t="s">
        <v>299</v>
      </c>
      <c r="G1296" t="s">
        <v>299</v>
      </c>
      <c r="H1296">
        <v>109</v>
      </c>
      <c r="I1296" s="30">
        <v>4.0162037037037041E-3</v>
      </c>
      <c r="J1296">
        <v>3</v>
      </c>
    </row>
    <row r="1297" spans="1:10" x14ac:dyDescent="0.35">
      <c r="A1297" t="s">
        <v>1629</v>
      </c>
      <c r="B1297" t="s">
        <v>307</v>
      </c>
      <c r="C1297" t="s">
        <v>1618</v>
      </c>
      <c r="D1297" s="30">
        <v>0.4129976851851852</v>
      </c>
      <c r="E1297" t="s">
        <v>309</v>
      </c>
      <c r="F1297" t="s">
        <v>303</v>
      </c>
      <c r="G1297" t="s">
        <v>303</v>
      </c>
    </row>
    <row r="1298" spans="1:10" x14ac:dyDescent="0.35">
      <c r="A1298" t="s">
        <v>1630</v>
      </c>
      <c r="B1298" t="s">
        <v>307</v>
      </c>
      <c r="C1298" t="s">
        <v>1618</v>
      </c>
      <c r="D1298" s="30">
        <v>0.41900462962962964</v>
      </c>
      <c r="E1298" t="s">
        <v>314</v>
      </c>
      <c r="F1298" t="s">
        <v>299</v>
      </c>
      <c r="G1298" t="s">
        <v>299</v>
      </c>
      <c r="H1298">
        <v>104</v>
      </c>
      <c r="I1298" s="30">
        <v>3.8773148148148148E-3</v>
      </c>
      <c r="J1298">
        <v>2</v>
      </c>
    </row>
    <row r="1299" spans="1:10" x14ac:dyDescent="0.35">
      <c r="A1299" t="s">
        <v>1631</v>
      </c>
      <c r="B1299" t="s">
        <v>323</v>
      </c>
      <c r="C1299" t="s">
        <v>1618</v>
      </c>
      <c r="D1299" s="30">
        <v>0.41900462962962964</v>
      </c>
      <c r="E1299" t="s">
        <v>309</v>
      </c>
      <c r="F1299" t="s">
        <v>299</v>
      </c>
      <c r="G1299" t="s">
        <v>299</v>
      </c>
      <c r="H1299">
        <v>123</v>
      </c>
      <c r="I1299" s="30">
        <v>1.3310185185185185E-3</v>
      </c>
      <c r="J1299">
        <v>1</v>
      </c>
    </row>
    <row r="1300" spans="1:10" x14ac:dyDescent="0.35">
      <c r="A1300" t="s">
        <v>1632</v>
      </c>
      <c r="B1300" t="s">
        <v>323</v>
      </c>
      <c r="C1300" t="s">
        <v>1618</v>
      </c>
      <c r="D1300" s="30">
        <v>0.42</v>
      </c>
      <c r="E1300" t="s">
        <v>317</v>
      </c>
      <c r="F1300" t="s">
        <v>299</v>
      </c>
      <c r="G1300" t="s">
        <v>299</v>
      </c>
      <c r="H1300">
        <v>72</v>
      </c>
      <c r="I1300" s="30">
        <v>3.5995370370370369E-3</v>
      </c>
      <c r="J1300">
        <v>5</v>
      </c>
    </row>
    <row r="1301" spans="1:10" x14ac:dyDescent="0.35">
      <c r="A1301" t="s">
        <v>1633</v>
      </c>
      <c r="B1301" t="s">
        <v>316</v>
      </c>
      <c r="C1301" t="s">
        <v>1618</v>
      </c>
      <c r="D1301" s="30">
        <v>0.42</v>
      </c>
      <c r="E1301" t="s">
        <v>302</v>
      </c>
      <c r="F1301" t="s">
        <v>303</v>
      </c>
      <c r="G1301" t="s">
        <v>303</v>
      </c>
    </row>
    <row r="1302" spans="1:10" x14ac:dyDescent="0.35">
      <c r="A1302" t="s">
        <v>1634</v>
      </c>
      <c r="B1302" t="s">
        <v>305</v>
      </c>
      <c r="C1302" t="s">
        <v>1618</v>
      </c>
      <c r="D1302" s="30">
        <v>0.42</v>
      </c>
      <c r="E1302" t="s">
        <v>298</v>
      </c>
      <c r="F1302" t="s">
        <v>299</v>
      </c>
      <c r="G1302" t="s">
        <v>303</v>
      </c>
      <c r="H1302">
        <v>28</v>
      </c>
      <c r="I1302" s="30">
        <v>6.018518518518519E-4</v>
      </c>
      <c r="J1302">
        <v>4</v>
      </c>
    </row>
    <row r="1303" spans="1:10" x14ac:dyDescent="0.35">
      <c r="A1303" t="s">
        <v>1635</v>
      </c>
      <c r="B1303" t="s">
        <v>332</v>
      </c>
      <c r="C1303" t="s">
        <v>1618</v>
      </c>
      <c r="D1303" s="30">
        <v>0.42</v>
      </c>
      <c r="E1303" t="s">
        <v>317</v>
      </c>
      <c r="F1303" t="s">
        <v>299</v>
      </c>
      <c r="G1303" t="s">
        <v>299</v>
      </c>
      <c r="H1303">
        <v>124</v>
      </c>
      <c r="I1303" s="30">
        <v>2.2337962962962962E-3</v>
      </c>
      <c r="J1303">
        <v>4</v>
      </c>
    </row>
    <row r="1304" spans="1:10" x14ac:dyDescent="0.35">
      <c r="A1304" t="s">
        <v>1636</v>
      </c>
      <c r="B1304" t="s">
        <v>316</v>
      </c>
      <c r="C1304" t="s">
        <v>1618</v>
      </c>
      <c r="D1304" s="30">
        <v>0.43700231481481483</v>
      </c>
      <c r="E1304" t="s">
        <v>309</v>
      </c>
      <c r="F1304" t="s">
        <v>299</v>
      </c>
      <c r="G1304" t="s">
        <v>299</v>
      </c>
      <c r="H1304">
        <v>16</v>
      </c>
      <c r="I1304" s="30">
        <v>3.1828703703703702E-3</v>
      </c>
      <c r="J1304">
        <v>4</v>
      </c>
    </row>
    <row r="1305" spans="1:10" x14ac:dyDescent="0.35">
      <c r="A1305" t="s">
        <v>1637</v>
      </c>
      <c r="B1305" t="s">
        <v>323</v>
      </c>
      <c r="C1305" t="s">
        <v>1618</v>
      </c>
      <c r="D1305" s="30">
        <v>0.43700231481481483</v>
      </c>
      <c r="E1305" t="s">
        <v>314</v>
      </c>
      <c r="F1305" t="s">
        <v>303</v>
      </c>
      <c r="G1305" t="s">
        <v>303</v>
      </c>
    </row>
    <row r="1306" spans="1:10" x14ac:dyDescent="0.35">
      <c r="A1306" t="s">
        <v>1638</v>
      </c>
      <c r="B1306" t="s">
        <v>319</v>
      </c>
      <c r="C1306" t="s">
        <v>1618</v>
      </c>
      <c r="D1306" s="30">
        <v>0.43900462962962961</v>
      </c>
      <c r="E1306" t="s">
        <v>314</v>
      </c>
      <c r="F1306" t="s">
        <v>299</v>
      </c>
      <c r="G1306" t="s">
        <v>299</v>
      </c>
      <c r="H1306">
        <v>125</v>
      </c>
      <c r="I1306" s="30">
        <v>3.5879629629629629E-4</v>
      </c>
      <c r="J1306">
        <v>3</v>
      </c>
    </row>
    <row r="1307" spans="1:10" x14ac:dyDescent="0.35">
      <c r="A1307" t="s">
        <v>1639</v>
      </c>
      <c r="B1307" t="s">
        <v>301</v>
      </c>
      <c r="C1307" t="s">
        <v>1618</v>
      </c>
      <c r="D1307" s="30">
        <v>0.43900462962962961</v>
      </c>
      <c r="E1307" t="s">
        <v>298</v>
      </c>
      <c r="F1307" t="s">
        <v>303</v>
      </c>
      <c r="G1307" t="s">
        <v>303</v>
      </c>
    </row>
    <row r="1308" spans="1:10" x14ac:dyDescent="0.35">
      <c r="A1308" t="s">
        <v>1640</v>
      </c>
      <c r="B1308" t="s">
        <v>332</v>
      </c>
      <c r="C1308" t="s">
        <v>1618</v>
      </c>
      <c r="D1308" s="30">
        <v>0.46599537037037037</v>
      </c>
      <c r="E1308" t="s">
        <v>298</v>
      </c>
      <c r="F1308" t="s">
        <v>299</v>
      </c>
      <c r="G1308" t="s">
        <v>299</v>
      </c>
      <c r="H1308">
        <v>61</v>
      </c>
      <c r="I1308" s="30">
        <v>2.1412037037037038E-3</v>
      </c>
      <c r="J1308">
        <v>3</v>
      </c>
    </row>
    <row r="1309" spans="1:10" x14ac:dyDescent="0.35">
      <c r="A1309" t="s">
        <v>1641</v>
      </c>
      <c r="B1309" t="s">
        <v>296</v>
      </c>
      <c r="C1309" t="s">
        <v>1618</v>
      </c>
      <c r="D1309" s="30">
        <v>0.46599537037037037</v>
      </c>
      <c r="E1309" t="s">
        <v>317</v>
      </c>
      <c r="F1309" t="s">
        <v>299</v>
      </c>
      <c r="G1309" t="s">
        <v>299</v>
      </c>
      <c r="H1309">
        <v>55</v>
      </c>
      <c r="I1309" s="30">
        <v>4.5138888888888885E-3</v>
      </c>
      <c r="J1309">
        <v>1</v>
      </c>
    </row>
    <row r="1310" spans="1:10" x14ac:dyDescent="0.35">
      <c r="A1310" t="s">
        <v>1642</v>
      </c>
      <c r="B1310" t="s">
        <v>301</v>
      </c>
      <c r="C1310" t="s">
        <v>1618</v>
      </c>
      <c r="D1310" s="30">
        <v>0.48799768518518516</v>
      </c>
      <c r="E1310" t="s">
        <v>302</v>
      </c>
      <c r="F1310" t="s">
        <v>299</v>
      </c>
      <c r="G1310" t="s">
        <v>299</v>
      </c>
      <c r="H1310">
        <v>41</v>
      </c>
      <c r="I1310" s="30">
        <v>2.7083333333333334E-3</v>
      </c>
      <c r="J1310">
        <v>4</v>
      </c>
    </row>
    <row r="1311" spans="1:10" x14ac:dyDescent="0.35">
      <c r="A1311" t="s">
        <v>1643</v>
      </c>
      <c r="B1311" t="s">
        <v>307</v>
      </c>
      <c r="C1311" t="s">
        <v>1618</v>
      </c>
      <c r="D1311" s="30">
        <v>0.48799768518518516</v>
      </c>
      <c r="E1311" t="s">
        <v>298</v>
      </c>
      <c r="F1311" t="s">
        <v>299</v>
      </c>
      <c r="G1311" t="s">
        <v>299</v>
      </c>
      <c r="H1311">
        <v>81</v>
      </c>
      <c r="I1311" s="30">
        <v>4.386574074074074E-3</v>
      </c>
      <c r="J1311">
        <v>3</v>
      </c>
    </row>
    <row r="1312" spans="1:10" x14ac:dyDescent="0.35">
      <c r="A1312" t="s">
        <v>1644</v>
      </c>
      <c r="B1312" t="s">
        <v>305</v>
      </c>
      <c r="C1312" t="s">
        <v>1618</v>
      </c>
      <c r="D1312" s="30">
        <v>0.51500000000000001</v>
      </c>
      <c r="E1312" t="s">
        <v>298</v>
      </c>
      <c r="F1312" t="s">
        <v>299</v>
      </c>
      <c r="G1312" t="s">
        <v>299</v>
      </c>
      <c r="H1312">
        <v>112</v>
      </c>
      <c r="I1312" s="30">
        <v>2.5810185185185185E-3</v>
      </c>
      <c r="J1312">
        <v>3</v>
      </c>
    </row>
    <row r="1313" spans="1:10" x14ac:dyDescent="0.35">
      <c r="A1313" t="s">
        <v>1645</v>
      </c>
      <c r="B1313" t="s">
        <v>296</v>
      </c>
      <c r="C1313" t="s">
        <v>1618</v>
      </c>
      <c r="D1313" s="30">
        <v>0.51500000000000001</v>
      </c>
      <c r="E1313" t="s">
        <v>317</v>
      </c>
      <c r="F1313" t="s">
        <v>299</v>
      </c>
      <c r="G1313" t="s">
        <v>299</v>
      </c>
      <c r="H1313">
        <v>58</v>
      </c>
      <c r="I1313" s="30">
        <v>2.9976851851851853E-3</v>
      </c>
      <c r="J1313">
        <v>4</v>
      </c>
    </row>
    <row r="1314" spans="1:10" x14ac:dyDescent="0.35">
      <c r="A1314" t="s">
        <v>1646</v>
      </c>
      <c r="B1314" t="s">
        <v>316</v>
      </c>
      <c r="C1314" t="s">
        <v>1618</v>
      </c>
      <c r="D1314" s="30">
        <v>0.51799768518518519</v>
      </c>
      <c r="E1314" t="s">
        <v>317</v>
      </c>
      <c r="F1314" t="s">
        <v>299</v>
      </c>
      <c r="G1314" t="s">
        <v>303</v>
      </c>
      <c r="H1314">
        <v>61</v>
      </c>
      <c r="I1314" s="30">
        <v>4.861111111111111E-4</v>
      </c>
      <c r="J1314">
        <v>5</v>
      </c>
    </row>
    <row r="1315" spans="1:10" x14ac:dyDescent="0.35">
      <c r="A1315" t="s">
        <v>1647</v>
      </c>
      <c r="B1315" t="s">
        <v>301</v>
      </c>
      <c r="C1315" t="s">
        <v>1618</v>
      </c>
      <c r="D1315" s="30">
        <v>0.51799768518518519</v>
      </c>
      <c r="E1315" t="s">
        <v>309</v>
      </c>
      <c r="F1315" t="s">
        <v>299</v>
      </c>
      <c r="G1315" t="s">
        <v>299</v>
      </c>
      <c r="H1315">
        <v>51</v>
      </c>
      <c r="I1315" s="30">
        <v>4.6759259259259263E-3</v>
      </c>
      <c r="J1315">
        <v>3</v>
      </c>
    </row>
    <row r="1316" spans="1:10" x14ac:dyDescent="0.35">
      <c r="A1316" t="s">
        <v>1648</v>
      </c>
      <c r="B1316" t="s">
        <v>316</v>
      </c>
      <c r="C1316" t="s">
        <v>1618</v>
      </c>
      <c r="D1316" s="30">
        <v>0.54200231481481487</v>
      </c>
      <c r="E1316" t="s">
        <v>317</v>
      </c>
      <c r="F1316" t="s">
        <v>299</v>
      </c>
      <c r="G1316" t="s">
        <v>299</v>
      </c>
      <c r="H1316">
        <v>102</v>
      </c>
      <c r="I1316" s="30">
        <v>2.7662037037037039E-3</v>
      </c>
      <c r="J1316">
        <v>4</v>
      </c>
    </row>
    <row r="1317" spans="1:10" x14ac:dyDescent="0.35">
      <c r="A1317" t="s">
        <v>1649</v>
      </c>
      <c r="B1317" t="s">
        <v>319</v>
      </c>
      <c r="C1317" t="s">
        <v>1618</v>
      </c>
      <c r="D1317" s="30">
        <v>0.54200231481481487</v>
      </c>
      <c r="E1317" t="s">
        <v>309</v>
      </c>
      <c r="F1317" t="s">
        <v>299</v>
      </c>
      <c r="G1317" t="s">
        <v>299</v>
      </c>
      <c r="H1317">
        <v>19</v>
      </c>
      <c r="I1317" s="30">
        <v>3.9699074074074072E-3</v>
      </c>
      <c r="J1317">
        <v>4</v>
      </c>
    </row>
    <row r="1318" spans="1:10" x14ac:dyDescent="0.35">
      <c r="A1318" t="s">
        <v>1650</v>
      </c>
      <c r="B1318" t="s">
        <v>332</v>
      </c>
      <c r="C1318" t="s">
        <v>1618</v>
      </c>
      <c r="D1318" s="30">
        <v>0.55099537037037039</v>
      </c>
      <c r="E1318" t="s">
        <v>317</v>
      </c>
      <c r="F1318" t="s">
        <v>299</v>
      </c>
      <c r="G1318" t="s">
        <v>299</v>
      </c>
      <c r="H1318">
        <v>33</v>
      </c>
      <c r="I1318" s="30">
        <v>2.1527777777777778E-3</v>
      </c>
      <c r="J1318">
        <v>2</v>
      </c>
    </row>
    <row r="1319" spans="1:10" x14ac:dyDescent="0.35">
      <c r="A1319" t="s">
        <v>1651</v>
      </c>
      <c r="B1319" t="s">
        <v>319</v>
      </c>
      <c r="C1319" t="s">
        <v>1618</v>
      </c>
      <c r="D1319" s="30">
        <v>0.55099537037037039</v>
      </c>
      <c r="E1319" t="s">
        <v>302</v>
      </c>
      <c r="F1319" t="s">
        <v>299</v>
      </c>
      <c r="G1319" t="s">
        <v>299</v>
      </c>
      <c r="H1319">
        <v>113</v>
      </c>
      <c r="I1319" s="30">
        <v>4.2129629629629626E-3</v>
      </c>
      <c r="J1319">
        <v>3</v>
      </c>
    </row>
    <row r="1320" spans="1:10" x14ac:dyDescent="0.35">
      <c r="A1320" t="s">
        <v>1652</v>
      </c>
      <c r="B1320" t="s">
        <v>296</v>
      </c>
      <c r="C1320" t="s">
        <v>1618</v>
      </c>
      <c r="D1320" s="30">
        <v>0.59400462962962963</v>
      </c>
      <c r="E1320" t="s">
        <v>302</v>
      </c>
      <c r="F1320" t="s">
        <v>299</v>
      </c>
      <c r="G1320" t="s">
        <v>299</v>
      </c>
      <c r="H1320">
        <v>28</v>
      </c>
      <c r="I1320" s="30">
        <v>2.662037037037037E-3</v>
      </c>
      <c r="J1320">
        <v>5</v>
      </c>
    </row>
    <row r="1321" spans="1:10" x14ac:dyDescent="0.35">
      <c r="A1321" t="s">
        <v>1653</v>
      </c>
      <c r="B1321" t="s">
        <v>332</v>
      </c>
      <c r="C1321" t="s">
        <v>1618</v>
      </c>
      <c r="D1321" s="30">
        <v>0.59400462962962963</v>
      </c>
      <c r="E1321" t="s">
        <v>302</v>
      </c>
      <c r="F1321" t="s">
        <v>299</v>
      </c>
      <c r="G1321" t="s">
        <v>299</v>
      </c>
      <c r="H1321">
        <v>46</v>
      </c>
      <c r="I1321" s="30">
        <v>3.2754629629629631E-3</v>
      </c>
      <c r="J1321">
        <v>1</v>
      </c>
    </row>
    <row r="1322" spans="1:10" x14ac:dyDescent="0.35">
      <c r="A1322" t="s">
        <v>1654</v>
      </c>
      <c r="B1322" t="s">
        <v>319</v>
      </c>
      <c r="C1322" t="s">
        <v>1618</v>
      </c>
      <c r="D1322" s="30">
        <v>0.61499999999999999</v>
      </c>
      <c r="E1322" t="s">
        <v>302</v>
      </c>
      <c r="F1322" t="s">
        <v>299</v>
      </c>
      <c r="G1322" t="s">
        <v>299</v>
      </c>
      <c r="H1322">
        <v>76</v>
      </c>
      <c r="I1322" s="30">
        <v>7.9861111111111116E-4</v>
      </c>
      <c r="J1322">
        <v>3</v>
      </c>
    </row>
    <row r="1323" spans="1:10" x14ac:dyDescent="0.35">
      <c r="A1323" t="s">
        <v>1655</v>
      </c>
      <c r="B1323" t="s">
        <v>296</v>
      </c>
      <c r="C1323" t="s">
        <v>1618</v>
      </c>
      <c r="D1323" s="30">
        <v>0.61499999999999999</v>
      </c>
      <c r="E1323" t="s">
        <v>302</v>
      </c>
      <c r="F1323" t="s">
        <v>299</v>
      </c>
      <c r="G1323" t="s">
        <v>299</v>
      </c>
      <c r="H1323">
        <v>124</v>
      </c>
      <c r="I1323" s="30">
        <v>2.1875000000000002E-3</v>
      </c>
      <c r="J1323">
        <v>2</v>
      </c>
    </row>
    <row r="1324" spans="1:10" x14ac:dyDescent="0.35">
      <c r="A1324" t="s">
        <v>1656</v>
      </c>
      <c r="B1324" t="s">
        <v>323</v>
      </c>
      <c r="C1324" t="s">
        <v>1618</v>
      </c>
      <c r="D1324" s="30">
        <v>0.61599537037037033</v>
      </c>
      <c r="E1324" t="s">
        <v>302</v>
      </c>
      <c r="F1324" t="s">
        <v>299</v>
      </c>
      <c r="G1324" t="s">
        <v>299</v>
      </c>
      <c r="H1324">
        <v>96</v>
      </c>
      <c r="I1324" s="30">
        <v>3.1250000000000002E-3</v>
      </c>
      <c r="J1324">
        <v>2</v>
      </c>
    </row>
    <row r="1325" spans="1:10" x14ac:dyDescent="0.35">
      <c r="A1325" t="s">
        <v>1657</v>
      </c>
      <c r="B1325" t="s">
        <v>307</v>
      </c>
      <c r="C1325" t="s">
        <v>1618</v>
      </c>
      <c r="D1325" s="30">
        <v>0.61599537037037033</v>
      </c>
      <c r="E1325" t="s">
        <v>317</v>
      </c>
      <c r="F1325" t="s">
        <v>299</v>
      </c>
      <c r="G1325" t="s">
        <v>303</v>
      </c>
      <c r="H1325">
        <v>110</v>
      </c>
      <c r="I1325" s="30">
        <v>3.5069444444444445E-3</v>
      </c>
      <c r="J1325">
        <v>5</v>
      </c>
    </row>
    <row r="1326" spans="1:10" x14ac:dyDescent="0.35">
      <c r="A1326" t="s">
        <v>1658</v>
      </c>
      <c r="B1326" t="s">
        <v>332</v>
      </c>
      <c r="C1326" t="s">
        <v>1618</v>
      </c>
      <c r="D1326" s="30">
        <v>0.65900462962962958</v>
      </c>
      <c r="E1326" t="s">
        <v>309</v>
      </c>
      <c r="F1326" t="s">
        <v>299</v>
      </c>
      <c r="G1326" t="s">
        <v>299</v>
      </c>
      <c r="H1326">
        <v>116</v>
      </c>
      <c r="I1326" s="30">
        <v>2.5347222222222221E-3</v>
      </c>
      <c r="J1326">
        <v>5</v>
      </c>
    </row>
    <row r="1327" spans="1:10" x14ac:dyDescent="0.35">
      <c r="A1327" t="s">
        <v>1659</v>
      </c>
      <c r="B1327" t="s">
        <v>332</v>
      </c>
      <c r="C1327" t="s">
        <v>1618</v>
      </c>
      <c r="D1327" s="30">
        <v>0.65900462962962958</v>
      </c>
      <c r="E1327" t="s">
        <v>309</v>
      </c>
      <c r="F1327" t="s">
        <v>299</v>
      </c>
      <c r="G1327" t="s">
        <v>299</v>
      </c>
      <c r="H1327">
        <v>14</v>
      </c>
      <c r="I1327" s="30">
        <v>4.2939814814814811E-3</v>
      </c>
      <c r="J1327">
        <v>5</v>
      </c>
    </row>
    <row r="1328" spans="1:10" x14ac:dyDescent="0.35">
      <c r="A1328" t="s">
        <v>1660</v>
      </c>
      <c r="B1328" t="s">
        <v>305</v>
      </c>
      <c r="C1328" t="s">
        <v>1618</v>
      </c>
      <c r="D1328" s="30">
        <v>0.66599537037037038</v>
      </c>
      <c r="E1328" t="s">
        <v>314</v>
      </c>
      <c r="F1328" t="s">
        <v>299</v>
      </c>
      <c r="G1328" t="s">
        <v>299</v>
      </c>
      <c r="H1328">
        <v>53</v>
      </c>
      <c r="I1328" s="30">
        <v>4.178240740740741E-3</v>
      </c>
      <c r="J1328">
        <v>4</v>
      </c>
    </row>
    <row r="1329" spans="1:10" x14ac:dyDescent="0.35">
      <c r="A1329" t="s">
        <v>1661</v>
      </c>
      <c r="B1329" t="s">
        <v>319</v>
      </c>
      <c r="C1329" t="s">
        <v>1618</v>
      </c>
      <c r="D1329" s="30">
        <v>0.66599537037037038</v>
      </c>
      <c r="E1329" t="s">
        <v>317</v>
      </c>
      <c r="F1329" t="s">
        <v>299</v>
      </c>
      <c r="G1329" t="s">
        <v>299</v>
      </c>
      <c r="H1329">
        <v>37</v>
      </c>
      <c r="I1329" s="30">
        <v>3.3449074074074076E-3</v>
      </c>
      <c r="J1329">
        <v>2</v>
      </c>
    </row>
    <row r="1330" spans="1:10" x14ac:dyDescent="0.35">
      <c r="A1330" t="s">
        <v>1662</v>
      </c>
      <c r="B1330" t="s">
        <v>307</v>
      </c>
      <c r="C1330" t="s">
        <v>1618</v>
      </c>
      <c r="D1330" s="30">
        <v>0.66799768518518521</v>
      </c>
      <c r="E1330" t="s">
        <v>314</v>
      </c>
      <c r="F1330" t="s">
        <v>299</v>
      </c>
      <c r="G1330" t="s">
        <v>299</v>
      </c>
      <c r="H1330">
        <v>68</v>
      </c>
      <c r="I1330" s="30">
        <v>4.9768518518518521E-4</v>
      </c>
      <c r="J1330">
        <v>1</v>
      </c>
    </row>
    <row r="1331" spans="1:10" x14ac:dyDescent="0.35">
      <c r="A1331" t="s">
        <v>1663</v>
      </c>
      <c r="B1331" t="s">
        <v>307</v>
      </c>
      <c r="C1331" t="s">
        <v>1618</v>
      </c>
      <c r="D1331" s="30">
        <v>0.66799768518518521</v>
      </c>
      <c r="E1331" t="s">
        <v>317</v>
      </c>
      <c r="F1331" t="s">
        <v>299</v>
      </c>
      <c r="G1331" t="s">
        <v>299</v>
      </c>
      <c r="H1331">
        <v>43</v>
      </c>
      <c r="I1331" s="30">
        <v>2.1990740740740742E-3</v>
      </c>
      <c r="J1331">
        <v>3</v>
      </c>
    </row>
    <row r="1332" spans="1:10" x14ac:dyDescent="0.35">
      <c r="A1332" t="s">
        <v>1664</v>
      </c>
      <c r="B1332" t="s">
        <v>307</v>
      </c>
      <c r="C1332" t="s">
        <v>1618</v>
      </c>
      <c r="D1332" s="30">
        <v>0.69799768518518523</v>
      </c>
      <c r="E1332" t="s">
        <v>302</v>
      </c>
      <c r="F1332" t="s">
        <v>299</v>
      </c>
      <c r="G1332" t="s">
        <v>299</v>
      </c>
      <c r="H1332">
        <v>19</v>
      </c>
      <c r="I1332" s="30">
        <v>1.6319444444444445E-3</v>
      </c>
      <c r="J1332">
        <v>3</v>
      </c>
    </row>
    <row r="1333" spans="1:10" x14ac:dyDescent="0.35">
      <c r="A1333" t="s">
        <v>1665</v>
      </c>
      <c r="B1333" t="s">
        <v>305</v>
      </c>
      <c r="C1333" t="s">
        <v>1618</v>
      </c>
      <c r="D1333" s="30">
        <v>0.69799768518518523</v>
      </c>
      <c r="E1333" t="s">
        <v>302</v>
      </c>
      <c r="F1333" t="s">
        <v>299</v>
      </c>
      <c r="G1333" t="s">
        <v>299</v>
      </c>
      <c r="H1333">
        <v>47</v>
      </c>
      <c r="I1333" s="30">
        <v>3.0787037037037037E-3</v>
      </c>
      <c r="J1333">
        <v>3</v>
      </c>
    </row>
    <row r="1334" spans="1:10" x14ac:dyDescent="0.35">
      <c r="A1334" t="s">
        <v>1666</v>
      </c>
      <c r="B1334" t="s">
        <v>301</v>
      </c>
      <c r="C1334" t="s">
        <v>1618</v>
      </c>
      <c r="D1334" s="30">
        <v>0.72</v>
      </c>
      <c r="E1334" t="s">
        <v>298</v>
      </c>
      <c r="F1334" t="s">
        <v>303</v>
      </c>
      <c r="G1334" t="s">
        <v>303</v>
      </c>
    </row>
    <row r="1335" spans="1:10" x14ac:dyDescent="0.35">
      <c r="A1335" t="s">
        <v>1667</v>
      </c>
      <c r="B1335" t="s">
        <v>307</v>
      </c>
      <c r="C1335" t="s">
        <v>1618</v>
      </c>
      <c r="D1335" s="30">
        <v>0.72</v>
      </c>
      <c r="E1335" t="s">
        <v>309</v>
      </c>
      <c r="F1335" t="s">
        <v>299</v>
      </c>
      <c r="G1335" t="s">
        <v>299</v>
      </c>
      <c r="H1335">
        <v>84</v>
      </c>
      <c r="I1335" s="30">
        <v>4.409722222222222E-3</v>
      </c>
      <c r="J1335">
        <v>4</v>
      </c>
    </row>
    <row r="1336" spans="1:10" x14ac:dyDescent="0.35">
      <c r="A1336" t="s">
        <v>1668</v>
      </c>
      <c r="B1336" t="s">
        <v>316</v>
      </c>
      <c r="C1336" t="s">
        <v>1618</v>
      </c>
      <c r="D1336" s="30">
        <v>0.72599537037037032</v>
      </c>
      <c r="E1336" t="s">
        <v>309</v>
      </c>
      <c r="F1336" t="s">
        <v>299</v>
      </c>
      <c r="G1336" t="s">
        <v>299</v>
      </c>
      <c r="H1336">
        <v>17</v>
      </c>
      <c r="I1336" s="30">
        <v>1.7939814814814815E-3</v>
      </c>
      <c r="J1336">
        <v>1</v>
      </c>
    </row>
    <row r="1337" spans="1:10" x14ac:dyDescent="0.35">
      <c r="A1337" t="s">
        <v>1669</v>
      </c>
      <c r="B1337" t="s">
        <v>301</v>
      </c>
      <c r="C1337" t="s">
        <v>1618</v>
      </c>
      <c r="D1337" s="30">
        <v>0.72599537037037032</v>
      </c>
      <c r="E1337" t="s">
        <v>309</v>
      </c>
      <c r="F1337" t="s">
        <v>299</v>
      </c>
      <c r="G1337" t="s">
        <v>299</v>
      </c>
      <c r="H1337">
        <v>116</v>
      </c>
      <c r="I1337" s="30">
        <v>8.9120370370370373E-4</v>
      </c>
      <c r="J1337">
        <v>4</v>
      </c>
    </row>
    <row r="1338" spans="1:10" x14ac:dyDescent="0.35">
      <c r="A1338" t="s">
        <v>1670</v>
      </c>
      <c r="B1338" t="s">
        <v>296</v>
      </c>
      <c r="C1338" t="s">
        <v>1618</v>
      </c>
      <c r="D1338" s="30">
        <v>0.74599537037037034</v>
      </c>
      <c r="E1338" t="s">
        <v>314</v>
      </c>
      <c r="F1338" t="s">
        <v>299</v>
      </c>
      <c r="G1338" t="s">
        <v>299</v>
      </c>
      <c r="H1338">
        <v>22</v>
      </c>
      <c r="I1338" s="30">
        <v>1.2268518518518518E-3</v>
      </c>
      <c r="J1338">
        <v>4</v>
      </c>
    </row>
    <row r="1339" spans="1:10" x14ac:dyDescent="0.35">
      <c r="A1339" t="s">
        <v>1671</v>
      </c>
      <c r="B1339" t="s">
        <v>316</v>
      </c>
      <c r="C1339" t="s">
        <v>1618</v>
      </c>
      <c r="D1339" s="30">
        <v>0.74599537037037034</v>
      </c>
      <c r="E1339" t="s">
        <v>302</v>
      </c>
      <c r="F1339" t="s">
        <v>299</v>
      </c>
      <c r="G1339" t="s">
        <v>299</v>
      </c>
      <c r="H1339">
        <v>10</v>
      </c>
      <c r="I1339" s="30">
        <v>4.31712962962963E-3</v>
      </c>
      <c r="J1339">
        <v>4</v>
      </c>
    </row>
    <row r="1340" spans="1:10" x14ac:dyDescent="0.35">
      <c r="A1340" t="s">
        <v>1672</v>
      </c>
      <c r="B1340" t="s">
        <v>332</v>
      </c>
      <c r="C1340" t="s">
        <v>1673</v>
      </c>
      <c r="D1340" s="30">
        <v>0.38599537037037035</v>
      </c>
      <c r="E1340" t="s">
        <v>317</v>
      </c>
      <c r="F1340" t="s">
        <v>299</v>
      </c>
      <c r="G1340" t="s">
        <v>299</v>
      </c>
      <c r="H1340">
        <v>76</v>
      </c>
      <c r="I1340" s="30">
        <v>1.0648148148148149E-3</v>
      </c>
      <c r="J1340">
        <v>4</v>
      </c>
    </row>
    <row r="1341" spans="1:10" x14ac:dyDescent="0.35">
      <c r="A1341" t="s">
        <v>1674</v>
      </c>
      <c r="B1341" t="s">
        <v>319</v>
      </c>
      <c r="C1341" t="s">
        <v>1673</v>
      </c>
      <c r="D1341" s="30">
        <v>0.38599537037037035</v>
      </c>
      <c r="E1341" t="s">
        <v>309</v>
      </c>
      <c r="F1341" t="s">
        <v>299</v>
      </c>
      <c r="G1341" t="s">
        <v>299</v>
      </c>
      <c r="H1341">
        <v>104</v>
      </c>
      <c r="I1341" s="30">
        <v>4.5833333333333334E-3</v>
      </c>
      <c r="J1341">
        <v>4</v>
      </c>
    </row>
    <row r="1342" spans="1:10" x14ac:dyDescent="0.35">
      <c r="A1342" t="s">
        <v>1675</v>
      </c>
      <c r="B1342" t="s">
        <v>316</v>
      </c>
      <c r="C1342" t="s">
        <v>1673</v>
      </c>
      <c r="D1342" s="30">
        <v>0.39299768518518519</v>
      </c>
      <c r="E1342" t="s">
        <v>317</v>
      </c>
      <c r="F1342" t="s">
        <v>299</v>
      </c>
      <c r="G1342" t="s">
        <v>299</v>
      </c>
      <c r="H1342">
        <v>44</v>
      </c>
      <c r="I1342" s="30">
        <v>4.7453703703703703E-3</v>
      </c>
      <c r="J1342">
        <v>3</v>
      </c>
    </row>
    <row r="1343" spans="1:10" x14ac:dyDescent="0.35">
      <c r="A1343" t="s">
        <v>1676</v>
      </c>
      <c r="B1343" t="s">
        <v>316</v>
      </c>
      <c r="C1343" t="s">
        <v>1673</v>
      </c>
      <c r="D1343" s="30">
        <v>0.39299768518518519</v>
      </c>
      <c r="E1343" t="s">
        <v>314</v>
      </c>
      <c r="F1343" t="s">
        <v>299</v>
      </c>
      <c r="G1343" t="s">
        <v>299</v>
      </c>
      <c r="H1343">
        <v>24</v>
      </c>
      <c r="I1343" s="30">
        <v>2.5462962962962965E-3</v>
      </c>
      <c r="J1343">
        <v>5</v>
      </c>
    </row>
    <row r="1344" spans="1:10" x14ac:dyDescent="0.35">
      <c r="A1344" t="s">
        <v>1677</v>
      </c>
      <c r="B1344" t="s">
        <v>332</v>
      </c>
      <c r="C1344" t="s">
        <v>1673</v>
      </c>
      <c r="D1344" s="30">
        <v>0.39799768518518519</v>
      </c>
      <c r="E1344" t="s">
        <v>302</v>
      </c>
      <c r="F1344" t="s">
        <v>299</v>
      </c>
      <c r="G1344" t="s">
        <v>299</v>
      </c>
      <c r="H1344">
        <v>40</v>
      </c>
      <c r="I1344" s="30">
        <v>4.8263888888888887E-3</v>
      </c>
      <c r="J1344">
        <v>3</v>
      </c>
    </row>
    <row r="1345" spans="1:10" x14ac:dyDescent="0.35">
      <c r="A1345" t="s">
        <v>1678</v>
      </c>
      <c r="B1345" t="s">
        <v>301</v>
      </c>
      <c r="C1345" t="s">
        <v>1673</v>
      </c>
      <c r="D1345" s="30">
        <v>0.39799768518518519</v>
      </c>
      <c r="E1345" t="s">
        <v>309</v>
      </c>
      <c r="F1345" t="s">
        <v>299</v>
      </c>
      <c r="G1345" t="s">
        <v>299</v>
      </c>
      <c r="H1345">
        <v>57</v>
      </c>
      <c r="I1345" s="30">
        <v>3.9930555555555552E-3</v>
      </c>
      <c r="J1345">
        <v>4</v>
      </c>
    </row>
    <row r="1346" spans="1:10" x14ac:dyDescent="0.35">
      <c r="A1346" t="s">
        <v>1679</v>
      </c>
      <c r="B1346" t="s">
        <v>305</v>
      </c>
      <c r="C1346" t="s">
        <v>1673</v>
      </c>
      <c r="D1346" s="30">
        <v>0.40099537037037036</v>
      </c>
      <c r="E1346" t="s">
        <v>302</v>
      </c>
      <c r="F1346" t="s">
        <v>299</v>
      </c>
      <c r="G1346" t="s">
        <v>299</v>
      </c>
      <c r="H1346">
        <v>19</v>
      </c>
      <c r="I1346" s="30">
        <v>4.43287037037037E-3</v>
      </c>
      <c r="J1346">
        <v>3</v>
      </c>
    </row>
    <row r="1347" spans="1:10" x14ac:dyDescent="0.35">
      <c r="A1347" t="s">
        <v>1680</v>
      </c>
      <c r="B1347" t="s">
        <v>323</v>
      </c>
      <c r="C1347" t="s">
        <v>1673</v>
      </c>
      <c r="D1347" s="30">
        <v>0.40099537037037036</v>
      </c>
      <c r="E1347" t="s">
        <v>317</v>
      </c>
      <c r="F1347" t="s">
        <v>299</v>
      </c>
      <c r="G1347" t="s">
        <v>299</v>
      </c>
      <c r="H1347">
        <v>55</v>
      </c>
      <c r="I1347" s="30">
        <v>4.5717592592592589E-3</v>
      </c>
      <c r="J1347">
        <v>3</v>
      </c>
    </row>
    <row r="1348" spans="1:10" x14ac:dyDescent="0.35">
      <c r="A1348" t="s">
        <v>1681</v>
      </c>
      <c r="B1348" t="s">
        <v>323</v>
      </c>
      <c r="C1348" t="s">
        <v>1673</v>
      </c>
      <c r="D1348" s="30">
        <v>0.42400462962962965</v>
      </c>
      <c r="E1348" t="s">
        <v>298</v>
      </c>
      <c r="F1348" t="s">
        <v>299</v>
      </c>
      <c r="G1348" t="s">
        <v>299</v>
      </c>
      <c r="H1348">
        <v>102</v>
      </c>
      <c r="I1348" s="30">
        <v>3.6226851851851854E-3</v>
      </c>
      <c r="J1348">
        <v>5</v>
      </c>
    </row>
    <row r="1349" spans="1:10" x14ac:dyDescent="0.35">
      <c r="A1349" t="s">
        <v>1682</v>
      </c>
      <c r="B1349" t="s">
        <v>319</v>
      </c>
      <c r="C1349" t="s">
        <v>1673</v>
      </c>
      <c r="D1349" s="30">
        <v>0.42400462962962965</v>
      </c>
      <c r="E1349" t="s">
        <v>309</v>
      </c>
      <c r="F1349" t="s">
        <v>299</v>
      </c>
      <c r="G1349" t="s">
        <v>303</v>
      </c>
      <c r="H1349">
        <v>123</v>
      </c>
      <c r="I1349" s="30">
        <v>4.3981481481481481E-4</v>
      </c>
      <c r="J1349">
        <v>3</v>
      </c>
    </row>
    <row r="1350" spans="1:10" x14ac:dyDescent="0.35">
      <c r="A1350" t="s">
        <v>1683</v>
      </c>
      <c r="B1350" t="s">
        <v>296</v>
      </c>
      <c r="C1350" t="s">
        <v>1673</v>
      </c>
      <c r="D1350" s="30">
        <v>0.43599537037037039</v>
      </c>
      <c r="E1350" t="s">
        <v>314</v>
      </c>
      <c r="F1350" t="s">
        <v>303</v>
      </c>
      <c r="G1350" t="s">
        <v>303</v>
      </c>
    </row>
    <row r="1351" spans="1:10" x14ac:dyDescent="0.35">
      <c r="A1351" t="s">
        <v>1684</v>
      </c>
      <c r="B1351" t="s">
        <v>319</v>
      </c>
      <c r="C1351" t="s">
        <v>1673</v>
      </c>
      <c r="D1351" s="30">
        <v>0.43599537037037039</v>
      </c>
      <c r="E1351" t="s">
        <v>298</v>
      </c>
      <c r="F1351" t="s">
        <v>303</v>
      </c>
      <c r="G1351" t="s">
        <v>303</v>
      </c>
    </row>
    <row r="1352" spans="1:10" x14ac:dyDescent="0.35">
      <c r="A1352" t="s">
        <v>1685</v>
      </c>
      <c r="B1352" t="s">
        <v>319</v>
      </c>
      <c r="C1352" t="s">
        <v>1673</v>
      </c>
      <c r="D1352" s="30">
        <v>0.44599537037037035</v>
      </c>
      <c r="E1352" t="s">
        <v>317</v>
      </c>
      <c r="F1352" t="s">
        <v>299</v>
      </c>
      <c r="G1352" t="s">
        <v>299</v>
      </c>
      <c r="H1352">
        <v>115</v>
      </c>
      <c r="I1352" s="30">
        <v>4.1435185185185186E-3</v>
      </c>
      <c r="J1352">
        <v>4</v>
      </c>
    </row>
    <row r="1353" spans="1:10" x14ac:dyDescent="0.35">
      <c r="A1353" t="s">
        <v>1686</v>
      </c>
      <c r="B1353" t="s">
        <v>332</v>
      </c>
      <c r="C1353" t="s">
        <v>1673</v>
      </c>
      <c r="D1353" s="30">
        <v>0.44599537037037035</v>
      </c>
      <c r="E1353" t="s">
        <v>302</v>
      </c>
      <c r="F1353" t="s">
        <v>299</v>
      </c>
      <c r="G1353" t="s">
        <v>299</v>
      </c>
      <c r="H1353">
        <v>53</v>
      </c>
      <c r="I1353" s="30">
        <v>4.2245370370370371E-3</v>
      </c>
      <c r="J1353">
        <v>5</v>
      </c>
    </row>
    <row r="1354" spans="1:10" x14ac:dyDescent="0.35">
      <c r="A1354" t="s">
        <v>1687</v>
      </c>
      <c r="B1354" t="s">
        <v>296</v>
      </c>
      <c r="C1354" t="s">
        <v>1673</v>
      </c>
      <c r="D1354" s="30">
        <v>0.46099537037037036</v>
      </c>
      <c r="E1354" t="s">
        <v>302</v>
      </c>
      <c r="F1354" t="s">
        <v>299</v>
      </c>
      <c r="G1354" t="s">
        <v>299</v>
      </c>
      <c r="H1354">
        <v>61</v>
      </c>
      <c r="I1354" s="30">
        <v>1.4467592592592592E-3</v>
      </c>
      <c r="J1354">
        <v>5</v>
      </c>
    </row>
    <row r="1355" spans="1:10" x14ac:dyDescent="0.35">
      <c r="A1355" t="s">
        <v>1688</v>
      </c>
      <c r="B1355" t="s">
        <v>296</v>
      </c>
      <c r="C1355" t="s">
        <v>1673</v>
      </c>
      <c r="D1355" s="30">
        <v>0.46099537037037036</v>
      </c>
      <c r="E1355" t="s">
        <v>302</v>
      </c>
      <c r="F1355" t="s">
        <v>299</v>
      </c>
      <c r="G1355" t="s">
        <v>299</v>
      </c>
      <c r="H1355">
        <v>99</v>
      </c>
      <c r="I1355" s="30">
        <v>3.8541666666666668E-3</v>
      </c>
      <c r="J1355">
        <v>5</v>
      </c>
    </row>
    <row r="1356" spans="1:10" x14ac:dyDescent="0.35">
      <c r="A1356" t="s">
        <v>1689</v>
      </c>
      <c r="B1356" t="s">
        <v>307</v>
      </c>
      <c r="C1356" t="s">
        <v>1673</v>
      </c>
      <c r="D1356" s="30">
        <v>0.48799768518518516</v>
      </c>
      <c r="E1356" t="s">
        <v>314</v>
      </c>
      <c r="F1356" t="s">
        <v>303</v>
      </c>
      <c r="G1356" t="s">
        <v>303</v>
      </c>
    </row>
    <row r="1357" spans="1:10" x14ac:dyDescent="0.35">
      <c r="A1357" t="s">
        <v>1690</v>
      </c>
      <c r="B1357" t="s">
        <v>307</v>
      </c>
      <c r="C1357" t="s">
        <v>1673</v>
      </c>
      <c r="D1357" s="30">
        <v>0.48799768518518516</v>
      </c>
      <c r="E1357" t="s">
        <v>309</v>
      </c>
      <c r="F1357" t="s">
        <v>299</v>
      </c>
      <c r="G1357" t="s">
        <v>303</v>
      </c>
      <c r="H1357">
        <v>57</v>
      </c>
      <c r="I1357" s="30">
        <v>1.6898148148148148E-3</v>
      </c>
      <c r="J1357">
        <v>3</v>
      </c>
    </row>
    <row r="1358" spans="1:10" x14ac:dyDescent="0.35">
      <c r="A1358" t="s">
        <v>1691</v>
      </c>
      <c r="B1358" t="s">
        <v>296</v>
      </c>
      <c r="C1358" t="s">
        <v>1673</v>
      </c>
      <c r="D1358" s="30">
        <v>0.49200231481481482</v>
      </c>
      <c r="E1358" t="s">
        <v>298</v>
      </c>
      <c r="F1358" t="s">
        <v>299</v>
      </c>
      <c r="G1358" t="s">
        <v>299</v>
      </c>
      <c r="H1358">
        <v>24</v>
      </c>
      <c r="I1358" s="30">
        <v>3.2754629629629631E-3</v>
      </c>
      <c r="J1358">
        <v>3</v>
      </c>
    </row>
    <row r="1359" spans="1:10" x14ac:dyDescent="0.35">
      <c r="A1359" t="s">
        <v>1692</v>
      </c>
      <c r="B1359" t="s">
        <v>305</v>
      </c>
      <c r="C1359" t="s">
        <v>1673</v>
      </c>
      <c r="D1359" s="30">
        <v>0.49200231481481482</v>
      </c>
      <c r="E1359" t="s">
        <v>298</v>
      </c>
      <c r="F1359" t="s">
        <v>299</v>
      </c>
      <c r="G1359" t="s">
        <v>299</v>
      </c>
      <c r="H1359">
        <v>75</v>
      </c>
      <c r="I1359" s="30">
        <v>1.1921296296296296E-3</v>
      </c>
      <c r="J1359">
        <v>4</v>
      </c>
    </row>
    <row r="1360" spans="1:10" x14ac:dyDescent="0.35">
      <c r="A1360" t="s">
        <v>1693</v>
      </c>
      <c r="B1360" t="s">
        <v>319</v>
      </c>
      <c r="C1360" t="s">
        <v>1673</v>
      </c>
      <c r="D1360" s="30">
        <v>0.49599537037037039</v>
      </c>
      <c r="E1360" t="s">
        <v>298</v>
      </c>
      <c r="F1360" t="s">
        <v>299</v>
      </c>
      <c r="G1360" t="s">
        <v>299</v>
      </c>
      <c r="H1360">
        <v>72</v>
      </c>
      <c r="I1360" s="30">
        <v>3.8310185185185183E-3</v>
      </c>
      <c r="J1360">
        <v>4</v>
      </c>
    </row>
    <row r="1361" spans="1:10" x14ac:dyDescent="0.35">
      <c r="A1361" t="s">
        <v>1694</v>
      </c>
      <c r="B1361" t="s">
        <v>305</v>
      </c>
      <c r="C1361" t="s">
        <v>1673</v>
      </c>
      <c r="D1361" s="30">
        <v>0.49599537037037039</v>
      </c>
      <c r="E1361" t="s">
        <v>309</v>
      </c>
      <c r="F1361" t="s">
        <v>299</v>
      </c>
      <c r="G1361" t="s">
        <v>299</v>
      </c>
      <c r="H1361">
        <v>73</v>
      </c>
      <c r="I1361" s="30">
        <v>2.2453703703703702E-3</v>
      </c>
      <c r="J1361">
        <v>4</v>
      </c>
    </row>
    <row r="1362" spans="1:10" x14ac:dyDescent="0.35">
      <c r="A1362" t="s">
        <v>1695</v>
      </c>
      <c r="B1362" t="s">
        <v>323</v>
      </c>
      <c r="C1362" t="s">
        <v>1673</v>
      </c>
      <c r="D1362" s="30">
        <v>0.49599537037037039</v>
      </c>
      <c r="E1362" t="s">
        <v>309</v>
      </c>
      <c r="F1362" t="s">
        <v>299</v>
      </c>
      <c r="G1362" t="s">
        <v>303</v>
      </c>
      <c r="H1362">
        <v>105</v>
      </c>
      <c r="I1362" s="30">
        <v>2.1412037037037038E-3</v>
      </c>
      <c r="J1362">
        <v>4</v>
      </c>
    </row>
    <row r="1363" spans="1:10" x14ac:dyDescent="0.35">
      <c r="A1363" t="s">
        <v>1696</v>
      </c>
      <c r="B1363" t="s">
        <v>307</v>
      </c>
      <c r="C1363" t="s">
        <v>1673</v>
      </c>
      <c r="D1363" s="30">
        <v>0.49599537037037039</v>
      </c>
      <c r="E1363" t="s">
        <v>302</v>
      </c>
      <c r="F1363" t="s">
        <v>299</v>
      </c>
      <c r="G1363" t="s">
        <v>299</v>
      </c>
      <c r="H1363">
        <v>75</v>
      </c>
      <c r="I1363" s="30">
        <v>2.6041666666666665E-3</v>
      </c>
      <c r="J1363">
        <v>3</v>
      </c>
    </row>
    <row r="1364" spans="1:10" x14ac:dyDescent="0.35">
      <c r="A1364" t="s">
        <v>1697</v>
      </c>
      <c r="B1364" t="s">
        <v>301</v>
      </c>
      <c r="C1364" t="s">
        <v>1673</v>
      </c>
      <c r="D1364" s="30">
        <v>0.5</v>
      </c>
      <c r="E1364" t="s">
        <v>309</v>
      </c>
      <c r="F1364" t="s">
        <v>299</v>
      </c>
      <c r="G1364" t="s">
        <v>299</v>
      </c>
      <c r="H1364">
        <v>29</v>
      </c>
      <c r="I1364" s="30">
        <v>3.3449074074074076E-3</v>
      </c>
      <c r="J1364">
        <v>4</v>
      </c>
    </row>
    <row r="1365" spans="1:10" x14ac:dyDescent="0.35">
      <c r="A1365" t="s">
        <v>1698</v>
      </c>
      <c r="B1365" t="s">
        <v>305</v>
      </c>
      <c r="C1365" t="s">
        <v>1673</v>
      </c>
      <c r="D1365" s="30">
        <v>0.5</v>
      </c>
      <c r="E1365" t="s">
        <v>302</v>
      </c>
      <c r="F1365" t="s">
        <v>299</v>
      </c>
      <c r="G1365" t="s">
        <v>299</v>
      </c>
      <c r="H1365">
        <v>41</v>
      </c>
      <c r="I1365" s="30">
        <v>1.1921296296296296E-3</v>
      </c>
      <c r="J1365">
        <v>1</v>
      </c>
    </row>
    <row r="1366" spans="1:10" x14ac:dyDescent="0.35">
      <c r="A1366" t="s">
        <v>1699</v>
      </c>
      <c r="B1366" t="s">
        <v>323</v>
      </c>
      <c r="C1366" t="s">
        <v>1673</v>
      </c>
      <c r="D1366" s="30">
        <v>0.50700231481481484</v>
      </c>
      <c r="E1366" t="s">
        <v>314</v>
      </c>
      <c r="F1366" t="s">
        <v>299</v>
      </c>
      <c r="G1366" t="s">
        <v>299</v>
      </c>
      <c r="H1366">
        <v>93</v>
      </c>
      <c r="I1366" s="30">
        <v>2.2106481481481482E-3</v>
      </c>
      <c r="J1366">
        <v>4</v>
      </c>
    </row>
    <row r="1367" spans="1:10" x14ac:dyDescent="0.35">
      <c r="A1367" t="s">
        <v>1700</v>
      </c>
      <c r="B1367" t="s">
        <v>316</v>
      </c>
      <c r="C1367" t="s">
        <v>1673</v>
      </c>
      <c r="D1367" s="30">
        <v>0.50700231481481484</v>
      </c>
      <c r="E1367" t="s">
        <v>314</v>
      </c>
      <c r="F1367" t="s">
        <v>303</v>
      </c>
      <c r="G1367" t="s">
        <v>303</v>
      </c>
    </row>
    <row r="1368" spans="1:10" x14ac:dyDescent="0.35">
      <c r="A1368" t="s">
        <v>1701</v>
      </c>
      <c r="B1368" t="s">
        <v>332</v>
      </c>
      <c r="C1368" t="s">
        <v>1673</v>
      </c>
      <c r="D1368" s="30">
        <v>0.50900462962962967</v>
      </c>
      <c r="E1368" t="s">
        <v>314</v>
      </c>
      <c r="F1368" t="s">
        <v>299</v>
      </c>
      <c r="G1368" t="s">
        <v>299</v>
      </c>
      <c r="H1368">
        <v>73</v>
      </c>
      <c r="I1368" s="30">
        <v>3.8773148148148148E-3</v>
      </c>
      <c r="J1368">
        <v>3</v>
      </c>
    </row>
    <row r="1369" spans="1:10" x14ac:dyDescent="0.35">
      <c r="A1369" t="s">
        <v>1702</v>
      </c>
      <c r="B1369" t="s">
        <v>305</v>
      </c>
      <c r="C1369" t="s">
        <v>1673</v>
      </c>
      <c r="D1369" s="30">
        <v>0.50900462962962967</v>
      </c>
      <c r="E1369" t="s">
        <v>317</v>
      </c>
      <c r="F1369" t="s">
        <v>303</v>
      </c>
      <c r="G1369" t="s">
        <v>303</v>
      </c>
    </row>
    <row r="1370" spans="1:10" x14ac:dyDescent="0.35">
      <c r="A1370" t="s">
        <v>1703</v>
      </c>
      <c r="B1370" t="s">
        <v>307</v>
      </c>
      <c r="C1370" t="s">
        <v>1673</v>
      </c>
      <c r="D1370" s="30">
        <v>0.51299768518518518</v>
      </c>
      <c r="E1370" t="s">
        <v>309</v>
      </c>
      <c r="F1370" t="s">
        <v>299</v>
      </c>
      <c r="G1370" t="s">
        <v>299</v>
      </c>
      <c r="H1370">
        <v>112</v>
      </c>
      <c r="I1370" s="30">
        <v>9.3749999999999997E-4</v>
      </c>
      <c r="J1370">
        <v>4</v>
      </c>
    </row>
    <row r="1371" spans="1:10" x14ac:dyDescent="0.35">
      <c r="A1371" t="s">
        <v>1704</v>
      </c>
      <c r="B1371" t="s">
        <v>296</v>
      </c>
      <c r="C1371" t="s">
        <v>1673</v>
      </c>
      <c r="D1371" s="30">
        <v>0.51299768518518518</v>
      </c>
      <c r="E1371" t="s">
        <v>309</v>
      </c>
      <c r="F1371" t="s">
        <v>299</v>
      </c>
      <c r="G1371" t="s">
        <v>299</v>
      </c>
      <c r="H1371">
        <v>37</v>
      </c>
      <c r="I1371" s="30">
        <v>3.9236111111111112E-3</v>
      </c>
      <c r="J1371">
        <v>4</v>
      </c>
    </row>
    <row r="1372" spans="1:10" x14ac:dyDescent="0.35">
      <c r="A1372" t="s">
        <v>1705</v>
      </c>
      <c r="B1372" t="s">
        <v>307</v>
      </c>
      <c r="C1372" t="s">
        <v>1673</v>
      </c>
      <c r="D1372" s="30">
        <v>0.51500000000000001</v>
      </c>
      <c r="E1372" t="s">
        <v>298</v>
      </c>
      <c r="F1372" t="s">
        <v>299</v>
      </c>
      <c r="G1372" t="s">
        <v>299</v>
      </c>
      <c r="H1372">
        <v>59</v>
      </c>
      <c r="I1372" s="30">
        <v>4.0509259259259257E-3</v>
      </c>
      <c r="J1372">
        <v>5</v>
      </c>
    </row>
    <row r="1373" spans="1:10" x14ac:dyDescent="0.35">
      <c r="A1373" t="s">
        <v>1706</v>
      </c>
      <c r="B1373" t="s">
        <v>316</v>
      </c>
      <c r="C1373" t="s">
        <v>1673</v>
      </c>
      <c r="D1373" s="30">
        <v>0.51500000000000001</v>
      </c>
      <c r="E1373" t="s">
        <v>302</v>
      </c>
      <c r="F1373" t="s">
        <v>303</v>
      </c>
      <c r="G1373" t="s">
        <v>303</v>
      </c>
    </row>
    <row r="1374" spans="1:10" x14ac:dyDescent="0.35">
      <c r="A1374" t="s">
        <v>1707</v>
      </c>
      <c r="B1374" t="s">
        <v>301</v>
      </c>
      <c r="C1374" t="s">
        <v>1673</v>
      </c>
      <c r="D1374" s="30">
        <v>0.51500000000000001</v>
      </c>
      <c r="E1374" t="s">
        <v>302</v>
      </c>
      <c r="F1374" t="s">
        <v>299</v>
      </c>
      <c r="G1374" t="s">
        <v>299</v>
      </c>
      <c r="H1374">
        <v>56</v>
      </c>
      <c r="I1374" s="30">
        <v>9.6064814814814819E-4</v>
      </c>
      <c r="J1374">
        <v>3</v>
      </c>
    </row>
    <row r="1375" spans="1:10" x14ac:dyDescent="0.35">
      <c r="A1375" t="s">
        <v>1708</v>
      </c>
      <c r="B1375" t="s">
        <v>307</v>
      </c>
      <c r="C1375" t="s">
        <v>1673</v>
      </c>
      <c r="D1375" s="30">
        <v>0.51500000000000001</v>
      </c>
      <c r="E1375" t="s">
        <v>298</v>
      </c>
      <c r="F1375" t="s">
        <v>299</v>
      </c>
      <c r="G1375" t="s">
        <v>299</v>
      </c>
      <c r="H1375">
        <v>56</v>
      </c>
      <c r="I1375" s="30">
        <v>3.6111111111111109E-3</v>
      </c>
      <c r="J1375">
        <v>3</v>
      </c>
    </row>
    <row r="1376" spans="1:10" x14ac:dyDescent="0.35">
      <c r="A1376" t="s">
        <v>1709</v>
      </c>
      <c r="B1376" t="s">
        <v>316</v>
      </c>
      <c r="C1376" t="s">
        <v>1673</v>
      </c>
      <c r="D1376" s="30">
        <v>0.53</v>
      </c>
      <c r="E1376" t="s">
        <v>314</v>
      </c>
      <c r="F1376" t="s">
        <v>303</v>
      </c>
      <c r="G1376" t="s">
        <v>303</v>
      </c>
    </row>
    <row r="1377" spans="1:10" x14ac:dyDescent="0.35">
      <c r="A1377" t="s">
        <v>1710</v>
      </c>
      <c r="B1377" t="s">
        <v>305</v>
      </c>
      <c r="C1377" t="s">
        <v>1673</v>
      </c>
      <c r="D1377" s="30">
        <v>0.53</v>
      </c>
      <c r="E1377" t="s">
        <v>314</v>
      </c>
      <c r="F1377" t="s">
        <v>299</v>
      </c>
      <c r="G1377" t="s">
        <v>299</v>
      </c>
      <c r="H1377">
        <v>43</v>
      </c>
      <c r="I1377" s="30">
        <v>4.5138888888888885E-3</v>
      </c>
      <c r="J1377">
        <v>5</v>
      </c>
    </row>
    <row r="1378" spans="1:10" x14ac:dyDescent="0.35">
      <c r="A1378" t="s">
        <v>1711</v>
      </c>
      <c r="B1378" t="s">
        <v>332</v>
      </c>
      <c r="C1378" t="s">
        <v>1673</v>
      </c>
      <c r="D1378" s="30">
        <v>0.53700231481481486</v>
      </c>
      <c r="E1378" t="s">
        <v>309</v>
      </c>
      <c r="F1378" t="s">
        <v>299</v>
      </c>
      <c r="G1378" t="s">
        <v>299</v>
      </c>
      <c r="H1378">
        <v>80</v>
      </c>
      <c r="I1378" s="30">
        <v>4.2708333333333331E-3</v>
      </c>
      <c r="J1378">
        <v>2</v>
      </c>
    </row>
    <row r="1379" spans="1:10" x14ac:dyDescent="0.35">
      <c r="A1379" t="s">
        <v>1712</v>
      </c>
      <c r="B1379" t="s">
        <v>316</v>
      </c>
      <c r="C1379" t="s">
        <v>1673</v>
      </c>
      <c r="D1379" s="30">
        <v>0.53700231481481486</v>
      </c>
      <c r="E1379" t="s">
        <v>314</v>
      </c>
      <c r="F1379" t="s">
        <v>299</v>
      </c>
      <c r="G1379" t="s">
        <v>299</v>
      </c>
      <c r="H1379">
        <v>66</v>
      </c>
      <c r="I1379" s="30">
        <v>4.2013888888888891E-3</v>
      </c>
      <c r="J1379">
        <v>3</v>
      </c>
    </row>
    <row r="1380" spans="1:10" x14ac:dyDescent="0.35">
      <c r="A1380" t="s">
        <v>1713</v>
      </c>
      <c r="B1380" t="s">
        <v>301</v>
      </c>
      <c r="C1380" t="s">
        <v>1673</v>
      </c>
      <c r="D1380" s="30">
        <v>0.59099537037037042</v>
      </c>
      <c r="E1380" t="s">
        <v>298</v>
      </c>
      <c r="F1380" t="s">
        <v>299</v>
      </c>
      <c r="G1380" t="s">
        <v>299</v>
      </c>
      <c r="H1380">
        <v>54</v>
      </c>
      <c r="I1380" s="30">
        <v>2.9050925925925928E-3</v>
      </c>
      <c r="J1380">
        <v>3</v>
      </c>
    </row>
    <row r="1381" spans="1:10" x14ac:dyDescent="0.35">
      <c r="A1381" t="s">
        <v>1714</v>
      </c>
      <c r="B1381" t="s">
        <v>319</v>
      </c>
      <c r="C1381" t="s">
        <v>1673</v>
      </c>
      <c r="D1381" s="30">
        <v>0.59099537037037042</v>
      </c>
      <c r="E1381" t="s">
        <v>317</v>
      </c>
      <c r="F1381" t="s">
        <v>299</v>
      </c>
      <c r="G1381" t="s">
        <v>299</v>
      </c>
      <c r="H1381">
        <v>94</v>
      </c>
      <c r="I1381" s="30">
        <v>3.5069444444444445E-3</v>
      </c>
      <c r="J1381">
        <v>2</v>
      </c>
    </row>
    <row r="1382" spans="1:10" x14ac:dyDescent="0.35">
      <c r="A1382" t="s">
        <v>1715</v>
      </c>
      <c r="B1382" t="s">
        <v>301</v>
      </c>
      <c r="C1382" t="s">
        <v>1673</v>
      </c>
      <c r="D1382" s="30">
        <v>0.59099537037037042</v>
      </c>
      <c r="E1382" t="s">
        <v>317</v>
      </c>
      <c r="F1382" t="s">
        <v>303</v>
      </c>
      <c r="G1382" t="s">
        <v>303</v>
      </c>
    </row>
    <row r="1383" spans="1:10" x14ac:dyDescent="0.35">
      <c r="A1383" t="s">
        <v>1716</v>
      </c>
      <c r="B1383" t="s">
        <v>323</v>
      </c>
      <c r="C1383" t="s">
        <v>1673</v>
      </c>
      <c r="D1383" s="30">
        <v>0.59099537037037042</v>
      </c>
      <c r="E1383" t="s">
        <v>317</v>
      </c>
      <c r="F1383" t="s">
        <v>299</v>
      </c>
      <c r="G1383" t="s">
        <v>299</v>
      </c>
      <c r="H1383">
        <v>24</v>
      </c>
      <c r="I1383" s="30">
        <v>2.8240740740740739E-3</v>
      </c>
      <c r="J1383">
        <v>4</v>
      </c>
    </row>
    <row r="1384" spans="1:10" x14ac:dyDescent="0.35">
      <c r="A1384" t="s">
        <v>1717</v>
      </c>
      <c r="B1384" t="s">
        <v>296</v>
      </c>
      <c r="C1384" t="s">
        <v>1673</v>
      </c>
      <c r="D1384" s="30">
        <v>0.5920023148148148</v>
      </c>
      <c r="E1384" t="s">
        <v>317</v>
      </c>
      <c r="F1384" t="s">
        <v>303</v>
      </c>
      <c r="G1384" t="s">
        <v>303</v>
      </c>
    </row>
    <row r="1385" spans="1:10" x14ac:dyDescent="0.35">
      <c r="A1385" t="s">
        <v>1718</v>
      </c>
      <c r="B1385" t="s">
        <v>323</v>
      </c>
      <c r="C1385" t="s">
        <v>1673</v>
      </c>
      <c r="D1385" s="30">
        <v>0.5920023148148148</v>
      </c>
      <c r="E1385" t="s">
        <v>298</v>
      </c>
      <c r="F1385" t="s">
        <v>299</v>
      </c>
      <c r="G1385" t="s">
        <v>299</v>
      </c>
      <c r="H1385">
        <v>108</v>
      </c>
      <c r="I1385" s="30">
        <v>4.5833333333333334E-3</v>
      </c>
      <c r="J1385">
        <v>3</v>
      </c>
    </row>
    <row r="1386" spans="1:10" x14ac:dyDescent="0.35">
      <c r="A1386" t="s">
        <v>1719</v>
      </c>
      <c r="B1386" t="s">
        <v>319</v>
      </c>
      <c r="C1386" t="s">
        <v>1673</v>
      </c>
      <c r="D1386" s="30">
        <v>0.60200231481481481</v>
      </c>
      <c r="E1386" t="s">
        <v>309</v>
      </c>
      <c r="F1386" t="s">
        <v>299</v>
      </c>
      <c r="G1386" t="s">
        <v>299</v>
      </c>
      <c r="H1386">
        <v>106</v>
      </c>
      <c r="I1386" s="30">
        <v>6.2500000000000001E-4</v>
      </c>
      <c r="J1386">
        <v>3</v>
      </c>
    </row>
    <row r="1387" spans="1:10" x14ac:dyDescent="0.35">
      <c r="A1387" t="s">
        <v>1720</v>
      </c>
      <c r="B1387" t="s">
        <v>319</v>
      </c>
      <c r="C1387" t="s">
        <v>1673</v>
      </c>
      <c r="D1387" s="30">
        <v>0.60200231481481481</v>
      </c>
      <c r="E1387" t="s">
        <v>302</v>
      </c>
      <c r="F1387" t="s">
        <v>303</v>
      </c>
      <c r="G1387" t="s">
        <v>303</v>
      </c>
    </row>
    <row r="1388" spans="1:10" x14ac:dyDescent="0.35">
      <c r="A1388" t="s">
        <v>1721</v>
      </c>
      <c r="B1388" t="s">
        <v>301</v>
      </c>
      <c r="C1388" t="s">
        <v>1673</v>
      </c>
      <c r="D1388" s="30">
        <v>0.60700231481481481</v>
      </c>
      <c r="E1388" t="s">
        <v>309</v>
      </c>
      <c r="F1388" t="s">
        <v>299</v>
      </c>
      <c r="G1388" t="s">
        <v>299</v>
      </c>
      <c r="H1388">
        <v>111</v>
      </c>
      <c r="I1388" s="30">
        <v>4.2013888888888891E-3</v>
      </c>
      <c r="J1388">
        <v>3</v>
      </c>
    </row>
    <row r="1389" spans="1:10" x14ac:dyDescent="0.35">
      <c r="A1389" t="s">
        <v>1722</v>
      </c>
      <c r="B1389" t="s">
        <v>319</v>
      </c>
      <c r="C1389" t="s">
        <v>1673</v>
      </c>
      <c r="D1389" s="30">
        <v>0.60700231481481481</v>
      </c>
      <c r="E1389" t="s">
        <v>314</v>
      </c>
      <c r="F1389" t="s">
        <v>299</v>
      </c>
      <c r="G1389" t="s">
        <v>299</v>
      </c>
      <c r="H1389">
        <v>56</v>
      </c>
      <c r="I1389" s="30">
        <v>2.2916666666666667E-3</v>
      </c>
      <c r="J1389">
        <v>3</v>
      </c>
    </row>
    <row r="1390" spans="1:10" x14ac:dyDescent="0.35">
      <c r="A1390" t="s">
        <v>1723</v>
      </c>
      <c r="B1390" t="s">
        <v>332</v>
      </c>
      <c r="C1390" t="s">
        <v>1673</v>
      </c>
      <c r="D1390" s="30">
        <v>0.62799768518518517</v>
      </c>
      <c r="E1390" t="s">
        <v>298</v>
      </c>
      <c r="F1390" t="s">
        <v>299</v>
      </c>
      <c r="G1390" t="s">
        <v>299</v>
      </c>
      <c r="H1390">
        <v>78</v>
      </c>
      <c r="I1390" s="30">
        <v>3.5879629629629629E-3</v>
      </c>
      <c r="J1390">
        <v>4</v>
      </c>
    </row>
    <row r="1391" spans="1:10" x14ac:dyDescent="0.35">
      <c r="A1391" t="s">
        <v>1724</v>
      </c>
      <c r="B1391" t="s">
        <v>305</v>
      </c>
      <c r="C1391" t="s">
        <v>1673</v>
      </c>
      <c r="D1391" s="30">
        <v>0.62799768518518517</v>
      </c>
      <c r="E1391" t="s">
        <v>317</v>
      </c>
      <c r="F1391" t="s">
        <v>299</v>
      </c>
      <c r="G1391" t="s">
        <v>299</v>
      </c>
      <c r="H1391">
        <v>15</v>
      </c>
      <c r="I1391" s="30">
        <v>1.5046296296296296E-3</v>
      </c>
      <c r="J1391">
        <v>3</v>
      </c>
    </row>
    <row r="1392" spans="1:10" x14ac:dyDescent="0.35">
      <c r="A1392" t="s">
        <v>1725</v>
      </c>
      <c r="B1392" t="s">
        <v>301</v>
      </c>
      <c r="C1392" t="s">
        <v>1673</v>
      </c>
      <c r="D1392" s="30">
        <v>0.62900462962962966</v>
      </c>
      <c r="E1392" t="s">
        <v>309</v>
      </c>
      <c r="F1392" t="s">
        <v>303</v>
      </c>
      <c r="G1392" t="s">
        <v>303</v>
      </c>
    </row>
    <row r="1393" spans="1:10" x14ac:dyDescent="0.35">
      <c r="A1393" t="s">
        <v>1726</v>
      </c>
      <c r="B1393" t="s">
        <v>323</v>
      </c>
      <c r="C1393" t="s">
        <v>1673</v>
      </c>
      <c r="D1393" s="30">
        <v>0.62900462962962966</v>
      </c>
      <c r="E1393" t="s">
        <v>317</v>
      </c>
      <c r="F1393" t="s">
        <v>299</v>
      </c>
      <c r="G1393" t="s">
        <v>299</v>
      </c>
      <c r="H1393">
        <v>50</v>
      </c>
      <c r="I1393" s="30">
        <v>3.7037037037037041E-4</v>
      </c>
      <c r="J1393">
        <v>3</v>
      </c>
    </row>
    <row r="1394" spans="1:10" x14ac:dyDescent="0.35">
      <c r="A1394" t="s">
        <v>1727</v>
      </c>
      <c r="B1394" t="s">
        <v>332</v>
      </c>
      <c r="C1394" t="s">
        <v>1673</v>
      </c>
      <c r="D1394" s="30">
        <v>0.63900462962962967</v>
      </c>
      <c r="E1394" t="s">
        <v>317</v>
      </c>
      <c r="F1394" t="s">
        <v>299</v>
      </c>
      <c r="G1394" t="s">
        <v>299</v>
      </c>
      <c r="H1394">
        <v>53</v>
      </c>
      <c r="I1394" s="30">
        <v>2.638888888888889E-3</v>
      </c>
      <c r="J1394">
        <v>3</v>
      </c>
    </row>
    <row r="1395" spans="1:10" x14ac:dyDescent="0.35">
      <c r="A1395" t="s">
        <v>1728</v>
      </c>
      <c r="B1395" t="s">
        <v>319</v>
      </c>
      <c r="C1395" t="s">
        <v>1673</v>
      </c>
      <c r="D1395" s="30">
        <v>0.63900462962962967</v>
      </c>
      <c r="E1395" t="s">
        <v>302</v>
      </c>
      <c r="F1395" t="s">
        <v>299</v>
      </c>
      <c r="G1395" t="s">
        <v>299</v>
      </c>
      <c r="H1395">
        <v>106</v>
      </c>
      <c r="I1395" s="30">
        <v>4.5717592592592589E-3</v>
      </c>
      <c r="J1395">
        <v>1</v>
      </c>
    </row>
    <row r="1396" spans="1:10" x14ac:dyDescent="0.35">
      <c r="A1396" t="s">
        <v>1729</v>
      </c>
      <c r="B1396" t="s">
        <v>296</v>
      </c>
      <c r="C1396" t="s">
        <v>1673</v>
      </c>
      <c r="D1396" s="30">
        <v>0.66099537037037037</v>
      </c>
      <c r="E1396" t="s">
        <v>314</v>
      </c>
      <c r="F1396" t="s">
        <v>299</v>
      </c>
      <c r="G1396" t="s">
        <v>299</v>
      </c>
      <c r="H1396">
        <v>44</v>
      </c>
      <c r="I1396" s="30">
        <v>4.1319444444444442E-3</v>
      </c>
      <c r="J1396">
        <v>5</v>
      </c>
    </row>
    <row r="1397" spans="1:10" x14ac:dyDescent="0.35">
      <c r="A1397" t="s">
        <v>1730</v>
      </c>
      <c r="B1397" t="s">
        <v>301</v>
      </c>
      <c r="C1397" t="s">
        <v>1673</v>
      </c>
      <c r="D1397" s="30">
        <v>0.66099537037037037</v>
      </c>
      <c r="E1397" t="s">
        <v>298</v>
      </c>
      <c r="F1397" t="s">
        <v>303</v>
      </c>
      <c r="G1397" t="s">
        <v>303</v>
      </c>
    </row>
    <row r="1398" spans="1:10" x14ac:dyDescent="0.35">
      <c r="A1398" t="s">
        <v>1731</v>
      </c>
      <c r="B1398" t="s">
        <v>307</v>
      </c>
      <c r="C1398" t="s">
        <v>1673</v>
      </c>
      <c r="D1398" s="30">
        <v>0.66200231481481486</v>
      </c>
      <c r="E1398" t="s">
        <v>314</v>
      </c>
      <c r="F1398" t="s">
        <v>299</v>
      </c>
      <c r="G1398" t="s">
        <v>299</v>
      </c>
      <c r="H1398">
        <v>31</v>
      </c>
      <c r="I1398" s="30">
        <v>3.3912037037037036E-3</v>
      </c>
      <c r="J1398">
        <v>3</v>
      </c>
    </row>
    <row r="1399" spans="1:10" x14ac:dyDescent="0.35">
      <c r="A1399" t="s">
        <v>1732</v>
      </c>
      <c r="B1399" t="s">
        <v>319</v>
      </c>
      <c r="C1399" t="s">
        <v>1673</v>
      </c>
      <c r="D1399" s="30">
        <v>0.66200231481481486</v>
      </c>
      <c r="E1399" t="s">
        <v>314</v>
      </c>
      <c r="F1399" t="s">
        <v>299</v>
      </c>
      <c r="G1399" t="s">
        <v>299</v>
      </c>
      <c r="H1399">
        <v>41</v>
      </c>
      <c r="I1399" s="30">
        <v>3.4953703703703705E-3</v>
      </c>
      <c r="J1399">
        <v>5</v>
      </c>
    </row>
    <row r="1400" spans="1:10" x14ac:dyDescent="0.35">
      <c r="A1400" t="s">
        <v>1733</v>
      </c>
      <c r="B1400" t="s">
        <v>301</v>
      </c>
      <c r="C1400" t="s">
        <v>1673</v>
      </c>
      <c r="D1400" s="30">
        <v>0.67599537037037039</v>
      </c>
      <c r="E1400" t="s">
        <v>317</v>
      </c>
      <c r="F1400" t="s">
        <v>299</v>
      </c>
      <c r="G1400" t="s">
        <v>299</v>
      </c>
      <c r="H1400">
        <v>109</v>
      </c>
      <c r="I1400" s="30">
        <v>4.0046296296296297E-3</v>
      </c>
      <c r="J1400">
        <v>3</v>
      </c>
    </row>
    <row r="1401" spans="1:10" x14ac:dyDescent="0.35">
      <c r="A1401" t="s">
        <v>1734</v>
      </c>
      <c r="B1401" t="s">
        <v>323</v>
      </c>
      <c r="C1401" t="s">
        <v>1673</v>
      </c>
      <c r="D1401" s="30">
        <v>0.67599537037037039</v>
      </c>
      <c r="E1401" t="s">
        <v>314</v>
      </c>
      <c r="F1401" t="s">
        <v>299</v>
      </c>
      <c r="G1401" t="s">
        <v>299</v>
      </c>
      <c r="H1401">
        <v>13</v>
      </c>
      <c r="I1401" s="30">
        <v>7.9861111111111116E-4</v>
      </c>
      <c r="J1401">
        <v>3</v>
      </c>
    </row>
    <row r="1402" spans="1:10" x14ac:dyDescent="0.35">
      <c r="A1402" t="s">
        <v>1735</v>
      </c>
      <c r="B1402" t="s">
        <v>296</v>
      </c>
      <c r="C1402" t="s">
        <v>1673</v>
      </c>
      <c r="D1402" s="30">
        <v>0.73099537037037032</v>
      </c>
      <c r="E1402" t="s">
        <v>309</v>
      </c>
      <c r="F1402" t="s">
        <v>299</v>
      </c>
      <c r="G1402" t="s">
        <v>299</v>
      </c>
      <c r="H1402">
        <v>19</v>
      </c>
      <c r="I1402" s="30">
        <v>4.6064814814814814E-3</v>
      </c>
      <c r="J1402">
        <v>5</v>
      </c>
    </row>
    <row r="1403" spans="1:10" x14ac:dyDescent="0.35">
      <c r="A1403" t="s">
        <v>1736</v>
      </c>
      <c r="B1403" t="s">
        <v>305</v>
      </c>
      <c r="C1403" t="s">
        <v>1673</v>
      </c>
      <c r="D1403" s="30">
        <v>0.73099537037037032</v>
      </c>
      <c r="E1403" t="s">
        <v>298</v>
      </c>
      <c r="F1403" t="s">
        <v>299</v>
      </c>
      <c r="G1403" t="s">
        <v>299</v>
      </c>
      <c r="H1403">
        <v>76</v>
      </c>
      <c r="I1403" s="30">
        <v>3.9814814814814817E-3</v>
      </c>
      <c r="J1403">
        <v>5</v>
      </c>
    </row>
    <row r="1404" spans="1:10" x14ac:dyDescent="0.35">
      <c r="A1404" t="s">
        <v>1737</v>
      </c>
      <c r="B1404" t="s">
        <v>301</v>
      </c>
      <c r="C1404" t="s">
        <v>1738</v>
      </c>
      <c r="D1404" s="30">
        <v>0.37900462962962961</v>
      </c>
      <c r="E1404" t="s">
        <v>298</v>
      </c>
      <c r="F1404" t="s">
        <v>299</v>
      </c>
      <c r="G1404" t="s">
        <v>299</v>
      </c>
      <c r="H1404">
        <v>86</v>
      </c>
      <c r="I1404" s="30">
        <v>7.1759259259259259E-4</v>
      </c>
      <c r="J1404">
        <v>4</v>
      </c>
    </row>
    <row r="1405" spans="1:10" x14ac:dyDescent="0.35">
      <c r="A1405" t="s">
        <v>1739</v>
      </c>
      <c r="B1405" t="s">
        <v>323</v>
      </c>
      <c r="C1405" t="s">
        <v>1738</v>
      </c>
      <c r="D1405" s="30">
        <v>0.37900462962962961</v>
      </c>
      <c r="E1405" t="s">
        <v>298</v>
      </c>
      <c r="F1405" t="s">
        <v>299</v>
      </c>
      <c r="G1405" t="s">
        <v>299</v>
      </c>
      <c r="H1405">
        <v>63</v>
      </c>
      <c r="I1405" s="30">
        <v>1.6782407407407408E-3</v>
      </c>
      <c r="J1405">
        <v>4</v>
      </c>
    </row>
    <row r="1406" spans="1:10" x14ac:dyDescent="0.35">
      <c r="A1406" t="s">
        <v>1740</v>
      </c>
      <c r="B1406" t="s">
        <v>332</v>
      </c>
      <c r="C1406" t="s">
        <v>1738</v>
      </c>
      <c r="D1406" s="30">
        <v>0.39599537037037036</v>
      </c>
      <c r="E1406" t="s">
        <v>309</v>
      </c>
      <c r="F1406" t="s">
        <v>299</v>
      </c>
      <c r="G1406" t="s">
        <v>299</v>
      </c>
      <c r="H1406">
        <v>113</v>
      </c>
      <c r="I1406" s="30">
        <v>5.9027777777777778E-4</v>
      </c>
      <c r="J1406">
        <v>5</v>
      </c>
    </row>
    <row r="1407" spans="1:10" x14ac:dyDescent="0.35">
      <c r="A1407" t="s">
        <v>1741</v>
      </c>
      <c r="B1407" t="s">
        <v>307</v>
      </c>
      <c r="C1407" t="s">
        <v>1738</v>
      </c>
      <c r="D1407" s="30">
        <v>0.39599537037037036</v>
      </c>
      <c r="E1407" t="s">
        <v>314</v>
      </c>
      <c r="F1407" t="s">
        <v>299</v>
      </c>
      <c r="G1407" t="s">
        <v>299</v>
      </c>
      <c r="H1407">
        <v>84</v>
      </c>
      <c r="I1407" s="30">
        <v>8.9120370370370373E-4</v>
      </c>
      <c r="J1407">
        <v>3</v>
      </c>
    </row>
    <row r="1408" spans="1:10" x14ac:dyDescent="0.35">
      <c r="A1408" t="s">
        <v>1742</v>
      </c>
      <c r="B1408" t="s">
        <v>316</v>
      </c>
      <c r="C1408" t="s">
        <v>1738</v>
      </c>
      <c r="D1408" s="30">
        <v>0.40400462962962963</v>
      </c>
      <c r="E1408" t="s">
        <v>314</v>
      </c>
      <c r="F1408" t="s">
        <v>299</v>
      </c>
      <c r="G1408" t="s">
        <v>303</v>
      </c>
      <c r="H1408">
        <v>41</v>
      </c>
      <c r="I1408" s="30">
        <v>2.3842592592592591E-3</v>
      </c>
      <c r="J1408">
        <v>4</v>
      </c>
    </row>
    <row r="1409" spans="1:10" x14ac:dyDescent="0.35">
      <c r="A1409" t="s">
        <v>1743</v>
      </c>
      <c r="B1409" t="s">
        <v>301</v>
      </c>
      <c r="C1409" t="s">
        <v>1738</v>
      </c>
      <c r="D1409" s="30">
        <v>0.40400462962962963</v>
      </c>
      <c r="E1409" t="s">
        <v>309</v>
      </c>
      <c r="F1409" t="s">
        <v>299</v>
      </c>
      <c r="G1409" t="s">
        <v>299</v>
      </c>
      <c r="H1409">
        <v>13</v>
      </c>
      <c r="I1409" s="30">
        <v>2.6967592592592594E-3</v>
      </c>
      <c r="J1409">
        <v>3</v>
      </c>
    </row>
    <row r="1410" spans="1:10" x14ac:dyDescent="0.35">
      <c r="A1410" t="s">
        <v>1744</v>
      </c>
      <c r="B1410" t="s">
        <v>305</v>
      </c>
      <c r="C1410" t="s">
        <v>1738</v>
      </c>
      <c r="D1410" s="30">
        <v>0.41099537037037037</v>
      </c>
      <c r="E1410" t="s">
        <v>302</v>
      </c>
      <c r="F1410" t="s">
        <v>303</v>
      </c>
      <c r="G1410" t="s">
        <v>303</v>
      </c>
    </row>
    <row r="1411" spans="1:10" x14ac:dyDescent="0.35">
      <c r="A1411" t="s">
        <v>1745</v>
      </c>
      <c r="B1411" t="s">
        <v>316</v>
      </c>
      <c r="C1411" t="s">
        <v>1738</v>
      </c>
      <c r="D1411" s="30">
        <v>0.41099537037037037</v>
      </c>
      <c r="E1411" t="s">
        <v>309</v>
      </c>
      <c r="F1411" t="s">
        <v>299</v>
      </c>
      <c r="G1411" t="s">
        <v>299</v>
      </c>
      <c r="H1411">
        <v>79</v>
      </c>
      <c r="I1411" s="30">
        <v>1.9675925925925924E-3</v>
      </c>
      <c r="J1411">
        <v>3</v>
      </c>
    </row>
    <row r="1412" spans="1:10" x14ac:dyDescent="0.35">
      <c r="A1412" t="s">
        <v>1746</v>
      </c>
      <c r="B1412" t="s">
        <v>296</v>
      </c>
      <c r="C1412" t="s">
        <v>1738</v>
      </c>
      <c r="D1412" s="30">
        <v>0.43599537037037039</v>
      </c>
      <c r="E1412" t="s">
        <v>298</v>
      </c>
      <c r="F1412" t="s">
        <v>299</v>
      </c>
      <c r="G1412" t="s">
        <v>299</v>
      </c>
      <c r="H1412">
        <v>103</v>
      </c>
      <c r="I1412" s="30">
        <v>1.7476851851851852E-3</v>
      </c>
      <c r="J1412">
        <v>3</v>
      </c>
    </row>
    <row r="1413" spans="1:10" x14ac:dyDescent="0.35">
      <c r="A1413" t="s">
        <v>1747</v>
      </c>
      <c r="B1413" t="s">
        <v>296</v>
      </c>
      <c r="C1413" t="s">
        <v>1738</v>
      </c>
      <c r="D1413" s="30">
        <v>0.43599537037037039</v>
      </c>
      <c r="E1413" t="s">
        <v>298</v>
      </c>
      <c r="F1413" t="s">
        <v>299</v>
      </c>
      <c r="G1413" t="s">
        <v>299</v>
      </c>
      <c r="H1413">
        <v>68</v>
      </c>
      <c r="I1413" s="30">
        <v>1.5972222222222223E-3</v>
      </c>
      <c r="J1413">
        <v>3</v>
      </c>
    </row>
    <row r="1414" spans="1:10" x14ac:dyDescent="0.35">
      <c r="A1414" t="s">
        <v>1748</v>
      </c>
      <c r="B1414" t="s">
        <v>296</v>
      </c>
      <c r="C1414" t="s">
        <v>1738</v>
      </c>
      <c r="D1414" s="30">
        <v>0.44500000000000001</v>
      </c>
      <c r="E1414" t="s">
        <v>298</v>
      </c>
      <c r="F1414" t="s">
        <v>299</v>
      </c>
      <c r="G1414" t="s">
        <v>299</v>
      </c>
      <c r="H1414">
        <v>57</v>
      </c>
      <c r="I1414" s="30">
        <v>3.8078703703703703E-3</v>
      </c>
      <c r="J1414">
        <v>2</v>
      </c>
    </row>
    <row r="1415" spans="1:10" x14ac:dyDescent="0.35">
      <c r="A1415" t="s">
        <v>1749</v>
      </c>
      <c r="B1415" t="s">
        <v>305</v>
      </c>
      <c r="C1415" t="s">
        <v>1738</v>
      </c>
      <c r="D1415" s="30">
        <v>0.44500000000000001</v>
      </c>
      <c r="E1415" t="s">
        <v>309</v>
      </c>
      <c r="F1415" t="s">
        <v>303</v>
      </c>
      <c r="G1415" t="s">
        <v>303</v>
      </c>
    </row>
    <row r="1416" spans="1:10" x14ac:dyDescent="0.35">
      <c r="A1416" t="s">
        <v>1750</v>
      </c>
      <c r="B1416" t="s">
        <v>296</v>
      </c>
      <c r="C1416" t="s">
        <v>1738</v>
      </c>
      <c r="D1416" s="30">
        <v>0.45200231481481479</v>
      </c>
      <c r="E1416" t="s">
        <v>309</v>
      </c>
      <c r="F1416" t="s">
        <v>299</v>
      </c>
      <c r="G1416" t="s">
        <v>299</v>
      </c>
      <c r="H1416">
        <v>72</v>
      </c>
      <c r="I1416" s="30">
        <v>1.0532407407407407E-3</v>
      </c>
      <c r="J1416">
        <v>3</v>
      </c>
    </row>
    <row r="1417" spans="1:10" x14ac:dyDescent="0.35">
      <c r="A1417" t="s">
        <v>1751</v>
      </c>
      <c r="B1417" t="s">
        <v>305</v>
      </c>
      <c r="C1417" t="s">
        <v>1738</v>
      </c>
      <c r="D1417" s="30">
        <v>0.45200231481481479</v>
      </c>
      <c r="E1417" t="s">
        <v>317</v>
      </c>
      <c r="F1417" t="s">
        <v>299</v>
      </c>
      <c r="G1417" t="s">
        <v>299</v>
      </c>
      <c r="H1417">
        <v>53</v>
      </c>
      <c r="I1417" s="30">
        <v>4.0740740740740737E-3</v>
      </c>
      <c r="J1417">
        <v>5</v>
      </c>
    </row>
    <row r="1418" spans="1:10" x14ac:dyDescent="0.35">
      <c r="A1418" t="s">
        <v>1752</v>
      </c>
      <c r="B1418" t="s">
        <v>301</v>
      </c>
      <c r="C1418" t="s">
        <v>1738</v>
      </c>
      <c r="D1418" s="30">
        <v>0.45299768518518518</v>
      </c>
      <c r="E1418" t="s">
        <v>298</v>
      </c>
      <c r="F1418" t="s">
        <v>299</v>
      </c>
      <c r="G1418" t="s">
        <v>299</v>
      </c>
      <c r="H1418">
        <v>16</v>
      </c>
      <c r="I1418" s="30">
        <v>2.488425925925926E-3</v>
      </c>
      <c r="J1418">
        <v>1</v>
      </c>
    </row>
    <row r="1419" spans="1:10" x14ac:dyDescent="0.35">
      <c r="A1419" t="s">
        <v>1753</v>
      </c>
      <c r="B1419" t="s">
        <v>301</v>
      </c>
      <c r="C1419" t="s">
        <v>1738</v>
      </c>
      <c r="D1419" s="30">
        <v>0.45299768518518518</v>
      </c>
      <c r="E1419" t="s">
        <v>302</v>
      </c>
      <c r="F1419" t="s">
        <v>299</v>
      </c>
      <c r="G1419" t="s">
        <v>299</v>
      </c>
      <c r="H1419">
        <v>77</v>
      </c>
      <c r="I1419" s="30">
        <v>1.1805555555555556E-3</v>
      </c>
      <c r="J1419">
        <v>3</v>
      </c>
    </row>
    <row r="1420" spans="1:10" x14ac:dyDescent="0.35">
      <c r="A1420" t="s">
        <v>1754</v>
      </c>
      <c r="B1420" t="s">
        <v>332</v>
      </c>
      <c r="C1420" t="s">
        <v>1738</v>
      </c>
      <c r="D1420" s="30">
        <v>0.45799768518518519</v>
      </c>
      <c r="E1420" t="s">
        <v>309</v>
      </c>
      <c r="F1420" t="s">
        <v>299</v>
      </c>
      <c r="G1420" t="s">
        <v>299</v>
      </c>
      <c r="H1420">
        <v>68</v>
      </c>
      <c r="I1420" s="30">
        <v>4.7222222222222223E-3</v>
      </c>
      <c r="J1420">
        <v>5</v>
      </c>
    </row>
    <row r="1421" spans="1:10" x14ac:dyDescent="0.35">
      <c r="A1421" t="s">
        <v>1755</v>
      </c>
      <c r="B1421" t="s">
        <v>332</v>
      </c>
      <c r="C1421" t="s">
        <v>1738</v>
      </c>
      <c r="D1421" s="30">
        <v>0.45799768518518519</v>
      </c>
      <c r="E1421" t="s">
        <v>317</v>
      </c>
      <c r="F1421" t="s">
        <v>299</v>
      </c>
      <c r="G1421" t="s">
        <v>299</v>
      </c>
      <c r="H1421">
        <v>50</v>
      </c>
      <c r="I1421" s="30">
        <v>1.9212962962962964E-3</v>
      </c>
      <c r="J1421">
        <v>4</v>
      </c>
    </row>
    <row r="1422" spans="1:10" x14ac:dyDescent="0.35">
      <c r="A1422" t="s">
        <v>1756</v>
      </c>
      <c r="B1422" t="s">
        <v>319</v>
      </c>
      <c r="C1422" t="s">
        <v>1738</v>
      </c>
      <c r="D1422" s="30">
        <v>0.47200231481481481</v>
      </c>
      <c r="E1422" t="s">
        <v>314</v>
      </c>
      <c r="F1422" t="s">
        <v>303</v>
      </c>
      <c r="G1422" t="s">
        <v>303</v>
      </c>
    </row>
    <row r="1423" spans="1:10" x14ac:dyDescent="0.35">
      <c r="A1423" t="s">
        <v>1757</v>
      </c>
      <c r="B1423" t="s">
        <v>332</v>
      </c>
      <c r="C1423" t="s">
        <v>1738</v>
      </c>
      <c r="D1423" s="30">
        <v>0.47200231481481481</v>
      </c>
      <c r="E1423" t="s">
        <v>309</v>
      </c>
      <c r="F1423" t="s">
        <v>299</v>
      </c>
      <c r="G1423" t="s">
        <v>299</v>
      </c>
      <c r="H1423">
        <v>68</v>
      </c>
      <c r="I1423" s="30">
        <v>3.6574074074074074E-3</v>
      </c>
      <c r="J1423">
        <v>3</v>
      </c>
    </row>
    <row r="1424" spans="1:10" x14ac:dyDescent="0.35">
      <c r="A1424" t="s">
        <v>1758</v>
      </c>
      <c r="B1424" t="s">
        <v>296</v>
      </c>
      <c r="C1424" t="s">
        <v>1738</v>
      </c>
      <c r="D1424" s="30">
        <v>0.49099537037037039</v>
      </c>
      <c r="E1424" t="s">
        <v>317</v>
      </c>
      <c r="F1424" t="s">
        <v>299</v>
      </c>
      <c r="G1424" t="s">
        <v>299</v>
      </c>
      <c r="H1424">
        <v>39</v>
      </c>
      <c r="I1424" s="30">
        <v>2.685185185185185E-3</v>
      </c>
      <c r="J1424">
        <v>5</v>
      </c>
    </row>
    <row r="1425" spans="1:10" x14ac:dyDescent="0.35">
      <c r="A1425" t="s">
        <v>1759</v>
      </c>
      <c r="B1425" t="s">
        <v>296</v>
      </c>
      <c r="C1425" t="s">
        <v>1738</v>
      </c>
      <c r="D1425" s="30">
        <v>0.49099537037037039</v>
      </c>
      <c r="E1425" t="s">
        <v>298</v>
      </c>
      <c r="F1425" t="s">
        <v>299</v>
      </c>
      <c r="G1425" t="s">
        <v>299</v>
      </c>
      <c r="H1425">
        <v>78</v>
      </c>
      <c r="I1425" s="30">
        <v>4.5717592592592589E-3</v>
      </c>
      <c r="J1425">
        <v>4</v>
      </c>
    </row>
    <row r="1426" spans="1:10" x14ac:dyDescent="0.35">
      <c r="A1426" t="s">
        <v>1760</v>
      </c>
      <c r="B1426" t="s">
        <v>296</v>
      </c>
      <c r="C1426" t="s">
        <v>1738</v>
      </c>
      <c r="D1426" s="30">
        <v>0.53400462962962958</v>
      </c>
      <c r="E1426" t="s">
        <v>317</v>
      </c>
      <c r="F1426" t="s">
        <v>299</v>
      </c>
      <c r="G1426" t="s">
        <v>299</v>
      </c>
      <c r="H1426">
        <v>106</v>
      </c>
      <c r="I1426" s="30">
        <v>1.2962962962962963E-3</v>
      </c>
      <c r="J1426">
        <v>3</v>
      </c>
    </row>
    <row r="1427" spans="1:10" x14ac:dyDescent="0.35">
      <c r="A1427" t="s">
        <v>1761</v>
      </c>
      <c r="B1427" t="s">
        <v>301</v>
      </c>
      <c r="C1427" t="s">
        <v>1738</v>
      </c>
      <c r="D1427" s="30">
        <v>0.53400462962962958</v>
      </c>
      <c r="E1427" t="s">
        <v>317</v>
      </c>
      <c r="F1427" t="s">
        <v>303</v>
      </c>
      <c r="G1427" t="s">
        <v>303</v>
      </c>
    </row>
    <row r="1428" spans="1:10" x14ac:dyDescent="0.35">
      <c r="A1428" t="s">
        <v>1762</v>
      </c>
      <c r="B1428" t="s">
        <v>332</v>
      </c>
      <c r="C1428" t="s">
        <v>1738</v>
      </c>
      <c r="D1428" s="30">
        <v>0.53500000000000003</v>
      </c>
      <c r="E1428" t="s">
        <v>314</v>
      </c>
      <c r="F1428" t="s">
        <v>299</v>
      </c>
      <c r="G1428" t="s">
        <v>299</v>
      </c>
      <c r="H1428">
        <v>66</v>
      </c>
      <c r="I1428" s="30">
        <v>5.0925925925925921E-4</v>
      </c>
      <c r="J1428">
        <v>3</v>
      </c>
    </row>
    <row r="1429" spans="1:10" x14ac:dyDescent="0.35">
      <c r="A1429" t="s">
        <v>1763</v>
      </c>
      <c r="B1429" t="s">
        <v>307</v>
      </c>
      <c r="C1429" t="s">
        <v>1738</v>
      </c>
      <c r="D1429" s="30">
        <v>0.53500000000000003</v>
      </c>
      <c r="E1429" t="s">
        <v>302</v>
      </c>
      <c r="F1429" t="s">
        <v>299</v>
      </c>
      <c r="G1429" t="s">
        <v>299</v>
      </c>
      <c r="H1429">
        <v>120</v>
      </c>
      <c r="I1429" s="30">
        <v>3.0208333333333333E-3</v>
      </c>
      <c r="J1429">
        <v>5</v>
      </c>
    </row>
    <row r="1430" spans="1:10" x14ac:dyDescent="0.35">
      <c r="A1430" t="s">
        <v>1764</v>
      </c>
      <c r="B1430" t="s">
        <v>305</v>
      </c>
      <c r="C1430" t="s">
        <v>1738</v>
      </c>
      <c r="D1430" s="30">
        <v>0.53900462962962958</v>
      </c>
      <c r="E1430" t="s">
        <v>317</v>
      </c>
      <c r="F1430" t="s">
        <v>299</v>
      </c>
      <c r="G1430" t="s">
        <v>299</v>
      </c>
      <c r="H1430">
        <v>115</v>
      </c>
      <c r="I1430" s="30">
        <v>1.7013888888888888E-3</v>
      </c>
      <c r="J1430">
        <v>3</v>
      </c>
    </row>
    <row r="1431" spans="1:10" x14ac:dyDescent="0.35">
      <c r="A1431" t="s">
        <v>1765</v>
      </c>
      <c r="B1431" t="s">
        <v>305</v>
      </c>
      <c r="C1431" t="s">
        <v>1738</v>
      </c>
      <c r="D1431" s="30">
        <v>0.53900462962962958</v>
      </c>
      <c r="E1431" t="s">
        <v>309</v>
      </c>
      <c r="F1431" t="s">
        <v>299</v>
      </c>
      <c r="G1431" t="s">
        <v>299</v>
      </c>
      <c r="H1431">
        <v>28</v>
      </c>
      <c r="I1431" s="30">
        <v>3.2060185185185186E-3</v>
      </c>
      <c r="J1431">
        <v>4</v>
      </c>
    </row>
    <row r="1432" spans="1:10" x14ac:dyDescent="0.35">
      <c r="A1432" t="s">
        <v>1766</v>
      </c>
      <c r="B1432" t="s">
        <v>332</v>
      </c>
      <c r="C1432" t="s">
        <v>1738</v>
      </c>
      <c r="D1432" s="30">
        <v>0.54500000000000004</v>
      </c>
      <c r="E1432" t="s">
        <v>317</v>
      </c>
      <c r="F1432" t="s">
        <v>299</v>
      </c>
      <c r="G1432" t="s">
        <v>299</v>
      </c>
      <c r="H1432">
        <v>57</v>
      </c>
      <c r="I1432" s="30">
        <v>1.0416666666666667E-3</v>
      </c>
      <c r="J1432">
        <v>3</v>
      </c>
    </row>
    <row r="1433" spans="1:10" x14ac:dyDescent="0.35">
      <c r="A1433" t="s">
        <v>1767</v>
      </c>
      <c r="B1433" t="s">
        <v>296</v>
      </c>
      <c r="C1433" t="s">
        <v>1738</v>
      </c>
      <c r="D1433" s="30">
        <v>0.54500000000000004</v>
      </c>
      <c r="E1433" t="s">
        <v>317</v>
      </c>
      <c r="F1433" t="s">
        <v>299</v>
      </c>
      <c r="G1433" t="s">
        <v>299</v>
      </c>
      <c r="H1433">
        <v>110</v>
      </c>
      <c r="I1433" s="30">
        <v>3.6689814814814814E-3</v>
      </c>
      <c r="J1433">
        <v>2</v>
      </c>
    </row>
    <row r="1434" spans="1:10" x14ac:dyDescent="0.35">
      <c r="A1434" t="s">
        <v>1768</v>
      </c>
      <c r="B1434" t="s">
        <v>332</v>
      </c>
      <c r="C1434" t="s">
        <v>1738</v>
      </c>
      <c r="D1434" s="30">
        <v>0.54500000000000004</v>
      </c>
      <c r="E1434" t="s">
        <v>302</v>
      </c>
      <c r="F1434" t="s">
        <v>299</v>
      </c>
      <c r="G1434" t="s">
        <v>299</v>
      </c>
      <c r="H1434">
        <v>103</v>
      </c>
      <c r="I1434" s="30">
        <v>1.9791666666666668E-3</v>
      </c>
      <c r="J1434">
        <v>4</v>
      </c>
    </row>
    <row r="1435" spans="1:10" x14ac:dyDescent="0.35">
      <c r="A1435" t="s">
        <v>1769</v>
      </c>
      <c r="B1435" t="s">
        <v>316</v>
      </c>
      <c r="C1435" t="s">
        <v>1738</v>
      </c>
      <c r="D1435" s="30">
        <v>0.54500000000000004</v>
      </c>
      <c r="E1435" t="s">
        <v>302</v>
      </c>
      <c r="F1435" t="s">
        <v>299</v>
      </c>
      <c r="G1435" t="s">
        <v>299</v>
      </c>
      <c r="H1435">
        <v>94</v>
      </c>
      <c r="I1435" s="30">
        <v>4.3055555555555555E-3</v>
      </c>
      <c r="J1435">
        <v>5</v>
      </c>
    </row>
    <row r="1436" spans="1:10" x14ac:dyDescent="0.35">
      <c r="A1436" t="s">
        <v>1770</v>
      </c>
      <c r="B1436" t="s">
        <v>316</v>
      </c>
      <c r="C1436" t="s">
        <v>1738</v>
      </c>
      <c r="D1436" s="30">
        <v>0.58900462962962963</v>
      </c>
      <c r="E1436" t="s">
        <v>317</v>
      </c>
      <c r="F1436" t="s">
        <v>299</v>
      </c>
      <c r="G1436" t="s">
        <v>299</v>
      </c>
      <c r="H1436">
        <v>61</v>
      </c>
      <c r="I1436" s="30">
        <v>3.3217592592592591E-3</v>
      </c>
      <c r="J1436">
        <v>5</v>
      </c>
    </row>
    <row r="1437" spans="1:10" x14ac:dyDescent="0.35">
      <c r="A1437" t="s">
        <v>1771</v>
      </c>
      <c r="B1437" t="s">
        <v>305</v>
      </c>
      <c r="C1437" t="s">
        <v>1738</v>
      </c>
      <c r="D1437" s="30">
        <v>0.58900462962962963</v>
      </c>
      <c r="E1437" t="s">
        <v>317</v>
      </c>
      <c r="F1437" t="s">
        <v>303</v>
      </c>
      <c r="G1437" t="s">
        <v>303</v>
      </c>
    </row>
    <row r="1438" spans="1:10" x14ac:dyDescent="0.35">
      <c r="A1438" t="s">
        <v>1772</v>
      </c>
      <c r="B1438" t="s">
        <v>316</v>
      </c>
      <c r="C1438" t="s">
        <v>1738</v>
      </c>
      <c r="D1438" s="30">
        <v>0.59599537037037043</v>
      </c>
      <c r="E1438" t="s">
        <v>317</v>
      </c>
      <c r="F1438" t="s">
        <v>299</v>
      </c>
      <c r="G1438" t="s">
        <v>299</v>
      </c>
      <c r="H1438">
        <v>77</v>
      </c>
      <c r="I1438" s="30">
        <v>3.0787037037037037E-3</v>
      </c>
      <c r="J1438">
        <v>2</v>
      </c>
    </row>
    <row r="1439" spans="1:10" x14ac:dyDescent="0.35">
      <c r="A1439" t="s">
        <v>1773</v>
      </c>
      <c r="B1439" t="s">
        <v>307</v>
      </c>
      <c r="C1439" t="s">
        <v>1738</v>
      </c>
      <c r="D1439" s="30">
        <v>0.59599537037037043</v>
      </c>
      <c r="E1439" t="s">
        <v>298</v>
      </c>
      <c r="F1439" t="s">
        <v>299</v>
      </c>
      <c r="G1439" t="s">
        <v>299</v>
      </c>
      <c r="H1439">
        <v>56</v>
      </c>
      <c r="I1439" s="30">
        <v>2.5925925925925925E-3</v>
      </c>
      <c r="J1439">
        <v>4</v>
      </c>
    </row>
    <row r="1440" spans="1:10" x14ac:dyDescent="0.35">
      <c r="A1440" t="s">
        <v>1774</v>
      </c>
      <c r="B1440" t="s">
        <v>296</v>
      </c>
      <c r="C1440" t="s">
        <v>1738</v>
      </c>
      <c r="D1440" s="30">
        <v>0.60200231481481481</v>
      </c>
      <c r="E1440" t="s">
        <v>314</v>
      </c>
      <c r="F1440" t="s">
        <v>299</v>
      </c>
      <c r="G1440" t="s">
        <v>299</v>
      </c>
      <c r="H1440">
        <v>65</v>
      </c>
      <c r="I1440" s="30">
        <v>4.6527777777777774E-3</v>
      </c>
      <c r="J1440">
        <v>5</v>
      </c>
    </row>
    <row r="1441" spans="1:10" x14ac:dyDescent="0.35">
      <c r="A1441" t="s">
        <v>1775</v>
      </c>
      <c r="B1441" t="s">
        <v>301</v>
      </c>
      <c r="C1441" t="s">
        <v>1738</v>
      </c>
      <c r="D1441" s="30">
        <v>0.60200231481481481</v>
      </c>
      <c r="E1441" t="s">
        <v>302</v>
      </c>
      <c r="F1441" t="s">
        <v>299</v>
      </c>
      <c r="G1441" t="s">
        <v>299</v>
      </c>
      <c r="H1441">
        <v>99</v>
      </c>
      <c r="I1441" s="30">
        <v>3.9583333333333337E-3</v>
      </c>
      <c r="J1441">
        <v>3</v>
      </c>
    </row>
    <row r="1442" spans="1:10" x14ac:dyDescent="0.35">
      <c r="A1442" t="s">
        <v>1776</v>
      </c>
      <c r="B1442" t="s">
        <v>296</v>
      </c>
      <c r="C1442" t="s">
        <v>1738</v>
      </c>
      <c r="D1442" s="30">
        <v>0.61900462962962965</v>
      </c>
      <c r="E1442" t="s">
        <v>314</v>
      </c>
      <c r="F1442" t="s">
        <v>299</v>
      </c>
      <c r="G1442" t="s">
        <v>299</v>
      </c>
      <c r="H1442">
        <v>40</v>
      </c>
      <c r="I1442" s="30">
        <v>3.3333333333333335E-3</v>
      </c>
      <c r="J1442">
        <v>3</v>
      </c>
    </row>
    <row r="1443" spans="1:10" x14ac:dyDescent="0.35">
      <c r="A1443" t="s">
        <v>1777</v>
      </c>
      <c r="B1443" t="s">
        <v>305</v>
      </c>
      <c r="C1443" t="s">
        <v>1738</v>
      </c>
      <c r="D1443" s="30">
        <v>0.61900462962962965</v>
      </c>
      <c r="E1443" t="s">
        <v>309</v>
      </c>
      <c r="F1443" t="s">
        <v>299</v>
      </c>
      <c r="G1443" t="s">
        <v>299</v>
      </c>
      <c r="H1443">
        <v>110</v>
      </c>
      <c r="I1443" s="30">
        <v>3.7037037037037038E-3</v>
      </c>
      <c r="J1443">
        <v>3</v>
      </c>
    </row>
    <row r="1444" spans="1:10" x14ac:dyDescent="0.35">
      <c r="A1444" t="s">
        <v>1778</v>
      </c>
      <c r="B1444" t="s">
        <v>296</v>
      </c>
      <c r="C1444" t="s">
        <v>1738</v>
      </c>
      <c r="D1444" s="30">
        <v>0.63599537037037035</v>
      </c>
      <c r="E1444" t="s">
        <v>314</v>
      </c>
      <c r="F1444" t="s">
        <v>299</v>
      </c>
      <c r="G1444" t="s">
        <v>299</v>
      </c>
      <c r="H1444">
        <v>109</v>
      </c>
      <c r="I1444" s="30">
        <v>6.018518518518519E-4</v>
      </c>
      <c r="J1444">
        <v>1</v>
      </c>
    </row>
    <row r="1445" spans="1:10" x14ac:dyDescent="0.35">
      <c r="A1445" t="s">
        <v>1779</v>
      </c>
      <c r="B1445" t="s">
        <v>323</v>
      </c>
      <c r="C1445" t="s">
        <v>1738</v>
      </c>
      <c r="D1445" s="30">
        <v>0.63599537037037035</v>
      </c>
      <c r="E1445" t="s">
        <v>298</v>
      </c>
      <c r="F1445" t="s">
        <v>299</v>
      </c>
      <c r="G1445" t="s">
        <v>299</v>
      </c>
      <c r="H1445">
        <v>116</v>
      </c>
      <c r="I1445" s="30">
        <v>3.5648148148148149E-3</v>
      </c>
      <c r="J1445">
        <v>3</v>
      </c>
    </row>
    <row r="1446" spans="1:10" x14ac:dyDescent="0.35">
      <c r="A1446" t="s">
        <v>1780</v>
      </c>
      <c r="B1446" t="s">
        <v>323</v>
      </c>
      <c r="C1446" t="s">
        <v>1738</v>
      </c>
      <c r="D1446" s="30">
        <v>0.64</v>
      </c>
      <c r="E1446" t="s">
        <v>317</v>
      </c>
      <c r="F1446" t="s">
        <v>299</v>
      </c>
      <c r="G1446" t="s">
        <v>299</v>
      </c>
      <c r="H1446">
        <v>82</v>
      </c>
      <c r="I1446" s="30">
        <v>1.5972222222222223E-3</v>
      </c>
      <c r="J1446">
        <v>2</v>
      </c>
    </row>
    <row r="1447" spans="1:10" x14ac:dyDescent="0.35">
      <c r="A1447" t="s">
        <v>1781</v>
      </c>
      <c r="B1447" t="s">
        <v>307</v>
      </c>
      <c r="C1447" t="s">
        <v>1738</v>
      </c>
      <c r="D1447" s="30">
        <v>0.64</v>
      </c>
      <c r="E1447" t="s">
        <v>298</v>
      </c>
      <c r="F1447" t="s">
        <v>299</v>
      </c>
      <c r="G1447" t="s">
        <v>299</v>
      </c>
      <c r="H1447">
        <v>65</v>
      </c>
      <c r="I1447" s="30">
        <v>1.724537037037037E-3</v>
      </c>
      <c r="J1447">
        <v>4</v>
      </c>
    </row>
    <row r="1448" spans="1:10" x14ac:dyDescent="0.35">
      <c r="A1448" t="s">
        <v>1782</v>
      </c>
      <c r="B1448" t="s">
        <v>332</v>
      </c>
      <c r="C1448" t="s">
        <v>1738</v>
      </c>
      <c r="D1448" s="30">
        <v>0.64299768518518519</v>
      </c>
      <c r="E1448" t="s">
        <v>298</v>
      </c>
      <c r="F1448" t="s">
        <v>299</v>
      </c>
      <c r="G1448" t="s">
        <v>299</v>
      </c>
      <c r="H1448">
        <v>24</v>
      </c>
      <c r="I1448" s="30">
        <v>2.4189814814814816E-3</v>
      </c>
      <c r="J1448">
        <v>4</v>
      </c>
    </row>
    <row r="1449" spans="1:10" x14ac:dyDescent="0.35">
      <c r="A1449" t="s">
        <v>1783</v>
      </c>
      <c r="B1449" t="s">
        <v>296</v>
      </c>
      <c r="C1449" t="s">
        <v>1738</v>
      </c>
      <c r="D1449" s="30">
        <v>0.64299768518518519</v>
      </c>
      <c r="E1449" t="s">
        <v>309</v>
      </c>
      <c r="F1449" t="s">
        <v>299</v>
      </c>
      <c r="G1449" t="s">
        <v>299</v>
      </c>
      <c r="H1449">
        <v>125</v>
      </c>
      <c r="I1449" s="30">
        <v>9.4907407407407408E-4</v>
      </c>
      <c r="J1449">
        <v>5</v>
      </c>
    </row>
    <row r="1450" spans="1:10" x14ac:dyDescent="0.35">
      <c r="A1450" t="s">
        <v>1784</v>
      </c>
      <c r="B1450" t="s">
        <v>307</v>
      </c>
      <c r="C1450" t="s">
        <v>1738</v>
      </c>
      <c r="D1450" s="30">
        <v>0.64500000000000002</v>
      </c>
      <c r="E1450" t="s">
        <v>314</v>
      </c>
      <c r="F1450" t="s">
        <v>299</v>
      </c>
      <c r="G1450" t="s">
        <v>299</v>
      </c>
      <c r="H1450">
        <v>87</v>
      </c>
      <c r="I1450" s="30">
        <v>7.407407407407407E-4</v>
      </c>
      <c r="J1450">
        <v>5</v>
      </c>
    </row>
    <row r="1451" spans="1:10" x14ac:dyDescent="0.35">
      <c r="A1451" t="s">
        <v>1785</v>
      </c>
      <c r="B1451" t="s">
        <v>316</v>
      </c>
      <c r="C1451" t="s">
        <v>1738</v>
      </c>
      <c r="D1451" s="30">
        <v>0.64500000000000002</v>
      </c>
      <c r="E1451" t="s">
        <v>317</v>
      </c>
      <c r="F1451" t="s">
        <v>299</v>
      </c>
      <c r="G1451" t="s">
        <v>299</v>
      </c>
      <c r="H1451">
        <v>119</v>
      </c>
      <c r="I1451" s="30">
        <v>4.9768518518518521E-4</v>
      </c>
      <c r="J1451">
        <v>4</v>
      </c>
    </row>
    <row r="1452" spans="1:10" x14ac:dyDescent="0.35">
      <c r="A1452" t="s">
        <v>1786</v>
      </c>
      <c r="B1452" t="s">
        <v>296</v>
      </c>
      <c r="C1452" t="s">
        <v>1738</v>
      </c>
      <c r="D1452" s="30">
        <v>0.64599537037037036</v>
      </c>
      <c r="E1452" t="s">
        <v>298</v>
      </c>
      <c r="F1452" t="s">
        <v>299</v>
      </c>
      <c r="G1452" t="s">
        <v>299</v>
      </c>
      <c r="H1452">
        <v>94</v>
      </c>
      <c r="I1452" s="30">
        <v>5.3240740740740744E-4</v>
      </c>
      <c r="J1452">
        <v>4</v>
      </c>
    </row>
    <row r="1453" spans="1:10" x14ac:dyDescent="0.35">
      <c r="A1453" t="s">
        <v>1787</v>
      </c>
      <c r="B1453" t="s">
        <v>332</v>
      </c>
      <c r="C1453" t="s">
        <v>1738</v>
      </c>
      <c r="D1453" s="30">
        <v>0.64599537037037036</v>
      </c>
      <c r="E1453" t="s">
        <v>309</v>
      </c>
      <c r="F1453" t="s">
        <v>303</v>
      </c>
      <c r="G1453" t="s">
        <v>303</v>
      </c>
    </row>
    <row r="1454" spans="1:10" x14ac:dyDescent="0.35">
      <c r="A1454" t="s">
        <v>1788</v>
      </c>
      <c r="B1454" t="s">
        <v>332</v>
      </c>
      <c r="C1454" t="s">
        <v>1738</v>
      </c>
      <c r="D1454" s="30">
        <v>0.65099537037037036</v>
      </c>
      <c r="E1454" t="s">
        <v>309</v>
      </c>
      <c r="F1454" t="s">
        <v>299</v>
      </c>
      <c r="G1454" t="s">
        <v>299</v>
      </c>
      <c r="H1454">
        <v>19</v>
      </c>
      <c r="I1454" s="30">
        <v>3.9004629629629628E-3</v>
      </c>
      <c r="J1454">
        <v>1</v>
      </c>
    </row>
    <row r="1455" spans="1:10" x14ac:dyDescent="0.35">
      <c r="A1455" t="s">
        <v>1789</v>
      </c>
      <c r="B1455" t="s">
        <v>332</v>
      </c>
      <c r="C1455" t="s">
        <v>1738</v>
      </c>
      <c r="D1455" s="30">
        <v>0.65099537037037036</v>
      </c>
      <c r="E1455" t="s">
        <v>298</v>
      </c>
      <c r="F1455" t="s">
        <v>299</v>
      </c>
      <c r="G1455" t="s">
        <v>299</v>
      </c>
      <c r="H1455">
        <v>68</v>
      </c>
      <c r="I1455" s="30">
        <v>1.8981481481481482E-3</v>
      </c>
      <c r="J1455">
        <v>3</v>
      </c>
    </row>
    <row r="1456" spans="1:10" x14ac:dyDescent="0.35">
      <c r="A1456" t="s">
        <v>1790</v>
      </c>
      <c r="B1456" t="s">
        <v>319</v>
      </c>
      <c r="C1456" t="s">
        <v>1738</v>
      </c>
      <c r="D1456" s="30">
        <v>0.66700231481481487</v>
      </c>
      <c r="E1456" t="s">
        <v>309</v>
      </c>
      <c r="F1456" t="s">
        <v>299</v>
      </c>
      <c r="G1456" t="s">
        <v>299</v>
      </c>
      <c r="H1456">
        <v>36</v>
      </c>
      <c r="I1456" s="30">
        <v>4.4212962962962964E-3</v>
      </c>
      <c r="J1456">
        <v>3</v>
      </c>
    </row>
    <row r="1457" spans="1:10" x14ac:dyDescent="0.35">
      <c r="A1457" t="s">
        <v>1791</v>
      </c>
      <c r="B1457" t="s">
        <v>323</v>
      </c>
      <c r="C1457" t="s">
        <v>1738</v>
      </c>
      <c r="D1457" s="30">
        <v>0.66700231481481487</v>
      </c>
      <c r="E1457" t="s">
        <v>309</v>
      </c>
      <c r="F1457" t="s">
        <v>299</v>
      </c>
      <c r="G1457" t="s">
        <v>299</v>
      </c>
      <c r="H1457">
        <v>50</v>
      </c>
      <c r="I1457" s="30">
        <v>7.6388888888888893E-4</v>
      </c>
      <c r="J1457">
        <v>4</v>
      </c>
    </row>
    <row r="1458" spans="1:10" x14ac:dyDescent="0.35">
      <c r="A1458" t="s">
        <v>1792</v>
      </c>
      <c r="B1458" t="s">
        <v>301</v>
      </c>
      <c r="C1458" t="s">
        <v>1738</v>
      </c>
      <c r="D1458" s="30">
        <v>0.67099537037037038</v>
      </c>
      <c r="E1458" t="s">
        <v>309</v>
      </c>
      <c r="F1458" t="s">
        <v>303</v>
      </c>
      <c r="G1458" t="s">
        <v>303</v>
      </c>
    </row>
    <row r="1459" spans="1:10" x14ac:dyDescent="0.35">
      <c r="A1459" t="s">
        <v>1793</v>
      </c>
      <c r="B1459" t="s">
        <v>307</v>
      </c>
      <c r="C1459" t="s">
        <v>1738</v>
      </c>
      <c r="D1459" s="30">
        <v>0.67099537037037038</v>
      </c>
      <c r="E1459" t="s">
        <v>298</v>
      </c>
      <c r="F1459" t="s">
        <v>299</v>
      </c>
      <c r="G1459" t="s">
        <v>299</v>
      </c>
      <c r="H1459">
        <v>60</v>
      </c>
      <c r="I1459" s="30">
        <v>1.5509259259259259E-3</v>
      </c>
      <c r="J1459">
        <v>3</v>
      </c>
    </row>
    <row r="1460" spans="1:10" x14ac:dyDescent="0.35">
      <c r="A1460" t="s">
        <v>1794</v>
      </c>
      <c r="B1460" t="s">
        <v>301</v>
      </c>
      <c r="C1460" t="s">
        <v>1738</v>
      </c>
      <c r="D1460" s="30">
        <v>0.72099537037037043</v>
      </c>
      <c r="E1460" t="s">
        <v>298</v>
      </c>
      <c r="F1460" t="s">
        <v>299</v>
      </c>
      <c r="G1460" t="s">
        <v>299</v>
      </c>
      <c r="H1460">
        <v>38</v>
      </c>
      <c r="I1460" s="30">
        <v>4.8379629629629632E-3</v>
      </c>
      <c r="J1460">
        <v>1</v>
      </c>
    </row>
    <row r="1461" spans="1:10" x14ac:dyDescent="0.35">
      <c r="A1461" t="s">
        <v>1795</v>
      </c>
      <c r="B1461" t="s">
        <v>301</v>
      </c>
      <c r="C1461" t="s">
        <v>1738</v>
      </c>
      <c r="D1461" s="30">
        <v>0.72099537037037043</v>
      </c>
      <c r="E1461" t="s">
        <v>298</v>
      </c>
      <c r="F1461" t="s">
        <v>299</v>
      </c>
      <c r="G1461" t="s">
        <v>299</v>
      </c>
      <c r="H1461">
        <v>115</v>
      </c>
      <c r="I1461" s="30">
        <v>4.340277777777778E-3</v>
      </c>
      <c r="J1461">
        <v>3</v>
      </c>
    </row>
    <row r="1462" spans="1:10" x14ac:dyDescent="0.35">
      <c r="A1462" t="s">
        <v>1796</v>
      </c>
      <c r="B1462" t="s">
        <v>332</v>
      </c>
      <c r="C1462" t="s">
        <v>1738</v>
      </c>
      <c r="D1462" s="30">
        <v>0.745</v>
      </c>
      <c r="E1462" t="s">
        <v>317</v>
      </c>
      <c r="F1462" t="s">
        <v>299</v>
      </c>
      <c r="G1462" t="s">
        <v>299</v>
      </c>
      <c r="H1462">
        <v>82</v>
      </c>
      <c r="I1462" s="30">
        <v>4.5949074074074078E-3</v>
      </c>
      <c r="J1462">
        <v>1</v>
      </c>
    </row>
    <row r="1463" spans="1:10" x14ac:dyDescent="0.35">
      <c r="A1463" t="s">
        <v>1797</v>
      </c>
      <c r="B1463" t="s">
        <v>316</v>
      </c>
      <c r="C1463" t="s">
        <v>1738</v>
      </c>
      <c r="D1463" s="30">
        <v>0.745</v>
      </c>
      <c r="E1463" t="s">
        <v>302</v>
      </c>
      <c r="F1463" t="s">
        <v>299</v>
      </c>
      <c r="G1463" t="s">
        <v>299</v>
      </c>
      <c r="H1463">
        <v>34</v>
      </c>
      <c r="I1463" s="30">
        <v>2.9861111111111113E-3</v>
      </c>
      <c r="J1463">
        <v>2</v>
      </c>
    </row>
    <row r="1464" spans="1:10" x14ac:dyDescent="0.35">
      <c r="A1464" t="s">
        <v>1798</v>
      </c>
      <c r="B1464" t="s">
        <v>296</v>
      </c>
      <c r="C1464" t="s">
        <v>1799</v>
      </c>
      <c r="D1464" s="30">
        <v>0.38200231481481484</v>
      </c>
      <c r="E1464" t="s">
        <v>317</v>
      </c>
      <c r="F1464" t="s">
        <v>299</v>
      </c>
      <c r="G1464" t="s">
        <v>299</v>
      </c>
      <c r="H1464">
        <v>95</v>
      </c>
      <c r="I1464" s="30">
        <v>2.0254629629629629E-3</v>
      </c>
      <c r="J1464">
        <v>3</v>
      </c>
    </row>
    <row r="1465" spans="1:10" x14ac:dyDescent="0.35">
      <c r="A1465" t="s">
        <v>1800</v>
      </c>
      <c r="B1465" t="s">
        <v>296</v>
      </c>
      <c r="C1465" t="s">
        <v>1799</v>
      </c>
      <c r="D1465" s="30">
        <v>0.38200231481481484</v>
      </c>
      <c r="E1465" t="s">
        <v>298</v>
      </c>
      <c r="F1465" t="s">
        <v>299</v>
      </c>
      <c r="G1465" t="s">
        <v>299</v>
      </c>
      <c r="H1465">
        <v>13</v>
      </c>
      <c r="I1465" s="30">
        <v>2.2453703703703702E-3</v>
      </c>
      <c r="J1465">
        <v>5</v>
      </c>
    </row>
    <row r="1466" spans="1:10" x14ac:dyDescent="0.35">
      <c r="A1466" t="s">
        <v>1801</v>
      </c>
      <c r="B1466" t="s">
        <v>301</v>
      </c>
      <c r="C1466" t="s">
        <v>1799</v>
      </c>
      <c r="D1466" s="30">
        <v>0.4020023148148148</v>
      </c>
      <c r="E1466" t="s">
        <v>302</v>
      </c>
      <c r="F1466" t="s">
        <v>299</v>
      </c>
      <c r="G1466" t="s">
        <v>299</v>
      </c>
      <c r="H1466">
        <v>22</v>
      </c>
      <c r="I1466" s="30">
        <v>2.9166666666666668E-3</v>
      </c>
      <c r="J1466">
        <v>3</v>
      </c>
    </row>
    <row r="1467" spans="1:10" x14ac:dyDescent="0.35">
      <c r="A1467" t="s">
        <v>1802</v>
      </c>
      <c r="B1467" t="s">
        <v>307</v>
      </c>
      <c r="C1467" t="s">
        <v>1799</v>
      </c>
      <c r="D1467" s="30">
        <v>0.4020023148148148</v>
      </c>
      <c r="E1467" t="s">
        <v>317</v>
      </c>
      <c r="F1467" t="s">
        <v>303</v>
      </c>
      <c r="G1467" t="s">
        <v>303</v>
      </c>
    </row>
    <row r="1468" spans="1:10" x14ac:dyDescent="0.35">
      <c r="A1468" t="s">
        <v>1803</v>
      </c>
      <c r="B1468" t="s">
        <v>323</v>
      </c>
      <c r="C1468" t="s">
        <v>1799</v>
      </c>
      <c r="D1468" s="30">
        <v>0.40400462962962963</v>
      </c>
      <c r="E1468" t="s">
        <v>314</v>
      </c>
      <c r="F1468" t="s">
        <v>299</v>
      </c>
      <c r="G1468" t="s">
        <v>299</v>
      </c>
      <c r="H1468">
        <v>86</v>
      </c>
      <c r="I1468" s="30">
        <v>1.9907407407407408E-3</v>
      </c>
      <c r="J1468">
        <v>1</v>
      </c>
    </row>
    <row r="1469" spans="1:10" x14ac:dyDescent="0.35">
      <c r="A1469" t="s">
        <v>1804</v>
      </c>
      <c r="B1469" t="s">
        <v>319</v>
      </c>
      <c r="C1469" t="s">
        <v>1799</v>
      </c>
      <c r="D1469" s="30">
        <v>0.40400462962962963</v>
      </c>
      <c r="E1469" t="s">
        <v>298</v>
      </c>
      <c r="F1469" t="s">
        <v>299</v>
      </c>
      <c r="G1469" t="s">
        <v>299</v>
      </c>
      <c r="H1469">
        <v>20</v>
      </c>
      <c r="I1469" s="30">
        <v>3.0439814814814813E-3</v>
      </c>
      <c r="J1469">
        <v>4</v>
      </c>
    </row>
    <row r="1470" spans="1:10" x14ac:dyDescent="0.35">
      <c r="A1470" t="s">
        <v>1805</v>
      </c>
      <c r="B1470" t="s">
        <v>307</v>
      </c>
      <c r="C1470" t="s">
        <v>1799</v>
      </c>
      <c r="D1470" s="30">
        <v>0.4129976851851852</v>
      </c>
      <c r="E1470" t="s">
        <v>309</v>
      </c>
      <c r="F1470" t="s">
        <v>303</v>
      </c>
      <c r="G1470" t="s">
        <v>303</v>
      </c>
    </row>
    <row r="1471" spans="1:10" x14ac:dyDescent="0.35">
      <c r="A1471" t="s">
        <v>1806</v>
      </c>
      <c r="B1471" t="s">
        <v>323</v>
      </c>
      <c r="C1471" t="s">
        <v>1799</v>
      </c>
      <c r="D1471" s="30">
        <v>0.4129976851851852</v>
      </c>
      <c r="E1471" t="s">
        <v>298</v>
      </c>
      <c r="F1471" t="s">
        <v>299</v>
      </c>
      <c r="G1471" t="s">
        <v>299</v>
      </c>
      <c r="H1471">
        <v>36</v>
      </c>
      <c r="I1471" s="30">
        <v>3.0208333333333333E-3</v>
      </c>
      <c r="J1471">
        <v>4</v>
      </c>
    </row>
    <row r="1472" spans="1:10" x14ac:dyDescent="0.35">
      <c r="A1472" t="s">
        <v>1807</v>
      </c>
      <c r="B1472" t="s">
        <v>323</v>
      </c>
      <c r="C1472" t="s">
        <v>1799</v>
      </c>
      <c r="D1472" s="30">
        <v>0.41499999999999998</v>
      </c>
      <c r="E1472" t="s">
        <v>317</v>
      </c>
      <c r="F1472" t="s">
        <v>299</v>
      </c>
      <c r="G1472" t="s">
        <v>299</v>
      </c>
      <c r="H1472">
        <v>118</v>
      </c>
      <c r="I1472" s="30">
        <v>2.3958333333333331E-3</v>
      </c>
      <c r="J1472">
        <v>4</v>
      </c>
    </row>
    <row r="1473" spans="1:10" x14ac:dyDescent="0.35">
      <c r="A1473" t="s">
        <v>1808</v>
      </c>
      <c r="B1473" t="s">
        <v>305</v>
      </c>
      <c r="C1473" t="s">
        <v>1799</v>
      </c>
      <c r="D1473" s="30">
        <v>0.41499999999999998</v>
      </c>
      <c r="E1473" t="s">
        <v>298</v>
      </c>
      <c r="F1473" t="s">
        <v>299</v>
      </c>
      <c r="G1473" t="s">
        <v>299</v>
      </c>
      <c r="H1473">
        <v>40</v>
      </c>
      <c r="I1473" s="30">
        <v>2.8472222222222223E-3</v>
      </c>
      <c r="J1473">
        <v>4</v>
      </c>
    </row>
    <row r="1474" spans="1:10" x14ac:dyDescent="0.35">
      <c r="A1474" t="s">
        <v>1809</v>
      </c>
      <c r="B1474" t="s">
        <v>316</v>
      </c>
      <c r="C1474" t="s">
        <v>1799</v>
      </c>
      <c r="D1474" s="30">
        <v>0.44700231481481484</v>
      </c>
      <c r="E1474" t="s">
        <v>298</v>
      </c>
      <c r="F1474" t="s">
        <v>299</v>
      </c>
      <c r="G1474" t="s">
        <v>299</v>
      </c>
      <c r="H1474">
        <v>97</v>
      </c>
      <c r="I1474" s="30">
        <v>4.5949074074074078E-3</v>
      </c>
      <c r="J1474">
        <v>4</v>
      </c>
    </row>
    <row r="1475" spans="1:10" x14ac:dyDescent="0.35">
      <c r="A1475" t="s">
        <v>1810</v>
      </c>
      <c r="B1475" t="s">
        <v>323</v>
      </c>
      <c r="C1475" t="s">
        <v>1799</v>
      </c>
      <c r="D1475" s="30">
        <v>0.44700231481481484</v>
      </c>
      <c r="E1475" t="s">
        <v>298</v>
      </c>
      <c r="F1475" t="s">
        <v>299</v>
      </c>
      <c r="G1475" t="s">
        <v>299</v>
      </c>
      <c r="H1475">
        <v>75</v>
      </c>
      <c r="I1475" s="30">
        <v>1.9675925925925924E-3</v>
      </c>
      <c r="J1475">
        <v>4</v>
      </c>
    </row>
    <row r="1476" spans="1:10" x14ac:dyDescent="0.35">
      <c r="A1476" t="s">
        <v>1811</v>
      </c>
      <c r="B1476" t="s">
        <v>332</v>
      </c>
      <c r="C1476" t="s">
        <v>1799</v>
      </c>
      <c r="D1476" s="30">
        <v>0.46500000000000002</v>
      </c>
      <c r="E1476" t="s">
        <v>302</v>
      </c>
      <c r="F1476" t="s">
        <v>299</v>
      </c>
      <c r="G1476" t="s">
        <v>299</v>
      </c>
      <c r="H1476">
        <v>61</v>
      </c>
      <c r="I1476" s="30">
        <v>1.8402777777777777E-3</v>
      </c>
      <c r="J1476">
        <v>3</v>
      </c>
    </row>
    <row r="1477" spans="1:10" x14ac:dyDescent="0.35">
      <c r="A1477" t="s">
        <v>1812</v>
      </c>
      <c r="B1477" t="s">
        <v>332</v>
      </c>
      <c r="C1477" t="s">
        <v>1799</v>
      </c>
      <c r="D1477" s="30">
        <v>0.46500000000000002</v>
      </c>
      <c r="E1477" t="s">
        <v>317</v>
      </c>
      <c r="F1477" t="s">
        <v>299</v>
      </c>
      <c r="G1477" t="s">
        <v>299</v>
      </c>
      <c r="H1477">
        <v>125</v>
      </c>
      <c r="I1477" s="30">
        <v>4.2245370370370371E-3</v>
      </c>
      <c r="J1477">
        <v>5</v>
      </c>
    </row>
    <row r="1478" spans="1:10" x14ac:dyDescent="0.35">
      <c r="A1478" t="s">
        <v>1813</v>
      </c>
      <c r="B1478" t="s">
        <v>316</v>
      </c>
      <c r="C1478" t="s">
        <v>1799</v>
      </c>
      <c r="D1478" s="30">
        <v>0.52799768518518519</v>
      </c>
      <c r="E1478" t="s">
        <v>298</v>
      </c>
      <c r="F1478" t="s">
        <v>303</v>
      </c>
      <c r="G1478" t="s">
        <v>303</v>
      </c>
    </row>
    <row r="1479" spans="1:10" x14ac:dyDescent="0.35">
      <c r="A1479" t="s">
        <v>1814</v>
      </c>
      <c r="B1479" t="s">
        <v>332</v>
      </c>
      <c r="C1479" t="s">
        <v>1799</v>
      </c>
      <c r="D1479" s="30">
        <v>0.52799768518518519</v>
      </c>
      <c r="E1479" t="s">
        <v>302</v>
      </c>
      <c r="F1479" t="s">
        <v>299</v>
      </c>
      <c r="G1479" t="s">
        <v>299</v>
      </c>
      <c r="H1479">
        <v>33</v>
      </c>
      <c r="I1479" s="30">
        <v>4.0740740740740737E-3</v>
      </c>
      <c r="J1479">
        <v>5</v>
      </c>
    </row>
    <row r="1480" spans="1:10" x14ac:dyDescent="0.35">
      <c r="A1480" t="s">
        <v>1815</v>
      </c>
      <c r="B1480" t="s">
        <v>323</v>
      </c>
      <c r="C1480" t="s">
        <v>1799</v>
      </c>
      <c r="D1480" s="30">
        <v>0.54200231481481487</v>
      </c>
      <c r="E1480" t="s">
        <v>302</v>
      </c>
      <c r="F1480" t="s">
        <v>303</v>
      </c>
      <c r="G1480" t="s">
        <v>303</v>
      </c>
    </row>
    <row r="1481" spans="1:10" x14ac:dyDescent="0.35">
      <c r="A1481" t="s">
        <v>1816</v>
      </c>
      <c r="B1481" t="s">
        <v>323</v>
      </c>
      <c r="C1481" t="s">
        <v>1799</v>
      </c>
      <c r="D1481" s="30">
        <v>0.54200231481481487</v>
      </c>
      <c r="E1481" t="s">
        <v>317</v>
      </c>
      <c r="F1481" t="s">
        <v>299</v>
      </c>
      <c r="G1481" t="s">
        <v>299</v>
      </c>
      <c r="H1481">
        <v>50</v>
      </c>
      <c r="I1481" s="30">
        <v>2.673611111111111E-3</v>
      </c>
      <c r="J1481">
        <v>5</v>
      </c>
    </row>
    <row r="1482" spans="1:10" x14ac:dyDescent="0.35">
      <c r="A1482" t="s">
        <v>1817</v>
      </c>
      <c r="B1482" t="s">
        <v>316</v>
      </c>
      <c r="C1482" t="s">
        <v>1799</v>
      </c>
      <c r="D1482" s="30">
        <v>0.54400462962962959</v>
      </c>
      <c r="E1482" t="s">
        <v>314</v>
      </c>
      <c r="F1482" t="s">
        <v>299</v>
      </c>
      <c r="G1482" t="s">
        <v>299</v>
      </c>
      <c r="H1482">
        <v>114</v>
      </c>
      <c r="I1482" s="30">
        <v>3.0208333333333333E-3</v>
      </c>
      <c r="J1482">
        <v>3</v>
      </c>
    </row>
    <row r="1483" spans="1:10" x14ac:dyDescent="0.35">
      <c r="A1483" t="s">
        <v>1818</v>
      </c>
      <c r="B1483" t="s">
        <v>316</v>
      </c>
      <c r="C1483" t="s">
        <v>1799</v>
      </c>
      <c r="D1483" s="30">
        <v>0.54400462962962959</v>
      </c>
      <c r="E1483" t="s">
        <v>302</v>
      </c>
      <c r="F1483" t="s">
        <v>303</v>
      </c>
      <c r="G1483" t="s">
        <v>303</v>
      </c>
    </row>
    <row r="1484" spans="1:10" x14ac:dyDescent="0.35">
      <c r="A1484" t="s">
        <v>1819</v>
      </c>
      <c r="B1484" t="s">
        <v>332</v>
      </c>
      <c r="C1484" t="s">
        <v>1799</v>
      </c>
      <c r="D1484" s="30">
        <v>0.54700231481481476</v>
      </c>
      <c r="E1484" t="s">
        <v>317</v>
      </c>
      <c r="F1484" t="s">
        <v>299</v>
      </c>
      <c r="G1484" t="s">
        <v>299</v>
      </c>
      <c r="H1484">
        <v>58</v>
      </c>
      <c r="I1484" s="30">
        <v>1.4004629629629629E-3</v>
      </c>
      <c r="J1484">
        <v>4</v>
      </c>
    </row>
    <row r="1485" spans="1:10" x14ac:dyDescent="0.35">
      <c r="A1485" t="s">
        <v>1820</v>
      </c>
      <c r="B1485" t="s">
        <v>296</v>
      </c>
      <c r="C1485" t="s">
        <v>1799</v>
      </c>
      <c r="D1485" s="30">
        <v>0.54700231481481476</v>
      </c>
      <c r="E1485" t="s">
        <v>317</v>
      </c>
      <c r="F1485" t="s">
        <v>299</v>
      </c>
      <c r="G1485" t="s">
        <v>299</v>
      </c>
      <c r="H1485">
        <v>86</v>
      </c>
      <c r="I1485" s="30">
        <v>2.3958333333333331E-3</v>
      </c>
      <c r="J1485">
        <v>2</v>
      </c>
    </row>
    <row r="1486" spans="1:10" x14ac:dyDescent="0.35">
      <c r="A1486" t="s">
        <v>1821</v>
      </c>
      <c r="B1486" t="s">
        <v>332</v>
      </c>
      <c r="C1486" t="s">
        <v>1799</v>
      </c>
      <c r="D1486" s="30">
        <v>0.54799768518518521</v>
      </c>
      <c r="E1486" t="s">
        <v>317</v>
      </c>
      <c r="F1486" t="s">
        <v>299</v>
      </c>
      <c r="G1486" t="s">
        <v>299</v>
      </c>
      <c r="H1486">
        <v>45</v>
      </c>
      <c r="I1486" s="30">
        <v>2.6967592592592594E-3</v>
      </c>
      <c r="J1486">
        <v>5</v>
      </c>
    </row>
    <row r="1487" spans="1:10" x14ac:dyDescent="0.35">
      <c r="A1487" t="s">
        <v>1822</v>
      </c>
      <c r="B1487" t="s">
        <v>332</v>
      </c>
      <c r="C1487" t="s">
        <v>1799</v>
      </c>
      <c r="D1487" s="30">
        <v>0.54799768518518521</v>
      </c>
      <c r="E1487" t="s">
        <v>317</v>
      </c>
      <c r="F1487" t="s">
        <v>299</v>
      </c>
      <c r="G1487" t="s">
        <v>299</v>
      </c>
      <c r="H1487">
        <v>84</v>
      </c>
      <c r="I1487" s="30">
        <v>1.7708333333333332E-3</v>
      </c>
      <c r="J1487">
        <v>2</v>
      </c>
    </row>
    <row r="1488" spans="1:10" x14ac:dyDescent="0.35">
      <c r="A1488" t="s">
        <v>1823</v>
      </c>
      <c r="B1488" t="s">
        <v>296</v>
      </c>
      <c r="C1488" t="s">
        <v>1799</v>
      </c>
      <c r="D1488" s="30">
        <v>0.55700231481481477</v>
      </c>
      <c r="E1488" t="s">
        <v>298</v>
      </c>
      <c r="F1488" t="s">
        <v>299</v>
      </c>
      <c r="G1488" t="s">
        <v>299</v>
      </c>
      <c r="H1488">
        <v>15</v>
      </c>
      <c r="I1488" s="30">
        <v>4.7916666666666663E-3</v>
      </c>
      <c r="J1488">
        <v>2</v>
      </c>
    </row>
    <row r="1489" spans="1:10" x14ac:dyDescent="0.35">
      <c r="A1489" t="s">
        <v>1824</v>
      </c>
      <c r="B1489" t="s">
        <v>305</v>
      </c>
      <c r="C1489" t="s">
        <v>1799</v>
      </c>
      <c r="D1489" s="30">
        <v>0.55700231481481477</v>
      </c>
      <c r="E1489" t="s">
        <v>314</v>
      </c>
      <c r="F1489" t="s">
        <v>299</v>
      </c>
      <c r="G1489" t="s">
        <v>299</v>
      </c>
      <c r="H1489">
        <v>47</v>
      </c>
      <c r="I1489" s="30">
        <v>2.8587962962962963E-3</v>
      </c>
      <c r="J1489">
        <v>2</v>
      </c>
    </row>
    <row r="1490" spans="1:10" x14ac:dyDescent="0.35">
      <c r="A1490" t="s">
        <v>1825</v>
      </c>
      <c r="B1490" t="s">
        <v>332</v>
      </c>
      <c r="C1490" t="s">
        <v>1799</v>
      </c>
      <c r="D1490" s="30">
        <v>0.56099537037037039</v>
      </c>
      <c r="E1490" t="s">
        <v>309</v>
      </c>
      <c r="F1490" t="s">
        <v>299</v>
      </c>
      <c r="G1490" t="s">
        <v>299</v>
      </c>
      <c r="H1490">
        <v>27</v>
      </c>
      <c r="I1490" s="30">
        <v>1.8171296296296297E-3</v>
      </c>
      <c r="J1490">
        <v>3</v>
      </c>
    </row>
    <row r="1491" spans="1:10" x14ac:dyDescent="0.35">
      <c r="A1491" t="s">
        <v>1826</v>
      </c>
      <c r="B1491" t="s">
        <v>323</v>
      </c>
      <c r="C1491" t="s">
        <v>1799</v>
      </c>
      <c r="D1491" s="30">
        <v>0.56099537037037039</v>
      </c>
      <c r="E1491" t="s">
        <v>314</v>
      </c>
      <c r="F1491" t="s">
        <v>299</v>
      </c>
      <c r="G1491" t="s">
        <v>299</v>
      </c>
      <c r="H1491">
        <v>49</v>
      </c>
      <c r="I1491" s="30">
        <v>9.7222222222222219E-4</v>
      </c>
      <c r="J1491">
        <v>4</v>
      </c>
    </row>
    <row r="1492" spans="1:10" x14ac:dyDescent="0.35">
      <c r="A1492" t="s">
        <v>1827</v>
      </c>
      <c r="B1492" t="s">
        <v>319</v>
      </c>
      <c r="C1492" t="s">
        <v>1799</v>
      </c>
      <c r="D1492" s="30">
        <v>0.57799768518518524</v>
      </c>
      <c r="E1492" t="s">
        <v>298</v>
      </c>
      <c r="F1492" t="s">
        <v>299</v>
      </c>
      <c r="G1492" t="s">
        <v>299</v>
      </c>
      <c r="H1492">
        <v>50</v>
      </c>
      <c r="I1492" s="30">
        <v>1.2152777777777778E-3</v>
      </c>
      <c r="J1492">
        <v>4</v>
      </c>
    </row>
    <row r="1493" spans="1:10" x14ac:dyDescent="0.35">
      <c r="A1493" t="s">
        <v>1828</v>
      </c>
      <c r="B1493" t="s">
        <v>307</v>
      </c>
      <c r="C1493" t="s">
        <v>1799</v>
      </c>
      <c r="D1493" s="30">
        <v>0.57799768518518524</v>
      </c>
      <c r="E1493" t="s">
        <v>317</v>
      </c>
      <c r="F1493" t="s">
        <v>299</v>
      </c>
      <c r="G1493" t="s">
        <v>299</v>
      </c>
      <c r="H1493">
        <v>87</v>
      </c>
      <c r="I1493" s="30">
        <v>3.4837962962962965E-3</v>
      </c>
      <c r="J1493">
        <v>2</v>
      </c>
    </row>
    <row r="1494" spans="1:10" x14ac:dyDescent="0.35">
      <c r="A1494" t="s">
        <v>1829</v>
      </c>
      <c r="B1494" t="s">
        <v>316</v>
      </c>
      <c r="C1494" t="s">
        <v>1799</v>
      </c>
      <c r="D1494" s="30">
        <v>0.61499999999999999</v>
      </c>
      <c r="E1494" t="s">
        <v>314</v>
      </c>
      <c r="F1494" t="s">
        <v>299</v>
      </c>
      <c r="G1494" t="s">
        <v>299</v>
      </c>
      <c r="H1494">
        <v>87</v>
      </c>
      <c r="I1494" s="30">
        <v>4.5601851851851853E-3</v>
      </c>
      <c r="J1494">
        <v>3</v>
      </c>
    </row>
    <row r="1495" spans="1:10" x14ac:dyDescent="0.35">
      <c r="A1495" t="s">
        <v>1830</v>
      </c>
      <c r="B1495" t="s">
        <v>316</v>
      </c>
      <c r="C1495" t="s">
        <v>1799</v>
      </c>
      <c r="D1495" s="30">
        <v>0.61499999999999999</v>
      </c>
      <c r="E1495" t="s">
        <v>309</v>
      </c>
      <c r="F1495" t="s">
        <v>299</v>
      </c>
      <c r="G1495" t="s">
        <v>299</v>
      </c>
      <c r="H1495">
        <v>15</v>
      </c>
      <c r="I1495" s="30">
        <v>4.1435185185185186E-3</v>
      </c>
      <c r="J1495">
        <v>3</v>
      </c>
    </row>
    <row r="1496" spans="1:10" x14ac:dyDescent="0.35">
      <c r="A1496" t="s">
        <v>1831</v>
      </c>
      <c r="B1496" t="s">
        <v>332</v>
      </c>
      <c r="C1496" t="s">
        <v>1799</v>
      </c>
      <c r="D1496" s="30">
        <v>0.62099537037037034</v>
      </c>
      <c r="E1496" t="s">
        <v>302</v>
      </c>
      <c r="F1496" t="s">
        <v>299</v>
      </c>
      <c r="G1496" t="s">
        <v>299</v>
      </c>
      <c r="H1496">
        <v>123</v>
      </c>
      <c r="I1496" s="30">
        <v>4.7337962962962967E-3</v>
      </c>
      <c r="J1496">
        <v>5</v>
      </c>
    </row>
    <row r="1497" spans="1:10" x14ac:dyDescent="0.35">
      <c r="A1497" t="s">
        <v>1832</v>
      </c>
      <c r="B1497" t="s">
        <v>301</v>
      </c>
      <c r="C1497" t="s">
        <v>1799</v>
      </c>
      <c r="D1497" s="30">
        <v>0.62099537037037034</v>
      </c>
      <c r="E1497" t="s">
        <v>309</v>
      </c>
      <c r="F1497" t="s">
        <v>299</v>
      </c>
      <c r="G1497" t="s">
        <v>299</v>
      </c>
      <c r="H1497">
        <v>32</v>
      </c>
      <c r="I1497" s="30">
        <v>3.2638888888888891E-3</v>
      </c>
      <c r="J1497">
        <v>3</v>
      </c>
    </row>
    <row r="1498" spans="1:10" x14ac:dyDescent="0.35">
      <c r="A1498" t="s">
        <v>1833</v>
      </c>
      <c r="B1498" t="s">
        <v>305</v>
      </c>
      <c r="C1498" t="s">
        <v>1799</v>
      </c>
      <c r="D1498" s="30">
        <v>0.64</v>
      </c>
      <c r="E1498" t="s">
        <v>309</v>
      </c>
      <c r="F1498" t="s">
        <v>299</v>
      </c>
      <c r="G1498" t="s">
        <v>299</v>
      </c>
      <c r="H1498">
        <v>10</v>
      </c>
      <c r="I1498" s="30">
        <v>9.837962962962962E-4</v>
      </c>
      <c r="J1498">
        <v>5</v>
      </c>
    </row>
    <row r="1499" spans="1:10" x14ac:dyDescent="0.35">
      <c r="A1499" t="s">
        <v>1834</v>
      </c>
      <c r="B1499" t="s">
        <v>332</v>
      </c>
      <c r="C1499" t="s">
        <v>1799</v>
      </c>
      <c r="D1499" s="30">
        <v>0.64</v>
      </c>
      <c r="E1499" t="s">
        <v>314</v>
      </c>
      <c r="F1499" t="s">
        <v>299</v>
      </c>
      <c r="G1499" t="s">
        <v>299</v>
      </c>
      <c r="H1499">
        <v>19</v>
      </c>
      <c r="I1499" s="30">
        <v>3.2754629629629631E-3</v>
      </c>
      <c r="J1499">
        <v>2</v>
      </c>
    </row>
    <row r="1500" spans="1:10" x14ac:dyDescent="0.35">
      <c r="A1500" t="s">
        <v>1835</v>
      </c>
      <c r="B1500" t="s">
        <v>301</v>
      </c>
      <c r="C1500" t="s">
        <v>1799</v>
      </c>
      <c r="D1500" s="30">
        <v>0.64099537037037035</v>
      </c>
      <c r="E1500" t="s">
        <v>314</v>
      </c>
      <c r="F1500" t="s">
        <v>299</v>
      </c>
      <c r="G1500" t="s">
        <v>299</v>
      </c>
      <c r="H1500">
        <v>10</v>
      </c>
      <c r="I1500" s="30">
        <v>4.2129629629629626E-3</v>
      </c>
      <c r="J1500">
        <v>5</v>
      </c>
    </row>
    <row r="1501" spans="1:10" x14ac:dyDescent="0.35">
      <c r="A1501" t="s">
        <v>1836</v>
      </c>
      <c r="B1501" t="s">
        <v>296</v>
      </c>
      <c r="C1501" t="s">
        <v>1799</v>
      </c>
      <c r="D1501" s="30">
        <v>0.64099537037037035</v>
      </c>
      <c r="E1501" t="s">
        <v>317</v>
      </c>
      <c r="F1501" t="s">
        <v>303</v>
      </c>
      <c r="G1501" t="s">
        <v>303</v>
      </c>
    </row>
    <row r="1502" spans="1:10" x14ac:dyDescent="0.35">
      <c r="A1502" t="s">
        <v>1837</v>
      </c>
      <c r="B1502" t="s">
        <v>305</v>
      </c>
      <c r="C1502" t="s">
        <v>1799</v>
      </c>
      <c r="D1502" s="30">
        <v>0.65299768518518519</v>
      </c>
      <c r="E1502" t="s">
        <v>317</v>
      </c>
      <c r="F1502" t="s">
        <v>299</v>
      </c>
      <c r="G1502" t="s">
        <v>299</v>
      </c>
      <c r="H1502">
        <v>112</v>
      </c>
      <c r="I1502" s="30">
        <v>1.8865740740740742E-3</v>
      </c>
      <c r="J1502">
        <v>4</v>
      </c>
    </row>
    <row r="1503" spans="1:10" x14ac:dyDescent="0.35">
      <c r="A1503" t="s">
        <v>1838</v>
      </c>
      <c r="B1503" t="s">
        <v>301</v>
      </c>
      <c r="C1503" t="s">
        <v>1799</v>
      </c>
      <c r="D1503" s="30">
        <v>0.65299768518518519</v>
      </c>
      <c r="E1503" t="s">
        <v>298</v>
      </c>
      <c r="F1503" t="s">
        <v>299</v>
      </c>
      <c r="G1503" t="s">
        <v>303</v>
      </c>
      <c r="H1503">
        <v>10</v>
      </c>
      <c r="I1503" s="30">
        <v>2.5694444444444445E-3</v>
      </c>
      <c r="J1503">
        <v>4</v>
      </c>
    </row>
    <row r="1504" spans="1:10" x14ac:dyDescent="0.35">
      <c r="A1504" t="s">
        <v>1839</v>
      </c>
      <c r="B1504" t="s">
        <v>316</v>
      </c>
      <c r="C1504" t="s">
        <v>1799</v>
      </c>
      <c r="D1504" s="30">
        <v>0.66700231481481487</v>
      </c>
      <c r="E1504" t="s">
        <v>314</v>
      </c>
      <c r="F1504" t="s">
        <v>299</v>
      </c>
      <c r="G1504" t="s">
        <v>299</v>
      </c>
      <c r="H1504">
        <v>26</v>
      </c>
      <c r="I1504" s="30">
        <v>1.3425925925925925E-3</v>
      </c>
      <c r="J1504">
        <v>2</v>
      </c>
    </row>
    <row r="1505" spans="1:10" x14ac:dyDescent="0.35">
      <c r="A1505" t="s">
        <v>1840</v>
      </c>
      <c r="B1505" t="s">
        <v>323</v>
      </c>
      <c r="C1505" t="s">
        <v>1799</v>
      </c>
      <c r="D1505" s="30">
        <v>0.66700231481481487</v>
      </c>
      <c r="E1505" t="s">
        <v>314</v>
      </c>
      <c r="F1505" t="s">
        <v>299</v>
      </c>
      <c r="G1505" t="s">
        <v>299</v>
      </c>
      <c r="H1505">
        <v>96</v>
      </c>
      <c r="I1505" s="30">
        <v>4.5023148148148149E-3</v>
      </c>
      <c r="J1505">
        <v>4</v>
      </c>
    </row>
    <row r="1506" spans="1:10" x14ac:dyDescent="0.35">
      <c r="A1506" t="s">
        <v>1841</v>
      </c>
      <c r="B1506" t="s">
        <v>332</v>
      </c>
      <c r="C1506" t="s">
        <v>1799</v>
      </c>
      <c r="D1506" s="30">
        <v>0.66799768518518521</v>
      </c>
      <c r="E1506" t="s">
        <v>309</v>
      </c>
      <c r="F1506" t="s">
        <v>299</v>
      </c>
      <c r="G1506" t="s">
        <v>299</v>
      </c>
      <c r="H1506">
        <v>99</v>
      </c>
      <c r="I1506" s="30">
        <v>3.0324074074074073E-3</v>
      </c>
      <c r="J1506">
        <v>3</v>
      </c>
    </row>
    <row r="1507" spans="1:10" x14ac:dyDescent="0.35">
      <c r="A1507" t="s">
        <v>1842</v>
      </c>
      <c r="B1507" t="s">
        <v>307</v>
      </c>
      <c r="C1507" t="s">
        <v>1799</v>
      </c>
      <c r="D1507" s="30">
        <v>0.66799768518518521</v>
      </c>
      <c r="E1507" t="s">
        <v>302</v>
      </c>
      <c r="F1507" t="s">
        <v>303</v>
      </c>
      <c r="G1507" t="s">
        <v>303</v>
      </c>
    </row>
    <row r="1508" spans="1:10" x14ac:dyDescent="0.35">
      <c r="A1508" t="s">
        <v>1843</v>
      </c>
      <c r="B1508" t="s">
        <v>316</v>
      </c>
      <c r="C1508" t="s">
        <v>1799</v>
      </c>
      <c r="D1508" s="30">
        <v>0.67400462962962959</v>
      </c>
      <c r="E1508" t="s">
        <v>314</v>
      </c>
      <c r="F1508" t="s">
        <v>299</v>
      </c>
      <c r="G1508" t="s">
        <v>299</v>
      </c>
      <c r="H1508">
        <v>77</v>
      </c>
      <c r="I1508" s="30">
        <v>2.2569444444444442E-3</v>
      </c>
      <c r="J1508">
        <v>5</v>
      </c>
    </row>
    <row r="1509" spans="1:10" x14ac:dyDescent="0.35">
      <c r="A1509" t="s">
        <v>1844</v>
      </c>
      <c r="B1509" t="s">
        <v>319</v>
      </c>
      <c r="C1509" t="s">
        <v>1799</v>
      </c>
      <c r="D1509" s="30">
        <v>0.67400462962962959</v>
      </c>
      <c r="E1509" t="s">
        <v>314</v>
      </c>
      <c r="F1509" t="s">
        <v>299</v>
      </c>
      <c r="G1509" t="s">
        <v>299</v>
      </c>
      <c r="H1509">
        <v>16</v>
      </c>
      <c r="I1509" s="30">
        <v>3.7152777777777778E-3</v>
      </c>
      <c r="J1509">
        <v>4</v>
      </c>
    </row>
    <row r="1510" spans="1:10" x14ac:dyDescent="0.35">
      <c r="A1510" t="s">
        <v>1845</v>
      </c>
      <c r="B1510" t="s">
        <v>323</v>
      </c>
      <c r="C1510" t="s">
        <v>1799</v>
      </c>
      <c r="D1510" s="30">
        <v>0.70700231481481479</v>
      </c>
      <c r="E1510" t="s">
        <v>298</v>
      </c>
      <c r="F1510" t="s">
        <v>299</v>
      </c>
      <c r="G1510" t="s">
        <v>299</v>
      </c>
      <c r="H1510">
        <v>100</v>
      </c>
      <c r="I1510" s="30">
        <v>1.8865740740740742E-3</v>
      </c>
      <c r="J1510">
        <v>4</v>
      </c>
    </row>
    <row r="1511" spans="1:10" x14ac:dyDescent="0.35">
      <c r="A1511" t="s">
        <v>1846</v>
      </c>
      <c r="B1511" t="s">
        <v>316</v>
      </c>
      <c r="C1511" t="s">
        <v>1799</v>
      </c>
      <c r="D1511" s="30">
        <v>0.70700231481481479</v>
      </c>
      <c r="E1511" t="s">
        <v>298</v>
      </c>
      <c r="F1511" t="s">
        <v>299</v>
      </c>
      <c r="G1511" t="s">
        <v>299</v>
      </c>
      <c r="H1511">
        <v>27</v>
      </c>
      <c r="I1511" s="30">
        <v>3.5763888888888889E-3</v>
      </c>
      <c r="J1511">
        <v>3</v>
      </c>
    </row>
    <row r="1512" spans="1:10" x14ac:dyDescent="0.35">
      <c r="A1512" t="s">
        <v>1847</v>
      </c>
      <c r="B1512" t="s">
        <v>301</v>
      </c>
      <c r="C1512" t="s">
        <v>1799</v>
      </c>
      <c r="D1512" s="30">
        <v>0.70900462962962962</v>
      </c>
      <c r="E1512" t="s">
        <v>309</v>
      </c>
      <c r="F1512" t="s">
        <v>299</v>
      </c>
      <c r="G1512" t="s">
        <v>299</v>
      </c>
      <c r="H1512">
        <v>31</v>
      </c>
      <c r="I1512" s="30">
        <v>3.0902777777777777E-3</v>
      </c>
      <c r="J1512">
        <v>1</v>
      </c>
    </row>
    <row r="1513" spans="1:10" x14ac:dyDescent="0.35">
      <c r="A1513" t="s">
        <v>1848</v>
      </c>
      <c r="B1513" t="s">
        <v>319</v>
      </c>
      <c r="C1513" t="s">
        <v>1799</v>
      </c>
      <c r="D1513" s="30">
        <v>0.70900462962962962</v>
      </c>
      <c r="E1513" t="s">
        <v>298</v>
      </c>
      <c r="F1513" t="s">
        <v>299</v>
      </c>
      <c r="G1513" t="s">
        <v>299</v>
      </c>
      <c r="H1513">
        <v>33</v>
      </c>
      <c r="I1513" s="30">
        <v>4.5370370370370373E-3</v>
      </c>
      <c r="J1513">
        <v>2</v>
      </c>
    </row>
    <row r="1514" spans="1:10" x14ac:dyDescent="0.35">
      <c r="A1514" t="s">
        <v>1849</v>
      </c>
      <c r="B1514" t="s">
        <v>316</v>
      </c>
      <c r="C1514" t="s">
        <v>1799</v>
      </c>
      <c r="D1514" s="30">
        <v>0.7170023148148148</v>
      </c>
      <c r="E1514" t="s">
        <v>317</v>
      </c>
      <c r="F1514" t="s">
        <v>299</v>
      </c>
      <c r="G1514" t="s">
        <v>299</v>
      </c>
      <c r="H1514">
        <v>107</v>
      </c>
      <c r="I1514" s="30">
        <v>2.1643518518518518E-3</v>
      </c>
      <c r="J1514">
        <v>4</v>
      </c>
    </row>
    <row r="1515" spans="1:10" x14ac:dyDescent="0.35">
      <c r="A1515" t="s">
        <v>1850</v>
      </c>
      <c r="B1515" t="s">
        <v>332</v>
      </c>
      <c r="C1515" t="s">
        <v>1799</v>
      </c>
      <c r="D1515" s="30">
        <v>0.7170023148148148</v>
      </c>
      <c r="E1515" t="s">
        <v>309</v>
      </c>
      <c r="F1515" t="s">
        <v>299</v>
      </c>
      <c r="G1515" t="s">
        <v>299</v>
      </c>
      <c r="H1515">
        <v>77</v>
      </c>
      <c r="I1515" s="30">
        <v>4.2129629629629626E-3</v>
      </c>
      <c r="J1515">
        <v>3</v>
      </c>
    </row>
    <row r="1516" spans="1:10" x14ac:dyDescent="0.35">
      <c r="A1516" t="s">
        <v>1851</v>
      </c>
      <c r="B1516" t="s">
        <v>316</v>
      </c>
      <c r="C1516" t="s">
        <v>1799</v>
      </c>
      <c r="D1516" s="30">
        <v>0.72099537037037043</v>
      </c>
      <c r="E1516" t="s">
        <v>317</v>
      </c>
      <c r="F1516" t="s">
        <v>299</v>
      </c>
      <c r="G1516" t="s">
        <v>299</v>
      </c>
      <c r="H1516">
        <v>28</v>
      </c>
      <c r="I1516" s="30">
        <v>2.1296296296296298E-3</v>
      </c>
      <c r="J1516">
        <v>5</v>
      </c>
    </row>
    <row r="1517" spans="1:10" x14ac:dyDescent="0.35">
      <c r="A1517" t="s">
        <v>1852</v>
      </c>
      <c r="B1517" t="s">
        <v>307</v>
      </c>
      <c r="C1517" t="s">
        <v>1799</v>
      </c>
      <c r="D1517" s="30">
        <v>0.72099537037037043</v>
      </c>
      <c r="E1517" t="s">
        <v>298</v>
      </c>
      <c r="F1517" t="s">
        <v>303</v>
      </c>
      <c r="G1517" t="s">
        <v>303</v>
      </c>
    </row>
    <row r="1518" spans="1:10" x14ac:dyDescent="0.35">
      <c r="A1518" t="s">
        <v>1853</v>
      </c>
      <c r="B1518" t="s">
        <v>316</v>
      </c>
      <c r="C1518" t="s">
        <v>1799</v>
      </c>
      <c r="D1518" s="30">
        <v>0.73799768518518516</v>
      </c>
      <c r="E1518" t="s">
        <v>298</v>
      </c>
      <c r="F1518" t="s">
        <v>299</v>
      </c>
      <c r="G1518" t="s">
        <v>299</v>
      </c>
      <c r="H1518">
        <v>93</v>
      </c>
      <c r="I1518" s="30">
        <v>6.4814814814814813E-4</v>
      </c>
      <c r="J1518">
        <v>4</v>
      </c>
    </row>
    <row r="1519" spans="1:10" x14ac:dyDescent="0.35">
      <c r="A1519" t="s">
        <v>1854</v>
      </c>
      <c r="B1519" t="s">
        <v>323</v>
      </c>
      <c r="C1519" t="s">
        <v>1799</v>
      </c>
      <c r="D1519" s="30">
        <v>0.73799768518518516</v>
      </c>
      <c r="E1519" t="s">
        <v>302</v>
      </c>
      <c r="F1519" t="s">
        <v>303</v>
      </c>
      <c r="G1519" t="s">
        <v>303</v>
      </c>
    </row>
    <row r="1520" spans="1:10" x14ac:dyDescent="0.35">
      <c r="A1520" t="s">
        <v>1855</v>
      </c>
      <c r="B1520" t="s">
        <v>316</v>
      </c>
      <c r="C1520" t="s">
        <v>1856</v>
      </c>
      <c r="D1520" s="30">
        <v>0.37799768518518517</v>
      </c>
      <c r="E1520" t="s">
        <v>317</v>
      </c>
      <c r="F1520" t="s">
        <v>299</v>
      </c>
      <c r="G1520" t="s">
        <v>299</v>
      </c>
      <c r="H1520">
        <v>46</v>
      </c>
      <c r="I1520" s="30">
        <v>3.0902777777777777E-3</v>
      </c>
      <c r="J1520">
        <v>5</v>
      </c>
    </row>
    <row r="1521" spans="1:10" x14ac:dyDescent="0.35">
      <c r="A1521" t="s">
        <v>1857</v>
      </c>
      <c r="B1521" t="s">
        <v>319</v>
      </c>
      <c r="C1521" t="s">
        <v>1856</v>
      </c>
      <c r="D1521" s="30">
        <v>0.37799768518518517</v>
      </c>
      <c r="E1521" t="s">
        <v>317</v>
      </c>
      <c r="F1521" t="s">
        <v>299</v>
      </c>
      <c r="G1521" t="s">
        <v>299</v>
      </c>
      <c r="H1521">
        <v>14</v>
      </c>
      <c r="I1521" s="30">
        <v>3.9467592592592592E-3</v>
      </c>
      <c r="J1521">
        <v>3</v>
      </c>
    </row>
    <row r="1522" spans="1:10" x14ac:dyDescent="0.35">
      <c r="A1522" t="s">
        <v>1858</v>
      </c>
      <c r="B1522" t="s">
        <v>307</v>
      </c>
      <c r="C1522" t="s">
        <v>1856</v>
      </c>
      <c r="D1522" s="30">
        <v>0.38299768518518518</v>
      </c>
      <c r="E1522" t="s">
        <v>314</v>
      </c>
      <c r="F1522" t="s">
        <v>299</v>
      </c>
      <c r="G1522" t="s">
        <v>299</v>
      </c>
      <c r="H1522">
        <v>58</v>
      </c>
      <c r="I1522" s="30">
        <v>3.4375E-3</v>
      </c>
      <c r="J1522">
        <v>3</v>
      </c>
    </row>
    <row r="1523" spans="1:10" x14ac:dyDescent="0.35">
      <c r="A1523" t="s">
        <v>1859</v>
      </c>
      <c r="B1523" t="s">
        <v>323</v>
      </c>
      <c r="C1523" t="s">
        <v>1856</v>
      </c>
      <c r="D1523" s="30">
        <v>0.38299768518518518</v>
      </c>
      <c r="E1523" t="s">
        <v>309</v>
      </c>
      <c r="F1523" t="s">
        <v>299</v>
      </c>
      <c r="G1523" t="s">
        <v>299</v>
      </c>
      <c r="H1523">
        <v>61</v>
      </c>
      <c r="I1523" s="30">
        <v>3.6574074074074074E-3</v>
      </c>
      <c r="J1523">
        <v>3</v>
      </c>
    </row>
    <row r="1524" spans="1:10" x14ac:dyDescent="0.35">
      <c r="A1524" t="s">
        <v>1860</v>
      </c>
      <c r="B1524" t="s">
        <v>323</v>
      </c>
      <c r="C1524" t="s">
        <v>1856</v>
      </c>
      <c r="D1524" s="30">
        <v>0.38400462962962961</v>
      </c>
      <c r="E1524" t="s">
        <v>309</v>
      </c>
      <c r="F1524" t="s">
        <v>299</v>
      </c>
      <c r="G1524" t="s">
        <v>299</v>
      </c>
      <c r="H1524">
        <v>38</v>
      </c>
      <c r="I1524" s="30">
        <v>4.4444444444444444E-3</v>
      </c>
      <c r="J1524">
        <v>4</v>
      </c>
    </row>
    <row r="1525" spans="1:10" x14ac:dyDescent="0.35">
      <c r="A1525" t="s">
        <v>1861</v>
      </c>
      <c r="B1525" t="s">
        <v>323</v>
      </c>
      <c r="C1525" t="s">
        <v>1856</v>
      </c>
      <c r="D1525" s="30">
        <v>0.38400462962962961</v>
      </c>
      <c r="E1525" t="s">
        <v>309</v>
      </c>
      <c r="F1525" t="s">
        <v>299</v>
      </c>
      <c r="G1525" t="s">
        <v>299</v>
      </c>
      <c r="H1525">
        <v>39</v>
      </c>
      <c r="I1525" s="30">
        <v>3.8888888888888888E-3</v>
      </c>
      <c r="J1525">
        <v>3</v>
      </c>
    </row>
    <row r="1526" spans="1:10" x14ac:dyDescent="0.35">
      <c r="A1526" t="s">
        <v>1862</v>
      </c>
      <c r="B1526" t="s">
        <v>305</v>
      </c>
      <c r="C1526" t="s">
        <v>1856</v>
      </c>
      <c r="D1526" s="30">
        <v>0.4070023148148148</v>
      </c>
      <c r="E1526" t="s">
        <v>302</v>
      </c>
      <c r="F1526" t="s">
        <v>299</v>
      </c>
      <c r="G1526" t="s">
        <v>299</v>
      </c>
      <c r="H1526">
        <v>87</v>
      </c>
      <c r="I1526" s="30">
        <v>1.0879629629629629E-3</v>
      </c>
      <c r="J1526">
        <v>4</v>
      </c>
    </row>
    <row r="1527" spans="1:10" x14ac:dyDescent="0.35">
      <c r="A1527" t="s">
        <v>1863</v>
      </c>
      <c r="B1527" t="s">
        <v>305</v>
      </c>
      <c r="C1527" t="s">
        <v>1856</v>
      </c>
      <c r="D1527" s="30">
        <v>0.4070023148148148</v>
      </c>
      <c r="E1527" t="s">
        <v>302</v>
      </c>
      <c r="F1527" t="s">
        <v>299</v>
      </c>
      <c r="G1527" t="s">
        <v>299</v>
      </c>
      <c r="H1527">
        <v>26</v>
      </c>
      <c r="I1527" s="30">
        <v>1.3310185185185185E-3</v>
      </c>
      <c r="J1527">
        <v>2</v>
      </c>
    </row>
    <row r="1528" spans="1:10" x14ac:dyDescent="0.35">
      <c r="A1528" t="s">
        <v>1864</v>
      </c>
      <c r="B1528" t="s">
        <v>307</v>
      </c>
      <c r="C1528" t="s">
        <v>1856</v>
      </c>
      <c r="D1528" s="30">
        <v>0.42</v>
      </c>
      <c r="E1528" t="s">
        <v>302</v>
      </c>
      <c r="F1528" t="s">
        <v>299</v>
      </c>
      <c r="G1528" t="s">
        <v>303</v>
      </c>
      <c r="H1528">
        <v>120</v>
      </c>
      <c r="I1528" s="30">
        <v>1.0069444444444444E-3</v>
      </c>
      <c r="J1528">
        <v>4</v>
      </c>
    </row>
    <row r="1529" spans="1:10" x14ac:dyDescent="0.35">
      <c r="A1529" t="s">
        <v>1865</v>
      </c>
      <c r="B1529" t="s">
        <v>332</v>
      </c>
      <c r="C1529" t="s">
        <v>1856</v>
      </c>
      <c r="D1529" s="30">
        <v>0.42</v>
      </c>
      <c r="E1529" t="s">
        <v>309</v>
      </c>
      <c r="F1529" t="s">
        <v>299</v>
      </c>
      <c r="G1529" t="s">
        <v>299</v>
      </c>
      <c r="H1529">
        <v>123</v>
      </c>
      <c r="I1529" s="30">
        <v>1.3541666666666667E-3</v>
      </c>
      <c r="J1529">
        <v>4</v>
      </c>
    </row>
    <row r="1530" spans="1:10" x14ac:dyDescent="0.35">
      <c r="A1530" t="s">
        <v>1866</v>
      </c>
      <c r="B1530" t="s">
        <v>296</v>
      </c>
      <c r="C1530" t="s">
        <v>1856</v>
      </c>
      <c r="D1530" s="30">
        <v>0.44500000000000001</v>
      </c>
      <c r="E1530" t="s">
        <v>298</v>
      </c>
      <c r="F1530" t="s">
        <v>299</v>
      </c>
      <c r="G1530" t="s">
        <v>299</v>
      </c>
      <c r="H1530">
        <v>48</v>
      </c>
      <c r="I1530" s="30">
        <v>1.0532407407407407E-3</v>
      </c>
      <c r="J1530">
        <v>3</v>
      </c>
    </row>
    <row r="1531" spans="1:10" x14ac:dyDescent="0.35">
      <c r="A1531" t="s">
        <v>1867</v>
      </c>
      <c r="B1531" t="s">
        <v>296</v>
      </c>
      <c r="C1531" t="s">
        <v>1856</v>
      </c>
      <c r="D1531" s="30">
        <v>0.44500000000000001</v>
      </c>
      <c r="E1531" t="s">
        <v>317</v>
      </c>
      <c r="F1531" t="s">
        <v>299</v>
      </c>
      <c r="G1531" t="s">
        <v>303</v>
      </c>
      <c r="H1531">
        <v>58</v>
      </c>
      <c r="I1531" s="30">
        <v>1.7939814814814815E-3</v>
      </c>
      <c r="J1531">
        <v>1</v>
      </c>
    </row>
    <row r="1532" spans="1:10" x14ac:dyDescent="0.35">
      <c r="A1532" t="s">
        <v>1868</v>
      </c>
      <c r="B1532" t="s">
        <v>323</v>
      </c>
      <c r="C1532" t="s">
        <v>1856</v>
      </c>
      <c r="D1532" s="30">
        <v>0.45299768518518518</v>
      </c>
      <c r="E1532" t="s">
        <v>298</v>
      </c>
      <c r="F1532" t="s">
        <v>299</v>
      </c>
      <c r="G1532" t="s">
        <v>299</v>
      </c>
      <c r="H1532">
        <v>90</v>
      </c>
      <c r="I1532" s="30">
        <v>3.2986111111111111E-3</v>
      </c>
      <c r="J1532">
        <v>3</v>
      </c>
    </row>
    <row r="1533" spans="1:10" x14ac:dyDescent="0.35">
      <c r="A1533" t="s">
        <v>1869</v>
      </c>
      <c r="B1533" t="s">
        <v>332</v>
      </c>
      <c r="C1533" t="s">
        <v>1856</v>
      </c>
      <c r="D1533" s="30">
        <v>0.45299768518518518</v>
      </c>
      <c r="E1533" t="s">
        <v>309</v>
      </c>
      <c r="F1533" t="s">
        <v>299</v>
      </c>
      <c r="G1533" t="s">
        <v>299</v>
      </c>
      <c r="H1533">
        <v>104</v>
      </c>
      <c r="I1533" s="30">
        <v>4.2939814814814811E-3</v>
      </c>
      <c r="J1533">
        <v>5</v>
      </c>
    </row>
    <row r="1534" spans="1:10" x14ac:dyDescent="0.35">
      <c r="A1534" t="s">
        <v>1870</v>
      </c>
      <c r="B1534" t="s">
        <v>305</v>
      </c>
      <c r="C1534" t="s">
        <v>1856</v>
      </c>
      <c r="D1534" s="30">
        <v>0.46299768518518519</v>
      </c>
      <c r="E1534" t="s">
        <v>317</v>
      </c>
      <c r="F1534" t="s">
        <v>299</v>
      </c>
      <c r="G1534" t="s">
        <v>299</v>
      </c>
      <c r="H1534">
        <v>41</v>
      </c>
      <c r="I1534" s="30">
        <v>2.1759259259259258E-3</v>
      </c>
      <c r="J1534">
        <v>4</v>
      </c>
    </row>
    <row r="1535" spans="1:10" x14ac:dyDescent="0.35">
      <c r="A1535" t="s">
        <v>1871</v>
      </c>
      <c r="B1535" t="s">
        <v>307</v>
      </c>
      <c r="C1535" t="s">
        <v>1856</v>
      </c>
      <c r="D1535" s="30">
        <v>0.46299768518518519</v>
      </c>
      <c r="E1535" t="s">
        <v>302</v>
      </c>
      <c r="F1535" t="s">
        <v>299</v>
      </c>
      <c r="G1535" t="s">
        <v>299</v>
      </c>
      <c r="H1535">
        <v>26</v>
      </c>
      <c r="I1535" s="30">
        <v>1.238425925925926E-3</v>
      </c>
      <c r="J1535">
        <v>5</v>
      </c>
    </row>
    <row r="1536" spans="1:10" x14ac:dyDescent="0.35">
      <c r="A1536" t="s">
        <v>1872</v>
      </c>
      <c r="B1536" t="s">
        <v>301</v>
      </c>
      <c r="C1536" t="s">
        <v>1856</v>
      </c>
      <c r="D1536" s="30">
        <v>0.4729976851851852</v>
      </c>
      <c r="E1536" t="s">
        <v>309</v>
      </c>
      <c r="F1536" t="s">
        <v>299</v>
      </c>
      <c r="G1536" t="s">
        <v>299</v>
      </c>
      <c r="H1536">
        <v>66</v>
      </c>
      <c r="I1536" s="30">
        <v>3.9814814814814817E-3</v>
      </c>
      <c r="J1536">
        <v>4</v>
      </c>
    </row>
    <row r="1537" spans="1:10" x14ac:dyDescent="0.35">
      <c r="A1537" t="s">
        <v>1873</v>
      </c>
      <c r="B1537" t="s">
        <v>301</v>
      </c>
      <c r="C1537" t="s">
        <v>1856</v>
      </c>
      <c r="D1537" s="30">
        <v>0.4729976851851852</v>
      </c>
      <c r="E1537" t="s">
        <v>314</v>
      </c>
      <c r="F1537" t="s">
        <v>299</v>
      </c>
      <c r="G1537" t="s">
        <v>299</v>
      </c>
      <c r="H1537">
        <v>65</v>
      </c>
      <c r="I1537" s="30">
        <v>1.2847222222222223E-3</v>
      </c>
      <c r="J1537">
        <v>5</v>
      </c>
    </row>
    <row r="1538" spans="1:10" x14ac:dyDescent="0.35">
      <c r="A1538" t="s">
        <v>1874</v>
      </c>
      <c r="B1538" t="s">
        <v>301</v>
      </c>
      <c r="C1538" t="s">
        <v>1856</v>
      </c>
      <c r="D1538" s="30">
        <v>0.47900462962962964</v>
      </c>
      <c r="E1538" t="s">
        <v>314</v>
      </c>
      <c r="F1538" t="s">
        <v>299</v>
      </c>
      <c r="G1538" t="s">
        <v>299</v>
      </c>
      <c r="H1538">
        <v>22</v>
      </c>
      <c r="I1538" s="30">
        <v>3.4953703703703705E-3</v>
      </c>
      <c r="J1538">
        <v>3</v>
      </c>
    </row>
    <row r="1539" spans="1:10" x14ac:dyDescent="0.35">
      <c r="A1539" t="s">
        <v>1875</v>
      </c>
      <c r="B1539" t="s">
        <v>319</v>
      </c>
      <c r="C1539" t="s">
        <v>1856</v>
      </c>
      <c r="D1539" s="30">
        <v>0.47900462962962964</v>
      </c>
      <c r="E1539" t="s">
        <v>317</v>
      </c>
      <c r="F1539" t="s">
        <v>299</v>
      </c>
      <c r="G1539" t="s">
        <v>303</v>
      </c>
      <c r="H1539">
        <v>96</v>
      </c>
      <c r="I1539" s="30">
        <v>2.7083333333333334E-3</v>
      </c>
      <c r="J1539">
        <v>1</v>
      </c>
    </row>
    <row r="1540" spans="1:10" x14ac:dyDescent="0.35">
      <c r="A1540" t="s">
        <v>1876</v>
      </c>
      <c r="B1540" t="s">
        <v>296</v>
      </c>
      <c r="C1540" t="s">
        <v>1856</v>
      </c>
      <c r="D1540" s="30">
        <v>0.49599537037037039</v>
      </c>
      <c r="E1540" t="s">
        <v>302</v>
      </c>
      <c r="F1540" t="s">
        <v>299</v>
      </c>
      <c r="G1540" t="s">
        <v>299</v>
      </c>
      <c r="H1540">
        <v>101</v>
      </c>
      <c r="I1540" s="30">
        <v>3.2986111111111111E-3</v>
      </c>
      <c r="J1540">
        <v>4</v>
      </c>
    </row>
    <row r="1541" spans="1:10" x14ac:dyDescent="0.35">
      <c r="A1541" t="s">
        <v>1877</v>
      </c>
      <c r="B1541" t="s">
        <v>301</v>
      </c>
      <c r="C1541" t="s">
        <v>1856</v>
      </c>
      <c r="D1541" s="30">
        <v>0.49599537037037039</v>
      </c>
      <c r="E1541" t="s">
        <v>314</v>
      </c>
      <c r="F1541" t="s">
        <v>299</v>
      </c>
      <c r="G1541" t="s">
        <v>299</v>
      </c>
      <c r="H1541">
        <v>124</v>
      </c>
      <c r="I1541" s="30">
        <v>1.1342592592592593E-3</v>
      </c>
      <c r="J1541">
        <v>4</v>
      </c>
    </row>
    <row r="1542" spans="1:10" x14ac:dyDescent="0.35">
      <c r="A1542" t="s">
        <v>1878</v>
      </c>
      <c r="B1542" t="s">
        <v>332</v>
      </c>
      <c r="C1542" t="s">
        <v>1856</v>
      </c>
      <c r="D1542" s="30">
        <v>0.49700231481481483</v>
      </c>
      <c r="E1542" t="s">
        <v>298</v>
      </c>
      <c r="F1542" t="s">
        <v>299</v>
      </c>
      <c r="G1542" t="s">
        <v>299</v>
      </c>
      <c r="H1542">
        <v>28</v>
      </c>
      <c r="I1542" s="30">
        <v>3.7615740740740739E-3</v>
      </c>
      <c r="J1542">
        <v>3</v>
      </c>
    </row>
    <row r="1543" spans="1:10" x14ac:dyDescent="0.35">
      <c r="A1543" t="s">
        <v>1879</v>
      </c>
      <c r="B1543" t="s">
        <v>301</v>
      </c>
      <c r="C1543" t="s">
        <v>1856</v>
      </c>
      <c r="D1543" s="30">
        <v>0.49700231481481483</v>
      </c>
      <c r="E1543" t="s">
        <v>298</v>
      </c>
      <c r="F1543" t="s">
        <v>299</v>
      </c>
      <c r="G1543" t="s">
        <v>299</v>
      </c>
      <c r="H1543">
        <v>90</v>
      </c>
      <c r="I1543" s="30">
        <v>2.650462962962963E-3</v>
      </c>
      <c r="J1543">
        <v>3</v>
      </c>
    </row>
    <row r="1544" spans="1:10" x14ac:dyDescent="0.35">
      <c r="A1544" t="s">
        <v>1880</v>
      </c>
      <c r="B1544" t="s">
        <v>323</v>
      </c>
      <c r="C1544" t="s">
        <v>1856</v>
      </c>
      <c r="D1544" s="30">
        <v>0.53200231481481486</v>
      </c>
      <c r="E1544" t="s">
        <v>298</v>
      </c>
      <c r="F1544" t="s">
        <v>299</v>
      </c>
      <c r="G1544" t="s">
        <v>299</v>
      </c>
      <c r="H1544">
        <v>111</v>
      </c>
      <c r="I1544" s="30">
        <v>2.7199074074074074E-3</v>
      </c>
      <c r="J1544">
        <v>5</v>
      </c>
    </row>
    <row r="1545" spans="1:10" x14ac:dyDescent="0.35">
      <c r="A1545" t="s">
        <v>1881</v>
      </c>
      <c r="B1545" t="s">
        <v>301</v>
      </c>
      <c r="C1545" t="s">
        <v>1856</v>
      </c>
      <c r="D1545" s="30">
        <v>0.53200231481481486</v>
      </c>
      <c r="E1545" t="s">
        <v>317</v>
      </c>
      <c r="F1545" t="s">
        <v>299</v>
      </c>
      <c r="G1545" t="s">
        <v>299</v>
      </c>
      <c r="H1545">
        <v>123</v>
      </c>
      <c r="I1545" s="30">
        <v>4.7453703703703698E-4</v>
      </c>
      <c r="J1545">
        <v>4</v>
      </c>
    </row>
    <row r="1546" spans="1:10" x14ac:dyDescent="0.35">
      <c r="A1546" t="s">
        <v>1882</v>
      </c>
      <c r="B1546" t="s">
        <v>316</v>
      </c>
      <c r="C1546" t="s">
        <v>1856</v>
      </c>
      <c r="D1546" s="30">
        <v>0.54200231481481487</v>
      </c>
      <c r="E1546" t="s">
        <v>298</v>
      </c>
      <c r="F1546" t="s">
        <v>303</v>
      </c>
      <c r="G1546" t="s">
        <v>303</v>
      </c>
    </row>
    <row r="1547" spans="1:10" x14ac:dyDescent="0.35">
      <c r="A1547" t="s">
        <v>1883</v>
      </c>
      <c r="B1547" t="s">
        <v>332</v>
      </c>
      <c r="C1547" t="s">
        <v>1856</v>
      </c>
      <c r="D1547" s="30">
        <v>0.54200231481481487</v>
      </c>
      <c r="E1547" t="s">
        <v>317</v>
      </c>
      <c r="F1547" t="s">
        <v>299</v>
      </c>
      <c r="G1547" t="s">
        <v>299</v>
      </c>
      <c r="H1547">
        <v>101</v>
      </c>
      <c r="I1547" s="30">
        <v>3.7268518518518519E-3</v>
      </c>
      <c r="J1547">
        <v>4</v>
      </c>
    </row>
    <row r="1548" spans="1:10" x14ac:dyDescent="0.35">
      <c r="A1548" t="s">
        <v>1884</v>
      </c>
      <c r="B1548" t="s">
        <v>319</v>
      </c>
      <c r="C1548" t="s">
        <v>1856</v>
      </c>
      <c r="D1548" s="30">
        <v>0.5540046296296296</v>
      </c>
      <c r="E1548" t="s">
        <v>314</v>
      </c>
      <c r="F1548" t="s">
        <v>299</v>
      </c>
      <c r="G1548" t="s">
        <v>299</v>
      </c>
      <c r="H1548">
        <v>44</v>
      </c>
      <c r="I1548" s="30">
        <v>1.4930555555555556E-3</v>
      </c>
      <c r="J1548">
        <v>5</v>
      </c>
    </row>
    <row r="1549" spans="1:10" x14ac:dyDescent="0.35">
      <c r="A1549" t="s">
        <v>1885</v>
      </c>
      <c r="B1549" t="s">
        <v>305</v>
      </c>
      <c r="C1549" t="s">
        <v>1856</v>
      </c>
      <c r="D1549" s="30">
        <v>0.5540046296296296</v>
      </c>
      <c r="E1549" t="s">
        <v>317</v>
      </c>
      <c r="F1549" t="s">
        <v>299</v>
      </c>
      <c r="G1549" t="s">
        <v>299</v>
      </c>
      <c r="H1549">
        <v>10</v>
      </c>
      <c r="I1549" s="30">
        <v>1.2847222222222223E-3</v>
      </c>
      <c r="J1549">
        <v>3</v>
      </c>
    </row>
    <row r="1550" spans="1:10" x14ac:dyDescent="0.35">
      <c r="A1550" t="s">
        <v>1886</v>
      </c>
      <c r="B1550" t="s">
        <v>296</v>
      </c>
      <c r="C1550" t="s">
        <v>1856</v>
      </c>
      <c r="D1550" s="30">
        <v>0.55500000000000005</v>
      </c>
      <c r="E1550" t="s">
        <v>317</v>
      </c>
      <c r="F1550" t="s">
        <v>299</v>
      </c>
      <c r="G1550" t="s">
        <v>299</v>
      </c>
      <c r="H1550">
        <v>45</v>
      </c>
      <c r="I1550" s="30">
        <v>2.3842592592592591E-3</v>
      </c>
      <c r="J1550">
        <v>1</v>
      </c>
    </row>
    <row r="1551" spans="1:10" x14ac:dyDescent="0.35">
      <c r="A1551" t="s">
        <v>1887</v>
      </c>
      <c r="B1551" t="s">
        <v>305</v>
      </c>
      <c r="C1551" t="s">
        <v>1856</v>
      </c>
      <c r="D1551" s="30">
        <v>0.55500000000000005</v>
      </c>
      <c r="E1551" t="s">
        <v>302</v>
      </c>
      <c r="F1551" t="s">
        <v>299</v>
      </c>
      <c r="G1551" t="s">
        <v>299</v>
      </c>
      <c r="H1551">
        <v>24</v>
      </c>
      <c r="I1551" s="30">
        <v>1.5740740740740741E-3</v>
      </c>
      <c r="J1551">
        <v>4</v>
      </c>
    </row>
    <row r="1552" spans="1:10" x14ac:dyDescent="0.35">
      <c r="A1552" t="s">
        <v>1888</v>
      </c>
      <c r="B1552" t="s">
        <v>319</v>
      </c>
      <c r="C1552" t="s">
        <v>1856</v>
      </c>
      <c r="D1552" s="30">
        <v>0.59599537037037043</v>
      </c>
      <c r="E1552" t="s">
        <v>309</v>
      </c>
      <c r="F1552" t="s">
        <v>299</v>
      </c>
      <c r="G1552" t="s">
        <v>299</v>
      </c>
      <c r="H1552">
        <v>70</v>
      </c>
      <c r="I1552" s="30">
        <v>4.0856481481481481E-3</v>
      </c>
      <c r="J1552">
        <v>1</v>
      </c>
    </row>
    <row r="1553" spans="1:10" x14ac:dyDescent="0.35">
      <c r="A1553" t="s">
        <v>1889</v>
      </c>
      <c r="B1553" t="s">
        <v>323</v>
      </c>
      <c r="C1553" t="s">
        <v>1856</v>
      </c>
      <c r="D1553" s="30">
        <v>0.59599537037037043</v>
      </c>
      <c r="E1553" t="s">
        <v>317</v>
      </c>
      <c r="F1553" t="s">
        <v>299</v>
      </c>
      <c r="G1553" t="s">
        <v>299</v>
      </c>
      <c r="H1553">
        <v>101</v>
      </c>
      <c r="I1553" s="30">
        <v>4.0740740740740737E-3</v>
      </c>
      <c r="J1553">
        <v>5</v>
      </c>
    </row>
    <row r="1554" spans="1:10" x14ac:dyDescent="0.35">
      <c r="A1554" t="s">
        <v>1890</v>
      </c>
      <c r="B1554" t="s">
        <v>332</v>
      </c>
      <c r="C1554" t="s">
        <v>1856</v>
      </c>
      <c r="D1554" s="30">
        <v>0.59700231481481481</v>
      </c>
      <c r="E1554" t="s">
        <v>317</v>
      </c>
      <c r="F1554" t="s">
        <v>299</v>
      </c>
      <c r="G1554" t="s">
        <v>299</v>
      </c>
      <c r="H1554">
        <v>23</v>
      </c>
      <c r="I1554" s="30">
        <v>2.2685185185185187E-3</v>
      </c>
      <c r="J1554">
        <v>3</v>
      </c>
    </row>
    <row r="1555" spans="1:10" x14ac:dyDescent="0.35">
      <c r="A1555" t="s">
        <v>1891</v>
      </c>
      <c r="B1555" t="s">
        <v>319</v>
      </c>
      <c r="C1555" t="s">
        <v>1856</v>
      </c>
      <c r="D1555" s="30">
        <v>0.59700231481481481</v>
      </c>
      <c r="E1555" t="s">
        <v>298</v>
      </c>
      <c r="F1555" t="s">
        <v>299</v>
      </c>
      <c r="G1555" t="s">
        <v>303</v>
      </c>
      <c r="H1555">
        <v>86</v>
      </c>
      <c r="I1555" s="30">
        <v>2.673611111111111E-3</v>
      </c>
      <c r="J1555">
        <v>3</v>
      </c>
    </row>
    <row r="1556" spans="1:10" x14ac:dyDescent="0.35">
      <c r="A1556" t="s">
        <v>1892</v>
      </c>
      <c r="B1556" t="s">
        <v>332</v>
      </c>
      <c r="C1556" t="s">
        <v>1856</v>
      </c>
      <c r="D1556" s="30">
        <v>0.60599537037037032</v>
      </c>
      <c r="E1556" t="s">
        <v>314</v>
      </c>
      <c r="F1556" t="s">
        <v>299</v>
      </c>
      <c r="G1556" t="s">
        <v>299</v>
      </c>
      <c r="H1556">
        <v>25</v>
      </c>
      <c r="I1556" s="30">
        <v>1.5625000000000001E-3</v>
      </c>
      <c r="J1556">
        <v>2</v>
      </c>
    </row>
    <row r="1557" spans="1:10" x14ac:dyDescent="0.35">
      <c r="A1557" t="s">
        <v>1893</v>
      </c>
      <c r="B1557" t="s">
        <v>316</v>
      </c>
      <c r="C1557" t="s">
        <v>1856</v>
      </c>
      <c r="D1557" s="30">
        <v>0.60599537037037032</v>
      </c>
      <c r="E1557" t="s">
        <v>314</v>
      </c>
      <c r="F1557" t="s">
        <v>299</v>
      </c>
      <c r="G1557" t="s">
        <v>299</v>
      </c>
      <c r="H1557">
        <v>46</v>
      </c>
      <c r="I1557" s="30">
        <v>2.0486111111111113E-3</v>
      </c>
      <c r="J1557">
        <v>4</v>
      </c>
    </row>
    <row r="1558" spans="1:10" x14ac:dyDescent="0.35">
      <c r="A1558" t="s">
        <v>1894</v>
      </c>
      <c r="B1558" t="s">
        <v>296</v>
      </c>
      <c r="C1558" t="s">
        <v>1856</v>
      </c>
      <c r="D1558" s="30">
        <v>0.62299768518518517</v>
      </c>
      <c r="E1558" t="s">
        <v>317</v>
      </c>
      <c r="F1558" t="s">
        <v>299</v>
      </c>
      <c r="G1558" t="s">
        <v>299</v>
      </c>
      <c r="H1558">
        <v>45</v>
      </c>
      <c r="I1558" s="30">
        <v>2.685185185185185E-3</v>
      </c>
      <c r="J1558">
        <v>4</v>
      </c>
    </row>
    <row r="1559" spans="1:10" x14ac:dyDescent="0.35">
      <c r="A1559" t="s">
        <v>1895</v>
      </c>
      <c r="B1559" t="s">
        <v>301</v>
      </c>
      <c r="C1559" t="s">
        <v>1856</v>
      </c>
      <c r="D1559" s="30">
        <v>0.62299768518518517</v>
      </c>
      <c r="E1559" t="s">
        <v>302</v>
      </c>
      <c r="F1559" t="s">
        <v>303</v>
      </c>
      <c r="G1559" t="s">
        <v>303</v>
      </c>
    </row>
    <row r="1560" spans="1:10" x14ac:dyDescent="0.35">
      <c r="A1560" t="s">
        <v>1896</v>
      </c>
      <c r="B1560" t="s">
        <v>307</v>
      </c>
      <c r="C1560" t="s">
        <v>1856</v>
      </c>
      <c r="D1560" s="30">
        <v>0.66200231481481486</v>
      </c>
      <c r="E1560" t="s">
        <v>302</v>
      </c>
      <c r="F1560" t="s">
        <v>299</v>
      </c>
      <c r="G1560" t="s">
        <v>299</v>
      </c>
      <c r="H1560">
        <v>93</v>
      </c>
      <c r="I1560" s="30">
        <v>4.5254629629629629E-3</v>
      </c>
      <c r="J1560">
        <v>3</v>
      </c>
    </row>
    <row r="1561" spans="1:10" x14ac:dyDescent="0.35">
      <c r="A1561" t="s">
        <v>1897</v>
      </c>
      <c r="B1561" t="s">
        <v>319</v>
      </c>
      <c r="C1561" t="s">
        <v>1856</v>
      </c>
      <c r="D1561" s="30">
        <v>0.66200231481481486</v>
      </c>
      <c r="E1561" t="s">
        <v>309</v>
      </c>
      <c r="F1561" t="s">
        <v>299</v>
      </c>
      <c r="G1561" t="s">
        <v>299</v>
      </c>
      <c r="H1561">
        <v>61</v>
      </c>
      <c r="I1561" s="30">
        <v>1.4004629629629629E-3</v>
      </c>
      <c r="J1561">
        <v>1</v>
      </c>
    </row>
    <row r="1562" spans="1:10" x14ac:dyDescent="0.35">
      <c r="A1562" t="s">
        <v>1898</v>
      </c>
      <c r="B1562" t="s">
        <v>296</v>
      </c>
      <c r="C1562" t="s">
        <v>1856</v>
      </c>
      <c r="D1562" s="30">
        <v>0.67599537037037039</v>
      </c>
      <c r="E1562" t="s">
        <v>317</v>
      </c>
      <c r="F1562" t="s">
        <v>303</v>
      </c>
      <c r="G1562" t="s">
        <v>303</v>
      </c>
    </row>
    <row r="1563" spans="1:10" x14ac:dyDescent="0.35">
      <c r="A1563" t="s">
        <v>1899</v>
      </c>
      <c r="B1563" t="s">
        <v>316</v>
      </c>
      <c r="C1563" t="s">
        <v>1856</v>
      </c>
      <c r="D1563" s="30">
        <v>0.67599537037037039</v>
      </c>
      <c r="E1563" t="s">
        <v>317</v>
      </c>
      <c r="F1563" t="s">
        <v>299</v>
      </c>
      <c r="G1563" t="s">
        <v>299</v>
      </c>
      <c r="H1563">
        <v>66</v>
      </c>
      <c r="I1563" s="30">
        <v>1.8055555555555555E-3</v>
      </c>
      <c r="J1563">
        <v>3</v>
      </c>
    </row>
    <row r="1564" spans="1:10" x14ac:dyDescent="0.35">
      <c r="A1564" t="s">
        <v>1900</v>
      </c>
      <c r="B1564" t="s">
        <v>307</v>
      </c>
      <c r="C1564" t="s">
        <v>1856</v>
      </c>
      <c r="D1564" s="30">
        <v>0.68</v>
      </c>
      <c r="E1564" t="s">
        <v>298</v>
      </c>
      <c r="F1564" t="s">
        <v>299</v>
      </c>
      <c r="G1564" t="s">
        <v>299</v>
      </c>
      <c r="H1564">
        <v>29</v>
      </c>
      <c r="I1564" s="30">
        <v>3.1828703703703702E-3</v>
      </c>
      <c r="J1564">
        <v>3</v>
      </c>
    </row>
    <row r="1565" spans="1:10" x14ac:dyDescent="0.35">
      <c r="A1565" t="s">
        <v>1901</v>
      </c>
      <c r="B1565" t="s">
        <v>307</v>
      </c>
      <c r="C1565" t="s">
        <v>1856</v>
      </c>
      <c r="D1565" s="30">
        <v>0.68</v>
      </c>
      <c r="E1565" t="s">
        <v>314</v>
      </c>
      <c r="F1565" t="s">
        <v>299</v>
      </c>
      <c r="G1565" t="s">
        <v>299</v>
      </c>
      <c r="H1565">
        <v>67</v>
      </c>
      <c r="I1565" s="30">
        <v>4.6527777777777774E-3</v>
      </c>
      <c r="J1565">
        <v>2</v>
      </c>
    </row>
    <row r="1566" spans="1:10" x14ac:dyDescent="0.35">
      <c r="A1566" t="s">
        <v>1902</v>
      </c>
      <c r="B1566" t="s">
        <v>332</v>
      </c>
      <c r="C1566" t="s">
        <v>1856</v>
      </c>
      <c r="D1566" s="30">
        <v>0.69499999999999995</v>
      </c>
      <c r="E1566" t="s">
        <v>298</v>
      </c>
      <c r="F1566" t="s">
        <v>299</v>
      </c>
      <c r="G1566" t="s">
        <v>299</v>
      </c>
      <c r="H1566">
        <v>94</v>
      </c>
      <c r="I1566" s="30">
        <v>1.1921296296296296E-3</v>
      </c>
      <c r="J1566">
        <v>4</v>
      </c>
    </row>
    <row r="1567" spans="1:10" x14ac:dyDescent="0.35">
      <c r="A1567" t="s">
        <v>1903</v>
      </c>
      <c r="B1567" t="s">
        <v>319</v>
      </c>
      <c r="C1567" t="s">
        <v>1856</v>
      </c>
      <c r="D1567" s="30">
        <v>0.69499999999999995</v>
      </c>
      <c r="E1567" t="s">
        <v>317</v>
      </c>
      <c r="F1567" t="s">
        <v>299</v>
      </c>
      <c r="G1567" t="s">
        <v>303</v>
      </c>
      <c r="H1567">
        <v>80</v>
      </c>
      <c r="I1567" s="30">
        <v>3.472222222222222E-3</v>
      </c>
      <c r="J1567">
        <v>4</v>
      </c>
    </row>
    <row r="1568" spans="1:10" x14ac:dyDescent="0.35">
      <c r="A1568" t="s">
        <v>1904</v>
      </c>
      <c r="B1568" t="s">
        <v>332</v>
      </c>
      <c r="C1568" t="s">
        <v>1856</v>
      </c>
      <c r="D1568" s="30">
        <v>0.71099537037037042</v>
      </c>
      <c r="E1568" t="s">
        <v>309</v>
      </c>
      <c r="F1568" t="s">
        <v>299</v>
      </c>
      <c r="G1568" t="s">
        <v>299</v>
      </c>
      <c r="H1568">
        <v>27</v>
      </c>
      <c r="I1568" s="30">
        <v>2.2685185185185187E-3</v>
      </c>
      <c r="J1568">
        <v>4</v>
      </c>
    </row>
    <row r="1569" spans="1:10" x14ac:dyDescent="0.35">
      <c r="A1569" t="s">
        <v>1905</v>
      </c>
      <c r="B1569" t="s">
        <v>332</v>
      </c>
      <c r="C1569" t="s">
        <v>1856</v>
      </c>
      <c r="D1569" s="30">
        <v>0.71099537037037042</v>
      </c>
      <c r="E1569" t="s">
        <v>317</v>
      </c>
      <c r="F1569" t="s">
        <v>299</v>
      </c>
      <c r="G1569" t="s">
        <v>299</v>
      </c>
      <c r="H1569">
        <v>41</v>
      </c>
      <c r="I1569" s="30">
        <v>2.2800925925925927E-3</v>
      </c>
      <c r="J1569">
        <v>4</v>
      </c>
    </row>
    <row r="1570" spans="1:10" x14ac:dyDescent="0.35">
      <c r="A1570" t="s">
        <v>1906</v>
      </c>
      <c r="B1570" t="s">
        <v>323</v>
      </c>
      <c r="C1570" t="s">
        <v>1856</v>
      </c>
      <c r="D1570" s="30">
        <v>0.72</v>
      </c>
      <c r="E1570" t="s">
        <v>302</v>
      </c>
      <c r="F1570" t="s">
        <v>299</v>
      </c>
      <c r="G1570" t="s">
        <v>299</v>
      </c>
      <c r="H1570">
        <v>84</v>
      </c>
      <c r="I1570" s="30">
        <v>2.9745370370370373E-3</v>
      </c>
      <c r="J1570">
        <v>4</v>
      </c>
    </row>
    <row r="1571" spans="1:10" x14ac:dyDescent="0.35">
      <c r="A1571" t="s">
        <v>1907</v>
      </c>
      <c r="B1571" t="s">
        <v>307</v>
      </c>
      <c r="C1571" t="s">
        <v>1856</v>
      </c>
      <c r="D1571" s="30">
        <v>0.72</v>
      </c>
      <c r="E1571" t="s">
        <v>298</v>
      </c>
      <c r="F1571" t="s">
        <v>299</v>
      </c>
      <c r="G1571" t="s">
        <v>299</v>
      </c>
      <c r="H1571">
        <v>121</v>
      </c>
      <c r="I1571" s="30">
        <v>1.3541666666666667E-3</v>
      </c>
      <c r="J1571">
        <v>4</v>
      </c>
    </row>
    <row r="1572" spans="1:10" x14ac:dyDescent="0.35">
      <c r="A1572" t="s">
        <v>1908</v>
      </c>
      <c r="B1572" t="s">
        <v>296</v>
      </c>
      <c r="C1572" t="s">
        <v>1856</v>
      </c>
      <c r="D1572" s="30">
        <v>0.745</v>
      </c>
      <c r="E1572" t="s">
        <v>309</v>
      </c>
      <c r="F1572" t="s">
        <v>299</v>
      </c>
      <c r="G1572" t="s">
        <v>299</v>
      </c>
      <c r="H1572">
        <v>61</v>
      </c>
      <c r="I1572" s="30">
        <v>4.9768518518518521E-4</v>
      </c>
      <c r="J1572">
        <v>1</v>
      </c>
    </row>
    <row r="1573" spans="1:10" x14ac:dyDescent="0.35">
      <c r="A1573" t="s">
        <v>1909</v>
      </c>
      <c r="B1573" t="s">
        <v>323</v>
      </c>
      <c r="C1573" t="s">
        <v>1856</v>
      </c>
      <c r="D1573" s="30">
        <v>0.745</v>
      </c>
      <c r="E1573" t="s">
        <v>314</v>
      </c>
      <c r="F1573" t="s">
        <v>303</v>
      </c>
      <c r="G1573" t="s">
        <v>303</v>
      </c>
    </row>
    <row r="1574" spans="1:10" x14ac:dyDescent="0.35">
      <c r="A1574" t="s">
        <v>1910</v>
      </c>
      <c r="B1574" t="s">
        <v>296</v>
      </c>
      <c r="C1574" t="s">
        <v>1856</v>
      </c>
      <c r="D1574" s="30">
        <v>0.75</v>
      </c>
      <c r="E1574" t="s">
        <v>309</v>
      </c>
      <c r="F1574" t="s">
        <v>299</v>
      </c>
      <c r="G1574" t="s">
        <v>299</v>
      </c>
      <c r="H1574">
        <v>54</v>
      </c>
      <c r="I1574" s="30">
        <v>4.2939814814814811E-3</v>
      </c>
      <c r="J1574">
        <v>2</v>
      </c>
    </row>
    <row r="1575" spans="1:10" x14ac:dyDescent="0.35">
      <c r="A1575" t="s">
        <v>1911</v>
      </c>
      <c r="B1575" t="s">
        <v>305</v>
      </c>
      <c r="C1575" t="s">
        <v>1856</v>
      </c>
      <c r="D1575" s="30">
        <v>0.75</v>
      </c>
      <c r="E1575" t="s">
        <v>317</v>
      </c>
      <c r="F1575" t="s">
        <v>299</v>
      </c>
      <c r="G1575" t="s">
        <v>299</v>
      </c>
      <c r="H1575">
        <v>82</v>
      </c>
      <c r="I1575" s="30">
        <v>4.0046296296296297E-3</v>
      </c>
      <c r="J1575">
        <v>5</v>
      </c>
    </row>
    <row r="1576" spans="1:10" x14ac:dyDescent="0.35">
      <c r="A1576" t="s">
        <v>1912</v>
      </c>
      <c r="B1576" t="s">
        <v>307</v>
      </c>
      <c r="C1576" t="s">
        <v>1913</v>
      </c>
      <c r="D1576" s="30">
        <v>0.37700231481481483</v>
      </c>
      <c r="E1576" t="s">
        <v>314</v>
      </c>
      <c r="F1576" t="s">
        <v>299</v>
      </c>
      <c r="G1576" t="s">
        <v>299</v>
      </c>
      <c r="H1576">
        <v>55</v>
      </c>
      <c r="I1576" s="30">
        <v>2.1759259259259258E-3</v>
      </c>
      <c r="J1576">
        <v>4</v>
      </c>
    </row>
    <row r="1577" spans="1:10" x14ac:dyDescent="0.35">
      <c r="A1577" t="s">
        <v>1914</v>
      </c>
      <c r="B1577" t="s">
        <v>316</v>
      </c>
      <c r="C1577" t="s">
        <v>1913</v>
      </c>
      <c r="D1577" s="30">
        <v>0.37700231481481483</v>
      </c>
      <c r="E1577" t="s">
        <v>314</v>
      </c>
      <c r="F1577" t="s">
        <v>303</v>
      </c>
      <c r="G1577" t="s">
        <v>303</v>
      </c>
    </row>
    <row r="1578" spans="1:10" x14ac:dyDescent="0.35">
      <c r="A1578" t="s">
        <v>1915</v>
      </c>
      <c r="B1578" t="s">
        <v>332</v>
      </c>
      <c r="C1578" t="s">
        <v>1913</v>
      </c>
      <c r="D1578" s="30">
        <v>0.38099537037037035</v>
      </c>
      <c r="E1578" t="s">
        <v>309</v>
      </c>
      <c r="F1578" t="s">
        <v>299</v>
      </c>
      <c r="G1578" t="s">
        <v>299</v>
      </c>
      <c r="H1578">
        <v>87</v>
      </c>
      <c r="I1578" s="30">
        <v>7.9861111111111116E-4</v>
      </c>
      <c r="J1578">
        <v>5</v>
      </c>
    </row>
    <row r="1579" spans="1:10" x14ac:dyDescent="0.35">
      <c r="A1579" t="s">
        <v>1916</v>
      </c>
      <c r="B1579" t="s">
        <v>307</v>
      </c>
      <c r="C1579" t="s">
        <v>1913</v>
      </c>
      <c r="D1579" s="30">
        <v>0.38099537037037035</v>
      </c>
      <c r="E1579" t="s">
        <v>309</v>
      </c>
      <c r="F1579" t="s">
        <v>303</v>
      </c>
      <c r="G1579" t="s">
        <v>303</v>
      </c>
    </row>
    <row r="1580" spans="1:10" x14ac:dyDescent="0.35">
      <c r="A1580" t="s">
        <v>1917</v>
      </c>
      <c r="B1580" t="s">
        <v>307</v>
      </c>
      <c r="C1580" t="s">
        <v>1913</v>
      </c>
      <c r="D1580" s="30">
        <v>0.38900462962962962</v>
      </c>
      <c r="E1580" t="s">
        <v>314</v>
      </c>
      <c r="F1580" t="s">
        <v>299</v>
      </c>
      <c r="G1580" t="s">
        <v>299</v>
      </c>
      <c r="H1580">
        <v>22</v>
      </c>
      <c r="I1580" s="30">
        <v>3.4375E-3</v>
      </c>
      <c r="J1580">
        <v>3</v>
      </c>
    </row>
    <row r="1581" spans="1:10" x14ac:dyDescent="0.35">
      <c r="A1581" t="s">
        <v>1918</v>
      </c>
      <c r="B1581" t="s">
        <v>305</v>
      </c>
      <c r="C1581" t="s">
        <v>1913</v>
      </c>
      <c r="D1581" s="30">
        <v>0.38900462962962962</v>
      </c>
      <c r="E1581" t="s">
        <v>309</v>
      </c>
      <c r="F1581" t="s">
        <v>303</v>
      </c>
      <c r="G1581" t="s">
        <v>303</v>
      </c>
    </row>
    <row r="1582" spans="1:10" x14ac:dyDescent="0.35">
      <c r="A1582" t="s">
        <v>1919</v>
      </c>
      <c r="B1582" t="s">
        <v>332</v>
      </c>
      <c r="C1582" t="s">
        <v>1913</v>
      </c>
      <c r="D1582" s="30">
        <v>0.41499999999999998</v>
      </c>
      <c r="E1582" t="s">
        <v>317</v>
      </c>
      <c r="F1582" t="s">
        <v>299</v>
      </c>
      <c r="G1582" t="s">
        <v>299</v>
      </c>
      <c r="H1582">
        <v>95</v>
      </c>
      <c r="I1582" s="30">
        <v>1.2268518518518518E-3</v>
      </c>
      <c r="J1582">
        <v>5</v>
      </c>
    </row>
    <row r="1583" spans="1:10" x14ac:dyDescent="0.35">
      <c r="A1583" t="s">
        <v>1920</v>
      </c>
      <c r="B1583" t="s">
        <v>332</v>
      </c>
      <c r="C1583" t="s">
        <v>1913</v>
      </c>
      <c r="D1583" s="30">
        <v>0.41499999999999998</v>
      </c>
      <c r="E1583" t="s">
        <v>302</v>
      </c>
      <c r="F1583" t="s">
        <v>299</v>
      </c>
      <c r="G1583" t="s">
        <v>299</v>
      </c>
      <c r="H1583">
        <v>23</v>
      </c>
      <c r="I1583" s="30">
        <v>4.340277777777778E-3</v>
      </c>
      <c r="J1583">
        <v>4</v>
      </c>
    </row>
    <row r="1584" spans="1:10" x14ac:dyDescent="0.35">
      <c r="A1584" t="s">
        <v>1921</v>
      </c>
      <c r="B1584" t="s">
        <v>307</v>
      </c>
      <c r="C1584" t="s">
        <v>1913</v>
      </c>
      <c r="D1584" s="30">
        <v>0.43099537037037039</v>
      </c>
      <c r="E1584" t="s">
        <v>314</v>
      </c>
      <c r="F1584" t="s">
        <v>299</v>
      </c>
      <c r="G1584" t="s">
        <v>299</v>
      </c>
      <c r="H1584">
        <v>43</v>
      </c>
      <c r="I1584" s="30">
        <v>1.4467592592592592E-3</v>
      </c>
      <c r="J1584">
        <v>4</v>
      </c>
    </row>
    <row r="1585" spans="1:10" x14ac:dyDescent="0.35">
      <c r="A1585" t="s">
        <v>1922</v>
      </c>
      <c r="B1585" t="s">
        <v>301</v>
      </c>
      <c r="C1585" t="s">
        <v>1913</v>
      </c>
      <c r="D1585" s="30">
        <v>0.43099537037037039</v>
      </c>
      <c r="E1585" t="s">
        <v>309</v>
      </c>
      <c r="F1585" t="s">
        <v>303</v>
      </c>
      <c r="G1585" t="s">
        <v>303</v>
      </c>
    </row>
    <row r="1586" spans="1:10" x14ac:dyDescent="0.35">
      <c r="A1586" t="s">
        <v>1923</v>
      </c>
      <c r="B1586" t="s">
        <v>319</v>
      </c>
      <c r="C1586" t="s">
        <v>1913</v>
      </c>
      <c r="D1586" s="30">
        <v>0.43700231481481483</v>
      </c>
      <c r="E1586" t="s">
        <v>298</v>
      </c>
      <c r="F1586" t="s">
        <v>299</v>
      </c>
      <c r="G1586" t="s">
        <v>299</v>
      </c>
      <c r="H1586">
        <v>118</v>
      </c>
      <c r="I1586" s="30">
        <v>2.8124999999999999E-3</v>
      </c>
      <c r="J1586">
        <v>3</v>
      </c>
    </row>
    <row r="1587" spans="1:10" x14ac:dyDescent="0.35">
      <c r="A1587" t="s">
        <v>1924</v>
      </c>
      <c r="B1587" t="s">
        <v>316</v>
      </c>
      <c r="C1587" t="s">
        <v>1913</v>
      </c>
      <c r="D1587" s="30">
        <v>0.43700231481481483</v>
      </c>
      <c r="E1587" t="s">
        <v>309</v>
      </c>
      <c r="F1587" t="s">
        <v>299</v>
      </c>
      <c r="G1587" t="s">
        <v>299</v>
      </c>
      <c r="H1587">
        <v>94</v>
      </c>
      <c r="I1587" s="30">
        <v>8.3333333333333339E-4</v>
      </c>
      <c r="J1587">
        <v>3</v>
      </c>
    </row>
    <row r="1588" spans="1:10" x14ac:dyDescent="0.35">
      <c r="A1588" t="s">
        <v>1925</v>
      </c>
      <c r="B1588" t="s">
        <v>296</v>
      </c>
      <c r="C1588" t="s">
        <v>1913</v>
      </c>
      <c r="D1588" s="30">
        <v>0.45200231481481479</v>
      </c>
      <c r="E1588" t="s">
        <v>302</v>
      </c>
      <c r="F1588" t="s">
        <v>299</v>
      </c>
      <c r="G1588" t="s">
        <v>299</v>
      </c>
      <c r="H1588">
        <v>59</v>
      </c>
      <c r="I1588" s="30">
        <v>3.414351851851852E-3</v>
      </c>
      <c r="J1588">
        <v>4</v>
      </c>
    </row>
    <row r="1589" spans="1:10" x14ac:dyDescent="0.35">
      <c r="A1589" t="s">
        <v>1926</v>
      </c>
      <c r="B1589" t="s">
        <v>316</v>
      </c>
      <c r="C1589" t="s">
        <v>1913</v>
      </c>
      <c r="D1589" s="30">
        <v>0.45200231481481479</v>
      </c>
      <c r="E1589" t="s">
        <v>302</v>
      </c>
      <c r="F1589" t="s">
        <v>303</v>
      </c>
      <c r="G1589" t="s">
        <v>303</v>
      </c>
    </row>
    <row r="1590" spans="1:10" x14ac:dyDescent="0.35">
      <c r="A1590" t="s">
        <v>1927</v>
      </c>
      <c r="B1590" t="s">
        <v>305</v>
      </c>
      <c r="C1590" t="s">
        <v>1913</v>
      </c>
      <c r="D1590" s="30">
        <v>0.45299768518518518</v>
      </c>
      <c r="E1590" t="s">
        <v>314</v>
      </c>
      <c r="F1590" t="s">
        <v>299</v>
      </c>
      <c r="G1590" t="s">
        <v>299</v>
      </c>
      <c r="H1590">
        <v>92</v>
      </c>
      <c r="I1590" s="30">
        <v>2.2337962962962962E-3</v>
      </c>
      <c r="J1590">
        <v>5</v>
      </c>
    </row>
    <row r="1591" spans="1:10" x14ac:dyDescent="0.35">
      <c r="A1591" t="s">
        <v>1928</v>
      </c>
      <c r="B1591" t="s">
        <v>316</v>
      </c>
      <c r="C1591" t="s">
        <v>1913</v>
      </c>
      <c r="D1591" s="30">
        <v>0.45299768518518518</v>
      </c>
      <c r="E1591" t="s">
        <v>302</v>
      </c>
      <c r="F1591" t="s">
        <v>299</v>
      </c>
      <c r="G1591" t="s">
        <v>299</v>
      </c>
      <c r="H1591">
        <v>51</v>
      </c>
      <c r="I1591" s="30">
        <v>1.8518518518518519E-3</v>
      </c>
      <c r="J1591">
        <v>2</v>
      </c>
    </row>
    <row r="1592" spans="1:10" x14ac:dyDescent="0.35">
      <c r="A1592" t="s">
        <v>1929</v>
      </c>
      <c r="B1592" t="s">
        <v>296</v>
      </c>
      <c r="C1592" t="s">
        <v>1913</v>
      </c>
      <c r="D1592" s="30">
        <v>0.49799768518518517</v>
      </c>
      <c r="E1592" t="s">
        <v>309</v>
      </c>
      <c r="F1592" t="s">
        <v>303</v>
      </c>
      <c r="G1592" t="s">
        <v>303</v>
      </c>
    </row>
    <row r="1593" spans="1:10" x14ac:dyDescent="0.35">
      <c r="A1593" t="s">
        <v>1930</v>
      </c>
      <c r="B1593" t="s">
        <v>307</v>
      </c>
      <c r="C1593" t="s">
        <v>1913</v>
      </c>
      <c r="D1593" s="30">
        <v>0.49799768518518517</v>
      </c>
      <c r="E1593" t="s">
        <v>302</v>
      </c>
      <c r="F1593" t="s">
        <v>299</v>
      </c>
      <c r="G1593" t="s">
        <v>299</v>
      </c>
      <c r="H1593">
        <v>11</v>
      </c>
      <c r="I1593" s="30">
        <v>3.0439814814814813E-3</v>
      </c>
      <c r="J1593">
        <v>5</v>
      </c>
    </row>
    <row r="1594" spans="1:10" x14ac:dyDescent="0.35">
      <c r="A1594" t="s">
        <v>1931</v>
      </c>
      <c r="B1594" t="s">
        <v>319</v>
      </c>
      <c r="C1594" t="s">
        <v>1913</v>
      </c>
      <c r="D1594" s="30">
        <v>0.53099537037037037</v>
      </c>
      <c r="E1594" t="s">
        <v>309</v>
      </c>
      <c r="F1594" t="s">
        <v>299</v>
      </c>
      <c r="G1594" t="s">
        <v>299</v>
      </c>
      <c r="H1594">
        <v>62</v>
      </c>
      <c r="I1594" s="30">
        <v>1.6319444444444445E-3</v>
      </c>
      <c r="J1594">
        <v>1</v>
      </c>
    </row>
    <row r="1595" spans="1:10" x14ac:dyDescent="0.35">
      <c r="A1595" t="s">
        <v>1932</v>
      </c>
      <c r="B1595" t="s">
        <v>319</v>
      </c>
      <c r="C1595" t="s">
        <v>1913</v>
      </c>
      <c r="D1595" s="30">
        <v>0.53099537037037037</v>
      </c>
      <c r="E1595" t="s">
        <v>302</v>
      </c>
      <c r="F1595" t="s">
        <v>299</v>
      </c>
      <c r="G1595" t="s">
        <v>299</v>
      </c>
      <c r="H1595">
        <v>122</v>
      </c>
      <c r="I1595" s="30">
        <v>3.449074074074074E-3</v>
      </c>
      <c r="J1595">
        <v>3</v>
      </c>
    </row>
    <row r="1596" spans="1:10" x14ac:dyDescent="0.35">
      <c r="A1596" t="s">
        <v>1933</v>
      </c>
      <c r="B1596" t="s">
        <v>332</v>
      </c>
      <c r="C1596" t="s">
        <v>1913</v>
      </c>
      <c r="D1596" s="30">
        <v>0.53200231481481486</v>
      </c>
      <c r="E1596" t="s">
        <v>317</v>
      </c>
      <c r="F1596" t="s">
        <v>299</v>
      </c>
      <c r="G1596" t="s">
        <v>299</v>
      </c>
      <c r="H1596">
        <v>37</v>
      </c>
      <c r="I1596" s="30">
        <v>3.7384259259259259E-3</v>
      </c>
      <c r="J1596">
        <v>3</v>
      </c>
    </row>
    <row r="1597" spans="1:10" x14ac:dyDescent="0.35">
      <c r="A1597" t="s">
        <v>1934</v>
      </c>
      <c r="B1597" t="s">
        <v>305</v>
      </c>
      <c r="C1597" t="s">
        <v>1913</v>
      </c>
      <c r="D1597" s="30">
        <v>0.53200231481481486</v>
      </c>
      <c r="E1597" t="s">
        <v>309</v>
      </c>
      <c r="F1597" t="s">
        <v>299</v>
      </c>
      <c r="G1597" t="s">
        <v>303</v>
      </c>
      <c r="H1597">
        <v>42</v>
      </c>
      <c r="I1597" s="30">
        <v>2.5115740740740741E-3</v>
      </c>
      <c r="J1597">
        <v>4</v>
      </c>
    </row>
    <row r="1598" spans="1:10" x14ac:dyDescent="0.35">
      <c r="A1598" t="s">
        <v>1935</v>
      </c>
      <c r="B1598" t="s">
        <v>296</v>
      </c>
      <c r="C1598" t="s">
        <v>1913</v>
      </c>
      <c r="D1598" s="30">
        <v>0.53599537037037037</v>
      </c>
      <c r="E1598" t="s">
        <v>302</v>
      </c>
      <c r="F1598" t="s">
        <v>299</v>
      </c>
      <c r="G1598" t="s">
        <v>299</v>
      </c>
      <c r="H1598">
        <v>112</v>
      </c>
      <c r="I1598" s="30">
        <v>3.1134259259259257E-3</v>
      </c>
      <c r="J1598">
        <v>3</v>
      </c>
    </row>
    <row r="1599" spans="1:10" x14ac:dyDescent="0.35">
      <c r="A1599" t="s">
        <v>1936</v>
      </c>
      <c r="B1599" t="s">
        <v>323</v>
      </c>
      <c r="C1599" t="s">
        <v>1913</v>
      </c>
      <c r="D1599" s="30">
        <v>0.53599537037037037</v>
      </c>
      <c r="E1599" t="s">
        <v>309</v>
      </c>
      <c r="F1599" t="s">
        <v>299</v>
      </c>
      <c r="G1599" t="s">
        <v>299</v>
      </c>
      <c r="H1599">
        <v>98</v>
      </c>
      <c r="I1599" s="30">
        <v>2.1875000000000002E-3</v>
      </c>
      <c r="J1599">
        <v>4</v>
      </c>
    </row>
    <row r="1600" spans="1:10" x14ac:dyDescent="0.35">
      <c r="A1600" t="s">
        <v>1937</v>
      </c>
      <c r="B1600" t="s">
        <v>305</v>
      </c>
      <c r="C1600" t="s">
        <v>1913</v>
      </c>
      <c r="D1600" s="30">
        <v>0.53599537037037037</v>
      </c>
      <c r="E1600" t="s">
        <v>309</v>
      </c>
      <c r="F1600" t="s">
        <v>299</v>
      </c>
      <c r="G1600" t="s">
        <v>299</v>
      </c>
      <c r="H1600">
        <v>105</v>
      </c>
      <c r="I1600" s="30">
        <v>2.2337962962962962E-3</v>
      </c>
      <c r="J1600">
        <v>2</v>
      </c>
    </row>
    <row r="1601" spans="1:10" x14ac:dyDescent="0.35">
      <c r="A1601" t="s">
        <v>1938</v>
      </c>
      <c r="B1601" t="s">
        <v>296</v>
      </c>
      <c r="C1601" t="s">
        <v>1913</v>
      </c>
      <c r="D1601" s="30">
        <v>0.53599537037037037</v>
      </c>
      <c r="E1601" t="s">
        <v>302</v>
      </c>
      <c r="F1601" t="s">
        <v>299</v>
      </c>
      <c r="G1601" t="s">
        <v>299</v>
      </c>
      <c r="H1601">
        <v>78</v>
      </c>
      <c r="I1601" s="30">
        <v>2.1180555555555558E-3</v>
      </c>
      <c r="J1601">
        <v>5</v>
      </c>
    </row>
    <row r="1602" spans="1:10" x14ac:dyDescent="0.35">
      <c r="A1602" t="s">
        <v>1939</v>
      </c>
      <c r="B1602" t="s">
        <v>323</v>
      </c>
      <c r="C1602" t="s">
        <v>1913</v>
      </c>
      <c r="D1602" s="30">
        <v>0.54200231481481487</v>
      </c>
      <c r="E1602" t="s">
        <v>298</v>
      </c>
      <c r="F1602" t="s">
        <v>299</v>
      </c>
      <c r="G1602" t="s">
        <v>299</v>
      </c>
      <c r="H1602">
        <v>68</v>
      </c>
      <c r="I1602" s="30">
        <v>5.2083333333333333E-4</v>
      </c>
      <c r="J1602">
        <v>4</v>
      </c>
    </row>
    <row r="1603" spans="1:10" x14ac:dyDescent="0.35">
      <c r="A1603" t="s">
        <v>1940</v>
      </c>
      <c r="B1603" t="s">
        <v>316</v>
      </c>
      <c r="C1603" t="s">
        <v>1913</v>
      </c>
      <c r="D1603" s="30">
        <v>0.54200231481481487</v>
      </c>
      <c r="E1603" t="s">
        <v>298</v>
      </c>
      <c r="F1603" t="s">
        <v>299</v>
      </c>
      <c r="G1603" t="s">
        <v>299</v>
      </c>
      <c r="H1603">
        <v>17</v>
      </c>
      <c r="I1603" s="30">
        <v>4.0162037037037041E-3</v>
      </c>
      <c r="J1603">
        <v>3</v>
      </c>
    </row>
    <row r="1604" spans="1:10" x14ac:dyDescent="0.35">
      <c r="A1604" t="s">
        <v>1941</v>
      </c>
      <c r="B1604" t="s">
        <v>296</v>
      </c>
      <c r="C1604" t="s">
        <v>1913</v>
      </c>
      <c r="D1604" s="30">
        <v>0.54500000000000004</v>
      </c>
      <c r="E1604" t="s">
        <v>314</v>
      </c>
      <c r="F1604" t="s">
        <v>299</v>
      </c>
      <c r="G1604" t="s">
        <v>299</v>
      </c>
      <c r="H1604">
        <v>23</v>
      </c>
      <c r="I1604" s="30">
        <v>9.2592592592592596E-4</v>
      </c>
      <c r="J1604">
        <v>4</v>
      </c>
    </row>
    <row r="1605" spans="1:10" x14ac:dyDescent="0.35">
      <c r="A1605" t="s">
        <v>1942</v>
      </c>
      <c r="B1605" t="s">
        <v>296</v>
      </c>
      <c r="C1605" t="s">
        <v>1913</v>
      </c>
      <c r="D1605" s="30">
        <v>0.54500000000000004</v>
      </c>
      <c r="E1605" t="s">
        <v>314</v>
      </c>
      <c r="F1605" t="s">
        <v>299</v>
      </c>
      <c r="G1605" t="s">
        <v>299</v>
      </c>
      <c r="H1605">
        <v>39</v>
      </c>
      <c r="I1605" s="30">
        <v>7.9861111111111116E-4</v>
      </c>
      <c r="J1605">
        <v>1</v>
      </c>
    </row>
    <row r="1606" spans="1:10" x14ac:dyDescent="0.35">
      <c r="A1606" t="s">
        <v>1943</v>
      </c>
      <c r="B1606" t="s">
        <v>307</v>
      </c>
      <c r="C1606" t="s">
        <v>1913</v>
      </c>
      <c r="D1606" s="30">
        <v>0.55000000000000004</v>
      </c>
      <c r="E1606" t="s">
        <v>298</v>
      </c>
      <c r="F1606" t="s">
        <v>299</v>
      </c>
      <c r="G1606" t="s">
        <v>299</v>
      </c>
      <c r="H1606">
        <v>102</v>
      </c>
      <c r="I1606" s="30">
        <v>3.2986111111111111E-3</v>
      </c>
      <c r="J1606">
        <v>3</v>
      </c>
    </row>
    <row r="1607" spans="1:10" x14ac:dyDescent="0.35">
      <c r="A1607" t="s">
        <v>1944</v>
      </c>
      <c r="B1607" t="s">
        <v>332</v>
      </c>
      <c r="C1607" t="s">
        <v>1913</v>
      </c>
      <c r="D1607" s="30">
        <v>0.55000000000000004</v>
      </c>
      <c r="E1607" t="s">
        <v>314</v>
      </c>
      <c r="F1607" t="s">
        <v>299</v>
      </c>
      <c r="G1607" t="s">
        <v>303</v>
      </c>
      <c r="H1607">
        <v>75</v>
      </c>
      <c r="I1607" s="30">
        <v>3.8194444444444443E-3</v>
      </c>
      <c r="J1607">
        <v>3</v>
      </c>
    </row>
    <row r="1608" spans="1:10" x14ac:dyDescent="0.35">
      <c r="A1608" t="s">
        <v>1945</v>
      </c>
      <c r="B1608" t="s">
        <v>301</v>
      </c>
      <c r="C1608" t="s">
        <v>1913</v>
      </c>
      <c r="D1608" s="30">
        <v>0.56799768518518523</v>
      </c>
      <c r="E1608" t="s">
        <v>298</v>
      </c>
      <c r="F1608" t="s">
        <v>299</v>
      </c>
      <c r="G1608" t="s">
        <v>299</v>
      </c>
      <c r="H1608">
        <v>14</v>
      </c>
      <c r="I1608" s="30">
        <v>1.5046296296296296E-3</v>
      </c>
      <c r="J1608">
        <v>4</v>
      </c>
    </row>
    <row r="1609" spans="1:10" x14ac:dyDescent="0.35">
      <c r="A1609" t="s">
        <v>1946</v>
      </c>
      <c r="B1609" t="s">
        <v>332</v>
      </c>
      <c r="C1609" t="s">
        <v>1913</v>
      </c>
      <c r="D1609" s="30">
        <v>0.56799768518518523</v>
      </c>
      <c r="E1609" t="s">
        <v>309</v>
      </c>
      <c r="F1609" t="s">
        <v>299</v>
      </c>
      <c r="G1609" t="s">
        <v>299</v>
      </c>
      <c r="H1609">
        <v>77</v>
      </c>
      <c r="I1609" s="30">
        <v>1.8055555555555555E-3</v>
      </c>
      <c r="J1609">
        <v>3</v>
      </c>
    </row>
    <row r="1610" spans="1:10" x14ac:dyDescent="0.35">
      <c r="A1610" t="s">
        <v>1947</v>
      </c>
      <c r="B1610" t="s">
        <v>296</v>
      </c>
      <c r="C1610" t="s">
        <v>1913</v>
      </c>
      <c r="D1610" s="30">
        <v>0.59099537037037042</v>
      </c>
      <c r="E1610" t="s">
        <v>317</v>
      </c>
      <c r="F1610" t="s">
        <v>299</v>
      </c>
      <c r="G1610" t="s">
        <v>303</v>
      </c>
      <c r="H1610">
        <v>83</v>
      </c>
      <c r="I1610" s="30">
        <v>3.9351851851851852E-4</v>
      </c>
      <c r="J1610">
        <v>4</v>
      </c>
    </row>
    <row r="1611" spans="1:10" x14ac:dyDescent="0.35">
      <c r="A1611" t="s">
        <v>1948</v>
      </c>
      <c r="B1611" t="s">
        <v>305</v>
      </c>
      <c r="C1611" t="s">
        <v>1913</v>
      </c>
      <c r="D1611" s="30">
        <v>0.59099537037037042</v>
      </c>
      <c r="E1611" t="s">
        <v>302</v>
      </c>
      <c r="F1611" t="s">
        <v>303</v>
      </c>
      <c r="G1611" t="s">
        <v>303</v>
      </c>
    </row>
    <row r="1612" spans="1:10" x14ac:dyDescent="0.35">
      <c r="A1612" t="s">
        <v>1949</v>
      </c>
      <c r="B1612" t="s">
        <v>305</v>
      </c>
      <c r="C1612" t="s">
        <v>1913</v>
      </c>
      <c r="D1612" s="30">
        <v>0.60599537037037032</v>
      </c>
      <c r="E1612" t="s">
        <v>298</v>
      </c>
      <c r="F1612" t="s">
        <v>303</v>
      </c>
      <c r="G1612" t="s">
        <v>303</v>
      </c>
    </row>
    <row r="1613" spans="1:10" x14ac:dyDescent="0.35">
      <c r="A1613" t="s">
        <v>1950</v>
      </c>
      <c r="B1613" t="s">
        <v>332</v>
      </c>
      <c r="C1613" t="s">
        <v>1913</v>
      </c>
      <c r="D1613" s="30">
        <v>0.60599537037037032</v>
      </c>
      <c r="E1613" t="s">
        <v>314</v>
      </c>
      <c r="F1613" t="s">
        <v>299</v>
      </c>
      <c r="G1613" t="s">
        <v>299</v>
      </c>
      <c r="H1613">
        <v>65</v>
      </c>
      <c r="I1613" s="30">
        <v>3.6226851851851854E-3</v>
      </c>
      <c r="J1613">
        <v>5</v>
      </c>
    </row>
    <row r="1614" spans="1:10" x14ac:dyDescent="0.35">
      <c r="A1614" t="s">
        <v>1951</v>
      </c>
      <c r="B1614" t="s">
        <v>301</v>
      </c>
      <c r="C1614" t="s">
        <v>1913</v>
      </c>
      <c r="D1614" s="30">
        <v>0.61799768518518516</v>
      </c>
      <c r="E1614" t="s">
        <v>298</v>
      </c>
      <c r="F1614" t="s">
        <v>299</v>
      </c>
      <c r="G1614" t="s">
        <v>299</v>
      </c>
      <c r="H1614">
        <v>23</v>
      </c>
      <c r="I1614" s="30">
        <v>5.2083333333333333E-4</v>
      </c>
      <c r="J1614">
        <v>4</v>
      </c>
    </row>
    <row r="1615" spans="1:10" x14ac:dyDescent="0.35">
      <c r="A1615" t="s">
        <v>1952</v>
      </c>
      <c r="B1615" t="s">
        <v>316</v>
      </c>
      <c r="C1615" t="s">
        <v>1913</v>
      </c>
      <c r="D1615" s="30">
        <v>0.61799768518518516</v>
      </c>
      <c r="E1615" t="s">
        <v>317</v>
      </c>
      <c r="F1615" t="s">
        <v>299</v>
      </c>
      <c r="G1615" t="s">
        <v>299</v>
      </c>
      <c r="H1615">
        <v>34</v>
      </c>
      <c r="I1615" s="30">
        <v>2.7083333333333334E-3</v>
      </c>
      <c r="J1615">
        <v>3</v>
      </c>
    </row>
    <row r="1616" spans="1:10" x14ac:dyDescent="0.35">
      <c r="A1616" t="s">
        <v>1953</v>
      </c>
      <c r="B1616" t="s">
        <v>296</v>
      </c>
      <c r="C1616" t="s">
        <v>1913</v>
      </c>
      <c r="D1616" s="30">
        <v>0.63099537037037035</v>
      </c>
      <c r="E1616" t="s">
        <v>302</v>
      </c>
      <c r="F1616" t="s">
        <v>299</v>
      </c>
      <c r="G1616" t="s">
        <v>299</v>
      </c>
      <c r="H1616">
        <v>45</v>
      </c>
      <c r="I1616" s="30">
        <v>4.0625000000000001E-3</v>
      </c>
      <c r="J1616">
        <v>3</v>
      </c>
    </row>
    <row r="1617" spans="1:10" x14ac:dyDescent="0.35">
      <c r="A1617" t="s">
        <v>1954</v>
      </c>
      <c r="B1617" t="s">
        <v>296</v>
      </c>
      <c r="C1617" t="s">
        <v>1913</v>
      </c>
      <c r="D1617" s="30">
        <v>0.63099537037037035</v>
      </c>
      <c r="E1617" t="s">
        <v>302</v>
      </c>
      <c r="F1617" t="s">
        <v>299</v>
      </c>
      <c r="G1617" t="s">
        <v>299</v>
      </c>
      <c r="H1617">
        <v>29</v>
      </c>
      <c r="I1617" s="30">
        <v>3.3333333333333335E-3</v>
      </c>
      <c r="J1617">
        <v>3</v>
      </c>
    </row>
    <row r="1618" spans="1:10" x14ac:dyDescent="0.35">
      <c r="A1618" t="s">
        <v>1955</v>
      </c>
      <c r="B1618" t="s">
        <v>305</v>
      </c>
      <c r="C1618" t="s">
        <v>1913</v>
      </c>
      <c r="D1618" s="30">
        <v>0.64</v>
      </c>
      <c r="E1618" t="s">
        <v>298</v>
      </c>
      <c r="F1618" t="s">
        <v>299</v>
      </c>
      <c r="G1618" t="s">
        <v>299</v>
      </c>
      <c r="H1618">
        <v>84</v>
      </c>
      <c r="I1618" s="30">
        <v>4.6643518518518518E-3</v>
      </c>
      <c r="J1618">
        <v>3</v>
      </c>
    </row>
    <row r="1619" spans="1:10" x14ac:dyDescent="0.35">
      <c r="A1619" t="s">
        <v>1956</v>
      </c>
      <c r="B1619" t="s">
        <v>319</v>
      </c>
      <c r="C1619" t="s">
        <v>1913</v>
      </c>
      <c r="D1619" s="30">
        <v>0.64</v>
      </c>
      <c r="E1619" t="s">
        <v>309</v>
      </c>
      <c r="F1619" t="s">
        <v>299</v>
      </c>
      <c r="G1619" t="s">
        <v>303</v>
      </c>
      <c r="H1619">
        <v>105</v>
      </c>
      <c r="I1619" s="30">
        <v>1.6550925925925926E-3</v>
      </c>
      <c r="J1619">
        <v>3</v>
      </c>
    </row>
    <row r="1620" spans="1:10" x14ac:dyDescent="0.35">
      <c r="A1620" t="s">
        <v>1957</v>
      </c>
      <c r="B1620" t="s">
        <v>296</v>
      </c>
      <c r="C1620" t="s">
        <v>1913</v>
      </c>
      <c r="D1620" s="30">
        <v>0.65599537037037037</v>
      </c>
      <c r="E1620" t="s">
        <v>309</v>
      </c>
      <c r="F1620" t="s">
        <v>299</v>
      </c>
      <c r="G1620" t="s">
        <v>299</v>
      </c>
      <c r="H1620">
        <v>75</v>
      </c>
      <c r="I1620" s="30">
        <v>2.9861111111111113E-3</v>
      </c>
      <c r="J1620">
        <v>2</v>
      </c>
    </row>
    <row r="1621" spans="1:10" x14ac:dyDescent="0.35">
      <c r="A1621" t="s">
        <v>1958</v>
      </c>
      <c r="B1621" t="s">
        <v>316</v>
      </c>
      <c r="C1621" t="s">
        <v>1913</v>
      </c>
      <c r="D1621" s="30">
        <v>0.65599537037037037</v>
      </c>
      <c r="E1621" t="s">
        <v>298</v>
      </c>
      <c r="F1621" t="s">
        <v>299</v>
      </c>
      <c r="G1621" t="s">
        <v>299</v>
      </c>
      <c r="H1621">
        <v>20</v>
      </c>
      <c r="I1621" s="30">
        <v>4.7800925925925927E-3</v>
      </c>
      <c r="J1621">
        <v>3</v>
      </c>
    </row>
    <row r="1622" spans="1:10" x14ac:dyDescent="0.35">
      <c r="A1622" t="s">
        <v>1959</v>
      </c>
      <c r="B1622" t="s">
        <v>307</v>
      </c>
      <c r="C1622" t="s">
        <v>1913</v>
      </c>
      <c r="D1622" s="30">
        <v>0.65700231481481486</v>
      </c>
      <c r="E1622" t="s">
        <v>314</v>
      </c>
      <c r="F1622" t="s">
        <v>299</v>
      </c>
      <c r="G1622" t="s">
        <v>299</v>
      </c>
      <c r="H1622">
        <v>88</v>
      </c>
      <c r="I1622" s="30">
        <v>4.0509259259259257E-3</v>
      </c>
      <c r="J1622">
        <v>5</v>
      </c>
    </row>
    <row r="1623" spans="1:10" x14ac:dyDescent="0.35">
      <c r="A1623" t="s">
        <v>1960</v>
      </c>
      <c r="B1623" t="s">
        <v>305</v>
      </c>
      <c r="C1623" t="s">
        <v>1913</v>
      </c>
      <c r="D1623" s="30">
        <v>0.65700231481481486</v>
      </c>
      <c r="E1623" t="s">
        <v>302</v>
      </c>
      <c r="F1623" t="s">
        <v>299</v>
      </c>
      <c r="G1623" t="s">
        <v>299</v>
      </c>
      <c r="H1623">
        <v>93</v>
      </c>
      <c r="I1623" s="30">
        <v>2.1875000000000002E-3</v>
      </c>
      <c r="J1623">
        <v>5</v>
      </c>
    </row>
    <row r="1624" spans="1:10" x14ac:dyDescent="0.35">
      <c r="A1624" t="s">
        <v>1961</v>
      </c>
      <c r="B1624" t="s">
        <v>332</v>
      </c>
      <c r="C1624" t="s">
        <v>1913</v>
      </c>
      <c r="D1624" s="30">
        <v>0.66099537037037037</v>
      </c>
      <c r="E1624" t="s">
        <v>302</v>
      </c>
      <c r="F1624" t="s">
        <v>299</v>
      </c>
      <c r="G1624" t="s">
        <v>299</v>
      </c>
      <c r="H1624">
        <v>65</v>
      </c>
      <c r="I1624" s="30">
        <v>1.25E-3</v>
      </c>
      <c r="J1624">
        <v>3</v>
      </c>
    </row>
    <row r="1625" spans="1:10" x14ac:dyDescent="0.35">
      <c r="A1625" t="s">
        <v>1962</v>
      </c>
      <c r="B1625" t="s">
        <v>301</v>
      </c>
      <c r="C1625" t="s">
        <v>1913</v>
      </c>
      <c r="D1625" s="30">
        <v>0.66099537037037037</v>
      </c>
      <c r="E1625" t="s">
        <v>309</v>
      </c>
      <c r="F1625" t="s">
        <v>303</v>
      </c>
      <c r="G1625" t="s">
        <v>303</v>
      </c>
    </row>
    <row r="1626" spans="1:10" x14ac:dyDescent="0.35">
      <c r="A1626" t="s">
        <v>1963</v>
      </c>
      <c r="B1626" t="s">
        <v>319</v>
      </c>
      <c r="C1626" t="s">
        <v>1913</v>
      </c>
      <c r="D1626" s="30">
        <v>0.67400462962962959</v>
      </c>
      <c r="E1626" t="s">
        <v>317</v>
      </c>
      <c r="F1626" t="s">
        <v>303</v>
      </c>
      <c r="G1626" t="s">
        <v>303</v>
      </c>
    </row>
    <row r="1627" spans="1:10" x14ac:dyDescent="0.35">
      <c r="A1627" t="s">
        <v>1964</v>
      </c>
      <c r="B1627" t="s">
        <v>319</v>
      </c>
      <c r="C1627" t="s">
        <v>1913</v>
      </c>
      <c r="D1627" s="30">
        <v>0.67400462962962959</v>
      </c>
      <c r="E1627" t="s">
        <v>302</v>
      </c>
      <c r="F1627" t="s">
        <v>303</v>
      </c>
      <c r="G1627" t="s">
        <v>303</v>
      </c>
    </row>
    <row r="1628" spans="1:10" x14ac:dyDescent="0.35">
      <c r="A1628" t="s">
        <v>1965</v>
      </c>
      <c r="B1628" t="s">
        <v>307</v>
      </c>
      <c r="C1628" t="s">
        <v>1913</v>
      </c>
      <c r="D1628" s="30">
        <v>0.7170023148148148</v>
      </c>
      <c r="E1628" t="s">
        <v>309</v>
      </c>
      <c r="F1628" t="s">
        <v>299</v>
      </c>
      <c r="G1628" t="s">
        <v>303</v>
      </c>
      <c r="H1628">
        <v>124</v>
      </c>
      <c r="I1628" s="30">
        <v>2.9861111111111113E-3</v>
      </c>
      <c r="J1628">
        <v>5</v>
      </c>
    </row>
    <row r="1629" spans="1:10" x14ac:dyDescent="0.35">
      <c r="A1629" t="s">
        <v>1966</v>
      </c>
      <c r="B1629" t="s">
        <v>323</v>
      </c>
      <c r="C1629" t="s">
        <v>1913</v>
      </c>
      <c r="D1629" s="30">
        <v>0.7170023148148148</v>
      </c>
      <c r="E1629" t="s">
        <v>298</v>
      </c>
      <c r="F1629" t="s">
        <v>299</v>
      </c>
      <c r="G1629" t="s">
        <v>299</v>
      </c>
      <c r="H1629">
        <v>44</v>
      </c>
      <c r="I1629" s="30">
        <v>1.8171296296296297E-3</v>
      </c>
      <c r="J1629">
        <v>4</v>
      </c>
    </row>
    <row r="1630" spans="1:10" x14ac:dyDescent="0.35">
      <c r="A1630" t="s">
        <v>1967</v>
      </c>
      <c r="B1630" t="s">
        <v>307</v>
      </c>
      <c r="C1630" t="s">
        <v>1913</v>
      </c>
      <c r="D1630" s="30">
        <v>0.73700231481481482</v>
      </c>
      <c r="E1630" t="s">
        <v>314</v>
      </c>
      <c r="F1630" t="s">
        <v>299</v>
      </c>
      <c r="G1630" t="s">
        <v>299</v>
      </c>
      <c r="H1630">
        <v>28</v>
      </c>
      <c r="I1630" s="30">
        <v>4.5138888888888892E-4</v>
      </c>
      <c r="J1630">
        <v>4</v>
      </c>
    </row>
    <row r="1631" spans="1:10" x14ac:dyDescent="0.35">
      <c r="A1631" t="s">
        <v>1968</v>
      </c>
      <c r="B1631" t="s">
        <v>296</v>
      </c>
      <c r="C1631" t="s">
        <v>1913</v>
      </c>
      <c r="D1631" s="30">
        <v>0.73700231481481482</v>
      </c>
      <c r="E1631" t="s">
        <v>317</v>
      </c>
      <c r="F1631" t="s">
        <v>299</v>
      </c>
      <c r="G1631" t="s">
        <v>303</v>
      </c>
      <c r="H1631">
        <v>43</v>
      </c>
      <c r="I1631" s="30">
        <v>1.4814814814814814E-3</v>
      </c>
      <c r="J1631">
        <v>4</v>
      </c>
    </row>
    <row r="1632" spans="1:10" x14ac:dyDescent="0.35">
      <c r="A1632" t="s">
        <v>1969</v>
      </c>
      <c r="B1632" t="s">
        <v>305</v>
      </c>
      <c r="C1632" t="s">
        <v>1913</v>
      </c>
      <c r="D1632" s="30">
        <v>0.745</v>
      </c>
      <c r="E1632" t="s">
        <v>302</v>
      </c>
      <c r="F1632" t="s">
        <v>303</v>
      </c>
      <c r="G1632" t="s">
        <v>303</v>
      </c>
    </row>
    <row r="1633" spans="1:10" x14ac:dyDescent="0.35">
      <c r="A1633" t="s">
        <v>1970</v>
      </c>
      <c r="B1633" t="s">
        <v>305</v>
      </c>
      <c r="C1633" t="s">
        <v>1913</v>
      </c>
      <c r="D1633" s="30">
        <v>0.745</v>
      </c>
      <c r="E1633" t="s">
        <v>314</v>
      </c>
      <c r="F1633" t="s">
        <v>299</v>
      </c>
      <c r="G1633" t="s">
        <v>299</v>
      </c>
      <c r="H1633">
        <v>53</v>
      </c>
      <c r="I1633" s="30">
        <v>1.2037037037037038E-3</v>
      </c>
      <c r="J1633">
        <v>4</v>
      </c>
    </row>
    <row r="1634" spans="1:10" x14ac:dyDescent="0.35">
      <c r="A1634" t="s">
        <v>1971</v>
      </c>
      <c r="B1634" t="s">
        <v>296</v>
      </c>
      <c r="C1634" t="s">
        <v>1972</v>
      </c>
      <c r="D1634" s="30">
        <v>0.37900462962962961</v>
      </c>
      <c r="E1634" t="s">
        <v>298</v>
      </c>
      <c r="F1634" t="s">
        <v>299</v>
      </c>
      <c r="G1634" t="s">
        <v>299</v>
      </c>
      <c r="H1634">
        <v>84</v>
      </c>
      <c r="I1634" s="30">
        <v>1.1805555555555556E-3</v>
      </c>
      <c r="J1634">
        <v>4</v>
      </c>
    </row>
    <row r="1635" spans="1:10" x14ac:dyDescent="0.35">
      <c r="A1635" t="s">
        <v>1973</v>
      </c>
      <c r="B1635" t="s">
        <v>301</v>
      </c>
      <c r="C1635" t="s">
        <v>1972</v>
      </c>
      <c r="D1635" s="30">
        <v>0.37900462962962961</v>
      </c>
      <c r="E1635" t="s">
        <v>309</v>
      </c>
      <c r="F1635" t="s">
        <v>299</v>
      </c>
      <c r="G1635" t="s">
        <v>299</v>
      </c>
      <c r="H1635">
        <v>84</v>
      </c>
      <c r="I1635" s="30">
        <v>3.449074074074074E-3</v>
      </c>
      <c r="J1635">
        <v>5</v>
      </c>
    </row>
    <row r="1636" spans="1:10" x14ac:dyDescent="0.35">
      <c r="A1636" t="s">
        <v>1974</v>
      </c>
      <c r="B1636" t="s">
        <v>332</v>
      </c>
      <c r="C1636" t="s">
        <v>1972</v>
      </c>
      <c r="D1636" s="30">
        <v>0.4079976851851852</v>
      </c>
      <c r="E1636" t="s">
        <v>314</v>
      </c>
      <c r="F1636" t="s">
        <v>299</v>
      </c>
      <c r="G1636" t="s">
        <v>299</v>
      </c>
      <c r="H1636">
        <v>12</v>
      </c>
      <c r="I1636" s="30">
        <v>4.1203703703703706E-3</v>
      </c>
      <c r="J1636">
        <v>5</v>
      </c>
    </row>
    <row r="1637" spans="1:10" x14ac:dyDescent="0.35">
      <c r="A1637" t="s">
        <v>1975</v>
      </c>
      <c r="B1637" t="s">
        <v>316</v>
      </c>
      <c r="C1637" t="s">
        <v>1972</v>
      </c>
      <c r="D1637" s="30">
        <v>0.4079976851851852</v>
      </c>
      <c r="E1637" t="s">
        <v>298</v>
      </c>
      <c r="F1637" t="s">
        <v>299</v>
      </c>
      <c r="G1637" t="s">
        <v>299</v>
      </c>
      <c r="H1637">
        <v>85</v>
      </c>
      <c r="I1637" s="30">
        <v>2.5694444444444445E-3</v>
      </c>
      <c r="J1637">
        <v>3</v>
      </c>
    </row>
    <row r="1638" spans="1:10" x14ac:dyDescent="0.35">
      <c r="A1638" t="s">
        <v>1976</v>
      </c>
      <c r="B1638" t="s">
        <v>296</v>
      </c>
      <c r="C1638" t="s">
        <v>1972</v>
      </c>
      <c r="D1638" s="30">
        <v>0.41200231481481481</v>
      </c>
      <c r="E1638" t="s">
        <v>317</v>
      </c>
      <c r="F1638" t="s">
        <v>299</v>
      </c>
      <c r="G1638" t="s">
        <v>299</v>
      </c>
      <c r="H1638">
        <v>124</v>
      </c>
      <c r="I1638" s="30">
        <v>7.0601851851851847E-4</v>
      </c>
      <c r="J1638">
        <v>4</v>
      </c>
    </row>
    <row r="1639" spans="1:10" x14ac:dyDescent="0.35">
      <c r="A1639" t="s">
        <v>1977</v>
      </c>
      <c r="B1639" t="s">
        <v>301</v>
      </c>
      <c r="C1639" t="s">
        <v>1972</v>
      </c>
      <c r="D1639" s="30">
        <v>0.41200231481481481</v>
      </c>
      <c r="E1639" t="s">
        <v>309</v>
      </c>
      <c r="F1639" t="s">
        <v>299</v>
      </c>
      <c r="G1639" t="s">
        <v>303</v>
      </c>
      <c r="H1639">
        <v>92</v>
      </c>
      <c r="I1639" s="30">
        <v>1.4004629629629629E-3</v>
      </c>
      <c r="J1639">
        <v>5</v>
      </c>
    </row>
    <row r="1640" spans="1:10" x14ac:dyDescent="0.35">
      <c r="A1640" t="s">
        <v>1978</v>
      </c>
      <c r="B1640" t="s">
        <v>305</v>
      </c>
      <c r="C1640" t="s">
        <v>1972</v>
      </c>
      <c r="D1640" s="30">
        <v>0.42200231481481482</v>
      </c>
      <c r="E1640" t="s">
        <v>302</v>
      </c>
      <c r="F1640" t="s">
        <v>299</v>
      </c>
      <c r="G1640" t="s">
        <v>299</v>
      </c>
      <c r="H1640">
        <v>116</v>
      </c>
      <c r="I1640" s="30">
        <v>2.4305555555555556E-3</v>
      </c>
      <c r="J1640">
        <v>1</v>
      </c>
    </row>
    <row r="1641" spans="1:10" x14ac:dyDescent="0.35">
      <c r="A1641" t="s">
        <v>1979</v>
      </c>
      <c r="B1641" t="s">
        <v>319</v>
      </c>
      <c r="C1641" t="s">
        <v>1972</v>
      </c>
      <c r="D1641" s="30">
        <v>0.42200231481481482</v>
      </c>
      <c r="E1641" t="s">
        <v>317</v>
      </c>
      <c r="F1641" t="s">
        <v>299</v>
      </c>
      <c r="G1641" t="s">
        <v>299</v>
      </c>
      <c r="H1641">
        <v>118</v>
      </c>
      <c r="I1641" s="30">
        <v>1.9212962962962964E-3</v>
      </c>
      <c r="J1641">
        <v>2</v>
      </c>
    </row>
    <row r="1642" spans="1:10" x14ac:dyDescent="0.35">
      <c r="A1642" t="s">
        <v>1980</v>
      </c>
      <c r="B1642" t="s">
        <v>307</v>
      </c>
      <c r="C1642" t="s">
        <v>1972</v>
      </c>
      <c r="D1642" s="30">
        <v>0.42299768518518521</v>
      </c>
      <c r="E1642" t="s">
        <v>302</v>
      </c>
      <c r="F1642" t="s">
        <v>299</v>
      </c>
      <c r="G1642" t="s">
        <v>299</v>
      </c>
      <c r="H1642">
        <v>99</v>
      </c>
      <c r="I1642" s="30">
        <v>1.7592592592592592E-3</v>
      </c>
      <c r="J1642">
        <v>2</v>
      </c>
    </row>
    <row r="1643" spans="1:10" x14ac:dyDescent="0.35">
      <c r="A1643" t="s">
        <v>1981</v>
      </c>
      <c r="B1643" t="s">
        <v>319</v>
      </c>
      <c r="C1643" t="s">
        <v>1972</v>
      </c>
      <c r="D1643" s="30">
        <v>0.42299768518518521</v>
      </c>
      <c r="E1643" t="s">
        <v>309</v>
      </c>
      <c r="F1643" t="s">
        <v>299</v>
      </c>
      <c r="G1643" t="s">
        <v>299</v>
      </c>
      <c r="H1643">
        <v>77</v>
      </c>
      <c r="I1643" s="30">
        <v>3.0555555555555557E-3</v>
      </c>
      <c r="J1643">
        <v>4</v>
      </c>
    </row>
    <row r="1644" spans="1:10" x14ac:dyDescent="0.35">
      <c r="A1644" t="s">
        <v>1982</v>
      </c>
      <c r="B1644" t="s">
        <v>316</v>
      </c>
      <c r="C1644" t="s">
        <v>1972</v>
      </c>
      <c r="D1644" s="30">
        <v>0.43599537037037039</v>
      </c>
      <c r="E1644" t="s">
        <v>302</v>
      </c>
      <c r="F1644" t="s">
        <v>299</v>
      </c>
      <c r="G1644" t="s">
        <v>299</v>
      </c>
      <c r="H1644">
        <v>57</v>
      </c>
      <c r="I1644" s="30">
        <v>3.0787037037037037E-3</v>
      </c>
      <c r="J1644">
        <v>5</v>
      </c>
    </row>
    <row r="1645" spans="1:10" x14ac:dyDescent="0.35">
      <c r="A1645" t="s">
        <v>1983</v>
      </c>
      <c r="B1645" t="s">
        <v>323</v>
      </c>
      <c r="C1645" t="s">
        <v>1972</v>
      </c>
      <c r="D1645" s="30">
        <v>0.43599537037037039</v>
      </c>
      <c r="E1645" t="s">
        <v>317</v>
      </c>
      <c r="F1645" t="s">
        <v>299</v>
      </c>
      <c r="G1645" t="s">
        <v>299</v>
      </c>
      <c r="H1645">
        <v>113</v>
      </c>
      <c r="I1645" s="30">
        <v>1.7824074074074075E-3</v>
      </c>
      <c r="J1645">
        <v>3</v>
      </c>
    </row>
    <row r="1646" spans="1:10" x14ac:dyDescent="0.35">
      <c r="A1646" t="s">
        <v>1984</v>
      </c>
      <c r="B1646" t="s">
        <v>301</v>
      </c>
      <c r="C1646" t="s">
        <v>1972</v>
      </c>
      <c r="D1646" s="30">
        <v>0.44500000000000001</v>
      </c>
      <c r="E1646" t="s">
        <v>309</v>
      </c>
      <c r="F1646" t="s">
        <v>299</v>
      </c>
      <c r="G1646" t="s">
        <v>299</v>
      </c>
      <c r="H1646">
        <v>22</v>
      </c>
      <c r="I1646" s="30">
        <v>4.9768518518518521E-4</v>
      </c>
      <c r="J1646">
        <v>3</v>
      </c>
    </row>
    <row r="1647" spans="1:10" x14ac:dyDescent="0.35">
      <c r="A1647" t="s">
        <v>1985</v>
      </c>
      <c r="B1647" t="s">
        <v>296</v>
      </c>
      <c r="C1647" t="s">
        <v>1972</v>
      </c>
      <c r="D1647" s="30">
        <v>0.44500000000000001</v>
      </c>
      <c r="E1647" t="s">
        <v>309</v>
      </c>
      <c r="F1647" t="s">
        <v>299</v>
      </c>
      <c r="G1647" t="s">
        <v>299</v>
      </c>
      <c r="H1647">
        <v>20</v>
      </c>
      <c r="I1647" s="30">
        <v>3.449074074074074E-3</v>
      </c>
      <c r="J1647">
        <v>4</v>
      </c>
    </row>
    <row r="1648" spans="1:10" x14ac:dyDescent="0.35">
      <c r="A1648" t="s">
        <v>1986</v>
      </c>
      <c r="B1648" t="s">
        <v>332</v>
      </c>
      <c r="C1648" t="s">
        <v>1972</v>
      </c>
      <c r="D1648" s="30">
        <v>0.4670023148148148</v>
      </c>
      <c r="E1648" t="s">
        <v>317</v>
      </c>
      <c r="F1648" t="s">
        <v>303</v>
      </c>
      <c r="G1648" t="s">
        <v>303</v>
      </c>
    </row>
    <row r="1649" spans="1:10" x14ac:dyDescent="0.35">
      <c r="A1649" t="s">
        <v>1987</v>
      </c>
      <c r="B1649" t="s">
        <v>316</v>
      </c>
      <c r="C1649" t="s">
        <v>1972</v>
      </c>
      <c r="D1649" s="30">
        <v>0.4670023148148148</v>
      </c>
      <c r="E1649" t="s">
        <v>302</v>
      </c>
      <c r="F1649" t="s">
        <v>299</v>
      </c>
      <c r="G1649" t="s">
        <v>299</v>
      </c>
      <c r="H1649">
        <v>23</v>
      </c>
      <c r="I1649" s="30">
        <v>4.1550925925925922E-3</v>
      </c>
      <c r="J1649">
        <v>5</v>
      </c>
    </row>
    <row r="1650" spans="1:10" x14ac:dyDescent="0.35">
      <c r="A1650" t="s">
        <v>1988</v>
      </c>
      <c r="B1650" t="s">
        <v>316</v>
      </c>
      <c r="C1650" t="s">
        <v>1972</v>
      </c>
      <c r="D1650" s="30">
        <v>0.47700231481481481</v>
      </c>
      <c r="E1650" t="s">
        <v>298</v>
      </c>
      <c r="F1650" t="s">
        <v>299</v>
      </c>
      <c r="G1650" t="s">
        <v>299</v>
      </c>
      <c r="H1650">
        <v>79</v>
      </c>
      <c r="I1650" s="30">
        <v>3.1712962962962962E-3</v>
      </c>
      <c r="J1650">
        <v>4</v>
      </c>
    </row>
    <row r="1651" spans="1:10" x14ac:dyDescent="0.35">
      <c r="A1651" t="s">
        <v>1989</v>
      </c>
      <c r="B1651" t="s">
        <v>305</v>
      </c>
      <c r="C1651" t="s">
        <v>1972</v>
      </c>
      <c r="D1651" s="30">
        <v>0.47700231481481481</v>
      </c>
      <c r="E1651" t="s">
        <v>298</v>
      </c>
      <c r="F1651" t="s">
        <v>299</v>
      </c>
      <c r="G1651" t="s">
        <v>303</v>
      </c>
      <c r="H1651">
        <v>94</v>
      </c>
      <c r="I1651" s="30">
        <v>4.8148148148148152E-3</v>
      </c>
      <c r="J1651">
        <v>5</v>
      </c>
    </row>
    <row r="1652" spans="1:10" x14ac:dyDescent="0.35">
      <c r="A1652" t="s">
        <v>1990</v>
      </c>
      <c r="B1652" t="s">
        <v>316</v>
      </c>
      <c r="C1652" t="s">
        <v>1972</v>
      </c>
      <c r="D1652" s="30">
        <v>0.495</v>
      </c>
      <c r="E1652" t="s">
        <v>302</v>
      </c>
      <c r="F1652" t="s">
        <v>299</v>
      </c>
      <c r="G1652" t="s">
        <v>299</v>
      </c>
      <c r="H1652">
        <v>118</v>
      </c>
      <c r="I1652" s="30">
        <v>1.5393518518518519E-3</v>
      </c>
      <c r="J1652">
        <v>4</v>
      </c>
    </row>
    <row r="1653" spans="1:10" x14ac:dyDescent="0.35">
      <c r="A1653" t="s">
        <v>1991</v>
      </c>
      <c r="B1653" t="s">
        <v>323</v>
      </c>
      <c r="C1653" t="s">
        <v>1972</v>
      </c>
      <c r="D1653" s="30">
        <v>0.495</v>
      </c>
      <c r="E1653" t="s">
        <v>314</v>
      </c>
      <c r="F1653" t="s">
        <v>299</v>
      </c>
      <c r="G1653" t="s">
        <v>303</v>
      </c>
      <c r="H1653">
        <v>68</v>
      </c>
      <c r="I1653" s="30">
        <v>1.8287037037037037E-3</v>
      </c>
      <c r="J1653">
        <v>2</v>
      </c>
    </row>
    <row r="1654" spans="1:10" x14ac:dyDescent="0.35">
      <c r="A1654" t="s">
        <v>1992</v>
      </c>
      <c r="B1654" t="s">
        <v>296</v>
      </c>
      <c r="C1654" t="s">
        <v>1972</v>
      </c>
      <c r="D1654" s="30">
        <v>0.51200231481481484</v>
      </c>
      <c r="E1654" t="s">
        <v>317</v>
      </c>
      <c r="F1654" t="s">
        <v>299</v>
      </c>
      <c r="G1654" t="s">
        <v>299</v>
      </c>
      <c r="H1654">
        <v>53</v>
      </c>
      <c r="I1654" s="30">
        <v>9.7222222222222219E-4</v>
      </c>
      <c r="J1654">
        <v>3</v>
      </c>
    </row>
    <row r="1655" spans="1:10" x14ac:dyDescent="0.35">
      <c r="A1655" t="s">
        <v>1993</v>
      </c>
      <c r="B1655" t="s">
        <v>305</v>
      </c>
      <c r="C1655" t="s">
        <v>1972</v>
      </c>
      <c r="D1655" s="30">
        <v>0.51200231481481484</v>
      </c>
      <c r="E1655" t="s">
        <v>314</v>
      </c>
      <c r="F1655" t="s">
        <v>299</v>
      </c>
      <c r="G1655" t="s">
        <v>299</v>
      </c>
      <c r="H1655">
        <v>52</v>
      </c>
      <c r="I1655" s="30">
        <v>4.2824074074074075E-3</v>
      </c>
      <c r="J1655">
        <v>3</v>
      </c>
    </row>
    <row r="1656" spans="1:10" x14ac:dyDescent="0.35">
      <c r="A1656" t="s">
        <v>1994</v>
      </c>
      <c r="B1656" t="s">
        <v>332</v>
      </c>
      <c r="C1656" t="s">
        <v>1972</v>
      </c>
      <c r="D1656" s="30">
        <v>0.51599537037037035</v>
      </c>
      <c r="E1656" t="s">
        <v>309</v>
      </c>
      <c r="F1656" t="s">
        <v>299</v>
      </c>
      <c r="G1656" t="s">
        <v>299</v>
      </c>
      <c r="H1656">
        <v>13</v>
      </c>
      <c r="I1656" s="30">
        <v>4.0625000000000001E-3</v>
      </c>
      <c r="J1656">
        <v>3</v>
      </c>
    </row>
    <row r="1657" spans="1:10" x14ac:dyDescent="0.35">
      <c r="A1657" t="s">
        <v>1995</v>
      </c>
      <c r="B1657" t="s">
        <v>296</v>
      </c>
      <c r="C1657" t="s">
        <v>1972</v>
      </c>
      <c r="D1657" s="30">
        <v>0.51599537037037035</v>
      </c>
      <c r="E1657" t="s">
        <v>298</v>
      </c>
      <c r="F1657" t="s">
        <v>299</v>
      </c>
      <c r="G1657" t="s">
        <v>299</v>
      </c>
      <c r="H1657">
        <v>78</v>
      </c>
      <c r="I1657" s="30">
        <v>3.1712962962962962E-3</v>
      </c>
      <c r="J1657">
        <v>5</v>
      </c>
    </row>
    <row r="1658" spans="1:10" x14ac:dyDescent="0.35">
      <c r="A1658" t="s">
        <v>1996</v>
      </c>
      <c r="B1658" t="s">
        <v>332</v>
      </c>
      <c r="C1658" t="s">
        <v>1972</v>
      </c>
      <c r="D1658" s="30">
        <v>0.52599537037037036</v>
      </c>
      <c r="E1658" t="s">
        <v>298</v>
      </c>
      <c r="F1658" t="s">
        <v>299</v>
      </c>
      <c r="G1658" t="s">
        <v>299</v>
      </c>
      <c r="H1658">
        <v>32</v>
      </c>
      <c r="I1658" s="30">
        <v>1.4467592592592592E-3</v>
      </c>
      <c r="J1658">
        <v>4</v>
      </c>
    </row>
    <row r="1659" spans="1:10" x14ac:dyDescent="0.35">
      <c r="A1659" t="s">
        <v>1997</v>
      </c>
      <c r="B1659" t="s">
        <v>323</v>
      </c>
      <c r="C1659" t="s">
        <v>1972</v>
      </c>
      <c r="D1659" s="30">
        <v>0.52599537037037036</v>
      </c>
      <c r="E1659" t="s">
        <v>298</v>
      </c>
      <c r="F1659" t="s">
        <v>303</v>
      </c>
      <c r="G1659" t="s">
        <v>303</v>
      </c>
    </row>
    <row r="1660" spans="1:10" x14ac:dyDescent="0.35">
      <c r="A1660" t="s">
        <v>1998</v>
      </c>
      <c r="B1660" t="s">
        <v>323</v>
      </c>
      <c r="C1660" t="s">
        <v>1972</v>
      </c>
      <c r="D1660" s="30">
        <v>0.52799768518518519</v>
      </c>
      <c r="E1660" t="s">
        <v>314</v>
      </c>
      <c r="F1660" t="s">
        <v>299</v>
      </c>
      <c r="G1660" t="s">
        <v>299</v>
      </c>
      <c r="H1660">
        <v>13</v>
      </c>
      <c r="I1660" s="30">
        <v>1.4236111111111112E-3</v>
      </c>
      <c r="J1660">
        <v>4</v>
      </c>
    </row>
    <row r="1661" spans="1:10" x14ac:dyDescent="0.35">
      <c r="A1661" t="s">
        <v>1999</v>
      </c>
      <c r="B1661" t="s">
        <v>307</v>
      </c>
      <c r="C1661" t="s">
        <v>1972</v>
      </c>
      <c r="D1661" s="30">
        <v>0.52799768518518519</v>
      </c>
      <c r="E1661" t="s">
        <v>317</v>
      </c>
      <c r="F1661" t="s">
        <v>299</v>
      </c>
      <c r="G1661" t="s">
        <v>303</v>
      </c>
      <c r="H1661">
        <v>91</v>
      </c>
      <c r="I1661" s="30">
        <v>2.7893518518518519E-3</v>
      </c>
      <c r="J1661">
        <v>3</v>
      </c>
    </row>
    <row r="1662" spans="1:10" x14ac:dyDescent="0.35">
      <c r="A1662" t="s">
        <v>2000</v>
      </c>
      <c r="B1662" t="s">
        <v>316</v>
      </c>
      <c r="C1662" t="s">
        <v>1972</v>
      </c>
      <c r="D1662" s="30">
        <v>0.53099537037037037</v>
      </c>
      <c r="E1662" t="s">
        <v>314</v>
      </c>
      <c r="F1662" t="s">
        <v>299</v>
      </c>
      <c r="G1662" t="s">
        <v>299</v>
      </c>
      <c r="H1662">
        <v>41</v>
      </c>
      <c r="I1662" s="30">
        <v>1.0185185185185184E-3</v>
      </c>
      <c r="J1662">
        <v>3</v>
      </c>
    </row>
    <row r="1663" spans="1:10" x14ac:dyDescent="0.35">
      <c r="A1663" t="s">
        <v>2001</v>
      </c>
      <c r="B1663" t="s">
        <v>301</v>
      </c>
      <c r="C1663" t="s">
        <v>1972</v>
      </c>
      <c r="D1663" s="30">
        <v>0.53099537037037037</v>
      </c>
      <c r="E1663" t="s">
        <v>317</v>
      </c>
      <c r="F1663" t="s">
        <v>299</v>
      </c>
      <c r="G1663" t="s">
        <v>299</v>
      </c>
      <c r="H1663">
        <v>69</v>
      </c>
      <c r="I1663" s="30">
        <v>4.8379629629629632E-3</v>
      </c>
      <c r="J1663">
        <v>2</v>
      </c>
    </row>
    <row r="1664" spans="1:10" x14ac:dyDescent="0.35">
      <c r="A1664" t="s">
        <v>2002</v>
      </c>
      <c r="B1664" t="s">
        <v>305</v>
      </c>
      <c r="C1664" t="s">
        <v>1972</v>
      </c>
      <c r="D1664" s="30">
        <v>0.53400462962962958</v>
      </c>
      <c r="E1664" t="s">
        <v>309</v>
      </c>
      <c r="F1664" t="s">
        <v>299</v>
      </c>
      <c r="G1664" t="s">
        <v>299</v>
      </c>
      <c r="H1664">
        <v>116</v>
      </c>
      <c r="I1664" s="30">
        <v>4.31712962962963E-3</v>
      </c>
      <c r="J1664">
        <v>4</v>
      </c>
    </row>
    <row r="1665" spans="1:10" x14ac:dyDescent="0.35">
      <c r="A1665" t="s">
        <v>2003</v>
      </c>
      <c r="B1665" t="s">
        <v>301</v>
      </c>
      <c r="C1665" t="s">
        <v>1972</v>
      </c>
      <c r="D1665" s="30">
        <v>0.53400462962962958</v>
      </c>
      <c r="E1665" t="s">
        <v>309</v>
      </c>
      <c r="F1665" t="s">
        <v>299</v>
      </c>
      <c r="G1665" t="s">
        <v>303</v>
      </c>
      <c r="H1665">
        <v>98</v>
      </c>
      <c r="I1665" s="30">
        <v>4.2939814814814811E-3</v>
      </c>
      <c r="J1665">
        <v>5</v>
      </c>
    </row>
    <row r="1666" spans="1:10" x14ac:dyDescent="0.35">
      <c r="A1666" t="s">
        <v>2004</v>
      </c>
      <c r="B1666" t="s">
        <v>332</v>
      </c>
      <c r="C1666" t="s">
        <v>1972</v>
      </c>
      <c r="D1666" s="30">
        <v>0.53599537037037037</v>
      </c>
      <c r="E1666" t="s">
        <v>309</v>
      </c>
      <c r="F1666" t="s">
        <v>299</v>
      </c>
      <c r="G1666" t="s">
        <v>299</v>
      </c>
      <c r="H1666">
        <v>16</v>
      </c>
      <c r="I1666" s="30">
        <v>2.8703703703703703E-3</v>
      </c>
      <c r="J1666">
        <v>1</v>
      </c>
    </row>
    <row r="1667" spans="1:10" x14ac:dyDescent="0.35">
      <c r="A1667" t="s">
        <v>2005</v>
      </c>
      <c r="B1667" t="s">
        <v>323</v>
      </c>
      <c r="C1667" t="s">
        <v>1972</v>
      </c>
      <c r="D1667" s="30">
        <v>0.53599537037037037</v>
      </c>
      <c r="E1667" t="s">
        <v>302</v>
      </c>
      <c r="F1667" t="s">
        <v>299</v>
      </c>
      <c r="G1667" t="s">
        <v>299</v>
      </c>
      <c r="H1667">
        <v>43</v>
      </c>
      <c r="I1667" s="30">
        <v>1.3194444444444445E-3</v>
      </c>
      <c r="J1667">
        <v>1</v>
      </c>
    </row>
    <row r="1668" spans="1:10" x14ac:dyDescent="0.35">
      <c r="A1668" t="s">
        <v>2006</v>
      </c>
      <c r="B1668" t="s">
        <v>332</v>
      </c>
      <c r="C1668" t="s">
        <v>1972</v>
      </c>
      <c r="D1668" s="30">
        <v>0.54400462962962959</v>
      </c>
      <c r="E1668" t="s">
        <v>317</v>
      </c>
      <c r="F1668" t="s">
        <v>299</v>
      </c>
      <c r="G1668" t="s">
        <v>299</v>
      </c>
      <c r="H1668">
        <v>17</v>
      </c>
      <c r="I1668" s="30">
        <v>2.5462962962962965E-3</v>
      </c>
      <c r="J1668">
        <v>5</v>
      </c>
    </row>
    <row r="1669" spans="1:10" x14ac:dyDescent="0.35">
      <c r="A1669" t="s">
        <v>2007</v>
      </c>
      <c r="B1669" t="s">
        <v>301</v>
      </c>
      <c r="C1669" t="s">
        <v>1972</v>
      </c>
      <c r="D1669" s="30">
        <v>0.54400462962962959</v>
      </c>
      <c r="E1669" t="s">
        <v>302</v>
      </c>
      <c r="F1669" t="s">
        <v>299</v>
      </c>
      <c r="G1669" t="s">
        <v>299</v>
      </c>
      <c r="H1669">
        <v>27</v>
      </c>
      <c r="I1669" s="30">
        <v>1.9328703703703704E-3</v>
      </c>
      <c r="J1669">
        <v>5</v>
      </c>
    </row>
    <row r="1670" spans="1:10" x14ac:dyDescent="0.35">
      <c r="A1670" t="s">
        <v>2008</v>
      </c>
      <c r="B1670" t="s">
        <v>301</v>
      </c>
      <c r="C1670" t="s">
        <v>1972</v>
      </c>
      <c r="D1670" s="30">
        <v>0.56900462962962961</v>
      </c>
      <c r="E1670" t="s">
        <v>314</v>
      </c>
      <c r="F1670" t="s">
        <v>299</v>
      </c>
      <c r="G1670" t="s">
        <v>299</v>
      </c>
      <c r="H1670">
        <v>88</v>
      </c>
      <c r="I1670" s="30">
        <v>4.3055555555555555E-3</v>
      </c>
      <c r="J1670">
        <v>5</v>
      </c>
    </row>
    <row r="1671" spans="1:10" x14ac:dyDescent="0.35">
      <c r="A1671" t="s">
        <v>2009</v>
      </c>
      <c r="B1671" t="s">
        <v>332</v>
      </c>
      <c r="C1671" t="s">
        <v>1972</v>
      </c>
      <c r="D1671" s="30">
        <v>0.56900462962962961</v>
      </c>
      <c r="E1671" t="s">
        <v>302</v>
      </c>
      <c r="F1671" t="s">
        <v>299</v>
      </c>
      <c r="G1671" t="s">
        <v>303</v>
      </c>
      <c r="H1671">
        <v>45</v>
      </c>
      <c r="I1671" s="30">
        <v>4.7453703703703703E-3</v>
      </c>
      <c r="J1671">
        <v>4</v>
      </c>
    </row>
    <row r="1672" spans="1:10" x14ac:dyDescent="0.35">
      <c r="A1672" t="s">
        <v>2010</v>
      </c>
      <c r="B1672" t="s">
        <v>319</v>
      </c>
      <c r="C1672" t="s">
        <v>1972</v>
      </c>
      <c r="D1672" s="30">
        <v>0.58400462962962962</v>
      </c>
      <c r="E1672" t="s">
        <v>302</v>
      </c>
      <c r="F1672" t="s">
        <v>299</v>
      </c>
      <c r="G1672" t="s">
        <v>303</v>
      </c>
      <c r="H1672">
        <v>19</v>
      </c>
      <c r="I1672" s="30">
        <v>1.5740740740740741E-3</v>
      </c>
      <c r="J1672">
        <v>4</v>
      </c>
    </row>
    <row r="1673" spans="1:10" x14ac:dyDescent="0.35">
      <c r="A1673" t="s">
        <v>2011</v>
      </c>
      <c r="B1673" t="s">
        <v>319</v>
      </c>
      <c r="C1673" t="s">
        <v>1972</v>
      </c>
      <c r="D1673" s="30">
        <v>0.58400462962962962</v>
      </c>
      <c r="E1673" t="s">
        <v>309</v>
      </c>
      <c r="F1673" t="s">
        <v>303</v>
      </c>
      <c r="G1673" t="s">
        <v>303</v>
      </c>
    </row>
    <row r="1674" spans="1:10" x14ac:dyDescent="0.35">
      <c r="A1674" t="s">
        <v>2012</v>
      </c>
      <c r="B1674" t="s">
        <v>305</v>
      </c>
      <c r="C1674" t="s">
        <v>1972</v>
      </c>
      <c r="D1674" s="30">
        <v>0.59</v>
      </c>
      <c r="E1674" t="s">
        <v>298</v>
      </c>
      <c r="F1674" t="s">
        <v>299</v>
      </c>
      <c r="G1674" t="s">
        <v>299</v>
      </c>
      <c r="H1674">
        <v>85</v>
      </c>
      <c r="I1674" s="30">
        <v>2.1296296296296298E-3</v>
      </c>
      <c r="J1674">
        <v>4</v>
      </c>
    </row>
    <row r="1675" spans="1:10" x14ac:dyDescent="0.35">
      <c r="A1675" t="s">
        <v>2013</v>
      </c>
      <c r="B1675" t="s">
        <v>305</v>
      </c>
      <c r="C1675" t="s">
        <v>1972</v>
      </c>
      <c r="D1675" s="30">
        <v>0.59</v>
      </c>
      <c r="E1675" t="s">
        <v>309</v>
      </c>
      <c r="F1675" t="s">
        <v>303</v>
      </c>
      <c r="G1675" t="s">
        <v>303</v>
      </c>
    </row>
    <row r="1676" spans="1:10" x14ac:dyDescent="0.35">
      <c r="A1676" t="s">
        <v>2014</v>
      </c>
      <c r="B1676" t="s">
        <v>305</v>
      </c>
      <c r="C1676" t="s">
        <v>1972</v>
      </c>
      <c r="D1676" s="30">
        <v>0.59099537037037042</v>
      </c>
      <c r="E1676" t="s">
        <v>309</v>
      </c>
      <c r="F1676" t="s">
        <v>299</v>
      </c>
      <c r="G1676" t="s">
        <v>303</v>
      </c>
      <c r="H1676">
        <v>122</v>
      </c>
      <c r="I1676" s="30">
        <v>2.5000000000000001E-3</v>
      </c>
      <c r="J1676">
        <v>3</v>
      </c>
    </row>
    <row r="1677" spans="1:10" x14ac:dyDescent="0.35">
      <c r="A1677" t="s">
        <v>2015</v>
      </c>
      <c r="B1677" t="s">
        <v>301</v>
      </c>
      <c r="C1677" t="s">
        <v>1972</v>
      </c>
      <c r="D1677" s="30">
        <v>0.59099537037037042</v>
      </c>
      <c r="E1677" t="s">
        <v>302</v>
      </c>
      <c r="F1677" t="s">
        <v>299</v>
      </c>
      <c r="G1677" t="s">
        <v>299</v>
      </c>
      <c r="H1677">
        <v>78</v>
      </c>
      <c r="I1677" s="30">
        <v>3.9467592592592592E-3</v>
      </c>
      <c r="J1677">
        <v>2</v>
      </c>
    </row>
    <row r="1678" spans="1:10" x14ac:dyDescent="0.35">
      <c r="A1678" t="s">
        <v>2016</v>
      </c>
      <c r="B1678" t="s">
        <v>319</v>
      </c>
      <c r="C1678" t="s">
        <v>1972</v>
      </c>
      <c r="D1678" s="30">
        <v>0.60900462962962965</v>
      </c>
      <c r="E1678" t="s">
        <v>309</v>
      </c>
      <c r="F1678" t="s">
        <v>299</v>
      </c>
      <c r="G1678" t="s">
        <v>303</v>
      </c>
      <c r="H1678">
        <v>68</v>
      </c>
      <c r="I1678" s="30">
        <v>7.5231481481481482E-4</v>
      </c>
      <c r="J1678">
        <v>2</v>
      </c>
    </row>
    <row r="1679" spans="1:10" x14ac:dyDescent="0.35">
      <c r="A1679" t="s">
        <v>2017</v>
      </c>
      <c r="B1679" t="s">
        <v>307</v>
      </c>
      <c r="C1679" t="s">
        <v>1972</v>
      </c>
      <c r="D1679" s="30">
        <v>0.60900462962962965</v>
      </c>
      <c r="E1679" t="s">
        <v>317</v>
      </c>
      <c r="F1679" t="s">
        <v>299</v>
      </c>
      <c r="G1679" t="s">
        <v>299</v>
      </c>
      <c r="H1679">
        <v>33</v>
      </c>
      <c r="I1679" s="30">
        <v>3.1828703703703702E-3</v>
      </c>
      <c r="J1679">
        <v>3</v>
      </c>
    </row>
    <row r="1680" spans="1:10" x14ac:dyDescent="0.35">
      <c r="A1680" t="s">
        <v>2018</v>
      </c>
      <c r="B1680" t="s">
        <v>301</v>
      </c>
      <c r="C1680" t="s">
        <v>1972</v>
      </c>
      <c r="D1680" s="30">
        <v>0.625</v>
      </c>
      <c r="E1680" t="s">
        <v>309</v>
      </c>
      <c r="F1680" t="s">
        <v>299</v>
      </c>
      <c r="G1680" t="s">
        <v>299</v>
      </c>
      <c r="H1680">
        <v>19</v>
      </c>
      <c r="I1680" s="30">
        <v>4.1319444444444442E-3</v>
      </c>
      <c r="J1680">
        <v>1</v>
      </c>
    </row>
    <row r="1681" spans="1:10" x14ac:dyDescent="0.35">
      <c r="A1681" t="s">
        <v>2019</v>
      </c>
      <c r="B1681" t="s">
        <v>323</v>
      </c>
      <c r="C1681" t="s">
        <v>1972</v>
      </c>
      <c r="D1681" s="30">
        <v>0.625</v>
      </c>
      <c r="E1681" t="s">
        <v>298</v>
      </c>
      <c r="F1681" t="s">
        <v>299</v>
      </c>
      <c r="G1681" t="s">
        <v>299</v>
      </c>
      <c r="H1681">
        <v>97</v>
      </c>
      <c r="I1681" s="30">
        <v>4.7800925925925927E-3</v>
      </c>
      <c r="J1681">
        <v>5</v>
      </c>
    </row>
    <row r="1682" spans="1:10" x14ac:dyDescent="0.35">
      <c r="A1682" t="s">
        <v>2020</v>
      </c>
      <c r="B1682" t="s">
        <v>319</v>
      </c>
      <c r="C1682" t="s">
        <v>1972</v>
      </c>
      <c r="D1682" s="30">
        <v>0.65200231481481485</v>
      </c>
      <c r="E1682" t="s">
        <v>309</v>
      </c>
      <c r="F1682" t="s">
        <v>299</v>
      </c>
      <c r="G1682" t="s">
        <v>299</v>
      </c>
      <c r="H1682">
        <v>33</v>
      </c>
      <c r="I1682" s="30">
        <v>9.1435185185185185E-4</v>
      </c>
      <c r="J1682">
        <v>2</v>
      </c>
    </row>
    <row r="1683" spans="1:10" x14ac:dyDescent="0.35">
      <c r="A1683" t="s">
        <v>2021</v>
      </c>
      <c r="B1683" t="s">
        <v>323</v>
      </c>
      <c r="C1683" t="s">
        <v>1972</v>
      </c>
      <c r="D1683" s="30">
        <v>0.65200231481481485</v>
      </c>
      <c r="E1683" t="s">
        <v>314</v>
      </c>
      <c r="F1683" t="s">
        <v>299</v>
      </c>
      <c r="G1683" t="s">
        <v>299</v>
      </c>
      <c r="H1683">
        <v>124</v>
      </c>
      <c r="I1683" s="30">
        <v>3.3333333333333335E-3</v>
      </c>
      <c r="J1683">
        <v>5</v>
      </c>
    </row>
    <row r="1684" spans="1:10" x14ac:dyDescent="0.35">
      <c r="A1684" t="s">
        <v>2022</v>
      </c>
      <c r="B1684" t="s">
        <v>305</v>
      </c>
      <c r="C1684" t="s">
        <v>1972</v>
      </c>
      <c r="D1684" s="30">
        <v>0.65599537037037037</v>
      </c>
      <c r="E1684" t="s">
        <v>314</v>
      </c>
      <c r="F1684" t="s">
        <v>299</v>
      </c>
      <c r="G1684" t="s">
        <v>299</v>
      </c>
      <c r="H1684">
        <v>78</v>
      </c>
      <c r="I1684" s="30">
        <v>3.5763888888888889E-3</v>
      </c>
      <c r="J1684">
        <v>1</v>
      </c>
    </row>
    <row r="1685" spans="1:10" x14ac:dyDescent="0.35">
      <c r="A1685" t="s">
        <v>2023</v>
      </c>
      <c r="B1685" t="s">
        <v>296</v>
      </c>
      <c r="C1685" t="s">
        <v>1972</v>
      </c>
      <c r="D1685" s="30">
        <v>0.65599537037037037</v>
      </c>
      <c r="E1685" t="s">
        <v>309</v>
      </c>
      <c r="F1685" t="s">
        <v>303</v>
      </c>
      <c r="G1685" t="s">
        <v>303</v>
      </c>
    </row>
    <row r="1686" spans="1:10" x14ac:dyDescent="0.35">
      <c r="A1686" t="s">
        <v>2024</v>
      </c>
      <c r="B1686" t="s">
        <v>332</v>
      </c>
      <c r="C1686" t="s">
        <v>1972</v>
      </c>
      <c r="D1686" s="30">
        <v>0.66099537037037037</v>
      </c>
      <c r="E1686" t="s">
        <v>302</v>
      </c>
      <c r="F1686" t="s">
        <v>299</v>
      </c>
      <c r="G1686" t="s">
        <v>299</v>
      </c>
      <c r="H1686">
        <v>111</v>
      </c>
      <c r="I1686" s="30">
        <v>1.7939814814814815E-3</v>
      </c>
      <c r="J1686">
        <v>5</v>
      </c>
    </row>
    <row r="1687" spans="1:10" x14ac:dyDescent="0.35">
      <c r="A1687" t="s">
        <v>2025</v>
      </c>
      <c r="B1687" t="s">
        <v>296</v>
      </c>
      <c r="C1687" t="s">
        <v>1972</v>
      </c>
      <c r="D1687" s="30">
        <v>0.66099537037037037</v>
      </c>
      <c r="E1687" t="s">
        <v>298</v>
      </c>
      <c r="F1687" t="s">
        <v>299</v>
      </c>
      <c r="G1687" t="s">
        <v>299</v>
      </c>
      <c r="H1687">
        <v>27</v>
      </c>
      <c r="I1687" s="30">
        <v>2.5115740740740741E-3</v>
      </c>
      <c r="J1687">
        <v>5</v>
      </c>
    </row>
    <row r="1688" spans="1:10" x14ac:dyDescent="0.35">
      <c r="A1688" t="s">
        <v>2026</v>
      </c>
      <c r="B1688" t="s">
        <v>332</v>
      </c>
      <c r="C1688" t="s">
        <v>1972</v>
      </c>
      <c r="D1688" s="30">
        <v>0.66599537037037038</v>
      </c>
      <c r="E1688" t="s">
        <v>302</v>
      </c>
      <c r="F1688" t="s">
        <v>299</v>
      </c>
      <c r="G1688" t="s">
        <v>299</v>
      </c>
      <c r="H1688">
        <v>18</v>
      </c>
      <c r="I1688" s="30">
        <v>3.2523148148148147E-3</v>
      </c>
      <c r="J1688">
        <v>3</v>
      </c>
    </row>
    <row r="1689" spans="1:10" x14ac:dyDescent="0.35">
      <c r="A1689" t="s">
        <v>2027</v>
      </c>
      <c r="B1689" t="s">
        <v>307</v>
      </c>
      <c r="C1689" t="s">
        <v>1972</v>
      </c>
      <c r="D1689" s="30">
        <v>0.66599537037037038</v>
      </c>
      <c r="E1689" t="s">
        <v>317</v>
      </c>
      <c r="F1689" t="s">
        <v>299</v>
      </c>
      <c r="G1689" t="s">
        <v>299</v>
      </c>
      <c r="H1689">
        <v>31</v>
      </c>
      <c r="I1689" s="30">
        <v>2.9861111111111113E-3</v>
      </c>
      <c r="J1689">
        <v>4</v>
      </c>
    </row>
    <row r="1690" spans="1:10" x14ac:dyDescent="0.35">
      <c r="A1690" t="s">
        <v>2028</v>
      </c>
      <c r="B1690" t="s">
        <v>305</v>
      </c>
      <c r="C1690" t="s">
        <v>1972</v>
      </c>
      <c r="D1690" s="30">
        <v>0.67599537037037039</v>
      </c>
      <c r="E1690" t="s">
        <v>314</v>
      </c>
      <c r="F1690" t="s">
        <v>299</v>
      </c>
      <c r="G1690" t="s">
        <v>303</v>
      </c>
      <c r="H1690">
        <v>65</v>
      </c>
      <c r="I1690" s="30">
        <v>2.5578703703703705E-3</v>
      </c>
      <c r="J1690">
        <v>4</v>
      </c>
    </row>
    <row r="1691" spans="1:10" x14ac:dyDescent="0.35">
      <c r="A1691" t="s">
        <v>2029</v>
      </c>
      <c r="B1691" t="s">
        <v>301</v>
      </c>
      <c r="C1691" t="s">
        <v>1972</v>
      </c>
      <c r="D1691" s="30">
        <v>0.67599537037037039</v>
      </c>
      <c r="E1691" t="s">
        <v>314</v>
      </c>
      <c r="F1691" t="s">
        <v>303</v>
      </c>
      <c r="G1691" t="s">
        <v>303</v>
      </c>
    </row>
    <row r="1692" spans="1:10" x14ac:dyDescent="0.35">
      <c r="A1692" t="s">
        <v>2030</v>
      </c>
      <c r="B1692" t="s">
        <v>301</v>
      </c>
      <c r="C1692" t="s">
        <v>1972</v>
      </c>
      <c r="D1692" s="30">
        <v>0.68</v>
      </c>
      <c r="E1692" t="s">
        <v>302</v>
      </c>
      <c r="F1692" t="s">
        <v>299</v>
      </c>
      <c r="G1692" t="s">
        <v>299</v>
      </c>
      <c r="H1692">
        <v>91</v>
      </c>
      <c r="I1692" s="30">
        <v>5.7870370370370367E-4</v>
      </c>
      <c r="J1692">
        <v>3</v>
      </c>
    </row>
    <row r="1693" spans="1:10" x14ac:dyDescent="0.35">
      <c r="A1693" t="s">
        <v>2031</v>
      </c>
      <c r="B1693" t="s">
        <v>305</v>
      </c>
      <c r="C1693" t="s">
        <v>1972</v>
      </c>
      <c r="D1693" s="30">
        <v>0.68</v>
      </c>
      <c r="E1693" t="s">
        <v>302</v>
      </c>
      <c r="F1693" t="s">
        <v>299</v>
      </c>
      <c r="G1693" t="s">
        <v>299</v>
      </c>
      <c r="H1693">
        <v>71</v>
      </c>
      <c r="I1693" s="30">
        <v>1.0069444444444444E-3</v>
      </c>
      <c r="J1693">
        <v>2</v>
      </c>
    </row>
    <row r="1694" spans="1:10" x14ac:dyDescent="0.35">
      <c r="A1694" t="s">
        <v>2032</v>
      </c>
      <c r="B1694" t="s">
        <v>307</v>
      </c>
      <c r="C1694" t="s">
        <v>1972</v>
      </c>
      <c r="D1694" s="30">
        <v>0.68</v>
      </c>
      <c r="E1694" t="s">
        <v>298</v>
      </c>
      <c r="F1694" t="s">
        <v>303</v>
      </c>
      <c r="G1694" t="s">
        <v>303</v>
      </c>
    </row>
    <row r="1695" spans="1:10" x14ac:dyDescent="0.35">
      <c r="A1695" t="s">
        <v>2033</v>
      </c>
      <c r="B1695" t="s">
        <v>305</v>
      </c>
      <c r="C1695" t="s">
        <v>1972</v>
      </c>
      <c r="D1695" s="30">
        <v>0.68</v>
      </c>
      <c r="E1695" t="s">
        <v>298</v>
      </c>
      <c r="F1695" t="s">
        <v>299</v>
      </c>
      <c r="G1695" t="s">
        <v>299</v>
      </c>
      <c r="H1695">
        <v>78</v>
      </c>
      <c r="I1695" s="30">
        <v>3.0787037037037037E-3</v>
      </c>
      <c r="J1695">
        <v>3</v>
      </c>
    </row>
    <row r="1696" spans="1:10" x14ac:dyDescent="0.35">
      <c r="A1696" t="s">
        <v>2034</v>
      </c>
      <c r="B1696" t="s">
        <v>316</v>
      </c>
      <c r="C1696" t="s">
        <v>1972</v>
      </c>
      <c r="D1696" s="30">
        <v>0.68900462962962961</v>
      </c>
      <c r="E1696" t="s">
        <v>302</v>
      </c>
      <c r="F1696" t="s">
        <v>303</v>
      </c>
      <c r="G1696" t="s">
        <v>303</v>
      </c>
    </row>
    <row r="1697" spans="1:10" x14ac:dyDescent="0.35">
      <c r="A1697" t="s">
        <v>2035</v>
      </c>
      <c r="B1697" t="s">
        <v>316</v>
      </c>
      <c r="C1697" t="s">
        <v>1972</v>
      </c>
      <c r="D1697" s="30">
        <v>0.68900462962962961</v>
      </c>
      <c r="E1697" t="s">
        <v>298</v>
      </c>
      <c r="F1697" t="s">
        <v>303</v>
      </c>
      <c r="G1697" t="s">
        <v>303</v>
      </c>
    </row>
    <row r="1698" spans="1:10" x14ac:dyDescent="0.35">
      <c r="A1698" t="s">
        <v>2036</v>
      </c>
      <c r="B1698" t="s">
        <v>332</v>
      </c>
      <c r="C1698" t="s">
        <v>1972</v>
      </c>
      <c r="D1698" s="30">
        <v>0.70099537037037041</v>
      </c>
      <c r="E1698" t="s">
        <v>302</v>
      </c>
      <c r="F1698" t="s">
        <v>303</v>
      </c>
      <c r="G1698" t="s">
        <v>303</v>
      </c>
    </row>
    <row r="1699" spans="1:10" x14ac:dyDescent="0.35">
      <c r="A1699" t="s">
        <v>2037</v>
      </c>
      <c r="B1699" t="s">
        <v>316</v>
      </c>
      <c r="C1699" t="s">
        <v>1972</v>
      </c>
      <c r="D1699" s="30">
        <v>0.70099537037037041</v>
      </c>
      <c r="E1699" t="s">
        <v>314</v>
      </c>
      <c r="F1699" t="s">
        <v>299</v>
      </c>
      <c r="G1699" t="s">
        <v>299</v>
      </c>
      <c r="H1699">
        <v>107</v>
      </c>
      <c r="I1699" s="30">
        <v>2.2800925925925927E-3</v>
      </c>
      <c r="J1699">
        <v>3</v>
      </c>
    </row>
    <row r="1700" spans="1:10" x14ac:dyDescent="0.35">
      <c r="A1700" t="s">
        <v>2038</v>
      </c>
      <c r="B1700" t="s">
        <v>332</v>
      </c>
      <c r="C1700" t="s">
        <v>1972</v>
      </c>
      <c r="D1700" s="30">
        <v>0.70299768518518524</v>
      </c>
      <c r="E1700" t="s">
        <v>317</v>
      </c>
      <c r="F1700" t="s">
        <v>299</v>
      </c>
      <c r="G1700" t="s">
        <v>299</v>
      </c>
      <c r="H1700">
        <v>17</v>
      </c>
      <c r="I1700" s="30">
        <v>2.2222222222222222E-3</v>
      </c>
      <c r="J1700">
        <v>3</v>
      </c>
    </row>
    <row r="1701" spans="1:10" x14ac:dyDescent="0.35">
      <c r="A1701" t="s">
        <v>2039</v>
      </c>
      <c r="B1701" t="s">
        <v>301</v>
      </c>
      <c r="C1701" t="s">
        <v>1972</v>
      </c>
      <c r="D1701" s="30">
        <v>0.70299768518518524</v>
      </c>
      <c r="E1701" t="s">
        <v>298</v>
      </c>
      <c r="F1701" t="s">
        <v>299</v>
      </c>
      <c r="G1701" t="s">
        <v>299</v>
      </c>
      <c r="H1701">
        <v>53</v>
      </c>
      <c r="I1701" s="30">
        <v>2.5462962962962965E-3</v>
      </c>
      <c r="J1701">
        <v>1</v>
      </c>
    </row>
    <row r="1702" spans="1:10" x14ac:dyDescent="0.35">
      <c r="A1702" t="s">
        <v>2040</v>
      </c>
      <c r="B1702" t="s">
        <v>296</v>
      </c>
      <c r="C1702" t="s">
        <v>1972</v>
      </c>
      <c r="D1702" s="30">
        <v>0.71499999999999997</v>
      </c>
      <c r="E1702" t="s">
        <v>302</v>
      </c>
      <c r="F1702" t="s">
        <v>299</v>
      </c>
      <c r="G1702" t="s">
        <v>299</v>
      </c>
      <c r="H1702">
        <v>49</v>
      </c>
      <c r="I1702" s="30">
        <v>4.5486111111111109E-3</v>
      </c>
      <c r="J1702">
        <v>5</v>
      </c>
    </row>
    <row r="1703" spans="1:10" x14ac:dyDescent="0.35">
      <c r="A1703" t="s">
        <v>2041</v>
      </c>
      <c r="B1703" t="s">
        <v>307</v>
      </c>
      <c r="C1703" t="s">
        <v>1972</v>
      </c>
      <c r="D1703" s="30">
        <v>0.71499999999999997</v>
      </c>
      <c r="E1703" t="s">
        <v>317</v>
      </c>
      <c r="F1703" t="s">
        <v>299</v>
      </c>
      <c r="G1703" t="s">
        <v>299</v>
      </c>
      <c r="H1703">
        <v>33</v>
      </c>
      <c r="I1703" s="30">
        <v>7.5231481481481482E-4</v>
      </c>
      <c r="J1703">
        <v>5</v>
      </c>
    </row>
    <row r="1704" spans="1:10" x14ac:dyDescent="0.35">
      <c r="A1704" t="s">
        <v>2042</v>
      </c>
      <c r="B1704" t="s">
        <v>296</v>
      </c>
      <c r="C1704" t="s">
        <v>1972</v>
      </c>
      <c r="D1704" s="30">
        <v>0.7170023148148148</v>
      </c>
      <c r="E1704" t="s">
        <v>317</v>
      </c>
      <c r="F1704" t="s">
        <v>299</v>
      </c>
      <c r="G1704" t="s">
        <v>299</v>
      </c>
      <c r="H1704">
        <v>103</v>
      </c>
      <c r="I1704" s="30">
        <v>2.5347222222222221E-3</v>
      </c>
      <c r="J1704">
        <v>2</v>
      </c>
    </row>
    <row r="1705" spans="1:10" x14ac:dyDescent="0.35">
      <c r="A1705" t="s">
        <v>2043</v>
      </c>
      <c r="B1705" t="s">
        <v>307</v>
      </c>
      <c r="C1705" t="s">
        <v>1972</v>
      </c>
      <c r="D1705" s="30">
        <v>0.7170023148148148</v>
      </c>
      <c r="E1705" t="s">
        <v>309</v>
      </c>
      <c r="F1705" t="s">
        <v>299</v>
      </c>
      <c r="G1705" t="s">
        <v>299</v>
      </c>
      <c r="H1705">
        <v>114</v>
      </c>
      <c r="I1705" s="30">
        <v>2.3379629629629631E-3</v>
      </c>
      <c r="J1705">
        <v>3</v>
      </c>
    </row>
    <row r="1706" spans="1:10" x14ac:dyDescent="0.35">
      <c r="A1706" t="s">
        <v>2044</v>
      </c>
      <c r="B1706" t="s">
        <v>305</v>
      </c>
      <c r="C1706" t="s">
        <v>1972</v>
      </c>
      <c r="D1706" s="30">
        <v>0.72099537037037043</v>
      </c>
      <c r="E1706" t="s">
        <v>298</v>
      </c>
      <c r="F1706" t="s">
        <v>303</v>
      </c>
      <c r="G1706" t="s">
        <v>303</v>
      </c>
    </row>
    <row r="1707" spans="1:10" x14ac:dyDescent="0.35">
      <c r="A1707" t="s">
        <v>2045</v>
      </c>
      <c r="B1707" t="s">
        <v>316</v>
      </c>
      <c r="C1707" t="s">
        <v>1972</v>
      </c>
      <c r="D1707" s="30">
        <v>0.72099537037037043</v>
      </c>
      <c r="E1707" t="s">
        <v>314</v>
      </c>
      <c r="F1707" t="s">
        <v>303</v>
      </c>
      <c r="G1707" t="s">
        <v>303</v>
      </c>
    </row>
    <row r="1708" spans="1:10" x14ac:dyDescent="0.35">
      <c r="A1708" t="s">
        <v>2046</v>
      </c>
      <c r="B1708" t="s">
        <v>323</v>
      </c>
      <c r="C1708" t="s">
        <v>1972</v>
      </c>
      <c r="D1708" s="30">
        <v>0.72599537037037032</v>
      </c>
      <c r="E1708" t="s">
        <v>309</v>
      </c>
      <c r="F1708" t="s">
        <v>303</v>
      </c>
      <c r="G1708" t="s">
        <v>303</v>
      </c>
    </row>
    <row r="1709" spans="1:10" x14ac:dyDescent="0.35">
      <c r="A1709" t="s">
        <v>2047</v>
      </c>
      <c r="B1709" t="s">
        <v>332</v>
      </c>
      <c r="C1709" t="s">
        <v>1972</v>
      </c>
      <c r="D1709" s="30">
        <v>0.72599537037037032</v>
      </c>
      <c r="E1709" t="s">
        <v>317</v>
      </c>
      <c r="F1709" t="s">
        <v>299</v>
      </c>
      <c r="G1709" t="s">
        <v>299</v>
      </c>
      <c r="H1709">
        <v>38</v>
      </c>
      <c r="I1709" s="30">
        <v>4.7569444444444447E-3</v>
      </c>
      <c r="J1709">
        <v>2</v>
      </c>
    </row>
    <row r="1710" spans="1:10" x14ac:dyDescent="0.35">
      <c r="A1710" t="s">
        <v>2048</v>
      </c>
      <c r="B1710" t="s">
        <v>305</v>
      </c>
      <c r="C1710" t="s">
        <v>1972</v>
      </c>
      <c r="D1710" s="30">
        <v>0.72900462962962964</v>
      </c>
      <c r="E1710" t="s">
        <v>298</v>
      </c>
      <c r="F1710" t="s">
        <v>299</v>
      </c>
      <c r="G1710" t="s">
        <v>303</v>
      </c>
      <c r="H1710">
        <v>50</v>
      </c>
      <c r="I1710" s="30">
        <v>9.1435185185185185E-4</v>
      </c>
      <c r="J1710">
        <v>2</v>
      </c>
    </row>
    <row r="1711" spans="1:10" x14ac:dyDescent="0.35">
      <c r="A1711" t="s">
        <v>2049</v>
      </c>
      <c r="B1711" t="s">
        <v>301</v>
      </c>
      <c r="C1711" t="s">
        <v>1972</v>
      </c>
      <c r="D1711" s="30">
        <v>0.72900462962962964</v>
      </c>
      <c r="E1711" t="s">
        <v>298</v>
      </c>
      <c r="F1711" t="s">
        <v>299</v>
      </c>
      <c r="G1711" t="s">
        <v>303</v>
      </c>
      <c r="H1711">
        <v>33</v>
      </c>
      <c r="I1711" s="30">
        <v>2.7314814814814814E-3</v>
      </c>
      <c r="J1711">
        <v>4</v>
      </c>
    </row>
    <row r="1712" spans="1:10" x14ac:dyDescent="0.35">
      <c r="A1712" t="s">
        <v>2050</v>
      </c>
      <c r="B1712" t="s">
        <v>305</v>
      </c>
      <c r="C1712" t="s">
        <v>1972</v>
      </c>
      <c r="D1712" s="30">
        <v>0.73</v>
      </c>
      <c r="E1712" t="s">
        <v>309</v>
      </c>
      <c r="F1712" t="s">
        <v>299</v>
      </c>
      <c r="G1712" t="s">
        <v>299</v>
      </c>
      <c r="H1712">
        <v>97</v>
      </c>
      <c r="I1712" s="30">
        <v>1.9907407407407408E-3</v>
      </c>
      <c r="J1712">
        <v>3</v>
      </c>
    </row>
    <row r="1713" spans="1:10" x14ac:dyDescent="0.35">
      <c r="A1713" t="s">
        <v>2051</v>
      </c>
      <c r="B1713" t="s">
        <v>316</v>
      </c>
      <c r="C1713" t="s">
        <v>1972</v>
      </c>
      <c r="D1713" s="30">
        <v>0.73</v>
      </c>
      <c r="E1713" t="s">
        <v>317</v>
      </c>
      <c r="F1713" t="s">
        <v>299</v>
      </c>
      <c r="G1713" t="s">
        <v>299</v>
      </c>
      <c r="H1713">
        <v>20</v>
      </c>
      <c r="I1713" s="30">
        <v>3.5532407407407409E-3</v>
      </c>
      <c r="J1713">
        <v>5</v>
      </c>
    </row>
    <row r="1714" spans="1:10" x14ac:dyDescent="0.35">
      <c r="A1714" t="s">
        <v>2052</v>
      </c>
      <c r="B1714" t="s">
        <v>332</v>
      </c>
      <c r="C1714" t="s">
        <v>2053</v>
      </c>
      <c r="D1714" s="30">
        <v>0.375</v>
      </c>
      <c r="E1714" t="s">
        <v>309</v>
      </c>
      <c r="F1714" t="s">
        <v>299</v>
      </c>
      <c r="G1714" t="s">
        <v>303</v>
      </c>
      <c r="H1714">
        <v>100</v>
      </c>
      <c r="I1714" s="30">
        <v>4.4212962962962964E-3</v>
      </c>
      <c r="J1714">
        <v>5</v>
      </c>
    </row>
    <row r="1715" spans="1:10" x14ac:dyDescent="0.35">
      <c r="A1715" t="s">
        <v>2054</v>
      </c>
      <c r="B1715" t="s">
        <v>301</v>
      </c>
      <c r="C1715" t="s">
        <v>2053</v>
      </c>
      <c r="D1715" s="30">
        <v>0.375</v>
      </c>
      <c r="E1715" t="s">
        <v>309</v>
      </c>
      <c r="F1715" t="s">
        <v>299</v>
      </c>
      <c r="G1715" t="s">
        <v>299</v>
      </c>
      <c r="H1715">
        <v>114</v>
      </c>
      <c r="I1715" s="30">
        <v>3.9583333333333337E-3</v>
      </c>
      <c r="J1715">
        <v>4</v>
      </c>
    </row>
    <row r="1716" spans="1:10" x14ac:dyDescent="0.35">
      <c r="A1716" t="s">
        <v>2055</v>
      </c>
      <c r="B1716" t="s">
        <v>307</v>
      </c>
      <c r="C1716" t="s">
        <v>2053</v>
      </c>
      <c r="D1716" s="30">
        <v>0.38099537037037035</v>
      </c>
      <c r="E1716" t="s">
        <v>309</v>
      </c>
      <c r="F1716" t="s">
        <v>299</v>
      </c>
      <c r="G1716" t="s">
        <v>299</v>
      </c>
      <c r="H1716">
        <v>27</v>
      </c>
      <c r="I1716" s="30">
        <v>2.2222222222222222E-3</v>
      </c>
      <c r="J1716">
        <v>3</v>
      </c>
    </row>
    <row r="1717" spans="1:10" x14ac:dyDescent="0.35">
      <c r="A1717" t="s">
        <v>2056</v>
      </c>
      <c r="B1717" t="s">
        <v>319</v>
      </c>
      <c r="C1717" t="s">
        <v>2053</v>
      </c>
      <c r="D1717" s="30">
        <v>0.38099537037037035</v>
      </c>
      <c r="E1717" t="s">
        <v>298</v>
      </c>
      <c r="F1717" t="s">
        <v>299</v>
      </c>
      <c r="G1717" t="s">
        <v>299</v>
      </c>
      <c r="H1717">
        <v>119</v>
      </c>
      <c r="I1717" s="30">
        <v>1.8749999999999999E-3</v>
      </c>
      <c r="J1717">
        <v>4</v>
      </c>
    </row>
    <row r="1718" spans="1:10" x14ac:dyDescent="0.35">
      <c r="A1718" t="s">
        <v>2057</v>
      </c>
      <c r="B1718" t="s">
        <v>301</v>
      </c>
      <c r="C1718" t="s">
        <v>2053</v>
      </c>
      <c r="D1718" s="30">
        <v>0.38500000000000001</v>
      </c>
      <c r="E1718" t="s">
        <v>302</v>
      </c>
      <c r="F1718" t="s">
        <v>299</v>
      </c>
      <c r="G1718" t="s">
        <v>299</v>
      </c>
      <c r="H1718">
        <v>30</v>
      </c>
      <c r="I1718" s="30">
        <v>6.8287037037037036E-4</v>
      </c>
      <c r="J1718">
        <v>5</v>
      </c>
    </row>
    <row r="1719" spans="1:10" x14ac:dyDescent="0.35">
      <c r="A1719" t="s">
        <v>2058</v>
      </c>
      <c r="B1719" t="s">
        <v>305</v>
      </c>
      <c r="C1719" t="s">
        <v>2053</v>
      </c>
      <c r="D1719" s="30">
        <v>0.38500000000000001</v>
      </c>
      <c r="E1719" t="s">
        <v>298</v>
      </c>
      <c r="F1719" t="s">
        <v>299</v>
      </c>
      <c r="G1719" t="s">
        <v>299</v>
      </c>
      <c r="H1719">
        <v>23</v>
      </c>
      <c r="I1719" s="30">
        <v>4.6296296296296294E-3</v>
      </c>
      <c r="J1719">
        <v>3</v>
      </c>
    </row>
    <row r="1720" spans="1:10" x14ac:dyDescent="0.35">
      <c r="A1720" t="s">
        <v>2059</v>
      </c>
      <c r="B1720" t="s">
        <v>296</v>
      </c>
      <c r="C1720" t="s">
        <v>2053</v>
      </c>
      <c r="D1720" s="30">
        <v>0.39200231481481479</v>
      </c>
      <c r="E1720" t="s">
        <v>298</v>
      </c>
      <c r="F1720" t="s">
        <v>299</v>
      </c>
      <c r="G1720" t="s">
        <v>299</v>
      </c>
      <c r="H1720">
        <v>32</v>
      </c>
      <c r="I1720" s="30">
        <v>4.1666666666666666E-3</v>
      </c>
      <c r="J1720">
        <v>1</v>
      </c>
    </row>
    <row r="1721" spans="1:10" x14ac:dyDescent="0.35">
      <c r="A1721" t="s">
        <v>2060</v>
      </c>
      <c r="B1721" t="s">
        <v>307</v>
      </c>
      <c r="C1721" t="s">
        <v>2053</v>
      </c>
      <c r="D1721" s="30">
        <v>0.39200231481481479</v>
      </c>
      <c r="E1721" t="s">
        <v>317</v>
      </c>
      <c r="F1721" t="s">
        <v>303</v>
      </c>
      <c r="G1721" t="s">
        <v>303</v>
      </c>
    </row>
    <row r="1722" spans="1:10" x14ac:dyDescent="0.35">
      <c r="A1722" t="s">
        <v>2061</v>
      </c>
      <c r="B1722" t="s">
        <v>296</v>
      </c>
      <c r="C1722" t="s">
        <v>2053</v>
      </c>
      <c r="D1722" s="30">
        <v>0.39400462962962962</v>
      </c>
      <c r="E1722" t="s">
        <v>309</v>
      </c>
      <c r="F1722" t="s">
        <v>299</v>
      </c>
      <c r="G1722" t="s">
        <v>303</v>
      </c>
      <c r="H1722">
        <v>67</v>
      </c>
      <c r="I1722" s="30">
        <v>6.7129629629629625E-4</v>
      </c>
      <c r="J1722">
        <v>1</v>
      </c>
    </row>
    <row r="1723" spans="1:10" x14ac:dyDescent="0.35">
      <c r="A1723" t="s">
        <v>2062</v>
      </c>
      <c r="B1723" t="s">
        <v>301</v>
      </c>
      <c r="C1723" t="s">
        <v>2053</v>
      </c>
      <c r="D1723" s="30">
        <v>0.39400462962962962</v>
      </c>
      <c r="E1723" t="s">
        <v>317</v>
      </c>
      <c r="F1723" t="s">
        <v>299</v>
      </c>
      <c r="G1723" t="s">
        <v>299</v>
      </c>
      <c r="H1723">
        <v>16</v>
      </c>
      <c r="I1723" s="30">
        <v>3.8888888888888888E-3</v>
      </c>
      <c r="J1723">
        <v>5</v>
      </c>
    </row>
    <row r="1724" spans="1:10" x14ac:dyDescent="0.35">
      <c r="A1724" t="s">
        <v>2063</v>
      </c>
      <c r="B1724" t="s">
        <v>305</v>
      </c>
      <c r="C1724" t="s">
        <v>2053</v>
      </c>
      <c r="D1724" s="30">
        <v>0.39599537037037036</v>
      </c>
      <c r="E1724" t="s">
        <v>298</v>
      </c>
      <c r="F1724" t="s">
        <v>299</v>
      </c>
      <c r="G1724" t="s">
        <v>299</v>
      </c>
      <c r="H1724">
        <v>120</v>
      </c>
      <c r="I1724" s="30">
        <v>2.1990740740740742E-3</v>
      </c>
      <c r="J1724">
        <v>1</v>
      </c>
    </row>
    <row r="1725" spans="1:10" x14ac:dyDescent="0.35">
      <c r="A1725" t="s">
        <v>2064</v>
      </c>
      <c r="B1725" t="s">
        <v>319</v>
      </c>
      <c r="C1725" t="s">
        <v>2053</v>
      </c>
      <c r="D1725" s="30">
        <v>0.39599537037037036</v>
      </c>
      <c r="E1725" t="s">
        <v>309</v>
      </c>
      <c r="F1725" t="s">
        <v>299</v>
      </c>
      <c r="G1725" t="s">
        <v>299</v>
      </c>
      <c r="H1725">
        <v>73</v>
      </c>
      <c r="I1725" s="30">
        <v>3.9699074074074072E-3</v>
      </c>
      <c r="J1725">
        <v>2</v>
      </c>
    </row>
    <row r="1726" spans="1:10" x14ac:dyDescent="0.35">
      <c r="A1726" t="s">
        <v>2065</v>
      </c>
      <c r="B1726" t="s">
        <v>316</v>
      </c>
      <c r="C1726" t="s">
        <v>2053</v>
      </c>
      <c r="D1726" s="30">
        <v>0.48099537037037038</v>
      </c>
      <c r="E1726" t="s">
        <v>309</v>
      </c>
      <c r="F1726" t="s">
        <v>303</v>
      </c>
      <c r="G1726" t="s">
        <v>303</v>
      </c>
    </row>
    <row r="1727" spans="1:10" x14ac:dyDescent="0.35">
      <c r="A1727" t="s">
        <v>2066</v>
      </c>
      <c r="B1727" t="s">
        <v>307</v>
      </c>
      <c r="C1727" t="s">
        <v>2053</v>
      </c>
      <c r="D1727" s="30">
        <v>0.48099537037037038</v>
      </c>
      <c r="E1727" t="s">
        <v>298</v>
      </c>
      <c r="F1727" t="s">
        <v>303</v>
      </c>
      <c r="G1727" t="s">
        <v>303</v>
      </c>
    </row>
    <row r="1728" spans="1:10" x14ac:dyDescent="0.35">
      <c r="A1728" t="s">
        <v>2067</v>
      </c>
      <c r="B1728" t="s">
        <v>319</v>
      </c>
      <c r="C1728" t="s">
        <v>2053</v>
      </c>
      <c r="D1728" s="30">
        <v>0.48299768518518521</v>
      </c>
      <c r="E1728" t="s">
        <v>314</v>
      </c>
      <c r="F1728" t="s">
        <v>303</v>
      </c>
      <c r="G1728" t="s">
        <v>303</v>
      </c>
    </row>
    <row r="1729" spans="1:10" x14ac:dyDescent="0.35">
      <c r="A1729" t="s">
        <v>2068</v>
      </c>
      <c r="B1729" t="s">
        <v>319</v>
      </c>
      <c r="C1729" t="s">
        <v>2053</v>
      </c>
      <c r="D1729" s="30">
        <v>0.48299768518518521</v>
      </c>
      <c r="E1729" t="s">
        <v>298</v>
      </c>
      <c r="F1729" t="s">
        <v>299</v>
      </c>
      <c r="G1729" t="s">
        <v>299</v>
      </c>
      <c r="H1729">
        <v>88</v>
      </c>
      <c r="I1729" s="30">
        <v>8.2175925925925927E-4</v>
      </c>
      <c r="J1729">
        <v>1</v>
      </c>
    </row>
    <row r="1730" spans="1:10" x14ac:dyDescent="0.35">
      <c r="A1730" t="s">
        <v>2069</v>
      </c>
      <c r="B1730" t="s">
        <v>332</v>
      </c>
      <c r="C1730" t="s">
        <v>2053</v>
      </c>
      <c r="D1730" s="30">
        <v>0.48599537037037038</v>
      </c>
      <c r="E1730" t="s">
        <v>309</v>
      </c>
      <c r="F1730" t="s">
        <v>299</v>
      </c>
      <c r="G1730" t="s">
        <v>299</v>
      </c>
      <c r="H1730">
        <v>79</v>
      </c>
      <c r="I1730" s="30">
        <v>9.3749999999999997E-4</v>
      </c>
      <c r="J1730">
        <v>5</v>
      </c>
    </row>
    <row r="1731" spans="1:10" x14ac:dyDescent="0.35">
      <c r="A1731" t="s">
        <v>2070</v>
      </c>
      <c r="B1731" t="s">
        <v>319</v>
      </c>
      <c r="C1731" t="s">
        <v>2053</v>
      </c>
      <c r="D1731" s="30">
        <v>0.48599537037037038</v>
      </c>
      <c r="E1731" t="s">
        <v>302</v>
      </c>
      <c r="F1731" t="s">
        <v>299</v>
      </c>
      <c r="G1731" t="s">
        <v>299</v>
      </c>
      <c r="H1731">
        <v>42</v>
      </c>
      <c r="I1731" s="30">
        <v>1.1574074074074073E-3</v>
      </c>
      <c r="J1731">
        <v>5</v>
      </c>
    </row>
    <row r="1732" spans="1:10" x14ac:dyDescent="0.35">
      <c r="A1732" t="s">
        <v>2071</v>
      </c>
      <c r="B1732" t="s">
        <v>332</v>
      </c>
      <c r="C1732" t="s">
        <v>2053</v>
      </c>
      <c r="D1732" s="30">
        <v>0.4990046296296296</v>
      </c>
      <c r="E1732" t="s">
        <v>298</v>
      </c>
      <c r="F1732" t="s">
        <v>303</v>
      </c>
      <c r="G1732" t="s">
        <v>303</v>
      </c>
    </row>
    <row r="1733" spans="1:10" x14ac:dyDescent="0.35">
      <c r="A1733" t="s">
        <v>2072</v>
      </c>
      <c r="B1733" t="s">
        <v>296</v>
      </c>
      <c r="C1733" t="s">
        <v>2053</v>
      </c>
      <c r="D1733" s="30">
        <v>0.4990046296296296</v>
      </c>
      <c r="E1733" t="s">
        <v>309</v>
      </c>
      <c r="F1733" t="s">
        <v>299</v>
      </c>
      <c r="G1733" t="s">
        <v>299</v>
      </c>
      <c r="H1733">
        <v>38</v>
      </c>
      <c r="I1733" s="30">
        <v>2.638888888888889E-3</v>
      </c>
      <c r="J1733">
        <v>4</v>
      </c>
    </row>
    <row r="1734" spans="1:10" x14ac:dyDescent="0.35">
      <c r="A1734" t="s">
        <v>2073</v>
      </c>
      <c r="B1734" t="s">
        <v>307</v>
      </c>
      <c r="C1734" t="s">
        <v>2053</v>
      </c>
      <c r="D1734" s="30">
        <v>0.5</v>
      </c>
      <c r="E1734" t="s">
        <v>309</v>
      </c>
      <c r="F1734" t="s">
        <v>299</v>
      </c>
      <c r="G1734" t="s">
        <v>299</v>
      </c>
      <c r="H1734">
        <v>102</v>
      </c>
      <c r="I1734" s="30">
        <v>2.638888888888889E-3</v>
      </c>
      <c r="J1734">
        <v>3</v>
      </c>
    </row>
    <row r="1735" spans="1:10" x14ac:dyDescent="0.35">
      <c r="A1735" t="s">
        <v>2074</v>
      </c>
      <c r="B1735" t="s">
        <v>332</v>
      </c>
      <c r="C1735" t="s">
        <v>2053</v>
      </c>
      <c r="D1735" s="30">
        <v>0.5</v>
      </c>
      <c r="E1735" t="s">
        <v>302</v>
      </c>
      <c r="F1735" t="s">
        <v>299</v>
      </c>
      <c r="G1735" t="s">
        <v>299</v>
      </c>
      <c r="H1735">
        <v>112</v>
      </c>
      <c r="I1735" s="30">
        <v>4.6643518518518518E-3</v>
      </c>
      <c r="J1735">
        <v>3</v>
      </c>
    </row>
    <row r="1736" spans="1:10" x14ac:dyDescent="0.35">
      <c r="A1736" t="s">
        <v>2075</v>
      </c>
      <c r="B1736" t="s">
        <v>316</v>
      </c>
      <c r="C1736" t="s">
        <v>2053</v>
      </c>
      <c r="D1736" s="30">
        <v>0.5</v>
      </c>
      <c r="E1736" t="s">
        <v>302</v>
      </c>
      <c r="F1736" t="s">
        <v>299</v>
      </c>
      <c r="G1736" t="s">
        <v>299</v>
      </c>
      <c r="H1736">
        <v>107</v>
      </c>
      <c r="I1736" s="30">
        <v>2.2453703703703702E-3</v>
      </c>
      <c r="J1736">
        <v>1</v>
      </c>
    </row>
    <row r="1737" spans="1:10" x14ac:dyDescent="0.35">
      <c r="A1737" t="s">
        <v>2076</v>
      </c>
      <c r="B1737" t="s">
        <v>305</v>
      </c>
      <c r="C1737" t="s">
        <v>2053</v>
      </c>
      <c r="D1737" s="30">
        <v>0.5</v>
      </c>
      <c r="E1737" t="s">
        <v>298</v>
      </c>
      <c r="F1737" t="s">
        <v>299</v>
      </c>
      <c r="G1737" t="s">
        <v>299</v>
      </c>
      <c r="H1737">
        <v>93</v>
      </c>
      <c r="I1737" s="30">
        <v>1.8402777777777777E-3</v>
      </c>
      <c r="J1737">
        <v>5</v>
      </c>
    </row>
    <row r="1738" spans="1:10" x14ac:dyDescent="0.35">
      <c r="A1738" t="s">
        <v>2077</v>
      </c>
      <c r="B1738" t="s">
        <v>296</v>
      </c>
      <c r="C1738" t="s">
        <v>2053</v>
      </c>
      <c r="D1738" s="30">
        <v>0.51099537037037035</v>
      </c>
      <c r="E1738" t="s">
        <v>309</v>
      </c>
      <c r="F1738" t="s">
        <v>299</v>
      </c>
      <c r="G1738" t="s">
        <v>299</v>
      </c>
      <c r="H1738">
        <v>37</v>
      </c>
      <c r="I1738" s="30">
        <v>4.8263888888888887E-3</v>
      </c>
      <c r="J1738">
        <v>4</v>
      </c>
    </row>
    <row r="1739" spans="1:10" x14ac:dyDescent="0.35">
      <c r="A1739" t="s">
        <v>2078</v>
      </c>
      <c r="B1739" t="s">
        <v>332</v>
      </c>
      <c r="C1739" t="s">
        <v>2053</v>
      </c>
      <c r="D1739" s="30">
        <v>0.51099537037037035</v>
      </c>
      <c r="E1739" t="s">
        <v>302</v>
      </c>
      <c r="F1739" t="s">
        <v>299</v>
      </c>
      <c r="G1739" t="s">
        <v>299</v>
      </c>
      <c r="H1739">
        <v>29</v>
      </c>
      <c r="I1739" s="30">
        <v>4.5023148148148149E-3</v>
      </c>
      <c r="J1739">
        <v>5</v>
      </c>
    </row>
    <row r="1740" spans="1:10" x14ac:dyDescent="0.35">
      <c r="A1740" t="s">
        <v>2079</v>
      </c>
      <c r="B1740" t="s">
        <v>305</v>
      </c>
      <c r="C1740" t="s">
        <v>2053</v>
      </c>
      <c r="D1740" s="30">
        <v>0.52599537037037036</v>
      </c>
      <c r="E1740" t="s">
        <v>309</v>
      </c>
      <c r="F1740" t="s">
        <v>299</v>
      </c>
      <c r="G1740" t="s">
        <v>303</v>
      </c>
      <c r="H1740">
        <v>17</v>
      </c>
      <c r="I1740" s="30">
        <v>2.650462962962963E-3</v>
      </c>
      <c r="J1740">
        <v>5</v>
      </c>
    </row>
    <row r="1741" spans="1:10" x14ac:dyDescent="0.35">
      <c r="A1741" t="s">
        <v>2080</v>
      </c>
      <c r="B1741" t="s">
        <v>316</v>
      </c>
      <c r="C1741" t="s">
        <v>2053</v>
      </c>
      <c r="D1741" s="30">
        <v>0.52599537037037036</v>
      </c>
      <c r="E1741" t="s">
        <v>317</v>
      </c>
      <c r="F1741" t="s">
        <v>303</v>
      </c>
      <c r="G1741" t="s">
        <v>303</v>
      </c>
    </row>
    <row r="1742" spans="1:10" x14ac:dyDescent="0.35">
      <c r="A1742" t="s">
        <v>2081</v>
      </c>
      <c r="B1742" t="s">
        <v>332</v>
      </c>
      <c r="C1742" t="s">
        <v>2053</v>
      </c>
      <c r="D1742" s="30">
        <v>0.53</v>
      </c>
      <c r="E1742" t="s">
        <v>302</v>
      </c>
      <c r="F1742" t="s">
        <v>299</v>
      </c>
      <c r="G1742" t="s">
        <v>299</v>
      </c>
      <c r="H1742">
        <v>28</v>
      </c>
      <c r="I1742" s="30">
        <v>4.2939814814814811E-3</v>
      </c>
      <c r="J1742">
        <v>4</v>
      </c>
    </row>
    <row r="1743" spans="1:10" x14ac:dyDescent="0.35">
      <c r="A1743" t="s">
        <v>2082</v>
      </c>
      <c r="B1743" t="s">
        <v>332</v>
      </c>
      <c r="C1743" t="s">
        <v>2053</v>
      </c>
      <c r="D1743" s="30">
        <v>0.53</v>
      </c>
      <c r="E1743" t="s">
        <v>309</v>
      </c>
      <c r="F1743" t="s">
        <v>299</v>
      </c>
      <c r="G1743" t="s">
        <v>299</v>
      </c>
      <c r="H1743">
        <v>16</v>
      </c>
      <c r="I1743" s="30">
        <v>2.4421296296296296E-3</v>
      </c>
      <c r="J1743">
        <v>1</v>
      </c>
    </row>
    <row r="1744" spans="1:10" x14ac:dyDescent="0.35">
      <c r="A1744" t="s">
        <v>2083</v>
      </c>
      <c r="B1744" t="s">
        <v>305</v>
      </c>
      <c r="C1744" t="s">
        <v>2053</v>
      </c>
      <c r="D1744" s="30">
        <v>0.53500000000000003</v>
      </c>
      <c r="E1744" t="s">
        <v>314</v>
      </c>
      <c r="F1744" t="s">
        <v>299</v>
      </c>
      <c r="G1744" t="s">
        <v>299</v>
      </c>
      <c r="H1744">
        <v>123</v>
      </c>
      <c r="I1744" s="30">
        <v>4.3750000000000004E-3</v>
      </c>
      <c r="J1744">
        <v>2</v>
      </c>
    </row>
    <row r="1745" spans="1:10" x14ac:dyDescent="0.35">
      <c r="A1745" t="s">
        <v>2084</v>
      </c>
      <c r="B1745" t="s">
        <v>323</v>
      </c>
      <c r="C1745" t="s">
        <v>2053</v>
      </c>
      <c r="D1745" s="30">
        <v>0.53500000000000003</v>
      </c>
      <c r="E1745" t="s">
        <v>298</v>
      </c>
      <c r="F1745" t="s">
        <v>303</v>
      </c>
      <c r="G1745" t="s">
        <v>303</v>
      </c>
    </row>
    <row r="1746" spans="1:10" x14ac:dyDescent="0.35">
      <c r="A1746" t="s">
        <v>2085</v>
      </c>
      <c r="B1746" t="s">
        <v>316</v>
      </c>
      <c r="C1746" t="s">
        <v>2053</v>
      </c>
      <c r="D1746" s="30">
        <v>0.5870023148148148</v>
      </c>
      <c r="E1746" t="s">
        <v>309</v>
      </c>
      <c r="F1746" t="s">
        <v>299</v>
      </c>
      <c r="G1746" t="s">
        <v>299</v>
      </c>
      <c r="H1746">
        <v>124</v>
      </c>
      <c r="I1746" s="30">
        <v>4.6527777777777774E-3</v>
      </c>
      <c r="J1746">
        <v>5</v>
      </c>
    </row>
    <row r="1747" spans="1:10" x14ac:dyDescent="0.35">
      <c r="A1747" t="s">
        <v>2086</v>
      </c>
      <c r="B1747" t="s">
        <v>316</v>
      </c>
      <c r="C1747" t="s">
        <v>2053</v>
      </c>
      <c r="D1747" s="30">
        <v>0.5870023148148148</v>
      </c>
      <c r="E1747" t="s">
        <v>309</v>
      </c>
      <c r="F1747" t="s">
        <v>299</v>
      </c>
      <c r="G1747" t="s">
        <v>299</v>
      </c>
      <c r="H1747">
        <v>18</v>
      </c>
      <c r="I1747" s="30">
        <v>4.3518518518518515E-3</v>
      </c>
      <c r="J1747">
        <v>1</v>
      </c>
    </row>
    <row r="1748" spans="1:10" x14ac:dyDescent="0.35">
      <c r="A1748" t="s">
        <v>2087</v>
      </c>
      <c r="B1748" t="s">
        <v>301</v>
      </c>
      <c r="C1748" t="s">
        <v>2053</v>
      </c>
      <c r="D1748" s="30">
        <v>0.5870023148148148</v>
      </c>
      <c r="E1748" t="s">
        <v>309</v>
      </c>
      <c r="F1748" t="s">
        <v>299</v>
      </c>
      <c r="G1748" t="s">
        <v>299</v>
      </c>
      <c r="H1748">
        <v>95</v>
      </c>
      <c r="I1748" s="30">
        <v>1.7013888888888888E-3</v>
      </c>
      <c r="J1748">
        <v>4</v>
      </c>
    </row>
    <row r="1749" spans="1:10" x14ac:dyDescent="0.35">
      <c r="A1749" t="s">
        <v>2088</v>
      </c>
      <c r="B1749" t="s">
        <v>301</v>
      </c>
      <c r="C1749" t="s">
        <v>2053</v>
      </c>
      <c r="D1749" s="30">
        <v>0.5870023148148148</v>
      </c>
      <c r="E1749" t="s">
        <v>317</v>
      </c>
      <c r="F1749" t="s">
        <v>299</v>
      </c>
      <c r="G1749" t="s">
        <v>299</v>
      </c>
      <c r="H1749">
        <v>17</v>
      </c>
      <c r="I1749" s="30">
        <v>3.7615740740740739E-3</v>
      </c>
      <c r="J1749">
        <v>3</v>
      </c>
    </row>
    <row r="1750" spans="1:10" x14ac:dyDescent="0.35">
      <c r="A1750" t="s">
        <v>2089</v>
      </c>
      <c r="B1750" t="s">
        <v>316</v>
      </c>
      <c r="C1750" t="s">
        <v>2053</v>
      </c>
      <c r="D1750" s="30">
        <v>0.5870023148148148</v>
      </c>
      <c r="E1750" t="s">
        <v>302</v>
      </c>
      <c r="F1750" t="s">
        <v>303</v>
      </c>
      <c r="G1750" t="s">
        <v>303</v>
      </c>
    </row>
    <row r="1751" spans="1:10" x14ac:dyDescent="0.35">
      <c r="A1751" t="s">
        <v>2090</v>
      </c>
      <c r="B1751" t="s">
        <v>305</v>
      </c>
      <c r="C1751" t="s">
        <v>2053</v>
      </c>
      <c r="D1751" s="30">
        <v>0.5870023148148148</v>
      </c>
      <c r="E1751" t="s">
        <v>309</v>
      </c>
      <c r="F1751" t="s">
        <v>299</v>
      </c>
      <c r="G1751" t="s">
        <v>299</v>
      </c>
      <c r="H1751">
        <v>75</v>
      </c>
      <c r="I1751" s="30">
        <v>3.8194444444444452E-4</v>
      </c>
      <c r="J1751">
        <v>3</v>
      </c>
    </row>
    <row r="1752" spans="1:10" x14ac:dyDescent="0.35">
      <c r="A1752" t="s">
        <v>2091</v>
      </c>
      <c r="B1752" t="s">
        <v>319</v>
      </c>
      <c r="C1752" t="s">
        <v>2053</v>
      </c>
      <c r="D1752" s="30">
        <v>0.61400462962962965</v>
      </c>
      <c r="E1752" t="s">
        <v>309</v>
      </c>
      <c r="F1752" t="s">
        <v>299</v>
      </c>
      <c r="G1752" t="s">
        <v>299</v>
      </c>
      <c r="H1752">
        <v>37</v>
      </c>
      <c r="I1752" s="30">
        <v>4.0046296296296297E-3</v>
      </c>
      <c r="J1752">
        <v>4</v>
      </c>
    </row>
    <row r="1753" spans="1:10" x14ac:dyDescent="0.35">
      <c r="A1753" t="s">
        <v>2092</v>
      </c>
      <c r="B1753" t="s">
        <v>323</v>
      </c>
      <c r="C1753" t="s">
        <v>2053</v>
      </c>
      <c r="D1753" s="30">
        <v>0.61400462962962965</v>
      </c>
      <c r="E1753" t="s">
        <v>317</v>
      </c>
      <c r="F1753" t="s">
        <v>299</v>
      </c>
      <c r="G1753" t="s">
        <v>299</v>
      </c>
      <c r="H1753">
        <v>36</v>
      </c>
      <c r="I1753" s="30">
        <v>9.9537037037037042E-4</v>
      </c>
      <c r="J1753">
        <v>3</v>
      </c>
    </row>
    <row r="1754" spans="1:10" x14ac:dyDescent="0.35">
      <c r="A1754" t="s">
        <v>2093</v>
      </c>
      <c r="B1754" t="s">
        <v>296</v>
      </c>
      <c r="C1754" t="s">
        <v>2053</v>
      </c>
      <c r="D1754" s="30">
        <v>0.62599537037037034</v>
      </c>
      <c r="E1754" t="s">
        <v>302</v>
      </c>
      <c r="F1754" t="s">
        <v>299</v>
      </c>
      <c r="G1754" t="s">
        <v>299</v>
      </c>
      <c r="H1754">
        <v>113</v>
      </c>
      <c r="I1754" s="30">
        <v>1.7592592592592592E-3</v>
      </c>
      <c r="J1754">
        <v>1</v>
      </c>
    </row>
    <row r="1755" spans="1:10" x14ac:dyDescent="0.35">
      <c r="A1755" t="s">
        <v>2094</v>
      </c>
      <c r="B1755" t="s">
        <v>296</v>
      </c>
      <c r="C1755" t="s">
        <v>2053</v>
      </c>
      <c r="D1755" s="30">
        <v>0.62599537037037034</v>
      </c>
      <c r="E1755" t="s">
        <v>317</v>
      </c>
      <c r="F1755" t="s">
        <v>299</v>
      </c>
      <c r="G1755" t="s">
        <v>299</v>
      </c>
      <c r="H1755">
        <v>93</v>
      </c>
      <c r="I1755" s="30">
        <v>1.6087962962962963E-3</v>
      </c>
      <c r="J1755">
        <v>4</v>
      </c>
    </row>
    <row r="1756" spans="1:10" x14ac:dyDescent="0.35">
      <c r="A1756" t="s">
        <v>2095</v>
      </c>
      <c r="B1756" t="s">
        <v>332</v>
      </c>
      <c r="C1756" t="s">
        <v>2053</v>
      </c>
      <c r="D1756" s="30">
        <v>0.62799768518518517</v>
      </c>
      <c r="E1756" t="s">
        <v>302</v>
      </c>
      <c r="F1756" t="s">
        <v>299</v>
      </c>
      <c r="G1756" t="s">
        <v>299</v>
      </c>
      <c r="H1756">
        <v>24</v>
      </c>
      <c r="I1756" s="30">
        <v>3.3680555555555556E-3</v>
      </c>
      <c r="J1756">
        <v>1</v>
      </c>
    </row>
    <row r="1757" spans="1:10" x14ac:dyDescent="0.35">
      <c r="A1757" t="s">
        <v>2096</v>
      </c>
      <c r="B1757" t="s">
        <v>296</v>
      </c>
      <c r="C1757" t="s">
        <v>2053</v>
      </c>
      <c r="D1757" s="30">
        <v>0.62799768518518517</v>
      </c>
      <c r="E1757" t="s">
        <v>317</v>
      </c>
      <c r="F1757" t="s">
        <v>299</v>
      </c>
      <c r="G1757" t="s">
        <v>299</v>
      </c>
      <c r="H1757">
        <v>92</v>
      </c>
      <c r="I1757" s="30">
        <v>1.712962962962963E-3</v>
      </c>
      <c r="J1757">
        <v>3</v>
      </c>
    </row>
    <row r="1758" spans="1:10" x14ac:dyDescent="0.35">
      <c r="A1758" t="s">
        <v>2097</v>
      </c>
      <c r="B1758" t="s">
        <v>316</v>
      </c>
      <c r="C1758" t="s">
        <v>2053</v>
      </c>
      <c r="D1758" s="30">
        <v>0.65200231481481485</v>
      </c>
      <c r="E1758" t="s">
        <v>317</v>
      </c>
      <c r="F1758" t="s">
        <v>303</v>
      </c>
      <c r="G1758" t="s">
        <v>303</v>
      </c>
    </row>
    <row r="1759" spans="1:10" x14ac:dyDescent="0.35">
      <c r="A1759" t="s">
        <v>2098</v>
      </c>
      <c r="B1759" t="s">
        <v>332</v>
      </c>
      <c r="C1759" t="s">
        <v>2053</v>
      </c>
      <c r="D1759" s="30">
        <v>0.65200231481481485</v>
      </c>
      <c r="E1759" t="s">
        <v>298</v>
      </c>
      <c r="F1759" t="s">
        <v>299</v>
      </c>
      <c r="G1759" t="s">
        <v>299</v>
      </c>
      <c r="H1759">
        <v>20</v>
      </c>
      <c r="I1759" s="30">
        <v>9.1435185185185185E-4</v>
      </c>
      <c r="J1759">
        <v>4</v>
      </c>
    </row>
    <row r="1760" spans="1:10" x14ac:dyDescent="0.35">
      <c r="A1760" t="s">
        <v>2099</v>
      </c>
      <c r="B1760" t="s">
        <v>316</v>
      </c>
      <c r="C1760" t="s">
        <v>2053</v>
      </c>
      <c r="D1760" s="30">
        <v>0.66400462962962958</v>
      </c>
      <c r="E1760" t="s">
        <v>314</v>
      </c>
      <c r="F1760" t="s">
        <v>299</v>
      </c>
      <c r="G1760" t="s">
        <v>299</v>
      </c>
      <c r="H1760">
        <v>50</v>
      </c>
      <c r="I1760" s="30">
        <v>3.5879629629629629E-4</v>
      </c>
      <c r="J1760">
        <v>2</v>
      </c>
    </row>
    <row r="1761" spans="1:10" x14ac:dyDescent="0.35">
      <c r="A1761" t="s">
        <v>2100</v>
      </c>
      <c r="B1761" t="s">
        <v>323</v>
      </c>
      <c r="C1761" t="s">
        <v>2053</v>
      </c>
      <c r="D1761" s="30">
        <v>0.66400462962962958</v>
      </c>
      <c r="E1761" t="s">
        <v>314</v>
      </c>
      <c r="F1761" t="s">
        <v>303</v>
      </c>
      <c r="G1761" t="s">
        <v>303</v>
      </c>
    </row>
    <row r="1762" spans="1:10" x14ac:dyDescent="0.35">
      <c r="A1762" t="s">
        <v>2101</v>
      </c>
      <c r="B1762" t="s">
        <v>305</v>
      </c>
      <c r="C1762" t="s">
        <v>2053</v>
      </c>
      <c r="D1762" s="30">
        <v>0.67299768518518521</v>
      </c>
      <c r="E1762" t="s">
        <v>298</v>
      </c>
      <c r="F1762" t="s">
        <v>299</v>
      </c>
      <c r="G1762" t="s">
        <v>299</v>
      </c>
      <c r="H1762">
        <v>103</v>
      </c>
      <c r="I1762" s="30">
        <v>4.3287037037037035E-3</v>
      </c>
      <c r="J1762">
        <v>4</v>
      </c>
    </row>
    <row r="1763" spans="1:10" x14ac:dyDescent="0.35">
      <c r="A1763" t="s">
        <v>2102</v>
      </c>
      <c r="B1763" t="s">
        <v>301</v>
      </c>
      <c r="C1763" t="s">
        <v>2053</v>
      </c>
      <c r="D1763" s="30">
        <v>0.67299768518518521</v>
      </c>
      <c r="E1763" t="s">
        <v>298</v>
      </c>
      <c r="F1763" t="s">
        <v>299</v>
      </c>
      <c r="G1763" t="s">
        <v>299</v>
      </c>
      <c r="H1763">
        <v>81</v>
      </c>
      <c r="I1763" s="30">
        <v>2.3842592592592591E-3</v>
      </c>
      <c r="J1763">
        <v>2</v>
      </c>
    </row>
    <row r="1764" spans="1:10" x14ac:dyDescent="0.35">
      <c r="A1764" t="s">
        <v>2103</v>
      </c>
      <c r="B1764" t="s">
        <v>305</v>
      </c>
      <c r="C1764" t="s">
        <v>2053</v>
      </c>
      <c r="D1764" s="30">
        <v>0.67299768518518521</v>
      </c>
      <c r="E1764" t="s">
        <v>317</v>
      </c>
      <c r="F1764" t="s">
        <v>299</v>
      </c>
      <c r="G1764" t="s">
        <v>299</v>
      </c>
      <c r="H1764">
        <v>48</v>
      </c>
      <c r="I1764" s="30">
        <v>2.7430555555555554E-3</v>
      </c>
      <c r="J1764">
        <v>5</v>
      </c>
    </row>
    <row r="1765" spans="1:10" x14ac:dyDescent="0.35">
      <c r="A1765" t="s">
        <v>2104</v>
      </c>
      <c r="B1765" t="s">
        <v>332</v>
      </c>
      <c r="C1765" t="s">
        <v>2053</v>
      </c>
      <c r="D1765" s="30">
        <v>0.67299768518518521</v>
      </c>
      <c r="E1765" t="s">
        <v>317</v>
      </c>
      <c r="F1765" t="s">
        <v>299</v>
      </c>
      <c r="G1765" t="s">
        <v>299</v>
      </c>
      <c r="H1765">
        <v>92</v>
      </c>
      <c r="I1765" s="30">
        <v>4.178240740740741E-3</v>
      </c>
      <c r="J1765">
        <v>3</v>
      </c>
    </row>
    <row r="1766" spans="1:10" x14ac:dyDescent="0.35">
      <c r="A1766" t="s">
        <v>2105</v>
      </c>
      <c r="B1766" t="s">
        <v>307</v>
      </c>
      <c r="C1766" t="s">
        <v>2053</v>
      </c>
      <c r="D1766" s="30">
        <v>0.68099537037037039</v>
      </c>
      <c r="E1766" t="s">
        <v>317</v>
      </c>
      <c r="F1766" t="s">
        <v>299</v>
      </c>
      <c r="G1766" t="s">
        <v>299</v>
      </c>
      <c r="H1766">
        <v>95</v>
      </c>
      <c r="I1766" s="30">
        <v>3.4837962962962965E-3</v>
      </c>
      <c r="J1766">
        <v>3</v>
      </c>
    </row>
    <row r="1767" spans="1:10" x14ac:dyDescent="0.35">
      <c r="A1767" t="s">
        <v>2106</v>
      </c>
      <c r="B1767" t="s">
        <v>301</v>
      </c>
      <c r="C1767" t="s">
        <v>2053</v>
      </c>
      <c r="D1767" s="30">
        <v>0.68099537037037039</v>
      </c>
      <c r="E1767" t="s">
        <v>298</v>
      </c>
      <c r="F1767" t="s">
        <v>299</v>
      </c>
      <c r="G1767" t="s">
        <v>299</v>
      </c>
      <c r="H1767">
        <v>49</v>
      </c>
      <c r="I1767" s="30">
        <v>1.3657407407407407E-3</v>
      </c>
      <c r="J1767">
        <v>3</v>
      </c>
    </row>
    <row r="1768" spans="1:10" x14ac:dyDescent="0.35">
      <c r="A1768" t="s">
        <v>2107</v>
      </c>
      <c r="B1768" t="s">
        <v>301</v>
      </c>
      <c r="C1768" t="s">
        <v>2053</v>
      </c>
      <c r="D1768" s="30">
        <v>0.70599537037037041</v>
      </c>
      <c r="E1768" t="s">
        <v>298</v>
      </c>
      <c r="F1768" t="s">
        <v>299</v>
      </c>
      <c r="G1768" t="s">
        <v>299</v>
      </c>
      <c r="H1768">
        <v>58</v>
      </c>
      <c r="I1768" s="30">
        <v>3.2638888888888891E-3</v>
      </c>
      <c r="J1768">
        <v>5</v>
      </c>
    </row>
    <row r="1769" spans="1:10" x14ac:dyDescent="0.35">
      <c r="A1769" t="s">
        <v>2108</v>
      </c>
      <c r="B1769" t="s">
        <v>332</v>
      </c>
      <c r="C1769" t="s">
        <v>2053</v>
      </c>
      <c r="D1769" s="30">
        <v>0.70599537037037041</v>
      </c>
      <c r="E1769" t="s">
        <v>317</v>
      </c>
      <c r="F1769" t="s">
        <v>303</v>
      </c>
      <c r="G1769" t="s">
        <v>303</v>
      </c>
    </row>
    <row r="1770" spans="1:10" x14ac:dyDescent="0.35">
      <c r="A1770" t="s">
        <v>2109</v>
      </c>
      <c r="B1770" t="s">
        <v>332</v>
      </c>
      <c r="C1770" t="s">
        <v>2053</v>
      </c>
      <c r="D1770" s="30">
        <v>0.71400462962962963</v>
      </c>
      <c r="E1770" t="s">
        <v>314</v>
      </c>
      <c r="F1770" t="s">
        <v>303</v>
      </c>
      <c r="G1770" t="s">
        <v>303</v>
      </c>
    </row>
    <row r="1771" spans="1:10" x14ac:dyDescent="0.35">
      <c r="A1771" t="s">
        <v>2110</v>
      </c>
      <c r="B1771" t="s">
        <v>296</v>
      </c>
      <c r="C1771" t="s">
        <v>2053</v>
      </c>
      <c r="D1771" s="30">
        <v>0.71400462962962963</v>
      </c>
      <c r="E1771" t="s">
        <v>309</v>
      </c>
      <c r="F1771" t="s">
        <v>299</v>
      </c>
      <c r="G1771" t="s">
        <v>299</v>
      </c>
      <c r="H1771">
        <v>78</v>
      </c>
      <c r="I1771" s="30">
        <v>7.291666666666667E-4</v>
      </c>
      <c r="J1771">
        <v>4</v>
      </c>
    </row>
    <row r="1772" spans="1:10" x14ac:dyDescent="0.35">
      <c r="A1772" t="s">
        <v>2111</v>
      </c>
      <c r="B1772" t="s">
        <v>316</v>
      </c>
      <c r="C1772" t="s">
        <v>2053</v>
      </c>
      <c r="D1772" s="30">
        <v>0.73200231481481481</v>
      </c>
      <c r="E1772" t="s">
        <v>314</v>
      </c>
      <c r="F1772" t="s">
        <v>299</v>
      </c>
      <c r="G1772" t="s">
        <v>299</v>
      </c>
      <c r="H1772">
        <v>91</v>
      </c>
      <c r="I1772" s="30">
        <v>2.0717592592592593E-3</v>
      </c>
      <c r="J1772">
        <v>3</v>
      </c>
    </row>
    <row r="1773" spans="1:10" x14ac:dyDescent="0.35">
      <c r="A1773" t="s">
        <v>2112</v>
      </c>
      <c r="B1773" t="s">
        <v>307</v>
      </c>
      <c r="C1773" t="s">
        <v>2053</v>
      </c>
      <c r="D1773" s="30">
        <v>0.73200231481481481</v>
      </c>
      <c r="E1773" t="s">
        <v>302</v>
      </c>
      <c r="F1773" t="s">
        <v>299</v>
      </c>
      <c r="G1773" t="s">
        <v>299</v>
      </c>
      <c r="H1773">
        <v>121</v>
      </c>
      <c r="I1773" s="30">
        <v>4.178240740740741E-3</v>
      </c>
      <c r="J1773">
        <v>2</v>
      </c>
    </row>
    <row r="1774" spans="1:10" x14ac:dyDescent="0.35">
      <c r="A1774" t="s">
        <v>2113</v>
      </c>
      <c r="B1774" t="s">
        <v>332</v>
      </c>
      <c r="C1774" t="s">
        <v>2114</v>
      </c>
      <c r="D1774" s="30">
        <v>0.38799768518518518</v>
      </c>
      <c r="E1774" t="s">
        <v>298</v>
      </c>
      <c r="F1774" t="s">
        <v>303</v>
      </c>
      <c r="G1774" t="s">
        <v>303</v>
      </c>
    </row>
    <row r="1775" spans="1:10" x14ac:dyDescent="0.35">
      <c r="A1775" t="s">
        <v>2115</v>
      </c>
      <c r="B1775" t="s">
        <v>323</v>
      </c>
      <c r="C1775" t="s">
        <v>2114</v>
      </c>
      <c r="D1775" s="30">
        <v>0.38799768518518518</v>
      </c>
      <c r="E1775" t="s">
        <v>314</v>
      </c>
      <c r="F1775" t="s">
        <v>299</v>
      </c>
      <c r="G1775" t="s">
        <v>299</v>
      </c>
      <c r="H1775">
        <v>38</v>
      </c>
      <c r="I1775" s="30">
        <v>3.9467592592592592E-3</v>
      </c>
      <c r="J1775">
        <v>3</v>
      </c>
    </row>
    <row r="1776" spans="1:10" x14ac:dyDescent="0.35">
      <c r="A1776" t="s">
        <v>2116</v>
      </c>
      <c r="B1776" t="s">
        <v>301</v>
      </c>
      <c r="C1776" t="s">
        <v>2114</v>
      </c>
      <c r="D1776" s="30">
        <v>0.39200231481481479</v>
      </c>
      <c r="E1776" t="s">
        <v>302</v>
      </c>
      <c r="F1776" t="s">
        <v>299</v>
      </c>
      <c r="G1776" t="s">
        <v>299</v>
      </c>
      <c r="H1776">
        <v>44</v>
      </c>
      <c r="I1776" s="30">
        <v>1.5625000000000001E-3</v>
      </c>
      <c r="J1776">
        <v>2</v>
      </c>
    </row>
    <row r="1777" spans="1:10" x14ac:dyDescent="0.35">
      <c r="A1777" t="s">
        <v>2117</v>
      </c>
      <c r="B1777" t="s">
        <v>296</v>
      </c>
      <c r="C1777" t="s">
        <v>2114</v>
      </c>
      <c r="D1777" s="30">
        <v>0.39200231481481479</v>
      </c>
      <c r="E1777" t="s">
        <v>298</v>
      </c>
      <c r="F1777" t="s">
        <v>299</v>
      </c>
      <c r="G1777" t="s">
        <v>299</v>
      </c>
      <c r="H1777">
        <v>64</v>
      </c>
      <c r="I1777" s="30">
        <v>2.1875000000000002E-3</v>
      </c>
      <c r="J1777">
        <v>3</v>
      </c>
    </row>
    <row r="1778" spans="1:10" x14ac:dyDescent="0.35">
      <c r="A1778" t="s">
        <v>2118</v>
      </c>
      <c r="B1778" t="s">
        <v>316</v>
      </c>
      <c r="C1778" t="s">
        <v>2114</v>
      </c>
      <c r="D1778" s="30">
        <v>0.39299768518518519</v>
      </c>
      <c r="E1778" t="s">
        <v>302</v>
      </c>
      <c r="F1778" t="s">
        <v>303</v>
      </c>
      <c r="G1778" t="s">
        <v>303</v>
      </c>
    </row>
    <row r="1779" spans="1:10" x14ac:dyDescent="0.35">
      <c r="A1779" t="s">
        <v>2119</v>
      </c>
      <c r="B1779" t="s">
        <v>301</v>
      </c>
      <c r="C1779" t="s">
        <v>2114</v>
      </c>
      <c r="D1779" s="30">
        <v>0.39299768518518519</v>
      </c>
      <c r="E1779" t="s">
        <v>309</v>
      </c>
      <c r="F1779" t="s">
        <v>299</v>
      </c>
      <c r="G1779" t="s">
        <v>303</v>
      </c>
      <c r="H1779">
        <v>125</v>
      </c>
      <c r="I1779" s="30">
        <v>4.6990740740740743E-3</v>
      </c>
      <c r="J1779">
        <v>4</v>
      </c>
    </row>
    <row r="1780" spans="1:10" x14ac:dyDescent="0.35">
      <c r="A1780" t="s">
        <v>2120</v>
      </c>
      <c r="B1780" t="s">
        <v>323</v>
      </c>
      <c r="C1780" t="s">
        <v>2114</v>
      </c>
      <c r="D1780" s="30">
        <v>0.40099537037037036</v>
      </c>
      <c r="E1780" t="s">
        <v>302</v>
      </c>
      <c r="F1780" t="s">
        <v>299</v>
      </c>
      <c r="G1780" t="s">
        <v>299</v>
      </c>
      <c r="H1780">
        <v>47</v>
      </c>
      <c r="I1780" s="30">
        <v>9.837962962962962E-4</v>
      </c>
      <c r="J1780">
        <v>4</v>
      </c>
    </row>
    <row r="1781" spans="1:10" x14ac:dyDescent="0.35">
      <c r="A1781" t="s">
        <v>2121</v>
      </c>
      <c r="B1781" t="s">
        <v>323</v>
      </c>
      <c r="C1781" t="s">
        <v>2114</v>
      </c>
      <c r="D1781" s="30">
        <v>0.40099537037037036</v>
      </c>
      <c r="E1781" t="s">
        <v>302</v>
      </c>
      <c r="F1781" t="s">
        <v>303</v>
      </c>
      <c r="G1781" t="s">
        <v>303</v>
      </c>
    </row>
    <row r="1782" spans="1:10" x14ac:dyDescent="0.35">
      <c r="A1782" t="s">
        <v>2122</v>
      </c>
      <c r="B1782" t="s">
        <v>301</v>
      </c>
      <c r="C1782" t="s">
        <v>2114</v>
      </c>
      <c r="D1782" s="30">
        <v>0.40099537037037036</v>
      </c>
      <c r="E1782" t="s">
        <v>298</v>
      </c>
      <c r="F1782" t="s">
        <v>303</v>
      </c>
      <c r="G1782" t="s">
        <v>303</v>
      </c>
    </row>
    <row r="1783" spans="1:10" x14ac:dyDescent="0.35">
      <c r="A1783" t="s">
        <v>2123</v>
      </c>
      <c r="B1783" t="s">
        <v>316</v>
      </c>
      <c r="C1783" t="s">
        <v>2114</v>
      </c>
      <c r="D1783" s="30">
        <v>0.40099537037037036</v>
      </c>
      <c r="E1783" t="s">
        <v>314</v>
      </c>
      <c r="F1783" t="s">
        <v>299</v>
      </c>
      <c r="G1783" t="s">
        <v>299</v>
      </c>
      <c r="H1783">
        <v>116</v>
      </c>
      <c r="I1783" s="30">
        <v>3.0324074074074073E-3</v>
      </c>
      <c r="J1783">
        <v>3</v>
      </c>
    </row>
    <row r="1784" spans="1:10" x14ac:dyDescent="0.35">
      <c r="A1784" t="s">
        <v>2124</v>
      </c>
      <c r="B1784" t="s">
        <v>296</v>
      </c>
      <c r="C1784" t="s">
        <v>2114</v>
      </c>
      <c r="D1784" s="30">
        <v>0.42200231481481482</v>
      </c>
      <c r="E1784" t="s">
        <v>309</v>
      </c>
      <c r="F1784" t="s">
        <v>299</v>
      </c>
      <c r="G1784" t="s">
        <v>299</v>
      </c>
      <c r="H1784">
        <v>13</v>
      </c>
      <c r="I1784" s="30">
        <v>1.3425925925925925E-3</v>
      </c>
      <c r="J1784">
        <v>4</v>
      </c>
    </row>
    <row r="1785" spans="1:10" x14ac:dyDescent="0.35">
      <c r="A1785" t="s">
        <v>2125</v>
      </c>
      <c r="B1785" t="s">
        <v>307</v>
      </c>
      <c r="C1785" t="s">
        <v>2114</v>
      </c>
      <c r="D1785" s="30">
        <v>0.42200231481481482</v>
      </c>
      <c r="E1785" t="s">
        <v>298</v>
      </c>
      <c r="F1785" t="s">
        <v>299</v>
      </c>
      <c r="G1785" t="s">
        <v>299</v>
      </c>
      <c r="H1785">
        <v>124</v>
      </c>
      <c r="I1785" s="30">
        <v>2.3263888888888887E-3</v>
      </c>
      <c r="J1785">
        <v>5</v>
      </c>
    </row>
    <row r="1786" spans="1:10" x14ac:dyDescent="0.35">
      <c r="A1786" t="s">
        <v>2126</v>
      </c>
      <c r="B1786" t="s">
        <v>301</v>
      </c>
      <c r="C1786" t="s">
        <v>2114</v>
      </c>
      <c r="D1786" s="30">
        <v>0.43900462962962961</v>
      </c>
      <c r="E1786" t="s">
        <v>314</v>
      </c>
      <c r="F1786" t="s">
        <v>303</v>
      </c>
      <c r="G1786" t="s">
        <v>303</v>
      </c>
    </row>
    <row r="1787" spans="1:10" x14ac:dyDescent="0.35">
      <c r="A1787" t="s">
        <v>2127</v>
      </c>
      <c r="B1787" t="s">
        <v>307</v>
      </c>
      <c r="C1787" t="s">
        <v>2114</v>
      </c>
      <c r="D1787" s="30">
        <v>0.43900462962962961</v>
      </c>
      <c r="E1787" t="s">
        <v>302</v>
      </c>
      <c r="F1787" t="s">
        <v>299</v>
      </c>
      <c r="G1787" t="s">
        <v>299</v>
      </c>
      <c r="H1787">
        <v>46</v>
      </c>
      <c r="I1787" s="30">
        <v>1.5046296296296296E-3</v>
      </c>
      <c r="J1787">
        <v>5</v>
      </c>
    </row>
    <row r="1788" spans="1:10" x14ac:dyDescent="0.35">
      <c r="A1788" t="s">
        <v>2128</v>
      </c>
      <c r="B1788" t="s">
        <v>307</v>
      </c>
      <c r="C1788" t="s">
        <v>2114</v>
      </c>
      <c r="D1788" s="30">
        <v>0.46900462962962963</v>
      </c>
      <c r="E1788" t="s">
        <v>302</v>
      </c>
      <c r="F1788" t="s">
        <v>299</v>
      </c>
      <c r="G1788" t="s">
        <v>299</v>
      </c>
      <c r="H1788">
        <v>11</v>
      </c>
      <c r="I1788" s="30">
        <v>2.1759259259259258E-3</v>
      </c>
      <c r="J1788">
        <v>3</v>
      </c>
    </row>
    <row r="1789" spans="1:10" x14ac:dyDescent="0.35">
      <c r="A1789" t="s">
        <v>2129</v>
      </c>
      <c r="B1789" t="s">
        <v>307</v>
      </c>
      <c r="C1789" t="s">
        <v>2114</v>
      </c>
      <c r="D1789" s="30">
        <v>0.46900462962962963</v>
      </c>
      <c r="E1789" t="s">
        <v>309</v>
      </c>
      <c r="F1789" t="s">
        <v>299</v>
      </c>
      <c r="G1789" t="s">
        <v>303</v>
      </c>
      <c r="H1789">
        <v>62</v>
      </c>
      <c r="I1789" s="30">
        <v>2.7430555555555554E-3</v>
      </c>
      <c r="J1789">
        <v>3</v>
      </c>
    </row>
    <row r="1790" spans="1:10" x14ac:dyDescent="0.35">
      <c r="A1790" t="s">
        <v>2130</v>
      </c>
      <c r="B1790" t="s">
        <v>307</v>
      </c>
      <c r="C1790" t="s">
        <v>2114</v>
      </c>
      <c r="D1790" s="30">
        <v>0.47099537037037037</v>
      </c>
      <c r="E1790" t="s">
        <v>317</v>
      </c>
      <c r="F1790" t="s">
        <v>303</v>
      </c>
      <c r="G1790" t="s">
        <v>303</v>
      </c>
    </row>
    <row r="1791" spans="1:10" x14ac:dyDescent="0.35">
      <c r="A1791" t="s">
        <v>2131</v>
      </c>
      <c r="B1791" t="s">
        <v>305</v>
      </c>
      <c r="C1791" t="s">
        <v>2114</v>
      </c>
      <c r="D1791" s="30">
        <v>0.47099537037037037</v>
      </c>
      <c r="E1791" t="s">
        <v>314</v>
      </c>
      <c r="F1791" t="s">
        <v>299</v>
      </c>
      <c r="G1791" t="s">
        <v>299</v>
      </c>
      <c r="H1791">
        <v>61</v>
      </c>
      <c r="I1791" s="30">
        <v>2.0370370370370369E-3</v>
      </c>
      <c r="J1791">
        <v>5</v>
      </c>
    </row>
    <row r="1792" spans="1:10" x14ac:dyDescent="0.35">
      <c r="A1792" t="s">
        <v>2132</v>
      </c>
      <c r="B1792" t="s">
        <v>332</v>
      </c>
      <c r="C1792" t="s">
        <v>2114</v>
      </c>
      <c r="D1792" s="30">
        <v>0.505</v>
      </c>
      <c r="E1792" t="s">
        <v>302</v>
      </c>
      <c r="F1792" t="s">
        <v>303</v>
      </c>
      <c r="G1792" t="s">
        <v>303</v>
      </c>
    </row>
    <row r="1793" spans="1:10" x14ac:dyDescent="0.35">
      <c r="A1793" t="s">
        <v>2133</v>
      </c>
      <c r="B1793" t="s">
        <v>319</v>
      </c>
      <c r="C1793" t="s">
        <v>2114</v>
      </c>
      <c r="D1793" s="30">
        <v>0.505</v>
      </c>
      <c r="E1793" t="s">
        <v>302</v>
      </c>
      <c r="F1793" t="s">
        <v>299</v>
      </c>
      <c r="G1793" t="s">
        <v>299</v>
      </c>
      <c r="H1793">
        <v>29</v>
      </c>
      <c r="I1793" s="30">
        <v>4.7222222222222223E-3</v>
      </c>
      <c r="J1793">
        <v>5</v>
      </c>
    </row>
    <row r="1794" spans="1:10" x14ac:dyDescent="0.35">
      <c r="A1794" t="s">
        <v>2134</v>
      </c>
      <c r="B1794" t="s">
        <v>332</v>
      </c>
      <c r="C1794" t="s">
        <v>2114</v>
      </c>
      <c r="D1794" s="30">
        <v>0.51299768518518518</v>
      </c>
      <c r="E1794" t="s">
        <v>298</v>
      </c>
      <c r="F1794" t="s">
        <v>299</v>
      </c>
      <c r="G1794" t="s">
        <v>299</v>
      </c>
      <c r="H1794">
        <v>109</v>
      </c>
      <c r="I1794" s="30">
        <v>6.018518518518519E-4</v>
      </c>
      <c r="J1794">
        <v>3</v>
      </c>
    </row>
    <row r="1795" spans="1:10" x14ac:dyDescent="0.35">
      <c r="A1795" t="s">
        <v>2135</v>
      </c>
      <c r="B1795" t="s">
        <v>332</v>
      </c>
      <c r="C1795" t="s">
        <v>2114</v>
      </c>
      <c r="D1795" s="30">
        <v>0.51299768518518518</v>
      </c>
      <c r="E1795" t="s">
        <v>298</v>
      </c>
      <c r="F1795" t="s">
        <v>299</v>
      </c>
      <c r="G1795" t="s">
        <v>299</v>
      </c>
      <c r="H1795">
        <v>52</v>
      </c>
      <c r="I1795" s="30">
        <v>4.1435185185185186E-3</v>
      </c>
      <c r="J1795">
        <v>3</v>
      </c>
    </row>
    <row r="1796" spans="1:10" x14ac:dyDescent="0.35">
      <c r="A1796" t="s">
        <v>2136</v>
      </c>
      <c r="B1796" t="s">
        <v>332</v>
      </c>
      <c r="C1796" t="s">
        <v>2114</v>
      </c>
      <c r="D1796" s="30">
        <v>0.52200231481481485</v>
      </c>
      <c r="E1796" t="s">
        <v>302</v>
      </c>
      <c r="F1796" t="s">
        <v>299</v>
      </c>
      <c r="G1796" t="s">
        <v>299</v>
      </c>
      <c r="H1796">
        <v>117</v>
      </c>
      <c r="I1796" s="30">
        <v>3.3564814814814816E-3</v>
      </c>
      <c r="J1796">
        <v>1</v>
      </c>
    </row>
    <row r="1797" spans="1:10" x14ac:dyDescent="0.35">
      <c r="A1797" t="s">
        <v>2137</v>
      </c>
      <c r="B1797" t="s">
        <v>323</v>
      </c>
      <c r="C1797" t="s">
        <v>2114</v>
      </c>
      <c r="D1797" s="30">
        <v>0.52200231481481485</v>
      </c>
      <c r="E1797" t="s">
        <v>298</v>
      </c>
      <c r="F1797" t="s">
        <v>299</v>
      </c>
      <c r="G1797" t="s">
        <v>299</v>
      </c>
      <c r="H1797">
        <v>17</v>
      </c>
      <c r="I1797" s="30">
        <v>2.5115740740740741E-3</v>
      </c>
      <c r="J1797">
        <v>3</v>
      </c>
    </row>
    <row r="1798" spans="1:10" x14ac:dyDescent="0.35">
      <c r="A1798" t="s">
        <v>2138</v>
      </c>
      <c r="B1798" t="s">
        <v>316</v>
      </c>
      <c r="C1798" t="s">
        <v>2114</v>
      </c>
      <c r="D1798" s="30">
        <v>0.52900462962962957</v>
      </c>
      <c r="E1798" t="s">
        <v>317</v>
      </c>
      <c r="F1798" t="s">
        <v>299</v>
      </c>
      <c r="G1798" t="s">
        <v>299</v>
      </c>
      <c r="H1798">
        <v>46</v>
      </c>
      <c r="I1798" s="30">
        <v>1.238425925925926E-3</v>
      </c>
      <c r="J1798">
        <v>4</v>
      </c>
    </row>
    <row r="1799" spans="1:10" x14ac:dyDescent="0.35">
      <c r="A1799" t="s">
        <v>2139</v>
      </c>
      <c r="B1799" t="s">
        <v>323</v>
      </c>
      <c r="C1799" t="s">
        <v>2114</v>
      </c>
      <c r="D1799" s="30">
        <v>0.52900462962962957</v>
      </c>
      <c r="E1799" t="s">
        <v>314</v>
      </c>
      <c r="F1799" t="s">
        <v>299</v>
      </c>
      <c r="G1799" t="s">
        <v>299</v>
      </c>
      <c r="H1799">
        <v>60</v>
      </c>
      <c r="I1799" s="30">
        <v>2.5810185185185185E-3</v>
      </c>
      <c r="J1799">
        <v>2</v>
      </c>
    </row>
    <row r="1800" spans="1:10" x14ac:dyDescent="0.35">
      <c r="A1800" t="s">
        <v>2140</v>
      </c>
      <c r="B1800" t="s">
        <v>316</v>
      </c>
      <c r="C1800" t="s">
        <v>2114</v>
      </c>
      <c r="D1800" s="30">
        <v>0.54299768518518521</v>
      </c>
      <c r="E1800" t="s">
        <v>302</v>
      </c>
      <c r="F1800" t="s">
        <v>299</v>
      </c>
      <c r="G1800" t="s">
        <v>299</v>
      </c>
      <c r="H1800">
        <v>53</v>
      </c>
      <c r="I1800" s="30">
        <v>2.4189814814814816E-3</v>
      </c>
      <c r="J1800">
        <v>3</v>
      </c>
    </row>
    <row r="1801" spans="1:10" x14ac:dyDescent="0.35">
      <c r="A1801" t="s">
        <v>2141</v>
      </c>
      <c r="B1801" t="s">
        <v>305</v>
      </c>
      <c r="C1801" t="s">
        <v>2114</v>
      </c>
      <c r="D1801" s="30">
        <v>0.54299768518518521</v>
      </c>
      <c r="E1801" t="s">
        <v>309</v>
      </c>
      <c r="F1801" t="s">
        <v>299</v>
      </c>
      <c r="G1801" t="s">
        <v>299</v>
      </c>
      <c r="H1801">
        <v>72</v>
      </c>
      <c r="I1801" s="30">
        <v>9.4907407407407408E-4</v>
      </c>
      <c r="J1801">
        <v>4</v>
      </c>
    </row>
    <row r="1802" spans="1:10" x14ac:dyDescent="0.35">
      <c r="A1802" t="s">
        <v>2142</v>
      </c>
      <c r="B1802" t="s">
        <v>305</v>
      </c>
      <c r="C1802" t="s">
        <v>2114</v>
      </c>
      <c r="D1802" s="30">
        <v>0.5590046296296296</v>
      </c>
      <c r="E1802" t="s">
        <v>309</v>
      </c>
      <c r="F1802" t="s">
        <v>299</v>
      </c>
      <c r="G1802" t="s">
        <v>299</v>
      </c>
      <c r="H1802">
        <v>113</v>
      </c>
      <c r="I1802" s="30">
        <v>3.4027777777777776E-3</v>
      </c>
      <c r="J1802">
        <v>3</v>
      </c>
    </row>
    <row r="1803" spans="1:10" x14ac:dyDescent="0.35">
      <c r="A1803" t="s">
        <v>2143</v>
      </c>
      <c r="B1803" t="s">
        <v>319</v>
      </c>
      <c r="C1803" t="s">
        <v>2114</v>
      </c>
      <c r="D1803" s="30">
        <v>0.5590046296296296</v>
      </c>
      <c r="E1803" t="s">
        <v>309</v>
      </c>
      <c r="F1803" t="s">
        <v>299</v>
      </c>
      <c r="G1803" t="s">
        <v>299</v>
      </c>
      <c r="H1803">
        <v>51</v>
      </c>
      <c r="I1803" s="30">
        <v>2.0486111111111113E-3</v>
      </c>
      <c r="J1803">
        <v>4</v>
      </c>
    </row>
    <row r="1804" spans="1:10" x14ac:dyDescent="0.35">
      <c r="A1804" t="s">
        <v>2144</v>
      </c>
      <c r="B1804" t="s">
        <v>316</v>
      </c>
      <c r="C1804" t="s">
        <v>2114</v>
      </c>
      <c r="D1804" s="30">
        <v>0.56299768518518523</v>
      </c>
      <c r="E1804" t="s">
        <v>314</v>
      </c>
      <c r="F1804" t="s">
        <v>299</v>
      </c>
      <c r="G1804" t="s">
        <v>299</v>
      </c>
      <c r="H1804">
        <v>99</v>
      </c>
      <c r="I1804" s="30">
        <v>1.0416666666666667E-3</v>
      </c>
      <c r="J1804">
        <v>4</v>
      </c>
    </row>
    <row r="1805" spans="1:10" x14ac:dyDescent="0.35">
      <c r="A1805" t="s">
        <v>2145</v>
      </c>
      <c r="B1805" t="s">
        <v>332</v>
      </c>
      <c r="C1805" t="s">
        <v>2114</v>
      </c>
      <c r="D1805" s="30">
        <v>0.56299768518518523</v>
      </c>
      <c r="E1805" t="s">
        <v>317</v>
      </c>
      <c r="F1805" t="s">
        <v>299</v>
      </c>
      <c r="G1805" t="s">
        <v>299</v>
      </c>
      <c r="H1805">
        <v>99</v>
      </c>
      <c r="I1805" s="30">
        <v>6.3657407407407413E-4</v>
      </c>
      <c r="J1805">
        <v>2</v>
      </c>
    </row>
    <row r="1806" spans="1:10" x14ac:dyDescent="0.35">
      <c r="A1806" t="s">
        <v>2146</v>
      </c>
      <c r="B1806" t="s">
        <v>332</v>
      </c>
      <c r="C1806" t="s">
        <v>2114</v>
      </c>
      <c r="D1806" s="30">
        <v>0.56700231481481478</v>
      </c>
      <c r="E1806" t="s">
        <v>298</v>
      </c>
      <c r="F1806" t="s">
        <v>303</v>
      </c>
      <c r="G1806" t="s">
        <v>303</v>
      </c>
    </row>
    <row r="1807" spans="1:10" x14ac:dyDescent="0.35">
      <c r="A1807" t="s">
        <v>2147</v>
      </c>
      <c r="B1807" t="s">
        <v>316</v>
      </c>
      <c r="C1807" t="s">
        <v>2114</v>
      </c>
      <c r="D1807" s="30">
        <v>0.56700231481481478</v>
      </c>
      <c r="E1807" t="s">
        <v>317</v>
      </c>
      <c r="F1807" t="s">
        <v>299</v>
      </c>
      <c r="G1807" t="s">
        <v>299</v>
      </c>
      <c r="H1807">
        <v>37</v>
      </c>
      <c r="I1807" s="30">
        <v>2.1064814814814813E-3</v>
      </c>
      <c r="J1807">
        <v>4</v>
      </c>
    </row>
    <row r="1808" spans="1:10" x14ac:dyDescent="0.35">
      <c r="A1808" t="s">
        <v>2148</v>
      </c>
      <c r="B1808" t="s">
        <v>323</v>
      </c>
      <c r="C1808" t="s">
        <v>2114</v>
      </c>
      <c r="D1808" s="30">
        <v>0.56799768518518523</v>
      </c>
      <c r="E1808" t="s">
        <v>298</v>
      </c>
      <c r="F1808" t="s">
        <v>299</v>
      </c>
      <c r="G1808" t="s">
        <v>299</v>
      </c>
      <c r="H1808">
        <v>115</v>
      </c>
      <c r="I1808" s="30">
        <v>1.2847222222222223E-3</v>
      </c>
      <c r="J1808">
        <v>3</v>
      </c>
    </row>
    <row r="1809" spans="1:10" x14ac:dyDescent="0.35">
      <c r="A1809" t="s">
        <v>2149</v>
      </c>
      <c r="B1809" t="s">
        <v>323</v>
      </c>
      <c r="C1809" t="s">
        <v>2114</v>
      </c>
      <c r="D1809" s="30">
        <v>0.56799768518518523</v>
      </c>
      <c r="E1809" t="s">
        <v>298</v>
      </c>
      <c r="F1809" t="s">
        <v>299</v>
      </c>
      <c r="G1809" t="s">
        <v>299</v>
      </c>
      <c r="H1809">
        <v>97</v>
      </c>
      <c r="I1809" s="30">
        <v>2.0833333333333333E-3</v>
      </c>
      <c r="J1809">
        <v>5</v>
      </c>
    </row>
    <row r="1810" spans="1:10" x14ac:dyDescent="0.35">
      <c r="A1810" t="s">
        <v>2150</v>
      </c>
      <c r="B1810" t="s">
        <v>301</v>
      </c>
      <c r="C1810" t="s">
        <v>2114</v>
      </c>
      <c r="D1810" s="30">
        <v>0.57400462962962961</v>
      </c>
      <c r="E1810" t="s">
        <v>298</v>
      </c>
      <c r="F1810" t="s">
        <v>303</v>
      </c>
      <c r="G1810" t="s">
        <v>303</v>
      </c>
    </row>
    <row r="1811" spans="1:10" x14ac:dyDescent="0.35">
      <c r="A1811" t="s">
        <v>2151</v>
      </c>
      <c r="B1811" t="s">
        <v>332</v>
      </c>
      <c r="C1811" t="s">
        <v>2114</v>
      </c>
      <c r="D1811" s="30">
        <v>0.57400462962962961</v>
      </c>
      <c r="E1811" t="s">
        <v>298</v>
      </c>
      <c r="F1811" t="s">
        <v>299</v>
      </c>
      <c r="G1811" t="s">
        <v>303</v>
      </c>
      <c r="H1811">
        <v>87</v>
      </c>
      <c r="I1811" s="30">
        <v>4.7106481481481478E-3</v>
      </c>
      <c r="J1811">
        <v>5</v>
      </c>
    </row>
    <row r="1812" spans="1:10" x14ac:dyDescent="0.35">
      <c r="A1812" t="s">
        <v>2152</v>
      </c>
      <c r="B1812" t="s">
        <v>301</v>
      </c>
      <c r="C1812" t="s">
        <v>2114</v>
      </c>
      <c r="D1812" s="30">
        <v>0.57700231481481479</v>
      </c>
      <c r="E1812" t="s">
        <v>309</v>
      </c>
      <c r="F1812" t="s">
        <v>299</v>
      </c>
      <c r="G1812" t="s">
        <v>299</v>
      </c>
      <c r="H1812">
        <v>97</v>
      </c>
      <c r="I1812" s="30">
        <v>3.3217592592592591E-3</v>
      </c>
      <c r="J1812">
        <v>1</v>
      </c>
    </row>
    <row r="1813" spans="1:10" x14ac:dyDescent="0.35">
      <c r="A1813" t="s">
        <v>2153</v>
      </c>
      <c r="B1813" t="s">
        <v>307</v>
      </c>
      <c r="C1813" t="s">
        <v>2114</v>
      </c>
      <c r="D1813" s="30">
        <v>0.57700231481481479</v>
      </c>
      <c r="E1813" t="s">
        <v>317</v>
      </c>
      <c r="F1813" t="s">
        <v>299</v>
      </c>
      <c r="G1813" t="s">
        <v>303</v>
      </c>
      <c r="H1813">
        <v>119</v>
      </c>
      <c r="I1813" s="30">
        <v>7.291666666666667E-4</v>
      </c>
      <c r="J1813">
        <v>5</v>
      </c>
    </row>
    <row r="1814" spans="1:10" x14ac:dyDescent="0.35">
      <c r="A1814" t="s">
        <v>2154</v>
      </c>
      <c r="B1814" t="s">
        <v>296</v>
      </c>
      <c r="C1814" t="s">
        <v>2114</v>
      </c>
      <c r="D1814" s="30">
        <v>0.58200231481481479</v>
      </c>
      <c r="E1814" t="s">
        <v>298</v>
      </c>
      <c r="F1814" t="s">
        <v>299</v>
      </c>
      <c r="G1814" t="s">
        <v>299</v>
      </c>
      <c r="H1814">
        <v>122</v>
      </c>
      <c r="I1814" s="30">
        <v>1.5972222222222223E-3</v>
      </c>
      <c r="J1814">
        <v>3</v>
      </c>
    </row>
    <row r="1815" spans="1:10" x14ac:dyDescent="0.35">
      <c r="A1815" t="s">
        <v>2155</v>
      </c>
      <c r="B1815" t="s">
        <v>301</v>
      </c>
      <c r="C1815" t="s">
        <v>2114</v>
      </c>
      <c r="D1815" s="30">
        <v>0.58200231481481479</v>
      </c>
      <c r="E1815" t="s">
        <v>298</v>
      </c>
      <c r="F1815" t="s">
        <v>299</v>
      </c>
      <c r="G1815" t="s">
        <v>299</v>
      </c>
      <c r="H1815">
        <v>60</v>
      </c>
      <c r="I1815" s="30">
        <v>1.5046296296296296E-3</v>
      </c>
      <c r="J1815">
        <v>1</v>
      </c>
    </row>
    <row r="1816" spans="1:10" x14ac:dyDescent="0.35">
      <c r="A1816" t="s">
        <v>2156</v>
      </c>
      <c r="B1816" t="s">
        <v>307</v>
      </c>
      <c r="C1816" t="s">
        <v>2114</v>
      </c>
      <c r="D1816" s="30">
        <v>0.59499999999999997</v>
      </c>
      <c r="E1816" t="s">
        <v>302</v>
      </c>
      <c r="F1816" t="s">
        <v>299</v>
      </c>
      <c r="G1816" t="s">
        <v>303</v>
      </c>
      <c r="H1816">
        <v>58</v>
      </c>
      <c r="I1816" s="30">
        <v>1.6087962962962963E-3</v>
      </c>
      <c r="J1816">
        <v>2</v>
      </c>
    </row>
    <row r="1817" spans="1:10" x14ac:dyDescent="0.35">
      <c r="A1817" t="s">
        <v>2157</v>
      </c>
      <c r="B1817" t="s">
        <v>307</v>
      </c>
      <c r="C1817" t="s">
        <v>2114</v>
      </c>
      <c r="D1817" s="30">
        <v>0.59499999999999997</v>
      </c>
      <c r="E1817" t="s">
        <v>314</v>
      </c>
      <c r="F1817" t="s">
        <v>299</v>
      </c>
      <c r="G1817" t="s">
        <v>299</v>
      </c>
      <c r="H1817">
        <v>84</v>
      </c>
      <c r="I1817" s="30">
        <v>4.4791666666666669E-3</v>
      </c>
      <c r="J1817">
        <v>4</v>
      </c>
    </row>
    <row r="1818" spans="1:10" x14ac:dyDescent="0.35">
      <c r="A1818" t="s">
        <v>2158</v>
      </c>
      <c r="B1818" t="s">
        <v>319</v>
      </c>
      <c r="C1818" t="s">
        <v>2114</v>
      </c>
      <c r="D1818" s="30">
        <v>0.60599537037037032</v>
      </c>
      <c r="E1818" t="s">
        <v>309</v>
      </c>
      <c r="F1818" t="s">
        <v>303</v>
      </c>
      <c r="G1818" t="s">
        <v>303</v>
      </c>
    </row>
    <row r="1819" spans="1:10" x14ac:dyDescent="0.35">
      <c r="A1819" t="s">
        <v>2159</v>
      </c>
      <c r="B1819" t="s">
        <v>332</v>
      </c>
      <c r="C1819" t="s">
        <v>2114</v>
      </c>
      <c r="D1819" s="30">
        <v>0.60599537037037032</v>
      </c>
      <c r="E1819" t="s">
        <v>309</v>
      </c>
      <c r="F1819" t="s">
        <v>299</v>
      </c>
      <c r="G1819" t="s">
        <v>299</v>
      </c>
      <c r="H1819">
        <v>72</v>
      </c>
      <c r="I1819" s="30">
        <v>2.0138888888888888E-3</v>
      </c>
      <c r="J1819">
        <v>2</v>
      </c>
    </row>
    <row r="1820" spans="1:10" x14ac:dyDescent="0.35">
      <c r="A1820" t="s">
        <v>2160</v>
      </c>
      <c r="B1820" t="s">
        <v>323</v>
      </c>
      <c r="C1820" t="s">
        <v>2114</v>
      </c>
      <c r="D1820" s="30">
        <v>0.60799768518518515</v>
      </c>
      <c r="E1820" t="s">
        <v>317</v>
      </c>
      <c r="F1820" t="s">
        <v>299</v>
      </c>
      <c r="G1820" t="s">
        <v>299</v>
      </c>
      <c r="H1820">
        <v>46</v>
      </c>
      <c r="I1820" s="30">
        <v>2.1064814814814813E-3</v>
      </c>
      <c r="J1820">
        <v>4</v>
      </c>
    </row>
    <row r="1821" spans="1:10" x14ac:dyDescent="0.35">
      <c r="A1821" t="s">
        <v>2161</v>
      </c>
      <c r="B1821" t="s">
        <v>323</v>
      </c>
      <c r="C1821" t="s">
        <v>2114</v>
      </c>
      <c r="D1821" s="30">
        <v>0.60799768518518515</v>
      </c>
      <c r="E1821" t="s">
        <v>309</v>
      </c>
      <c r="F1821" t="s">
        <v>299</v>
      </c>
      <c r="G1821" t="s">
        <v>299</v>
      </c>
      <c r="H1821">
        <v>101</v>
      </c>
      <c r="I1821" s="30">
        <v>3.2986111111111111E-3</v>
      </c>
      <c r="J1821">
        <v>5</v>
      </c>
    </row>
    <row r="1822" spans="1:10" x14ac:dyDescent="0.35">
      <c r="A1822" t="s">
        <v>2162</v>
      </c>
      <c r="B1822" t="s">
        <v>316</v>
      </c>
      <c r="C1822" t="s">
        <v>2114</v>
      </c>
      <c r="D1822" s="30">
        <v>0.64500000000000002</v>
      </c>
      <c r="E1822" t="s">
        <v>298</v>
      </c>
      <c r="F1822" t="s">
        <v>299</v>
      </c>
      <c r="G1822" t="s">
        <v>299</v>
      </c>
      <c r="H1822">
        <v>101</v>
      </c>
      <c r="I1822" s="30">
        <v>3.3564814814814816E-3</v>
      </c>
      <c r="J1822">
        <v>2</v>
      </c>
    </row>
    <row r="1823" spans="1:10" x14ac:dyDescent="0.35">
      <c r="A1823" t="s">
        <v>2163</v>
      </c>
      <c r="B1823" t="s">
        <v>316</v>
      </c>
      <c r="C1823" t="s">
        <v>2114</v>
      </c>
      <c r="D1823" s="30">
        <v>0.64500000000000002</v>
      </c>
      <c r="E1823" t="s">
        <v>314</v>
      </c>
      <c r="F1823" t="s">
        <v>299</v>
      </c>
      <c r="G1823" t="s">
        <v>299</v>
      </c>
      <c r="H1823">
        <v>63</v>
      </c>
      <c r="I1823" s="30">
        <v>4.0509259259259257E-3</v>
      </c>
      <c r="J1823">
        <v>1</v>
      </c>
    </row>
    <row r="1824" spans="1:10" x14ac:dyDescent="0.35">
      <c r="A1824" t="s">
        <v>2164</v>
      </c>
      <c r="B1824" t="s">
        <v>316</v>
      </c>
      <c r="C1824" t="s">
        <v>2114</v>
      </c>
      <c r="D1824" s="30">
        <v>0.67700231481481477</v>
      </c>
      <c r="E1824" t="s">
        <v>309</v>
      </c>
      <c r="F1824" t="s">
        <v>299</v>
      </c>
      <c r="G1824" t="s">
        <v>299</v>
      </c>
      <c r="H1824">
        <v>125</v>
      </c>
      <c r="I1824" s="30">
        <v>2.0254629629629629E-3</v>
      </c>
      <c r="J1824">
        <v>1</v>
      </c>
    </row>
    <row r="1825" spans="1:10" x14ac:dyDescent="0.35">
      <c r="A1825" t="s">
        <v>2165</v>
      </c>
      <c r="B1825" t="s">
        <v>323</v>
      </c>
      <c r="C1825" t="s">
        <v>2114</v>
      </c>
      <c r="D1825" s="30">
        <v>0.67700231481481477</v>
      </c>
      <c r="E1825" t="s">
        <v>309</v>
      </c>
      <c r="F1825" t="s">
        <v>299</v>
      </c>
      <c r="G1825" t="s">
        <v>299</v>
      </c>
      <c r="H1825">
        <v>44</v>
      </c>
      <c r="I1825" s="30">
        <v>4.7453703703703698E-4</v>
      </c>
      <c r="J1825">
        <v>5</v>
      </c>
    </row>
    <row r="1826" spans="1:10" x14ac:dyDescent="0.35">
      <c r="A1826" t="s">
        <v>2166</v>
      </c>
      <c r="B1826" t="s">
        <v>323</v>
      </c>
      <c r="C1826" t="s">
        <v>2114</v>
      </c>
      <c r="D1826" s="30">
        <v>0.68200231481481477</v>
      </c>
      <c r="E1826" t="s">
        <v>317</v>
      </c>
      <c r="F1826" t="s">
        <v>299</v>
      </c>
      <c r="G1826" t="s">
        <v>299</v>
      </c>
      <c r="H1826">
        <v>16</v>
      </c>
      <c r="I1826" s="30">
        <v>1.5740740740740741E-3</v>
      </c>
      <c r="J1826">
        <v>5</v>
      </c>
    </row>
    <row r="1827" spans="1:10" x14ac:dyDescent="0.35">
      <c r="A1827" t="s">
        <v>2167</v>
      </c>
      <c r="B1827" t="s">
        <v>332</v>
      </c>
      <c r="C1827" t="s">
        <v>2114</v>
      </c>
      <c r="D1827" s="30">
        <v>0.68200231481481477</v>
      </c>
      <c r="E1827" t="s">
        <v>302</v>
      </c>
      <c r="F1827" t="s">
        <v>299</v>
      </c>
      <c r="G1827" t="s">
        <v>299</v>
      </c>
      <c r="H1827">
        <v>31</v>
      </c>
      <c r="I1827" s="30">
        <v>2.4421296296296296E-3</v>
      </c>
      <c r="J1827">
        <v>4</v>
      </c>
    </row>
    <row r="1828" spans="1:10" x14ac:dyDescent="0.35">
      <c r="A1828" t="s">
        <v>2168</v>
      </c>
      <c r="B1828" t="s">
        <v>332</v>
      </c>
      <c r="C1828" t="s">
        <v>2114</v>
      </c>
      <c r="D1828" s="30">
        <v>0.68200231481481477</v>
      </c>
      <c r="E1828" t="s">
        <v>314</v>
      </c>
      <c r="F1828" t="s">
        <v>299</v>
      </c>
      <c r="G1828" t="s">
        <v>299</v>
      </c>
      <c r="H1828">
        <v>114</v>
      </c>
      <c r="I1828" s="30">
        <v>5.2083333333333333E-4</v>
      </c>
      <c r="J1828">
        <v>5</v>
      </c>
    </row>
    <row r="1829" spans="1:10" x14ac:dyDescent="0.35">
      <c r="A1829" t="s">
        <v>2169</v>
      </c>
      <c r="B1829" t="s">
        <v>307</v>
      </c>
      <c r="C1829" t="s">
        <v>2114</v>
      </c>
      <c r="D1829" s="30">
        <v>0.68200231481481477</v>
      </c>
      <c r="E1829" t="s">
        <v>298</v>
      </c>
      <c r="F1829" t="s">
        <v>299</v>
      </c>
      <c r="G1829" t="s">
        <v>299</v>
      </c>
      <c r="H1829">
        <v>10</v>
      </c>
      <c r="I1829" s="30">
        <v>2.3263888888888887E-3</v>
      </c>
      <c r="J1829">
        <v>2</v>
      </c>
    </row>
    <row r="1830" spans="1:10" x14ac:dyDescent="0.35">
      <c r="A1830" t="s">
        <v>2170</v>
      </c>
      <c r="B1830" t="s">
        <v>307</v>
      </c>
      <c r="C1830" t="s">
        <v>2114</v>
      </c>
      <c r="D1830" s="30">
        <v>0.69900462962962961</v>
      </c>
      <c r="E1830" t="s">
        <v>317</v>
      </c>
      <c r="F1830" t="s">
        <v>299</v>
      </c>
      <c r="G1830" t="s">
        <v>299</v>
      </c>
      <c r="H1830">
        <v>105</v>
      </c>
      <c r="I1830" s="30">
        <v>3.1597222222222222E-3</v>
      </c>
      <c r="J1830">
        <v>3</v>
      </c>
    </row>
    <row r="1831" spans="1:10" x14ac:dyDescent="0.35">
      <c r="A1831" t="s">
        <v>2171</v>
      </c>
      <c r="B1831" t="s">
        <v>307</v>
      </c>
      <c r="C1831" t="s">
        <v>2114</v>
      </c>
      <c r="D1831" s="30">
        <v>0.69900462962962961</v>
      </c>
      <c r="E1831" t="s">
        <v>309</v>
      </c>
      <c r="F1831" t="s">
        <v>303</v>
      </c>
      <c r="G1831" t="s">
        <v>303</v>
      </c>
    </row>
    <row r="1832" spans="1:10" x14ac:dyDescent="0.35">
      <c r="A1832" t="s">
        <v>2172</v>
      </c>
      <c r="B1832" t="s">
        <v>332</v>
      </c>
      <c r="C1832" t="s">
        <v>2114</v>
      </c>
      <c r="D1832" s="30">
        <v>0.7170023148148148</v>
      </c>
      <c r="E1832" t="s">
        <v>314</v>
      </c>
      <c r="F1832" t="s">
        <v>299</v>
      </c>
      <c r="G1832" t="s">
        <v>299</v>
      </c>
      <c r="H1832">
        <v>120</v>
      </c>
      <c r="I1832" s="30">
        <v>1.6435185185185185E-3</v>
      </c>
      <c r="J1832">
        <v>4</v>
      </c>
    </row>
    <row r="1833" spans="1:10" x14ac:dyDescent="0.35">
      <c r="A1833" t="s">
        <v>2173</v>
      </c>
      <c r="B1833" t="s">
        <v>319</v>
      </c>
      <c r="C1833" t="s">
        <v>2114</v>
      </c>
      <c r="D1833" s="30">
        <v>0.7170023148148148</v>
      </c>
      <c r="E1833" t="s">
        <v>309</v>
      </c>
      <c r="F1833" t="s">
        <v>303</v>
      </c>
      <c r="G1833" t="s">
        <v>303</v>
      </c>
    </row>
    <row r="1834" spans="1:10" x14ac:dyDescent="0.35">
      <c r="A1834" t="s">
        <v>2174</v>
      </c>
      <c r="B1834" t="s">
        <v>305</v>
      </c>
      <c r="C1834" t="s">
        <v>2114</v>
      </c>
      <c r="D1834" s="30">
        <v>0.72499999999999998</v>
      </c>
      <c r="E1834" t="s">
        <v>302</v>
      </c>
      <c r="F1834" t="s">
        <v>303</v>
      </c>
      <c r="G1834" t="s">
        <v>303</v>
      </c>
    </row>
    <row r="1835" spans="1:10" x14ac:dyDescent="0.35">
      <c r="A1835" t="s">
        <v>2175</v>
      </c>
      <c r="B1835" t="s">
        <v>307</v>
      </c>
      <c r="C1835" t="s">
        <v>2114</v>
      </c>
      <c r="D1835" s="30">
        <v>0.72499999999999998</v>
      </c>
      <c r="E1835" t="s">
        <v>309</v>
      </c>
      <c r="F1835" t="s">
        <v>303</v>
      </c>
      <c r="G1835" t="s">
        <v>303</v>
      </c>
    </row>
    <row r="1836" spans="1:10" x14ac:dyDescent="0.35">
      <c r="A1836" t="s">
        <v>2176</v>
      </c>
      <c r="B1836" t="s">
        <v>316</v>
      </c>
      <c r="C1836" t="s">
        <v>2114</v>
      </c>
      <c r="D1836" s="30">
        <v>0.73200231481481481</v>
      </c>
      <c r="E1836" t="s">
        <v>302</v>
      </c>
      <c r="F1836" t="s">
        <v>299</v>
      </c>
      <c r="G1836" t="s">
        <v>299</v>
      </c>
      <c r="H1836">
        <v>51</v>
      </c>
      <c r="I1836" s="30">
        <v>3.1250000000000002E-3</v>
      </c>
      <c r="J1836">
        <v>5</v>
      </c>
    </row>
    <row r="1837" spans="1:10" x14ac:dyDescent="0.35">
      <c r="A1837" t="s">
        <v>2177</v>
      </c>
      <c r="B1837" t="s">
        <v>305</v>
      </c>
      <c r="C1837" t="s">
        <v>2114</v>
      </c>
      <c r="D1837" s="30">
        <v>0.73200231481481481</v>
      </c>
      <c r="E1837" t="s">
        <v>302</v>
      </c>
      <c r="F1837" t="s">
        <v>299</v>
      </c>
      <c r="G1837" t="s">
        <v>299</v>
      </c>
      <c r="H1837">
        <v>124</v>
      </c>
      <c r="I1837" s="30">
        <v>4.386574074074074E-3</v>
      </c>
      <c r="J1837">
        <v>3</v>
      </c>
    </row>
    <row r="1838" spans="1:10" x14ac:dyDescent="0.35">
      <c r="A1838" t="s">
        <v>2178</v>
      </c>
      <c r="B1838" t="s">
        <v>332</v>
      </c>
      <c r="C1838" t="s">
        <v>2114</v>
      </c>
      <c r="D1838" s="30">
        <v>0.73499999999999999</v>
      </c>
      <c r="E1838" t="s">
        <v>309</v>
      </c>
      <c r="F1838" t="s">
        <v>299</v>
      </c>
      <c r="G1838" t="s">
        <v>303</v>
      </c>
      <c r="H1838">
        <v>22</v>
      </c>
      <c r="I1838" s="30">
        <v>1.261574074074074E-3</v>
      </c>
      <c r="J1838">
        <v>4</v>
      </c>
    </row>
    <row r="1839" spans="1:10" x14ac:dyDescent="0.35">
      <c r="A1839" t="s">
        <v>2179</v>
      </c>
      <c r="B1839" t="s">
        <v>323</v>
      </c>
      <c r="C1839" t="s">
        <v>2114</v>
      </c>
      <c r="D1839" s="30">
        <v>0.73499999999999999</v>
      </c>
      <c r="E1839" t="s">
        <v>309</v>
      </c>
      <c r="F1839" t="s">
        <v>299</v>
      </c>
      <c r="G1839" t="s">
        <v>303</v>
      </c>
      <c r="H1839">
        <v>29</v>
      </c>
      <c r="I1839" s="30">
        <v>3.0092592592592593E-3</v>
      </c>
      <c r="J1839">
        <v>3</v>
      </c>
    </row>
    <row r="1840" spans="1:10" x14ac:dyDescent="0.35">
      <c r="A1840" t="s">
        <v>2180</v>
      </c>
      <c r="B1840" t="s">
        <v>301</v>
      </c>
      <c r="C1840" t="s">
        <v>2114</v>
      </c>
      <c r="D1840" s="30">
        <v>0.73599537037037033</v>
      </c>
      <c r="E1840" t="s">
        <v>302</v>
      </c>
      <c r="F1840" t="s">
        <v>299</v>
      </c>
      <c r="G1840" t="s">
        <v>299</v>
      </c>
      <c r="H1840">
        <v>125</v>
      </c>
      <c r="I1840" s="30">
        <v>1.6666666666666668E-3</v>
      </c>
      <c r="J1840">
        <v>4</v>
      </c>
    </row>
    <row r="1841" spans="1:10" x14ac:dyDescent="0.35">
      <c r="A1841" t="s">
        <v>2181</v>
      </c>
      <c r="B1841" t="s">
        <v>316</v>
      </c>
      <c r="C1841" t="s">
        <v>2114</v>
      </c>
      <c r="D1841" s="30">
        <v>0.73599537037037033</v>
      </c>
      <c r="E1841" t="s">
        <v>298</v>
      </c>
      <c r="F1841" t="s">
        <v>299</v>
      </c>
      <c r="G1841" t="s">
        <v>299</v>
      </c>
      <c r="H1841">
        <v>54</v>
      </c>
      <c r="I1841" s="30">
        <v>3.5763888888888889E-3</v>
      </c>
      <c r="J1841">
        <v>4</v>
      </c>
    </row>
    <row r="1842" spans="1:10" x14ac:dyDescent="0.35">
      <c r="A1842" t="s">
        <v>2182</v>
      </c>
      <c r="B1842" t="s">
        <v>323</v>
      </c>
      <c r="C1842" t="s">
        <v>2114</v>
      </c>
      <c r="D1842" s="30">
        <v>0.74200231481481482</v>
      </c>
      <c r="E1842" t="s">
        <v>302</v>
      </c>
      <c r="F1842" t="s">
        <v>299</v>
      </c>
      <c r="G1842" t="s">
        <v>299</v>
      </c>
      <c r="H1842">
        <v>45</v>
      </c>
      <c r="I1842" s="30">
        <v>4.2592592592592595E-3</v>
      </c>
      <c r="J1842">
        <v>3</v>
      </c>
    </row>
    <row r="1843" spans="1:10" x14ac:dyDescent="0.35">
      <c r="A1843" t="s">
        <v>2183</v>
      </c>
      <c r="B1843" t="s">
        <v>296</v>
      </c>
      <c r="C1843" t="s">
        <v>2114</v>
      </c>
      <c r="D1843" s="30">
        <v>0.74200231481481482</v>
      </c>
      <c r="E1843" t="s">
        <v>314</v>
      </c>
      <c r="F1843" t="s">
        <v>299</v>
      </c>
      <c r="G1843" t="s">
        <v>299</v>
      </c>
      <c r="H1843">
        <v>101</v>
      </c>
      <c r="I1843" s="30">
        <v>1.3310185185185185E-3</v>
      </c>
      <c r="J1843">
        <v>5</v>
      </c>
    </row>
    <row r="1844" spans="1:10" x14ac:dyDescent="0.35">
      <c r="A1844" t="s">
        <v>2184</v>
      </c>
      <c r="B1844" t="s">
        <v>296</v>
      </c>
      <c r="C1844" t="s">
        <v>2114</v>
      </c>
      <c r="D1844" s="30">
        <v>0.74799768518518517</v>
      </c>
      <c r="E1844" t="s">
        <v>298</v>
      </c>
      <c r="F1844" t="s">
        <v>299</v>
      </c>
      <c r="G1844" t="s">
        <v>299</v>
      </c>
      <c r="H1844">
        <v>80</v>
      </c>
      <c r="I1844" s="30">
        <v>2.6967592592592594E-3</v>
      </c>
      <c r="J1844">
        <v>3</v>
      </c>
    </row>
    <row r="1845" spans="1:10" x14ac:dyDescent="0.35">
      <c r="A1845" t="s">
        <v>2185</v>
      </c>
      <c r="B1845" t="s">
        <v>296</v>
      </c>
      <c r="C1845" t="s">
        <v>2114</v>
      </c>
      <c r="D1845" s="30">
        <v>0.74799768518518517</v>
      </c>
      <c r="E1845" t="s">
        <v>317</v>
      </c>
      <c r="F1845" t="s">
        <v>303</v>
      </c>
      <c r="G1845" t="s">
        <v>303</v>
      </c>
    </row>
    <row r="1846" spans="1:10" x14ac:dyDescent="0.35">
      <c r="A1846" t="s">
        <v>2186</v>
      </c>
      <c r="B1846" t="s">
        <v>319</v>
      </c>
      <c r="C1846" t="s">
        <v>2187</v>
      </c>
      <c r="D1846" s="30">
        <v>0.38900462962962962</v>
      </c>
      <c r="E1846" t="s">
        <v>309</v>
      </c>
      <c r="F1846" t="s">
        <v>299</v>
      </c>
      <c r="G1846" t="s">
        <v>299</v>
      </c>
      <c r="H1846">
        <v>118</v>
      </c>
      <c r="I1846" s="30">
        <v>2.7430555555555554E-3</v>
      </c>
      <c r="J1846">
        <v>5</v>
      </c>
    </row>
    <row r="1847" spans="1:10" x14ac:dyDescent="0.35">
      <c r="A1847" t="s">
        <v>2188</v>
      </c>
      <c r="B1847" t="s">
        <v>307</v>
      </c>
      <c r="C1847" t="s">
        <v>2187</v>
      </c>
      <c r="D1847" s="30">
        <v>0.38900462962962962</v>
      </c>
      <c r="E1847" t="s">
        <v>317</v>
      </c>
      <c r="F1847" t="s">
        <v>299</v>
      </c>
      <c r="G1847" t="s">
        <v>299</v>
      </c>
      <c r="H1847">
        <v>13</v>
      </c>
      <c r="I1847" s="30">
        <v>4.3055555555555555E-3</v>
      </c>
      <c r="J1847">
        <v>5</v>
      </c>
    </row>
    <row r="1848" spans="1:10" x14ac:dyDescent="0.35">
      <c r="A1848" t="s">
        <v>2189</v>
      </c>
      <c r="B1848" t="s">
        <v>332</v>
      </c>
      <c r="C1848" t="s">
        <v>2187</v>
      </c>
      <c r="D1848" s="30">
        <v>0.40599537037037037</v>
      </c>
      <c r="E1848" t="s">
        <v>317</v>
      </c>
      <c r="F1848" t="s">
        <v>299</v>
      </c>
      <c r="G1848" t="s">
        <v>299</v>
      </c>
      <c r="H1848">
        <v>64</v>
      </c>
      <c r="I1848" s="30">
        <v>1.0185185185185184E-3</v>
      </c>
      <c r="J1848">
        <v>5</v>
      </c>
    </row>
    <row r="1849" spans="1:10" x14ac:dyDescent="0.35">
      <c r="A1849" t="s">
        <v>2190</v>
      </c>
      <c r="B1849" t="s">
        <v>316</v>
      </c>
      <c r="C1849" t="s">
        <v>2187</v>
      </c>
      <c r="D1849" s="30">
        <v>0.40599537037037037</v>
      </c>
      <c r="E1849" t="s">
        <v>298</v>
      </c>
      <c r="F1849" t="s">
        <v>299</v>
      </c>
      <c r="G1849" t="s">
        <v>299</v>
      </c>
      <c r="H1849">
        <v>39</v>
      </c>
      <c r="I1849" s="30">
        <v>4.8495370370370368E-3</v>
      </c>
      <c r="J1849">
        <v>4</v>
      </c>
    </row>
    <row r="1850" spans="1:10" x14ac:dyDescent="0.35">
      <c r="A1850" t="s">
        <v>2191</v>
      </c>
      <c r="B1850" t="s">
        <v>319</v>
      </c>
      <c r="C1850" t="s">
        <v>2187</v>
      </c>
      <c r="D1850" s="30">
        <v>0.4129976851851852</v>
      </c>
      <c r="E1850" t="s">
        <v>314</v>
      </c>
      <c r="F1850" t="s">
        <v>303</v>
      </c>
      <c r="G1850" t="s">
        <v>303</v>
      </c>
    </row>
    <row r="1851" spans="1:10" x14ac:dyDescent="0.35">
      <c r="A1851" t="s">
        <v>2192</v>
      </c>
      <c r="B1851" t="s">
        <v>305</v>
      </c>
      <c r="C1851" t="s">
        <v>2187</v>
      </c>
      <c r="D1851" s="30">
        <v>0.4129976851851852</v>
      </c>
      <c r="E1851" t="s">
        <v>298</v>
      </c>
      <c r="F1851" t="s">
        <v>303</v>
      </c>
      <c r="G1851" t="s">
        <v>303</v>
      </c>
    </row>
    <row r="1852" spans="1:10" x14ac:dyDescent="0.35">
      <c r="A1852" t="s">
        <v>2193</v>
      </c>
      <c r="B1852" t="s">
        <v>323</v>
      </c>
      <c r="C1852" t="s">
        <v>2187</v>
      </c>
      <c r="D1852" s="30">
        <v>0.41499999999999998</v>
      </c>
      <c r="E1852" t="s">
        <v>317</v>
      </c>
      <c r="F1852" t="s">
        <v>303</v>
      </c>
      <c r="G1852" t="s">
        <v>303</v>
      </c>
    </row>
    <row r="1853" spans="1:10" x14ac:dyDescent="0.35">
      <c r="A1853" t="s">
        <v>2194</v>
      </c>
      <c r="B1853" t="s">
        <v>305</v>
      </c>
      <c r="C1853" t="s">
        <v>2187</v>
      </c>
      <c r="D1853" s="30">
        <v>0.41499999999999998</v>
      </c>
      <c r="E1853" t="s">
        <v>317</v>
      </c>
      <c r="F1853" t="s">
        <v>299</v>
      </c>
      <c r="G1853" t="s">
        <v>299</v>
      </c>
      <c r="H1853">
        <v>35</v>
      </c>
      <c r="I1853" s="30">
        <v>7.291666666666667E-4</v>
      </c>
      <c r="J1853">
        <v>4</v>
      </c>
    </row>
    <row r="1854" spans="1:10" x14ac:dyDescent="0.35">
      <c r="A1854" t="s">
        <v>2195</v>
      </c>
      <c r="B1854" t="s">
        <v>319</v>
      </c>
      <c r="C1854" t="s">
        <v>2187</v>
      </c>
      <c r="D1854" s="30">
        <v>0.44099537037037034</v>
      </c>
      <c r="E1854" t="s">
        <v>298</v>
      </c>
      <c r="F1854" t="s">
        <v>299</v>
      </c>
      <c r="G1854" t="s">
        <v>303</v>
      </c>
      <c r="H1854">
        <v>105</v>
      </c>
      <c r="I1854" s="30">
        <v>3.5648148148148149E-3</v>
      </c>
      <c r="J1854">
        <v>4</v>
      </c>
    </row>
    <row r="1855" spans="1:10" x14ac:dyDescent="0.35">
      <c r="A1855" t="s">
        <v>2196</v>
      </c>
      <c r="B1855" t="s">
        <v>305</v>
      </c>
      <c r="C1855" t="s">
        <v>2187</v>
      </c>
      <c r="D1855" s="30">
        <v>0.44099537037037034</v>
      </c>
      <c r="E1855" t="s">
        <v>314</v>
      </c>
      <c r="F1855" t="s">
        <v>299</v>
      </c>
      <c r="G1855" t="s">
        <v>299</v>
      </c>
      <c r="H1855">
        <v>60</v>
      </c>
      <c r="I1855" s="30">
        <v>1.0879629629629629E-3</v>
      </c>
      <c r="J1855">
        <v>2</v>
      </c>
    </row>
    <row r="1856" spans="1:10" x14ac:dyDescent="0.35">
      <c r="A1856" t="s">
        <v>2197</v>
      </c>
      <c r="B1856" t="s">
        <v>305</v>
      </c>
      <c r="C1856" t="s">
        <v>2187</v>
      </c>
      <c r="D1856" s="30">
        <v>0.4620023148148148</v>
      </c>
      <c r="E1856" t="s">
        <v>298</v>
      </c>
      <c r="F1856" t="s">
        <v>299</v>
      </c>
      <c r="G1856" t="s">
        <v>299</v>
      </c>
      <c r="H1856">
        <v>13</v>
      </c>
      <c r="I1856" s="30">
        <v>1.3194444444444445E-3</v>
      </c>
      <c r="J1856">
        <v>1</v>
      </c>
    </row>
    <row r="1857" spans="1:10" x14ac:dyDescent="0.35">
      <c r="A1857" t="s">
        <v>2198</v>
      </c>
      <c r="B1857" t="s">
        <v>301</v>
      </c>
      <c r="C1857" t="s">
        <v>2187</v>
      </c>
      <c r="D1857" s="30">
        <v>0.4620023148148148</v>
      </c>
      <c r="E1857" t="s">
        <v>302</v>
      </c>
      <c r="F1857" t="s">
        <v>299</v>
      </c>
      <c r="G1857" t="s">
        <v>299</v>
      </c>
      <c r="H1857">
        <v>25</v>
      </c>
      <c r="I1857" s="30">
        <v>3.449074074074074E-3</v>
      </c>
      <c r="J1857">
        <v>5</v>
      </c>
    </row>
    <row r="1858" spans="1:10" x14ac:dyDescent="0.35">
      <c r="A1858" t="s">
        <v>2199</v>
      </c>
      <c r="B1858" t="s">
        <v>301</v>
      </c>
      <c r="C1858" t="s">
        <v>2187</v>
      </c>
      <c r="D1858" s="30">
        <v>0.47099537037037037</v>
      </c>
      <c r="E1858" t="s">
        <v>317</v>
      </c>
      <c r="F1858" t="s">
        <v>299</v>
      </c>
      <c r="G1858" t="s">
        <v>299</v>
      </c>
      <c r="H1858">
        <v>102</v>
      </c>
      <c r="I1858" s="30">
        <v>4.5949074074074078E-3</v>
      </c>
      <c r="J1858">
        <v>4</v>
      </c>
    </row>
    <row r="1859" spans="1:10" x14ac:dyDescent="0.35">
      <c r="A1859" t="s">
        <v>2200</v>
      </c>
      <c r="B1859" t="s">
        <v>316</v>
      </c>
      <c r="C1859" t="s">
        <v>2187</v>
      </c>
      <c r="D1859" s="30">
        <v>0.47099537037037037</v>
      </c>
      <c r="E1859" t="s">
        <v>298</v>
      </c>
      <c r="F1859" t="s">
        <v>299</v>
      </c>
      <c r="G1859" t="s">
        <v>299</v>
      </c>
      <c r="H1859">
        <v>88</v>
      </c>
      <c r="I1859" s="30">
        <v>4.2939814814814811E-3</v>
      </c>
      <c r="J1859">
        <v>3</v>
      </c>
    </row>
    <row r="1860" spans="1:10" x14ac:dyDescent="0.35">
      <c r="A1860" t="s">
        <v>2201</v>
      </c>
      <c r="B1860" t="s">
        <v>301</v>
      </c>
      <c r="C1860" t="s">
        <v>2187</v>
      </c>
      <c r="D1860" s="30">
        <v>0.54599537037037038</v>
      </c>
      <c r="E1860" t="s">
        <v>317</v>
      </c>
      <c r="F1860" t="s">
        <v>299</v>
      </c>
      <c r="G1860" t="s">
        <v>299</v>
      </c>
      <c r="H1860">
        <v>40</v>
      </c>
      <c r="I1860" s="30">
        <v>1.1805555555555556E-3</v>
      </c>
      <c r="J1860">
        <v>5</v>
      </c>
    </row>
    <row r="1861" spans="1:10" x14ac:dyDescent="0.35">
      <c r="A1861" t="s">
        <v>2202</v>
      </c>
      <c r="B1861" t="s">
        <v>319</v>
      </c>
      <c r="C1861" t="s">
        <v>2187</v>
      </c>
      <c r="D1861" s="30">
        <v>0.54599537037037038</v>
      </c>
      <c r="E1861" t="s">
        <v>298</v>
      </c>
      <c r="F1861" t="s">
        <v>303</v>
      </c>
      <c r="G1861" t="s">
        <v>303</v>
      </c>
    </row>
    <row r="1862" spans="1:10" x14ac:dyDescent="0.35">
      <c r="A1862" t="s">
        <v>2203</v>
      </c>
      <c r="B1862" t="s">
        <v>332</v>
      </c>
      <c r="C1862" t="s">
        <v>2187</v>
      </c>
      <c r="D1862" s="30">
        <v>0.55799768518518522</v>
      </c>
      <c r="E1862" t="s">
        <v>317</v>
      </c>
      <c r="F1862" t="s">
        <v>299</v>
      </c>
      <c r="G1862" t="s">
        <v>299</v>
      </c>
      <c r="H1862">
        <v>75</v>
      </c>
      <c r="I1862" s="30">
        <v>2.0833333333333333E-3</v>
      </c>
      <c r="J1862">
        <v>5</v>
      </c>
    </row>
    <row r="1863" spans="1:10" x14ac:dyDescent="0.35">
      <c r="A1863" t="s">
        <v>2204</v>
      </c>
      <c r="B1863" t="s">
        <v>305</v>
      </c>
      <c r="C1863" t="s">
        <v>2187</v>
      </c>
      <c r="D1863" s="30">
        <v>0.55799768518518522</v>
      </c>
      <c r="E1863" t="s">
        <v>309</v>
      </c>
      <c r="F1863" t="s">
        <v>299</v>
      </c>
      <c r="G1863" t="s">
        <v>303</v>
      </c>
      <c r="H1863">
        <v>35</v>
      </c>
      <c r="I1863" s="30">
        <v>2.2569444444444442E-3</v>
      </c>
      <c r="J1863">
        <v>4</v>
      </c>
    </row>
    <row r="1864" spans="1:10" x14ac:dyDescent="0.35">
      <c r="A1864" t="s">
        <v>2205</v>
      </c>
      <c r="B1864" t="s">
        <v>307</v>
      </c>
      <c r="C1864" t="s">
        <v>2187</v>
      </c>
      <c r="D1864" s="30">
        <v>0.57400462962962961</v>
      </c>
      <c r="E1864" t="s">
        <v>309</v>
      </c>
      <c r="F1864" t="s">
        <v>303</v>
      </c>
      <c r="G1864" t="s">
        <v>303</v>
      </c>
    </row>
    <row r="1865" spans="1:10" x14ac:dyDescent="0.35">
      <c r="A1865" t="s">
        <v>2206</v>
      </c>
      <c r="B1865" t="s">
        <v>307</v>
      </c>
      <c r="C1865" t="s">
        <v>2187</v>
      </c>
      <c r="D1865" s="30">
        <v>0.57400462962962961</v>
      </c>
      <c r="E1865" t="s">
        <v>309</v>
      </c>
      <c r="F1865" t="s">
        <v>299</v>
      </c>
      <c r="G1865" t="s">
        <v>299</v>
      </c>
      <c r="H1865">
        <v>21</v>
      </c>
      <c r="I1865" s="30">
        <v>1.8981481481481482E-3</v>
      </c>
      <c r="J1865">
        <v>2</v>
      </c>
    </row>
    <row r="1866" spans="1:10" x14ac:dyDescent="0.35">
      <c r="A1866" t="s">
        <v>2207</v>
      </c>
      <c r="B1866" t="s">
        <v>296</v>
      </c>
      <c r="C1866" t="s">
        <v>2187</v>
      </c>
      <c r="D1866" s="30">
        <v>0.57400462962962961</v>
      </c>
      <c r="E1866" t="s">
        <v>317</v>
      </c>
      <c r="F1866" t="s">
        <v>303</v>
      </c>
      <c r="G1866" t="s">
        <v>303</v>
      </c>
    </row>
    <row r="1867" spans="1:10" x14ac:dyDescent="0.35">
      <c r="A1867" t="s">
        <v>2208</v>
      </c>
      <c r="B1867" t="s">
        <v>307</v>
      </c>
      <c r="C1867" t="s">
        <v>2187</v>
      </c>
      <c r="D1867" s="30">
        <v>0.57400462962962961</v>
      </c>
      <c r="E1867" t="s">
        <v>314</v>
      </c>
      <c r="F1867" t="s">
        <v>299</v>
      </c>
      <c r="G1867" t="s">
        <v>299</v>
      </c>
      <c r="H1867">
        <v>49</v>
      </c>
      <c r="I1867" s="30">
        <v>2.9629629629629628E-3</v>
      </c>
      <c r="J1867">
        <v>3</v>
      </c>
    </row>
    <row r="1868" spans="1:10" x14ac:dyDescent="0.35">
      <c r="A1868" t="s">
        <v>2209</v>
      </c>
      <c r="B1868" t="s">
        <v>319</v>
      </c>
      <c r="C1868" t="s">
        <v>2187</v>
      </c>
      <c r="D1868" s="30">
        <v>0.58400462962962962</v>
      </c>
      <c r="E1868" t="s">
        <v>314</v>
      </c>
      <c r="F1868" t="s">
        <v>299</v>
      </c>
      <c r="G1868" t="s">
        <v>299</v>
      </c>
      <c r="H1868">
        <v>81</v>
      </c>
      <c r="I1868" s="30">
        <v>4.1319444444444442E-3</v>
      </c>
      <c r="J1868">
        <v>4</v>
      </c>
    </row>
    <row r="1869" spans="1:10" x14ac:dyDescent="0.35">
      <c r="A1869" t="s">
        <v>2210</v>
      </c>
      <c r="B1869" t="s">
        <v>301</v>
      </c>
      <c r="C1869" t="s">
        <v>2187</v>
      </c>
      <c r="D1869" s="30">
        <v>0.58400462962962962</v>
      </c>
      <c r="E1869" t="s">
        <v>298</v>
      </c>
      <c r="F1869" t="s">
        <v>299</v>
      </c>
      <c r="G1869" t="s">
        <v>299</v>
      </c>
      <c r="H1869">
        <v>48</v>
      </c>
      <c r="I1869" s="30">
        <v>9.0277777777777774E-4</v>
      </c>
      <c r="J1869">
        <v>4</v>
      </c>
    </row>
    <row r="1870" spans="1:10" x14ac:dyDescent="0.35">
      <c r="A1870" t="s">
        <v>2211</v>
      </c>
      <c r="B1870" t="s">
        <v>307</v>
      </c>
      <c r="C1870" t="s">
        <v>2187</v>
      </c>
      <c r="D1870" s="30">
        <v>0.64599537037037036</v>
      </c>
      <c r="E1870" t="s">
        <v>317</v>
      </c>
      <c r="F1870" t="s">
        <v>299</v>
      </c>
      <c r="G1870" t="s">
        <v>299</v>
      </c>
      <c r="H1870">
        <v>103</v>
      </c>
      <c r="I1870" s="30">
        <v>2.9166666666666668E-3</v>
      </c>
      <c r="J1870">
        <v>5</v>
      </c>
    </row>
    <row r="1871" spans="1:10" x14ac:dyDescent="0.35">
      <c r="A1871" t="s">
        <v>2212</v>
      </c>
      <c r="B1871" t="s">
        <v>305</v>
      </c>
      <c r="C1871" t="s">
        <v>2187</v>
      </c>
      <c r="D1871" s="30">
        <v>0.64599537037037036</v>
      </c>
      <c r="E1871" t="s">
        <v>309</v>
      </c>
      <c r="F1871" t="s">
        <v>299</v>
      </c>
      <c r="G1871" t="s">
        <v>299</v>
      </c>
      <c r="H1871">
        <v>63</v>
      </c>
      <c r="I1871" s="30">
        <v>4.4560185185185189E-3</v>
      </c>
      <c r="J1871">
        <v>4</v>
      </c>
    </row>
    <row r="1872" spans="1:10" x14ac:dyDescent="0.35">
      <c r="A1872" t="s">
        <v>2213</v>
      </c>
      <c r="B1872" t="s">
        <v>307</v>
      </c>
      <c r="C1872" t="s">
        <v>2187</v>
      </c>
      <c r="D1872" s="30">
        <v>0.64900462962962968</v>
      </c>
      <c r="E1872" t="s">
        <v>314</v>
      </c>
      <c r="F1872" t="s">
        <v>299</v>
      </c>
      <c r="G1872" t="s">
        <v>299</v>
      </c>
      <c r="H1872">
        <v>89</v>
      </c>
      <c r="I1872" s="30">
        <v>3.6226851851851854E-3</v>
      </c>
      <c r="J1872">
        <v>4</v>
      </c>
    </row>
    <row r="1873" spans="1:10" x14ac:dyDescent="0.35">
      <c r="A1873" t="s">
        <v>2214</v>
      </c>
      <c r="B1873" t="s">
        <v>332</v>
      </c>
      <c r="C1873" t="s">
        <v>2187</v>
      </c>
      <c r="D1873" s="30">
        <v>0.64900462962962968</v>
      </c>
      <c r="E1873" t="s">
        <v>314</v>
      </c>
      <c r="F1873" t="s">
        <v>299</v>
      </c>
      <c r="G1873" t="s">
        <v>299</v>
      </c>
      <c r="H1873">
        <v>115</v>
      </c>
      <c r="I1873" s="30">
        <v>2.2337962962962962E-3</v>
      </c>
      <c r="J1873">
        <v>4</v>
      </c>
    </row>
    <row r="1874" spans="1:10" x14ac:dyDescent="0.35">
      <c r="A1874" t="s">
        <v>2215</v>
      </c>
      <c r="B1874" t="s">
        <v>305</v>
      </c>
      <c r="C1874" t="s">
        <v>2187</v>
      </c>
      <c r="D1874" s="30">
        <v>0.65900462962962958</v>
      </c>
      <c r="E1874" t="s">
        <v>317</v>
      </c>
      <c r="F1874" t="s">
        <v>299</v>
      </c>
      <c r="G1874" t="s">
        <v>299</v>
      </c>
      <c r="H1874">
        <v>88</v>
      </c>
      <c r="I1874" s="30">
        <v>4.1666666666666666E-3</v>
      </c>
      <c r="J1874">
        <v>1</v>
      </c>
    </row>
    <row r="1875" spans="1:10" x14ac:dyDescent="0.35">
      <c r="A1875" t="s">
        <v>2216</v>
      </c>
      <c r="B1875" t="s">
        <v>296</v>
      </c>
      <c r="C1875" t="s">
        <v>2187</v>
      </c>
      <c r="D1875" s="30">
        <v>0.65900462962962958</v>
      </c>
      <c r="E1875" t="s">
        <v>317</v>
      </c>
      <c r="F1875" t="s">
        <v>299</v>
      </c>
      <c r="G1875" t="s">
        <v>299</v>
      </c>
      <c r="H1875">
        <v>91</v>
      </c>
      <c r="I1875" s="30">
        <v>4.4560185185185189E-3</v>
      </c>
      <c r="J1875">
        <v>5</v>
      </c>
    </row>
    <row r="1876" spans="1:10" x14ac:dyDescent="0.35">
      <c r="A1876" t="s">
        <v>2217</v>
      </c>
      <c r="B1876" t="s">
        <v>332</v>
      </c>
      <c r="C1876" t="s">
        <v>2187</v>
      </c>
      <c r="D1876" s="30">
        <v>0.69799768518518523</v>
      </c>
      <c r="E1876" t="s">
        <v>317</v>
      </c>
      <c r="F1876" t="s">
        <v>299</v>
      </c>
      <c r="G1876" t="s">
        <v>299</v>
      </c>
      <c r="H1876">
        <v>78</v>
      </c>
      <c r="I1876" s="30">
        <v>2.488425925925926E-3</v>
      </c>
      <c r="J1876">
        <v>4</v>
      </c>
    </row>
    <row r="1877" spans="1:10" x14ac:dyDescent="0.35">
      <c r="A1877" t="s">
        <v>2218</v>
      </c>
      <c r="B1877" t="s">
        <v>323</v>
      </c>
      <c r="C1877" t="s">
        <v>2187</v>
      </c>
      <c r="D1877" s="30">
        <v>0.69799768518518523</v>
      </c>
      <c r="E1877" t="s">
        <v>298</v>
      </c>
      <c r="F1877" t="s">
        <v>299</v>
      </c>
      <c r="G1877" t="s">
        <v>299</v>
      </c>
      <c r="H1877">
        <v>91</v>
      </c>
      <c r="I1877" s="30">
        <v>1.4930555555555556E-3</v>
      </c>
      <c r="J1877">
        <v>3</v>
      </c>
    </row>
    <row r="1878" spans="1:10" x14ac:dyDescent="0.35">
      <c r="A1878" t="s">
        <v>2219</v>
      </c>
      <c r="B1878" t="s">
        <v>319</v>
      </c>
      <c r="C1878" t="s">
        <v>2187</v>
      </c>
      <c r="D1878" s="30">
        <v>0.70299768518518524</v>
      </c>
      <c r="E1878" t="s">
        <v>317</v>
      </c>
      <c r="F1878" t="s">
        <v>299</v>
      </c>
      <c r="G1878" t="s">
        <v>299</v>
      </c>
      <c r="H1878">
        <v>102</v>
      </c>
      <c r="I1878" s="30">
        <v>1.8518518518518519E-3</v>
      </c>
      <c r="J1878">
        <v>3</v>
      </c>
    </row>
    <row r="1879" spans="1:10" x14ac:dyDescent="0.35">
      <c r="A1879" t="s">
        <v>2220</v>
      </c>
      <c r="B1879" t="s">
        <v>323</v>
      </c>
      <c r="C1879" t="s">
        <v>2187</v>
      </c>
      <c r="D1879" s="30">
        <v>0.70299768518518524</v>
      </c>
      <c r="E1879" t="s">
        <v>302</v>
      </c>
      <c r="F1879" t="s">
        <v>303</v>
      </c>
      <c r="G1879" t="s">
        <v>303</v>
      </c>
    </row>
    <row r="1880" spans="1:10" x14ac:dyDescent="0.35">
      <c r="A1880" t="s">
        <v>2221</v>
      </c>
      <c r="B1880" t="s">
        <v>307</v>
      </c>
      <c r="C1880" t="s">
        <v>2187</v>
      </c>
      <c r="D1880" s="30">
        <v>0.71599537037037042</v>
      </c>
      <c r="E1880" t="s">
        <v>317</v>
      </c>
      <c r="F1880" t="s">
        <v>299</v>
      </c>
      <c r="G1880" t="s">
        <v>299</v>
      </c>
      <c r="H1880">
        <v>24</v>
      </c>
      <c r="I1880" s="30">
        <v>1.8518518518518519E-3</v>
      </c>
      <c r="J1880">
        <v>4</v>
      </c>
    </row>
    <row r="1881" spans="1:10" x14ac:dyDescent="0.35">
      <c r="A1881" t="s">
        <v>2222</v>
      </c>
      <c r="B1881" t="s">
        <v>305</v>
      </c>
      <c r="C1881" t="s">
        <v>2187</v>
      </c>
      <c r="D1881" s="30">
        <v>0.71599537037037042</v>
      </c>
      <c r="E1881" t="s">
        <v>309</v>
      </c>
      <c r="F1881" t="s">
        <v>303</v>
      </c>
      <c r="G1881" t="s">
        <v>303</v>
      </c>
    </row>
    <row r="1882" spans="1:10" x14ac:dyDescent="0.35">
      <c r="A1882" t="s">
        <v>2223</v>
      </c>
      <c r="B1882" t="s">
        <v>319</v>
      </c>
      <c r="C1882" t="s">
        <v>2224</v>
      </c>
      <c r="D1882" s="30">
        <v>0.39299768518518519</v>
      </c>
      <c r="E1882" t="s">
        <v>302</v>
      </c>
      <c r="F1882" t="s">
        <v>299</v>
      </c>
      <c r="G1882" t="s">
        <v>299</v>
      </c>
      <c r="H1882">
        <v>19</v>
      </c>
      <c r="I1882" s="30">
        <v>1.2731481481481483E-3</v>
      </c>
      <c r="J1882">
        <v>1</v>
      </c>
    </row>
    <row r="1883" spans="1:10" x14ac:dyDescent="0.35">
      <c r="A1883" t="s">
        <v>2225</v>
      </c>
      <c r="B1883" t="s">
        <v>316</v>
      </c>
      <c r="C1883" t="s">
        <v>2224</v>
      </c>
      <c r="D1883" s="30">
        <v>0.39299768518518519</v>
      </c>
      <c r="E1883" t="s">
        <v>317</v>
      </c>
      <c r="F1883" t="s">
        <v>299</v>
      </c>
      <c r="G1883" t="s">
        <v>299</v>
      </c>
      <c r="H1883">
        <v>47</v>
      </c>
      <c r="I1883" s="30">
        <v>6.134259259259259E-4</v>
      </c>
      <c r="J1883">
        <v>4</v>
      </c>
    </row>
    <row r="1884" spans="1:10" x14ac:dyDescent="0.35">
      <c r="A1884" t="s">
        <v>2226</v>
      </c>
      <c r="B1884" t="s">
        <v>307</v>
      </c>
      <c r="C1884" t="s">
        <v>2224</v>
      </c>
      <c r="D1884" s="30">
        <v>0.39500000000000002</v>
      </c>
      <c r="E1884" t="s">
        <v>314</v>
      </c>
      <c r="F1884" t="s">
        <v>299</v>
      </c>
      <c r="G1884" t="s">
        <v>299</v>
      </c>
      <c r="H1884">
        <v>61</v>
      </c>
      <c r="I1884" s="30">
        <v>2.3495370370370371E-3</v>
      </c>
      <c r="J1884">
        <v>4</v>
      </c>
    </row>
    <row r="1885" spans="1:10" x14ac:dyDescent="0.35">
      <c r="A1885" t="s">
        <v>2227</v>
      </c>
      <c r="B1885" t="s">
        <v>307</v>
      </c>
      <c r="C1885" t="s">
        <v>2224</v>
      </c>
      <c r="D1885" s="30">
        <v>0.39500000000000002</v>
      </c>
      <c r="E1885" t="s">
        <v>314</v>
      </c>
      <c r="F1885" t="s">
        <v>299</v>
      </c>
      <c r="G1885" t="s">
        <v>299</v>
      </c>
      <c r="H1885">
        <v>73</v>
      </c>
      <c r="I1885" s="30">
        <v>3.8657407407407408E-3</v>
      </c>
      <c r="J1885">
        <v>5</v>
      </c>
    </row>
    <row r="1886" spans="1:10" x14ac:dyDescent="0.35">
      <c r="A1886" t="s">
        <v>2228</v>
      </c>
      <c r="B1886" t="s">
        <v>305</v>
      </c>
      <c r="C1886" t="s">
        <v>2224</v>
      </c>
      <c r="D1886" s="30">
        <v>0.4</v>
      </c>
      <c r="E1886" t="s">
        <v>302</v>
      </c>
      <c r="F1886" t="s">
        <v>299</v>
      </c>
      <c r="G1886" t="s">
        <v>299</v>
      </c>
      <c r="H1886">
        <v>67</v>
      </c>
      <c r="I1886" s="30">
        <v>3.6689814814814814E-3</v>
      </c>
      <c r="J1886">
        <v>5</v>
      </c>
    </row>
    <row r="1887" spans="1:10" x14ac:dyDescent="0.35">
      <c r="A1887" t="s">
        <v>2229</v>
      </c>
      <c r="B1887" t="s">
        <v>307</v>
      </c>
      <c r="C1887" t="s">
        <v>2224</v>
      </c>
      <c r="D1887" s="30">
        <v>0.4</v>
      </c>
      <c r="E1887" t="s">
        <v>317</v>
      </c>
      <c r="F1887" t="s">
        <v>299</v>
      </c>
      <c r="G1887" t="s">
        <v>299</v>
      </c>
      <c r="H1887">
        <v>22</v>
      </c>
      <c r="I1887" s="30">
        <v>4.6064814814814814E-3</v>
      </c>
      <c r="J1887">
        <v>1</v>
      </c>
    </row>
    <row r="1888" spans="1:10" x14ac:dyDescent="0.35">
      <c r="A1888" t="s">
        <v>2230</v>
      </c>
      <c r="B1888" t="s">
        <v>301</v>
      </c>
      <c r="C1888" t="s">
        <v>2224</v>
      </c>
      <c r="D1888" s="30">
        <v>0.40400462962962963</v>
      </c>
      <c r="E1888" t="s">
        <v>298</v>
      </c>
      <c r="F1888" t="s">
        <v>299</v>
      </c>
      <c r="G1888" t="s">
        <v>299</v>
      </c>
      <c r="H1888">
        <v>86</v>
      </c>
      <c r="I1888" s="30">
        <v>5.0925925925925921E-4</v>
      </c>
      <c r="J1888">
        <v>5</v>
      </c>
    </row>
    <row r="1889" spans="1:10" x14ac:dyDescent="0.35">
      <c r="A1889" t="s">
        <v>2231</v>
      </c>
      <c r="B1889" t="s">
        <v>296</v>
      </c>
      <c r="C1889" t="s">
        <v>2224</v>
      </c>
      <c r="D1889" s="30">
        <v>0.40400462962962963</v>
      </c>
      <c r="E1889" t="s">
        <v>317</v>
      </c>
      <c r="F1889" t="s">
        <v>303</v>
      </c>
      <c r="G1889" t="s">
        <v>303</v>
      </c>
    </row>
    <row r="1890" spans="1:10" x14ac:dyDescent="0.35">
      <c r="A1890" t="s">
        <v>2232</v>
      </c>
      <c r="B1890" t="s">
        <v>307</v>
      </c>
      <c r="C1890" t="s">
        <v>2224</v>
      </c>
      <c r="D1890" s="30">
        <v>0.40900462962962963</v>
      </c>
      <c r="E1890" t="s">
        <v>317</v>
      </c>
      <c r="F1890" t="s">
        <v>303</v>
      </c>
      <c r="G1890" t="s">
        <v>303</v>
      </c>
    </row>
    <row r="1891" spans="1:10" x14ac:dyDescent="0.35">
      <c r="A1891" t="s">
        <v>2233</v>
      </c>
      <c r="B1891" t="s">
        <v>296</v>
      </c>
      <c r="C1891" t="s">
        <v>2224</v>
      </c>
      <c r="D1891" s="30">
        <v>0.40900462962962963</v>
      </c>
      <c r="E1891" t="s">
        <v>298</v>
      </c>
      <c r="F1891" t="s">
        <v>303</v>
      </c>
      <c r="G1891" t="s">
        <v>303</v>
      </c>
    </row>
    <row r="1892" spans="1:10" x14ac:dyDescent="0.35">
      <c r="A1892" t="s">
        <v>2234</v>
      </c>
      <c r="B1892" t="s">
        <v>332</v>
      </c>
      <c r="C1892" t="s">
        <v>2224</v>
      </c>
      <c r="D1892" s="30">
        <v>0.42299768518518521</v>
      </c>
      <c r="E1892" t="s">
        <v>317</v>
      </c>
      <c r="F1892" t="s">
        <v>303</v>
      </c>
      <c r="G1892" t="s">
        <v>303</v>
      </c>
    </row>
    <row r="1893" spans="1:10" x14ac:dyDescent="0.35">
      <c r="A1893" t="s">
        <v>2235</v>
      </c>
      <c r="B1893" t="s">
        <v>316</v>
      </c>
      <c r="C1893" t="s">
        <v>2224</v>
      </c>
      <c r="D1893" s="30">
        <v>0.42299768518518521</v>
      </c>
      <c r="E1893" t="s">
        <v>314</v>
      </c>
      <c r="F1893" t="s">
        <v>299</v>
      </c>
      <c r="G1893" t="s">
        <v>299</v>
      </c>
      <c r="H1893">
        <v>46</v>
      </c>
      <c r="I1893" s="30">
        <v>2.5925925925925925E-3</v>
      </c>
      <c r="J1893">
        <v>4</v>
      </c>
    </row>
    <row r="1894" spans="1:10" x14ac:dyDescent="0.35">
      <c r="A1894" t="s">
        <v>2236</v>
      </c>
      <c r="B1894" t="s">
        <v>307</v>
      </c>
      <c r="C1894" t="s">
        <v>2224</v>
      </c>
      <c r="D1894" s="30">
        <v>0.42799768518518516</v>
      </c>
      <c r="E1894" t="s">
        <v>298</v>
      </c>
      <c r="F1894" t="s">
        <v>299</v>
      </c>
      <c r="G1894" t="s">
        <v>299</v>
      </c>
      <c r="H1894">
        <v>81</v>
      </c>
      <c r="I1894" s="30">
        <v>1.3541666666666667E-3</v>
      </c>
      <c r="J1894">
        <v>4</v>
      </c>
    </row>
    <row r="1895" spans="1:10" x14ac:dyDescent="0.35">
      <c r="A1895" t="s">
        <v>2237</v>
      </c>
      <c r="B1895" t="s">
        <v>319</v>
      </c>
      <c r="C1895" t="s">
        <v>2224</v>
      </c>
      <c r="D1895" s="30">
        <v>0.42799768518518516</v>
      </c>
      <c r="E1895" t="s">
        <v>314</v>
      </c>
      <c r="F1895" t="s">
        <v>299</v>
      </c>
      <c r="G1895" t="s">
        <v>299</v>
      </c>
      <c r="H1895">
        <v>20</v>
      </c>
      <c r="I1895" s="30">
        <v>1.8171296296296297E-3</v>
      </c>
      <c r="J1895">
        <v>3</v>
      </c>
    </row>
    <row r="1896" spans="1:10" x14ac:dyDescent="0.35">
      <c r="A1896" t="s">
        <v>2238</v>
      </c>
      <c r="B1896" t="s">
        <v>296</v>
      </c>
      <c r="C1896" t="s">
        <v>2224</v>
      </c>
      <c r="D1896" s="30">
        <v>0.43099537037037039</v>
      </c>
      <c r="E1896" t="s">
        <v>317</v>
      </c>
      <c r="F1896" t="s">
        <v>299</v>
      </c>
      <c r="G1896" t="s">
        <v>299</v>
      </c>
      <c r="H1896">
        <v>85</v>
      </c>
      <c r="I1896" s="30">
        <v>4.2939814814814811E-3</v>
      </c>
      <c r="J1896">
        <v>1</v>
      </c>
    </row>
    <row r="1897" spans="1:10" x14ac:dyDescent="0.35">
      <c r="A1897" t="s">
        <v>2239</v>
      </c>
      <c r="B1897" t="s">
        <v>332</v>
      </c>
      <c r="C1897" t="s">
        <v>2224</v>
      </c>
      <c r="D1897" s="30">
        <v>0.43099537037037039</v>
      </c>
      <c r="E1897" t="s">
        <v>317</v>
      </c>
      <c r="F1897" t="s">
        <v>299</v>
      </c>
      <c r="G1897" t="s">
        <v>299</v>
      </c>
      <c r="H1897">
        <v>91</v>
      </c>
      <c r="I1897" s="30">
        <v>2.9050925925925928E-3</v>
      </c>
      <c r="J1897">
        <v>4</v>
      </c>
    </row>
    <row r="1898" spans="1:10" x14ac:dyDescent="0.35">
      <c r="A1898" t="s">
        <v>2240</v>
      </c>
      <c r="B1898" t="s">
        <v>332</v>
      </c>
      <c r="C1898" t="s">
        <v>2224</v>
      </c>
      <c r="D1898" s="30">
        <v>0.44799768518518518</v>
      </c>
      <c r="E1898" t="s">
        <v>298</v>
      </c>
      <c r="F1898" t="s">
        <v>303</v>
      </c>
      <c r="G1898" t="s">
        <v>303</v>
      </c>
    </row>
    <row r="1899" spans="1:10" x14ac:dyDescent="0.35">
      <c r="A1899" t="s">
        <v>2241</v>
      </c>
      <c r="B1899" t="s">
        <v>296</v>
      </c>
      <c r="C1899" t="s">
        <v>2224</v>
      </c>
      <c r="D1899" s="30">
        <v>0.44799768518518518</v>
      </c>
      <c r="E1899" t="s">
        <v>309</v>
      </c>
      <c r="F1899" t="s">
        <v>299</v>
      </c>
      <c r="G1899" t="s">
        <v>299</v>
      </c>
      <c r="H1899">
        <v>87</v>
      </c>
      <c r="I1899" s="30">
        <v>2.9282407407407408E-3</v>
      </c>
      <c r="J1899">
        <v>4</v>
      </c>
    </row>
    <row r="1900" spans="1:10" x14ac:dyDescent="0.35">
      <c r="A1900" t="s">
        <v>2242</v>
      </c>
      <c r="B1900" t="s">
        <v>307</v>
      </c>
      <c r="C1900" t="s">
        <v>2224</v>
      </c>
      <c r="D1900" s="30">
        <v>0.45200231481481479</v>
      </c>
      <c r="E1900" t="s">
        <v>298</v>
      </c>
      <c r="F1900" t="s">
        <v>303</v>
      </c>
      <c r="G1900" t="s">
        <v>303</v>
      </c>
    </row>
    <row r="1901" spans="1:10" x14ac:dyDescent="0.35">
      <c r="A1901" t="s">
        <v>2243</v>
      </c>
      <c r="B1901" t="s">
        <v>323</v>
      </c>
      <c r="C1901" t="s">
        <v>2224</v>
      </c>
      <c r="D1901" s="30">
        <v>0.45200231481481479</v>
      </c>
      <c r="E1901" t="s">
        <v>314</v>
      </c>
      <c r="F1901" t="s">
        <v>299</v>
      </c>
      <c r="G1901" t="s">
        <v>299</v>
      </c>
      <c r="H1901">
        <v>41</v>
      </c>
      <c r="I1901" s="30">
        <v>4.7916666666666663E-3</v>
      </c>
      <c r="J1901">
        <v>4</v>
      </c>
    </row>
    <row r="1902" spans="1:10" x14ac:dyDescent="0.35">
      <c r="A1902" t="s">
        <v>2244</v>
      </c>
      <c r="B1902" t="s">
        <v>332</v>
      </c>
      <c r="C1902" t="s">
        <v>2224</v>
      </c>
      <c r="D1902" s="30">
        <v>0.4670023148148148</v>
      </c>
      <c r="E1902" t="s">
        <v>298</v>
      </c>
      <c r="F1902" t="s">
        <v>299</v>
      </c>
      <c r="G1902" t="s">
        <v>299</v>
      </c>
      <c r="H1902">
        <v>20</v>
      </c>
      <c r="I1902" s="30">
        <v>4.8379629629629632E-3</v>
      </c>
      <c r="J1902">
        <v>4</v>
      </c>
    </row>
    <row r="1903" spans="1:10" x14ac:dyDescent="0.35">
      <c r="A1903" t="s">
        <v>2245</v>
      </c>
      <c r="B1903" t="s">
        <v>323</v>
      </c>
      <c r="C1903" t="s">
        <v>2224</v>
      </c>
      <c r="D1903" s="30">
        <v>0.4670023148148148</v>
      </c>
      <c r="E1903" t="s">
        <v>309</v>
      </c>
      <c r="F1903" t="s">
        <v>299</v>
      </c>
      <c r="G1903" t="s">
        <v>299</v>
      </c>
      <c r="H1903">
        <v>14</v>
      </c>
      <c r="I1903" s="30">
        <v>3.0439814814814813E-3</v>
      </c>
      <c r="J1903">
        <v>4</v>
      </c>
    </row>
    <row r="1904" spans="1:10" x14ac:dyDescent="0.35">
      <c r="A1904" t="s">
        <v>2246</v>
      </c>
      <c r="B1904" t="s">
        <v>301</v>
      </c>
      <c r="C1904" t="s">
        <v>2224</v>
      </c>
      <c r="D1904" s="30">
        <v>0.4679976851851852</v>
      </c>
      <c r="E1904" t="s">
        <v>314</v>
      </c>
      <c r="F1904" t="s">
        <v>299</v>
      </c>
      <c r="G1904" t="s">
        <v>303</v>
      </c>
      <c r="H1904">
        <v>107</v>
      </c>
      <c r="I1904" s="30">
        <v>8.9120370370370373E-4</v>
      </c>
      <c r="J1904">
        <v>4</v>
      </c>
    </row>
    <row r="1905" spans="1:10" x14ac:dyDescent="0.35">
      <c r="A1905" t="s">
        <v>2247</v>
      </c>
      <c r="B1905" t="s">
        <v>332</v>
      </c>
      <c r="C1905" t="s">
        <v>2224</v>
      </c>
      <c r="D1905" s="30">
        <v>0.4679976851851852</v>
      </c>
      <c r="E1905" t="s">
        <v>317</v>
      </c>
      <c r="F1905" t="s">
        <v>303</v>
      </c>
      <c r="G1905" t="s">
        <v>303</v>
      </c>
    </row>
    <row r="1906" spans="1:10" x14ac:dyDescent="0.35">
      <c r="A1906" t="s">
        <v>2248</v>
      </c>
      <c r="B1906" t="s">
        <v>323</v>
      </c>
      <c r="C1906" t="s">
        <v>2224</v>
      </c>
      <c r="D1906" s="30">
        <v>0.48200231481481481</v>
      </c>
      <c r="E1906" t="s">
        <v>302</v>
      </c>
      <c r="F1906" t="s">
        <v>303</v>
      </c>
      <c r="G1906" t="s">
        <v>303</v>
      </c>
    </row>
    <row r="1907" spans="1:10" x14ac:dyDescent="0.35">
      <c r="A1907" t="s">
        <v>2249</v>
      </c>
      <c r="B1907" t="s">
        <v>332</v>
      </c>
      <c r="C1907" t="s">
        <v>2224</v>
      </c>
      <c r="D1907" s="30">
        <v>0.48200231481481481</v>
      </c>
      <c r="E1907" t="s">
        <v>317</v>
      </c>
      <c r="F1907" t="s">
        <v>299</v>
      </c>
      <c r="G1907" t="s">
        <v>303</v>
      </c>
      <c r="H1907">
        <v>27</v>
      </c>
      <c r="I1907" s="30">
        <v>5.6712962962962967E-4</v>
      </c>
      <c r="J1907">
        <v>1</v>
      </c>
    </row>
    <row r="1908" spans="1:10" x14ac:dyDescent="0.35">
      <c r="A1908" t="s">
        <v>2250</v>
      </c>
      <c r="B1908" t="s">
        <v>305</v>
      </c>
      <c r="C1908" t="s">
        <v>2224</v>
      </c>
      <c r="D1908" s="30">
        <v>0.49200231481481482</v>
      </c>
      <c r="E1908" t="s">
        <v>317</v>
      </c>
      <c r="F1908" t="s">
        <v>299</v>
      </c>
      <c r="G1908" t="s">
        <v>299</v>
      </c>
      <c r="H1908">
        <v>119</v>
      </c>
      <c r="I1908" s="30">
        <v>3.2638888888888891E-3</v>
      </c>
      <c r="J1908">
        <v>4</v>
      </c>
    </row>
    <row r="1909" spans="1:10" x14ac:dyDescent="0.35">
      <c r="A1909" t="s">
        <v>2251</v>
      </c>
      <c r="B1909" t="s">
        <v>316</v>
      </c>
      <c r="C1909" t="s">
        <v>2224</v>
      </c>
      <c r="D1909" s="30">
        <v>0.49200231481481482</v>
      </c>
      <c r="E1909" t="s">
        <v>298</v>
      </c>
      <c r="F1909" t="s">
        <v>299</v>
      </c>
      <c r="G1909" t="s">
        <v>299</v>
      </c>
      <c r="H1909">
        <v>55</v>
      </c>
      <c r="I1909" s="30">
        <v>1.6782407407407408E-3</v>
      </c>
      <c r="J1909">
        <v>1</v>
      </c>
    </row>
    <row r="1910" spans="1:10" x14ac:dyDescent="0.35">
      <c r="A1910" t="s">
        <v>2252</v>
      </c>
      <c r="B1910" t="s">
        <v>307</v>
      </c>
      <c r="C1910" t="s">
        <v>2224</v>
      </c>
      <c r="D1910" s="30">
        <v>0.50099537037037034</v>
      </c>
      <c r="E1910" t="s">
        <v>309</v>
      </c>
      <c r="F1910" t="s">
        <v>299</v>
      </c>
      <c r="G1910" t="s">
        <v>299</v>
      </c>
      <c r="H1910">
        <v>62</v>
      </c>
      <c r="I1910" s="30">
        <v>3.3564814814814816E-3</v>
      </c>
      <c r="J1910">
        <v>3</v>
      </c>
    </row>
    <row r="1911" spans="1:10" x14ac:dyDescent="0.35">
      <c r="A1911" t="s">
        <v>2253</v>
      </c>
      <c r="B1911" t="s">
        <v>316</v>
      </c>
      <c r="C1911" t="s">
        <v>2224</v>
      </c>
      <c r="D1911" s="30">
        <v>0.50099537037037034</v>
      </c>
      <c r="E1911" t="s">
        <v>302</v>
      </c>
      <c r="F1911" t="s">
        <v>299</v>
      </c>
      <c r="G1911" t="s">
        <v>299</v>
      </c>
      <c r="H1911">
        <v>105</v>
      </c>
      <c r="I1911" s="30">
        <v>2.3032407407407407E-3</v>
      </c>
      <c r="J1911">
        <v>3</v>
      </c>
    </row>
    <row r="1912" spans="1:10" x14ac:dyDescent="0.35">
      <c r="A1912" t="s">
        <v>2254</v>
      </c>
      <c r="B1912" t="s">
        <v>323</v>
      </c>
      <c r="C1912" t="s">
        <v>2224</v>
      </c>
      <c r="D1912" s="30">
        <v>0.52799768518518519</v>
      </c>
      <c r="E1912" t="s">
        <v>298</v>
      </c>
      <c r="F1912" t="s">
        <v>299</v>
      </c>
      <c r="G1912" t="s">
        <v>299</v>
      </c>
      <c r="H1912">
        <v>16</v>
      </c>
      <c r="I1912" s="30">
        <v>3.8425925925925928E-3</v>
      </c>
      <c r="J1912">
        <v>5</v>
      </c>
    </row>
    <row r="1913" spans="1:10" x14ac:dyDescent="0.35">
      <c r="A1913" t="s">
        <v>2255</v>
      </c>
      <c r="B1913" t="s">
        <v>296</v>
      </c>
      <c r="C1913" t="s">
        <v>2224</v>
      </c>
      <c r="D1913" s="30">
        <v>0.52799768518518519</v>
      </c>
      <c r="E1913" t="s">
        <v>302</v>
      </c>
      <c r="F1913" t="s">
        <v>303</v>
      </c>
      <c r="G1913" t="s">
        <v>303</v>
      </c>
    </row>
    <row r="1914" spans="1:10" x14ac:dyDescent="0.35">
      <c r="A1914" t="s">
        <v>2256</v>
      </c>
      <c r="B1914" t="s">
        <v>316</v>
      </c>
      <c r="C1914" t="s">
        <v>2224</v>
      </c>
      <c r="D1914" s="30">
        <v>0.53099537037037037</v>
      </c>
      <c r="E1914" t="s">
        <v>302</v>
      </c>
      <c r="F1914" t="s">
        <v>299</v>
      </c>
      <c r="G1914" t="s">
        <v>299</v>
      </c>
      <c r="H1914">
        <v>23</v>
      </c>
      <c r="I1914" s="30">
        <v>2.5462962962962965E-3</v>
      </c>
      <c r="J1914">
        <v>1</v>
      </c>
    </row>
    <row r="1915" spans="1:10" x14ac:dyDescent="0.35">
      <c r="A1915" t="s">
        <v>2257</v>
      </c>
      <c r="B1915" t="s">
        <v>319</v>
      </c>
      <c r="C1915" t="s">
        <v>2224</v>
      </c>
      <c r="D1915" s="30">
        <v>0.53099537037037037</v>
      </c>
      <c r="E1915" t="s">
        <v>314</v>
      </c>
      <c r="F1915" t="s">
        <v>303</v>
      </c>
      <c r="G1915" t="s">
        <v>303</v>
      </c>
    </row>
    <row r="1916" spans="1:10" x14ac:dyDescent="0.35">
      <c r="A1916" t="s">
        <v>2258</v>
      </c>
      <c r="B1916" t="s">
        <v>296</v>
      </c>
      <c r="C1916" t="s">
        <v>2224</v>
      </c>
      <c r="D1916" s="30">
        <v>0.53700231481481486</v>
      </c>
      <c r="E1916" t="s">
        <v>309</v>
      </c>
      <c r="F1916" t="s">
        <v>299</v>
      </c>
      <c r="G1916" t="s">
        <v>299</v>
      </c>
      <c r="H1916">
        <v>89</v>
      </c>
      <c r="I1916" s="30">
        <v>3.1481481481481482E-3</v>
      </c>
      <c r="J1916">
        <v>5</v>
      </c>
    </row>
    <row r="1917" spans="1:10" x14ac:dyDescent="0.35">
      <c r="A1917" t="s">
        <v>2259</v>
      </c>
      <c r="B1917" t="s">
        <v>296</v>
      </c>
      <c r="C1917" t="s">
        <v>2224</v>
      </c>
      <c r="D1917" s="30">
        <v>0.53700231481481486</v>
      </c>
      <c r="E1917" t="s">
        <v>302</v>
      </c>
      <c r="F1917" t="s">
        <v>299</v>
      </c>
      <c r="G1917" t="s">
        <v>299</v>
      </c>
      <c r="H1917">
        <v>53</v>
      </c>
      <c r="I1917" s="30">
        <v>1.1226851851851851E-3</v>
      </c>
      <c r="J1917">
        <v>5</v>
      </c>
    </row>
    <row r="1918" spans="1:10" x14ac:dyDescent="0.35">
      <c r="A1918" t="s">
        <v>2260</v>
      </c>
      <c r="B1918" t="s">
        <v>296</v>
      </c>
      <c r="C1918" t="s">
        <v>2224</v>
      </c>
      <c r="D1918" s="30">
        <v>0.54</v>
      </c>
      <c r="E1918" t="s">
        <v>298</v>
      </c>
      <c r="F1918" t="s">
        <v>299</v>
      </c>
      <c r="G1918" t="s">
        <v>303</v>
      </c>
      <c r="H1918">
        <v>104</v>
      </c>
      <c r="I1918" s="30">
        <v>1.261574074074074E-3</v>
      </c>
      <c r="J1918">
        <v>3</v>
      </c>
    </row>
    <row r="1919" spans="1:10" x14ac:dyDescent="0.35">
      <c r="A1919" t="s">
        <v>2261</v>
      </c>
      <c r="B1919" t="s">
        <v>316</v>
      </c>
      <c r="C1919" t="s">
        <v>2224</v>
      </c>
      <c r="D1919" s="30">
        <v>0.54</v>
      </c>
      <c r="E1919" t="s">
        <v>309</v>
      </c>
      <c r="F1919" t="s">
        <v>299</v>
      </c>
      <c r="G1919" t="s">
        <v>299</v>
      </c>
      <c r="H1919">
        <v>78</v>
      </c>
      <c r="I1919" s="30">
        <v>1.8749999999999999E-3</v>
      </c>
      <c r="J1919">
        <v>2</v>
      </c>
    </row>
    <row r="1920" spans="1:10" x14ac:dyDescent="0.35">
      <c r="A1920" t="s">
        <v>2262</v>
      </c>
      <c r="B1920" t="s">
        <v>305</v>
      </c>
      <c r="C1920" t="s">
        <v>2224</v>
      </c>
      <c r="D1920" s="30">
        <v>0.54299768518518521</v>
      </c>
      <c r="E1920" t="s">
        <v>302</v>
      </c>
      <c r="F1920" t="s">
        <v>299</v>
      </c>
      <c r="G1920" t="s">
        <v>299</v>
      </c>
      <c r="H1920">
        <v>92</v>
      </c>
      <c r="I1920" s="30">
        <v>3.3680555555555556E-3</v>
      </c>
      <c r="J1920">
        <v>2</v>
      </c>
    </row>
    <row r="1921" spans="1:10" x14ac:dyDescent="0.35">
      <c r="A1921" t="s">
        <v>2263</v>
      </c>
      <c r="B1921" t="s">
        <v>323</v>
      </c>
      <c r="C1921" t="s">
        <v>2224</v>
      </c>
      <c r="D1921" s="30">
        <v>0.54299768518518521</v>
      </c>
      <c r="E1921" t="s">
        <v>317</v>
      </c>
      <c r="F1921" t="s">
        <v>299</v>
      </c>
      <c r="G1921" t="s">
        <v>299</v>
      </c>
      <c r="H1921">
        <v>107</v>
      </c>
      <c r="I1921" s="30">
        <v>1.5509259259259259E-3</v>
      </c>
      <c r="J1921">
        <v>4</v>
      </c>
    </row>
    <row r="1922" spans="1:10" x14ac:dyDescent="0.35">
      <c r="A1922" t="s">
        <v>2264</v>
      </c>
      <c r="B1922" t="s">
        <v>307</v>
      </c>
      <c r="C1922" t="s">
        <v>2224</v>
      </c>
      <c r="D1922" s="30">
        <v>0.56400462962962961</v>
      </c>
      <c r="E1922" t="s">
        <v>317</v>
      </c>
      <c r="F1922" t="s">
        <v>303</v>
      </c>
      <c r="G1922" t="s">
        <v>303</v>
      </c>
    </row>
    <row r="1923" spans="1:10" x14ac:dyDescent="0.35">
      <c r="A1923" t="s">
        <v>2265</v>
      </c>
      <c r="B1923" t="s">
        <v>332</v>
      </c>
      <c r="C1923" t="s">
        <v>2224</v>
      </c>
      <c r="D1923" s="30">
        <v>0.56400462962962961</v>
      </c>
      <c r="E1923" t="s">
        <v>314</v>
      </c>
      <c r="F1923" t="s">
        <v>303</v>
      </c>
      <c r="G1923" t="s">
        <v>303</v>
      </c>
    </row>
    <row r="1924" spans="1:10" x14ac:dyDescent="0.35">
      <c r="A1924" t="s">
        <v>2266</v>
      </c>
      <c r="B1924" t="s">
        <v>296</v>
      </c>
      <c r="C1924" t="s">
        <v>2224</v>
      </c>
      <c r="D1924" s="30">
        <v>0.56499999999999995</v>
      </c>
      <c r="E1924" t="s">
        <v>298</v>
      </c>
      <c r="F1924" t="s">
        <v>299</v>
      </c>
      <c r="G1924" t="s">
        <v>299</v>
      </c>
      <c r="H1924">
        <v>116</v>
      </c>
      <c r="I1924" s="30">
        <v>1.736111111111111E-3</v>
      </c>
      <c r="J1924">
        <v>3</v>
      </c>
    </row>
    <row r="1925" spans="1:10" x14ac:dyDescent="0.35">
      <c r="A1925" t="s">
        <v>2267</v>
      </c>
      <c r="B1925" t="s">
        <v>316</v>
      </c>
      <c r="C1925" t="s">
        <v>2224</v>
      </c>
      <c r="D1925" s="30">
        <v>0.56499999999999995</v>
      </c>
      <c r="E1925" t="s">
        <v>317</v>
      </c>
      <c r="F1925" t="s">
        <v>303</v>
      </c>
      <c r="G1925" t="s">
        <v>303</v>
      </c>
    </row>
    <row r="1926" spans="1:10" x14ac:dyDescent="0.35">
      <c r="A1926" t="s">
        <v>2268</v>
      </c>
      <c r="B1926" t="s">
        <v>332</v>
      </c>
      <c r="C1926" t="s">
        <v>2224</v>
      </c>
      <c r="D1926" s="30">
        <v>0.56999999999999995</v>
      </c>
      <c r="E1926" t="s">
        <v>302</v>
      </c>
      <c r="F1926" t="s">
        <v>299</v>
      </c>
      <c r="G1926" t="s">
        <v>299</v>
      </c>
      <c r="H1926">
        <v>101</v>
      </c>
      <c r="I1926" s="30">
        <v>2.0254629629629629E-3</v>
      </c>
      <c r="J1926">
        <v>3</v>
      </c>
    </row>
    <row r="1927" spans="1:10" x14ac:dyDescent="0.35">
      <c r="A1927" t="s">
        <v>2269</v>
      </c>
      <c r="B1927" t="s">
        <v>319</v>
      </c>
      <c r="C1927" t="s">
        <v>2224</v>
      </c>
      <c r="D1927" s="30">
        <v>0.56999999999999995</v>
      </c>
      <c r="E1927" t="s">
        <v>314</v>
      </c>
      <c r="F1927" t="s">
        <v>299</v>
      </c>
      <c r="G1927" t="s">
        <v>299</v>
      </c>
      <c r="H1927">
        <v>41</v>
      </c>
      <c r="I1927" s="30">
        <v>2.4652777777777776E-3</v>
      </c>
      <c r="J1927">
        <v>2</v>
      </c>
    </row>
    <row r="1928" spans="1:10" x14ac:dyDescent="0.35">
      <c r="A1928" t="s">
        <v>2270</v>
      </c>
      <c r="B1928" t="s">
        <v>323</v>
      </c>
      <c r="C1928" t="s">
        <v>2224</v>
      </c>
      <c r="D1928" s="30">
        <v>0.57200231481481478</v>
      </c>
      <c r="E1928" t="s">
        <v>298</v>
      </c>
      <c r="F1928" t="s">
        <v>299</v>
      </c>
      <c r="G1928" t="s">
        <v>303</v>
      </c>
      <c r="H1928">
        <v>102</v>
      </c>
      <c r="I1928" s="30">
        <v>4.1666666666666666E-3</v>
      </c>
      <c r="J1928">
        <v>2</v>
      </c>
    </row>
    <row r="1929" spans="1:10" x14ac:dyDescent="0.35">
      <c r="A1929" t="s">
        <v>2271</v>
      </c>
      <c r="B1929" t="s">
        <v>316</v>
      </c>
      <c r="C1929" t="s">
        <v>2224</v>
      </c>
      <c r="D1929" s="30">
        <v>0.57200231481481478</v>
      </c>
      <c r="E1929" t="s">
        <v>314</v>
      </c>
      <c r="F1929" t="s">
        <v>299</v>
      </c>
      <c r="G1929" t="s">
        <v>299</v>
      </c>
      <c r="H1929">
        <v>94</v>
      </c>
      <c r="I1929" s="30">
        <v>8.9120370370370373E-4</v>
      </c>
      <c r="J1929">
        <v>2</v>
      </c>
    </row>
    <row r="1930" spans="1:10" x14ac:dyDescent="0.35">
      <c r="A1930" t="s">
        <v>2272</v>
      </c>
      <c r="B1930" t="s">
        <v>323</v>
      </c>
      <c r="C1930" t="s">
        <v>2224</v>
      </c>
      <c r="D1930" s="30">
        <v>0.57599537037037041</v>
      </c>
      <c r="E1930" t="s">
        <v>309</v>
      </c>
      <c r="F1930" t="s">
        <v>299</v>
      </c>
      <c r="G1930" t="s">
        <v>299</v>
      </c>
      <c r="H1930">
        <v>72</v>
      </c>
      <c r="I1930" s="30">
        <v>3.5648148148148149E-3</v>
      </c>
      <c r="J1930">
        <v>2</v>
      </c>
    </row>
    <row r="1931" spans="1:10" x14ac:dyDescent="0.35">
      <c r="A1931" t="s">
        <v>2273</v>
      </c>
      <c r="B1931" t="s">
        <v>307</v>
      </c>
      <c r="C1931" t="s">
        <v>2224</v>
      </c>
      <c r="D1931" s="30">
        <v>0.57599537037037041</v>
      </c>
      <c r="E1931" t="s">
        <v>298</v>
      </c>
      <c r="F1931" t="s">
        <v>299</v>
      </c>
      <c r="G1931" t="s">
        <v>299</v>
      </c>
      <c r="H1931">
        <v>30</v>
      </c>
      <c r="I1931" s="30">
        <v>3.5300925925925925E-3</v>
      </c>
      <c r="J1931">
        <v>4</v>
      </c>
    </row>
    <row r="1932" spans="1:10" x14ac:dyDescent="0.35">
      <c r="A1932" t="s">
        <v>2274</v>
      </c>
      <c r="B1932" t="s">
        <v>319</v>
      </c>
      <c r="C1932" t="s">
        <v>2224</v>
      </c>
      <c r="D1932" s="30">
        <v>0.57700231481481479</v>
      </c>
      <c r="E1932" t="s">
        <v>302</v>
      </c>
      <c r="F1932" t="s">
        <v>299</v>
      </c>
      <c r="G1932" t="s">
        <v>299</v>
      </c>
      <c r="H1932">
        <v>58</v>
      </c>
      <c r="I1932" s="30">
        <v>7.291666666666667E-4</v>
      </c>
      <c r="J1932">
        <v>4</v>
      </c>
    </row>
    <row r="1933" spans="1:10" x14ac:dyDescent="0.35">
      <c r="A1933" t="s">
        <v>2275</v>
      </c>
      <c r="B1933" t="s">
        <v>323</v>
      </c>
      <c r="C1933" t="s">
        <v>2224</v>
      </c>
      <c r="D1933" s="30">
        <v>0.57700231481481479</v>
      </c>
      <c r="E1933" t="s">
        <v>298</v>
      </c>
      <c r="F1933" t="s">
        <v>299</v>
      </c>
      <c r="G1933" t="s">
        <v>299</v>
      </c>
      <c r="H1933">
        <v>57</v>
      </c>
      <c r="I1933" s="30">
        <v>1.4236111111111112E-3</v>
      </c>
      <c r="J1933">
        <v>1</v>
      </c>
    </row>
    <row r="1934" spans="1:10" x14ac:dyDescent="0.35">
      <c r="A1934" t="s">
        <v>2276</v>
      </c>
      <c r="B1934" t="s">
        <v>305</v>
      </c>
      <c r="C1934" t="s">
        <v>2224</v>
      </c>
      <c r="D1934" s="30">
        <v>0.61499999999999999</v>
      </c>
      <c r="E1934" t="s">
        <v>302</v>
      </c>
      <c r="F1934" t="s">
        <v>299</v>
      </c>
      <c r="G1934" t="s">
        <v>299</v>
      </c>
      <c r="H1934">
        <v>113</v>
      </c>
      <c r="I1934" s="30">
        <v>4.7453703703703703E-3</v>
      </c>
      <c r="J1934">
        <v>4</v>
      </c>
    </row>
    <row r="1935" spans="1:10" x14ac:dyDescent="0.35">
      <c r="A1935" t="s">
        <v>2277</v>
      </c>
      <c r="B1935" t="s">
        <v>301</v>
      </c>
      <c r="C1935" t="s">
        <v>2224</v>
      </c>
      <c r="D1935" s="30">
        <v>0.61499999999999999</v>
      </c>
      <c r="E1935" t="s">
        <v>309</v>
      </c>
      <c r="F1935" t="s">
        <v>299</v>
      </c>
      <c r="G1935" t="s">
        <v>299</v>
      </c>
      <c r="H1935">
        <v>59</v>
      </c>
      <c r="I1935" s="30">
        <v>4.8495370370370368E-3</v>
      </c>
      <c r="J1935">
        <v>1</v>
      </c>
    </row>
    <row r="1936" spans="1:10" x14ac:dyDescent="0.35">
      <c r="A1936" t="s">
        <v>2278</v>
      </c>
      <c r="B1936" t="s">
        <v>323</v>
      </c>
      <c r="C1936" t="s">
        <v>2224</v>
      </c>
      <c r="D1936" s="30">
        <v>0.62400462962962966</v>
      </c>
      <c r="E1936" t="s">
        <v>302</v>
      </c>
      <c r="F1936" t="s">
        <v>299</v>
      </c>
      <c r="G1936" t="s">
        <v>303</v>
      </c>
      <c r="H1936">
        <v>121</v>
      </c>
      <c r="I1936" s="30">
        <v>9.7222222222222219E-4</v>
      </c>
      <c r="J1936">
        <v>4</v>
      </c>
    </row>
    <row r="1937" spans="1:10" x14ac:dyDescent="0.35">
      <c r="A1937" t="s">
        <v>2279</v>
      </c>
      <c r="B1937" t="s">
        <v>319</v>
      </c>
      <c r="C1937" t="s">
        <v>2224</v>
      </c>
      <c r="D1937" s="30">
        <v>0.62400462962962966</v>
      </c>
      <c r="E1937" t="s">
        <v>314</v>
      </c>
      <c r="F1937" t="s">
        <v>299</v>
      </c>
      <c r="G1937" t="s">
        <v>299</v>
      </c>
      <c r="H1937">
        <v>78</v>
      </c>
      <c r="I1937" s="30">
        <v>7.6388888888888893E-4</v>
      </c>
      <c r="J1937">
        <v>3</v>
      </c>
    </row>
    <row r="1938" spans="1:10" x14ac:dyDescent="0.35">
      <c r="A1938" t="s">
        <v>2280</v>
      </c>
      <c r="B1938" t="s">
        <v>307</v>
      </c>
      <c r="C1938" t="s">
        <v>2224</v>
      </c>
      <c r="D1938" s="30">
        <v>0.64200231481481485</v>
      </c>
      <c r="E1938" t="s">
        <v>298</v>
      </c>
      <c r="F1938" t="s">
        <v>299</v>
      </c>
      <c r="G1938" t="s">
        <v>299</v>
      </c>
      <c r="H1938">
        <v>66</v>
      </c>
      <c r="I1938" s="30">
        <v>3.8078703703703703E-3</v>
      </c>
      <c r="J1938">
        <v>5</v>
      </c>
    </row>
    <row r="1939" spans="1:10" x14ac:dyDescent="0.35">
      <c r="A1939" t="s">
        <v>2281</v>
      </c>
      <c r="B1939" t="s">
        <v>316</v>
      </c>
      <c r="C1939" t="s">
        <v>2224</v>
      </c>
      <c r="D1939" s="30">
        <v>0.64200231481481485</v>
      </c>
      <c r="E1939" t="s">
        <v>314</v>
      </c>
      <c r="F1939" t="s">
        <v>299</v>
      </c>
      <c r="G1939" t="s">
        <v>299</v>
      </c>
      <c r="H1939">
        <v>10</v>
      </c>
      <c r="I1939" s="30">
        <v>3.4953703703703705E-3</v>
      </c>
      <c r="J1939">
        <v>4</v>
      </c>
    </row>
    <row r="1940" spans="1:10" x14ac:dyDescent="0.35">
      <c r="A1940" t="s">
        <v>2282</v>
      </c>
      <c r="B1940" t="s">
        <v>316</v>
      </c>
      <c r="C1940" t="s">
        <v>2224</v>
      </c>
      <c r="D1940" s="30">
        <v>0.64900462962962968</v>
      </c>
      <c r="E1940" t="s">
        <v>298</v>
      </c>
      <c r="F1940" t="s">
        <v>299</v>
      </c>
      <c r="G1940" t="s">
        <v>299</v>
      </c>
      <c r="H1940">
        <v>15</v>
      </c>
      <c r="I1940" s="30">
        <v>2.9745370370370373E-3</v>
      </c>
      <c r="J1940">
        <v>1</v>
      </c>
    </row>
    <row r="1941" spans="1:10" x14ac:dyDescent="0.35">
      <c r="A1941" t="s">
        <v>2283</v>
      </c>
      <c r="B1941" t="s">
        <v>307</v>
      </c>
      <c r="C1941" t="s">
        <v>2224</v>
      </c>
      <c r="D1941" s="30">
        <v>0.64900462962962968</v>
      </c>
      <c r="E1941" t="s">
        <v>302</v>
      </c>
      <c r="F1941" t="s">
        <v>299</v>
      </c>
      <c r="G1941" t="s">
        <v>299</v>
      </c>
      <c r="H1941">
        <v>81</v>
      </c>
      <c r="I1941" s="30">
        <v>4.0740740740740737E-3</v>
      </c>
      <c r="J1941">
        <v>4</v>
      </c>
    </row>
    <row r="1942" spans="1:10" x14ac:dyDescent="0.35">
      <c r="A1942" t="s">
        <v>2284</v>
      </c>
      <c r="B1942" t="s">
        <v>301</v>
      </c>
      <c r="C1942" t="s">
        <v>2224</v>
      </c>
      <c r="D1942" s="30">
        <v>0.68900462962962961</v>
      </c>
      <c r="E1942" t="s">
        <v>317</v>
      </c>
      <c r="F1942" t="s">
        <v>299</v>
      </c>
      <c r="G1942" t="s">
        <v>303</v>
      </c>
      <c r="H1942">
        <v>115</v>
      </c>
      <c r="I1942" s="30">
        <v>2.2685185185185187E-3</v>
      </c>
      <c r="J1942">
        <v>3</v>
      </c>
    </row>
    <row r="1943" spans="1:10" x14ac:dyDescent="0.35">
      <c r="A1943" t="s">
        <v>2285</v>
      </c>
      <c r="B1943" t="s">
        <v>323</v>
      </c>
      <c r="C1943" t="s">
        <v>2224</v>
      </c>
      <c r="D1943" s="30">
        <v>0.68900462962962961</v>
      </c>
      <c r="E1943" t="s">
        <v>298</v>
      </c>
      <c r="F1943" t="s">
        <v>299</v>
      </c>
      <c r="G1943" t="s">
        <v>299</v>
      </c>
      <c r="H1943">
        <v>17</v>
      </c>
      <c r="I1943" s="30">
        <v>7.291666666666667E-4</v>
      </c>
      <c r="J1943">
        <v>3</v>
      </c>
    </row>
    <row r="1944" spans="1:10" x14ac:dyDescent="0.35">
      <c r="A1944" t="s">
        <v>2286</v>
      </c>
      <c r="B1944" t="s">
        <v>296</v>
      </c>
      <c r="C1944" t="s">
        <v>2224</v>
      </c>
      <c r="D1944" s="30">
        <v>0.69400462962962961</v>
      </c>
      <c r="E1944" t="s">
        <v>317</v>
      </c>
      <c r="F1944" t="s">
        <v>299</v>
      </c>
      <c r="G1944" t="s">
        <v>299</v>
      </c>
      <c r="H1944">
        <v>20</v>
      </c>
      <c r="I1944" s="30">
        <v>2.1527777777777778E-3</v>
      </c>
      <c r="J1944">
        <v>4</v>
      </c>
    </row>
    <row r="1945" spans="1:10" x14ac:dyDescent="0.35">
      <c r="A1945" t="s">
        <v>2287</v>
      </c>
      <c r="B1945" t="s">
        <v>332</v>
      </c>
      <c r="C1945" t="s">
        <v>2224</v>
      </c>
      <c r="D1945" s="30">
        <v>0.69400462962962961</v>
      </c>
      <c r="E1945" t="s">
        <v>314</v>
      </c>
      <c r="F1945" t="s">
        <v>299</v>
      </c>
      <c r="G1945" t="s">
        <v>299</v>
      </c>
      <c r="H1945">
        <v>26</v>
      </c>
      <c r="I1945" s="30">
        <v>2.8009259259259259E-3</v>
      </c>
      <c r="J1945">
        <v>3</v>
      </c>
    </row>
    <row r="1946" spans="1:10" x14ac:dyDescent="0.35">
      <c r="A1946" t="s">
        <v>2288</v>
      </c>
      <c r="B1946" t="s">
        <v>323</v>
      </c>
      <c r="C1946" t="s">
        <v>2224</v>
      </c>
      <c r="D1946" s="30">
        <v>0.7</v>
      </c>
      <c r="E1946" t="s">
        <v>309</v>
      </c>
      <c r="F1946" t="s">
        <v>299</v>
      </c>
      <c r="G1946" t="s">
        <v>299</v>
      </c>
      <c r="H1946">
        <v>98</v>
      </c>
      <c r="I1946" s="30">
        <v>2.1759259259259258E-3</v>
      </c>
      <c r="J1946">
        <v>5</v>
      </c>
    </row>
    <row r="1947" spans="1:10" x14ac:dyDescent="0.35">
      <c r="A1947" t="s">
        <v>2289</v>
      </c>
      <c r="B1947" t="s">
        <v>319</v>
      </c>
      <c r="C1947" t="s">
        <v>2224</v>
      </c>
      <c r="D1947" s="30">
        <v>0.7</v>
      </c>
      <c r="E1947" t="s">
        <v>309</v>
      </c>
      <c r="F1947" t="s">
        <v>299</v>
      </c>
      <c r="G1947" t="s">
        <v>299</v>
      </c>
      <c r="H1947">
        <v>53</v>
      </c>
      <c r="I1947" s="30">
        <v>1.8749999999999999E-3</v>
      </c>
      <c r="J1947">
        <v>3</v>
      </c>
    </row>
    <row r="1948" spans="1:10" x14ac:dyDescent="0.35">
      <c r="A1948" t="s">
        <v>2290</v>
      </c>
      <c r="B1948" t="s">
        <v>305</v>
      </c>
      <c r="C1948" t="s">
        <v>2224</v>
      </c>
      <c r="D1948" s="30">
        <v>0.70700231481481479</v>
      </c>
      <c r="E1948" t="s">
        <v>314</v>
      </c>
      <c r="F1948" t="s">
        <v>299</v>
      </c>
      <c r="G1948" t="s">
        <v>299</v>
      </c>
      <c r="H1948">
        <v>14</v>
      </c>
      <c r="I1948" s="30">
        <v>3.8888888888888888E-3</v>
      </c>
      <c r="J1948">
        <v>4</v>
      </c>
    </row>
    <row r="1949" spans="1:10" x14ac:dyDescent="0.35">
      <c r="A1949" t="s">
        <v>2291</v>
      </c>
      <c r="B1949" t="s">
        <v>296</v>
      </c>
      <c r="C1949" t="s">
        <v>2224</v>
      </c>
      <c r="D1949" s="30">
        <v>0.70700231481481479</v>
      </c>
      <c r="E1949" t="s">
        <v>317</v>
      </c>
      <c r="F1949" t="s">
        <v>303</v>
      </c>
      <c r="G1949" t="s">
        <v>303</v>
      </c>
    </row>
    <row r="1950" spans="1:10" x14ac:dyDescent="0.35">
      <c r="A1950" t="s">
        <v>2292</v>
      </c>
      <c r="B1950" t="s">
        <v>307</v>
      </c>
      <c r="C1950" t="s">
        <v>2224</v>
      </c>
      <c r="D1950" s="30">
        <v>0.71099537037037042</v>
      </c>
      <c r="E1950" t="s">
        <v>317</v>
      </c>
      <c r="F1950" t="s">
        <v>299</v>
      </c>
      <c r="G1950" t="s">
        <v>299</v>
      </c>
      <c r="H1950">
        <v>47</v>
      </c>
      <c r="I1950" s="30">
        <v>2.8935185185185184E-3</v>
      </c>
      <c r="J1950">
        <v>3</v>
      </c>
    </row>
    <row r="1951" spans="1:10" x14ac:dyDescent="0.35">
      <c r="A1951" t="s">
        <v>2293</v>
      </c>
      <c r="B1951" t="s">
        <v>305</v>
      </c>
      <c r="C1951" t="s">
        <v>2224</v>
      </c>
      <c r="D1951" s="30">
        <v>0.71099537037037042</v>
      </c>
      <c r="E1951" t="s">
        <v>309</v>
      </c>
      <c r="F1951" t="s">
        <v>303</v>
      </c>
      <c r="G1951" t="s">
        <v>303</v>
      </c>
    </row>
    <row r="1952" spans="1:10" x14ac:dyDescent="0.35">
      <c r="A1952" t="s">
        <v>2294</v>
      </c>
      <c r="B1952" t="s">
        <v>305</v>
      </c>
      <c r="C1952" t="s">
        <v>2224</v>
      </c>
      <c r="D1952" s="30">
        <v>0.71299768518518514</v>
      </c>
      <c r="E1952" t="s">
        <v>309</v>
      </c>
      <c r="F1952" t="s">
        <v>299</v>
      </c>
      <c r="G1952" t="s">
        <v>299</v>
      </c>
      <c r="H1952">
        <v>109</v>
      </c>
      <c r="I1952" s="30">
        <v>9.6064814814814819E-4</v>
      </c>
      <c r="J1952">
        <v>5</v>
      </c>
    </row>
    <row r="1953" spans="1:10" x14ac:dyDescent="0.35">
      <c r="A1953" t="s">
        <v>2295</v>
      </c>
      <c r="B1953" t="s">
        <v>307</v>
      </c>
      <c r="C1953" t="s">
        <v>2224</v>
      </c>
      <c r="D1953" s="30">
        <v>0.71299768518518514</v>
      </c>
      <c r="E1953" t="s">
        <v>302</v>
      </c>
      <c r="F1953" t="s">
        <v>299</v>
      </c>
      <c r="G1953" t="s">
        <v>299</v>
      </c>
      <c r="H1953">
        <v>82</v>
      </c>
      <c r="I1953" s="30">
        <v>2.8703703703703703E-3</v>
      </c>
      <c r="J1953">
        <v>1</v>
      </c>
    </row>
    <row r="1954" spans="1:10" x14ac:dyDescent="0.35">
      <c r="A1954" t="s">
        <v>2296</v>
      </c>
      <c r="B1954" t="s">
        <v>332</v>
      </c>
      <c r="C1954" t="s">
        <v>2224</v>
      </c>
      <c r="D1954" s="30">
        <v>0.73900462962962965</v>
      </c>
      <c r="E1954" t="s">
        <v>302</v>
      </c>
      <c r="F1954" t="s">
        <v>299</v>
      </c>
      <c r="G1954" t="s">
        <v>299</v>
      </c>
      <c r="H1954">
        <v>58</v>
      </c>
      <c r="I1954" s="30">
        <v>3.449074074074074E-3</v>
      </c>
      <c r="J1954">
        <v>3</v>
      </c>
    </row>
    <row r="1955" spans="1:10" x14ac:dyDescent="0.35">
      <c r="A1955" t="s">
        <v>2297</v>
      </c>
      <c r="B1955" t="s">
        <v>307</v>
      </c>
      <c r="C1955" t="s">
        <v>2224</v>
      </c>
      <c r="D1955" s="30">
        <v>0.73900462962962965</v>
      </c>
      <c r="E1955" t="s">
        <v>314</v>
      </c>
      <c r="F1955" t="s">
        <v>299</v>
      </c>
      <c r="G1955" t="s">
        <v>299</v>
      </c>
      <c r="H1955">
        <v>94</v>
      </c>
      <c r="I1955" s="30">
        <v>2.6967592592592594E-3</v>
      </c>
      <c r="J1955">
        <v>2</v>
      </c>
    </row>
    <row r="1956" spans="1:10" x14ac:dyDescent="0.35">
      <c r="A1956" t="s">
        <v>2298</v>
      </c>
      <c r="B1956" t="s">
        <v>307</v>
      </c>
      <c r="C1956" t="s">
        <v>2299</v>
      </c>
      <c r="D1956" s="30">
        <v>0.38299768518518518</v>
      </c>
      <c r="E1956" t="s">
        <v>314</v>
      </c>
      <c r="F1956" t="s">
        <v>303</v>
      </c>
      <c r="G1956" t="s">
        <v>303</v>
      </c>
    </row>
    <row r="1957" spans="1:10" x14ac:dyDescent="0.35">
      <c r="A1957" t="s">
        <v>2300</v>
      </c>
      <c r="B1957" t="s">
        <v>332</v>
      </c>
      <c r="C1957" t="s">
        <v>2299</v>
      </c>
      <c r="D1957" s="30">
        <v>0.38299768518518518</v>
      </c>
      <c r="E1957" t="s">
        <v>317</v>
      </c>
      <c r="F1957" t="s">
        <v>299</v>
      </c>
      <c r="G1957" t="s">
        <v>299</v>
      </c>
      <c r="H1957">
        <v>32</v>
      </c>
      <c r="I1957" s="30">
        <v>4.7685185185185183E-3</v>
      </c>
      <c r="J1957">
        <v>4</v>
      </c>
    </row>
    <row r="1958" spans="1:10" x14ac:dyDescent="0.35">
      <c r="A1958" t="s">
        <v>2301</v>
      </c>
      <c r="B1958" t="s">
        <v>305</v>
      </c>
      <c r="C1958" t="s">
        <v>2299</v>
      </c>
      <c r="D1958" s="30">
        <v>0.4</v>
      </c>
      <c r="E1958" t="s">
        <v>298</v>
      </c>
      <c r="F1958" t="s">
        <v>299</v>
      </c>
      <c r="G1958" t="s">
        <v>299</v>
      </c>
      <c r="H1958">
        <v>102</v>
      </c>
      <c r="I1958" s="30">
        <v>3.7268518518518519E-3</v>
      </c>
      <c r="J1958">
        <v>4</v>
      </c>
    </row>
    <row r="1959" spans="1:10" x14ac:dyDescent="0.35">
      <c r="A1959" t="s">
        <v>2302</v>
      </c>
      <c r="B1959" t="s">
        <v>296</v>
      </c>
      <c r="C1959" t="s">
        <v>2299</v>
      </c>
      <c r="D1959" s="30">
        <v>0.4</v>
      </c>
      <c r="E1959" t="s">
        <v>302</v>
      </c>
      <c r="F1959" t="s">
        <v>303</v>
      </c>
      <c r="G1959" t="s">
        <v>303</v>
      </c>
    </row>
    <row r="1960" spans="1:10" x14ac:dyDescent="0.35">
      <c r="A1960" t="s">
        <v>2303</v>
      </c>
      <c r="B1960" t="s">
        <v>323</v>
      </c>
      <c r="C1960" t="s">
        <v>2299</v>
      </c>
      <c r="D1960" s="30">
        <v>0.41400462962962964</v>
      </c>
      <c r="E1960" t="s">
        <v>314</v>
      </c>
      <c r="F1960" t="s">
        <v>303</v>
      </c>
      <c r="G1960" t="s">
        <v>303</v>
      </c>
    </row>
    <row r="1961" spans="1:10" x14ac:dyDescent="0.35">
      <c r="A1961" t="s">
        <v>2304</v>
      </c>
      <c r="B1961" t="s">
        <v>332</v>
      </c>
      <c r="C1961" t="s">
        <v>2299</v>
      </c>
      <c r="D1961" s="30">
        <v>0.41400462962962964</v>
      </c>
      <c r="E1961" t="s">
        <v>298</v>
      </c>
      <c r="F1961" t="s">
        <v>299</v>
      </c>
      <c r="G1961" t="s">
        <v>299</v>
      </c>
      <c r="H1961">
        <v>36</v>
      </c>
      <c r="I1961" s="30">
        <v>4.6874999999999998E-3</v>
      </c>
      <c r="J1961">
        <v>1</v>
      </c>
    </row>
    <row r="1962" spans="1:10" x14ac:dyDescent="0.35">
      <c r="A1962" t="s">
        <v>2305</v>
      </c>
      <c r="B1962" t="s">
        <v>307</v>
      </c>
      <c r="C1962" t="s">
        <v>2299</v>
      </c>
      <c r="D1962" s="30">
        <v>0.42</v>
      </c>
      <c r="E1962" t="s">
        <v>309</v>
      </c>
      <c r="F1962" t="s">
        <v>299</v>
      </c>
      <c r="G1962" t="s">
        <v>299</v>
      </c>
      <c r="H1962">
        <v>41</v>
      </c>
      <c r="I1962" s="30">
        <v>4.0046296296296297E-3</v>
      </c>
      <c r="J1962">
        <v>5</v>
      </c>
    </row>
    <row r="1963" spans="1:10" x14ac:dyDescent="0.35">
      <c r="A1963" t="s">
        <v>2306</v>
      </c>
      <c r="B1963" t="s">
        <v>307</v>
      </c>
      <c r="C1963" t="s">
        <v>2299</v>
      </c>
      <c r="D1963" s="30">
        <v>0.42</v>
      </c>
      <c r="E1963" t="s">
        <v>302</v>
      </c>
      <c r="F1963" t="s">
        <v>299</v>
      </c>
      <c r="G1963" t="s">
        <v>299</v>
      </c>
      <c r="H1963">
        <v>117</v>
      </c>
      <c r="I1963" s="30">
        <v>4.8263888888888887E-3</v>
      </c>
      <c r="J1963">
        <v>5</v>
      </c>
    </row>
    <row r="1964" spans="1:10" x14ac:dyDescent="0.35">
      <c r="A1964" t="s">
        <v>2307</v>
      </c>
      <c r="B1964" t="s">
        <v>296</v>
      </c>
      <c r="C1964" t="s">
        <v>2299</v>
      </c>
      <c r="D1964" s="30">
        <v>0.42299768518518521</v>
      </c>
      <c r="E1964" t="s">
        <v>314</v>
      </c>
      <c r="F1964" t="s">
        <v>299</v>
      </c>
      <c r="G1964" t="s">
        <v>299</v>
      </c>
      <c r="H1964">
        <v>118</v>
      </c>
      <c r="I1964" s="30">
        <v>5.0925925925925921E-4</v>
      </c>
      <c r="J1964">
        <v>5</v>
      </c>
    </row>
    <row r="1965" spans="1:10" x14ac:dyDescent="0.35">
      <c r="A1965" t="s">
        <v>2308</v>
      </c>
      <c r="B1965" t="s">
        <v>307</v>
      </c>
      <c r="C1965" t="s">
        <v>2299</v>
      </c>
      <c r="D1965" s="30">
        <v>0.42299768518518521</v>
      </c>
      <c r="E1965" t="s">
        <v>314</v>
      </c>
      <c r="F1965" t="s">
        <v>299</v>
      </c>
      <c r="G1965" t="s">
        <v>299</v>
      </c>
      <c r="H1965">
        <v>41</v>
      </c>
      <c r="I1965" s="30">
        <v>3.7499999999999999E-3</v>
      </c>
      <c r="J1965">
        <v>3</v>
      </c>
    </row>
    <row r="1966" spans="1:10" x14ac:dyDescent="0.35">
      <c r="A1966" t="s">
        <v>2309</v>
      </c>
      <c r="B1966" t="s">
        <v>307</v>
      </c>
      <c r="C1966" t="s">
        <v>2299</v>
      </c>
      <c r="D1966" s="30">
        <v>0.42799768518518516</v>
      </c>
      <c r="E1966" t="s">
        <v>317</v>
      </c>
      <c r="F1966" t="s">
        <v>299</v>
      </c>
      <c r="G1966" t="s">
        <v>299</v>
      </c>
      <c r="H1966">
        <v>24</v>
      </c>
      <c r="I1966" s="30">
        <v>4.2476851851851851E-3</v>
      </c>
      <c r="J1966">
        <v>3</v>
      </c>
    </row>
    <row r="1967" spans="1:10" x14ac:dyDescent="0.35">
      <c r="A1967" t="s">
        <v>2310</v>
      </c>
      <c r="B1967" t="s">
        <v>323</v>
      </c>
      <c r="C1967" t="s">
        <v>2299</v>
      </c>
      <c r="D1967" s="30">
        <v>0.42799768518518516</v>
      </c>
      <c r="E1967" t="s">
        <v>298</v>
      </c>
      <c r="F1967" t="s">
        <v>299</v>
      </c>
      <c r="G1967" t="s">
        <v>299</v>
      </c>
      <c r="H1967">
        <v>105</v>
      </c>
      <c r="I1967" s="30">
        <v>1.4236111111111112E-3</v>
      </c>
      <c r="J1967">
        <v>4</v>
      </c>
    </row>
    <row r="1968" spans="1:10" x14ac:dyDescent="0.35">
      <c r="A1968" t="s">
        <v>2311</v>
      </c>
      <c r="B1968" t="s">
        <v>296</v>
      </c>
      <c r="C1968" t="s">
        <v>2299</v>
      </c>
      <c r="D1968" s="30">
        <v>0.44</v>
      </c>
      <c r="E1968" t="s">
        <v>317</v>
      </c>
      <c r="F1968" t="s">
        <v>303</v>
      </c>
      <c r="G1968" t="s">
        <v>303</v>
      </c>
    </row>
    <row r="1969" spans="1:10" x14ac:dyDescent="0.35">
      <c r="A1969" t="s">
        <v>2312</v>
      </c>
      <c r="B1969" t="s">
        <v>301</v>
      </c>
      <c r="C1969" t="s">
        <v>2299</v>
      </c>
      <c r="D1969" s="30">
        <v>0.44</v>
      </c>
      <c r="E1969" t="s">
        <v>309</v>
      </c>
      <c r="F1969" t="s">
        <v>299</v>
      </c>
      <c r="G1969" t="s">
        <v>299</v>
      </c>
      <c r="H1969">
        <v>45</v>
      </c>
      <c r="I1969" s="30">
        <v>3.5185185185185185E-3</v>
      </c>
      <c r="J1969">
        <v>1</v>
      </c>
    </row>
    <row r="1970" spans="1:10" x14ac:dyDescent="0.35">
      <c r="A1970" t="s">
        <v>2313</v>
      </c>
      <c r="B1970" t="s">
        <v>301</v>
      </c>
      <c r="C1970" t="s">
        <v>2299</v>
      </c>
      <c r="D1970" s="30">
        <v>0.45700231481481479</v>
      </c>
      <c r="E1970" t="s">
        <v>309</v>
      </c>
      <c r="F1970" t="s">
        <v>299</v>
      </c>
      <c r="G1970" t="s">
        <v>299</v>
      </c>
      <c r="H1970">
        <v>66</v>
      </c>
      <c r="I1970" s="30">
        <v>3.8425925925925928E-3</v>
      </c>
      <c r="J1970">
        <v>4</v>
      </c>
    </row>
    <row r="1971" spans="1:10" x14ac:dyDescent="0.35">
      <c r="A1971" t="s">
        <v>2314</v>
      </c>
      <c r="B1971" t="s">
        <v>319</v>
      </c>
      <c r="C1971" t="s">
        <v>2299</v>
      </c>
      <c r="D1971" s="30">
        <v>0.45700231481481479</v>
      </c>
      <c r="E1971" t="s">
        <v>298</v>
      </c>
      <c r="F1971" t="s">
        <v>299</v>
      </c>
      <c r="G1971" t="s">
        <v>299</v>
      </c>
      <c r="H1971">
        <v>63</v>
      </c>
      <c r="I1971" s="30">
        <v>2.3958333333333331E-3</v>
      </c>
      <c r="J1971">
        <v>3</v>
      </c>
    </row>
    <row r="1972" spans="1:10" x14ac:dyDescent="0.35">
      <c r="A1972" t="s">
        <v>2315</v>
      </c>
      <c r="B1972" t="s">
        <v>301</v>
      </c>
      <c r="C1972" t="s">
        <v>2299</v>
      </c>
      <c r="D1972" s="30">
        <v>0.46</v>
      </c>
      <c r="E1972" t="s">
        <v>314</v>
      </c>
      <c r="F1972" t="s">
        <v>299</v>
      </c>
      <c r="G1972" t="s">
        <v>299</v>
      </c>
      <c r="H1972">
        <v>11</v>
      </c>
      <c r="I1972" s="30">
        <v>1.5393518518518519E-3</v>
      </c>
      <c r="J1972">
        <v>4</v>
      </c>
    </row>
    <row r="1973" spans="1:10" x14ac:dyDescent="0.35">
      <c r="A1973" t="s">
        <v>2316</v>
      </c>
      <c r="B1973" t="s">
        <v>316</v>
      </c>
      <c r="C1973" t="s">
        <v>2299</v>
      </c>
      <c r="D1973" s="30">
        <v>0.46</v>
      </c>
      <c r="E1973" t="s">
        <v>298</v>
      </c>
      <c r="F1973" t="s">
        <v>303</v>
      </c>
      <c r="G1973" t="s">
        <v>303</v>
      </c>
    </row>
    <row r="1974" spans="1:10" x14ac:dyDescent="0.35">
      <c r="A1974" t="s">
        <v>2317</v>
      </c>
      <c r="B1974" t="s">
        <v>301</v>
      </c>
      <c r="C1974" t="s">
        <v>2299</v>
      </c>
      <c r="D1974" s="30">
        <v>0.48599537037037038</v>
      </c>
      <c r="E1974" t="s">
        <v>298</v>
      </c>
      <c r="F1974" t="s">
        <v>299</v>
      </c>
      <c r="G1974" t="s">
        <v>299</v>
      </c>
      <c r="H1974">
        <v>31</v>
      </c>
      <c r="I1974" s="30">
        <v>4.861111111111111E-4</v>
      </c>
      <c r="J1974">
        <v>3</v>
      </c>
    </row>
    <row r="1975" spans="1:10" x14ac:dyDescent="0.35">
      <c r="A1975" t="s">
        <v>2318</v>
      </c>
      <c r="B1975" t="s">
        <v>316</v>
      </c>
      <c r="C1975" t="s">
        <v>2299</v>
      </c>
      <c r="D1975" s="30">
        <v>0.48599537037037038</v>
      </c>
      <c r="E1975" t="s">
        <v>314</v>
      </c>
      <c r="F1975" t="s">
        <v>299</v>
      </c>
      <c r="G1975" t="s">
        <v>299</v>
      </c>
      <c r="H1975">
        <v>60</v>
      </c>
      <c r="I1975" s="30">
        <v>2.7546296296296294E-3</v>
      </c>
      <c r="J1975">
        <v>5</v>
      </c>
    </row>
    <row r="1976" spans="1:10" x14ac:dyDescent="0.35">
      <c r="A1976" t="s">
        <v>2319</v>
      </c>
      <c r="B1976" t="s">
        <v>319</v>
      </c>
      <c r="C1976" t="s">
        <v>2299</v>
      </c>
      <c r="D1976" s="30">
        <v>0.49</v>
      </c>
      <c r="E1976" t="s">
        <v>309</v>
      </c>
      <c r="F1976" t="s">
        <v>303</v>
      </c>
      <c r="G1976" t="s">
        <v>303</v>
      </c>
    </row>
    <row r="1977" spans="1:10" x14ac:dyDescent="0.35">
      <c r="A1977" t="s">
        <v>2320</v>
      </c>
      <c r="B1977" t="s">
        <v>305</v>
      </c>
      <c r="C1977" t="s">
        <v>2299</v>
      </c>
      <c r="D1977" s="30">
        <v>0.49</v>
      </c>
      <c r="E1977" t="s">
        <v>302</v>
      </c>
      <c r="F1977" t="s">
        <v>303</v>
      </c>
      <c r="G1977" t="s">
        <v>303</v>
      </c>
    </row>
    <row r="1978" spans="1:10" x14ac:dyDescent="0.35">
      <c r="A1978" t="s">
        <v>2321</v>
      </c>
      <c r="B1978" t="s">
        <v>305</v>
      </c>
      <c r="C1978" t="s">
        <v>2299</v>
      </c>
      <c r="D1978" s="30">
        <v>0.5</v>
      </c>
      <c r="E1978" t="s">
        <v>298</v>
      </c>
      <c r="F1978" t="s">
        <v>299</v>
      </c>
      <c r="G1978" t="s">
        <v>299</v>
      </c>
      <c r="H1978">
        <v>105</v>
      </c>
      <c r="I1978" s="30">
        <v>4.7569444444444447E-3</v>
      </c>
      <c r="J1978">
        <v>5</v>
      </c>
    </row>
    <row r="1979" spans="1:10" x14ac:dyDescent="0.35">
      <c r="A1979" t="s">
        <v>2322</v>
      </c>
      <c r="B1979" t="s">
        <v>307</v>
      </c>
      <c r="C1979" t="s">
        <v>2299</v>
      </c>
      <c r="D1979" s="30">
        <v>0.5</v>
      </c>
      <c r="E1979" t="s">
        <v>317</v>
      </c>
      <c r="F1979" t="s">
        <v>299</v>
      </c>
      <c r="G1979" t="s">
        <v>299</v>
      </c>
      <c r="H1979">
        <v>109</v>
      </c>
      <c r="I1979" s="30">
        <v>1.0648148148148149E-3</v>
      </c>
      <c r="J1979">
        <v>5</v>
      </c>
    </row>
    <row r="1980" spans="1:10" x14ac:dyDescent="0.35">
      <c r="A1980" t="s">
        <v>2323</v>
      </c>
      <c r="B1980" t="s">
        <v>323</v>
      </c>
      <c r="C1980" t="s">
        <v>2299</v>
      </c>
      <c r="D1980" s="30">
        <v>0.50299768518518517</v>
      </c>
      <c r="E1980" t="s">
        <v>309</v>
      </c>
      <c r="F1980" t="s">
        <v>299</v>
      </c>
      <c r="G1980" t="s">
        <v>299</v>
      </c>
      <c r="H1980">
        <v>120</v>
      </c>
      <c r="I1980" s="30">
        <v>2.1412037037037038E-3</v>
      </c>
      <c r="J1980">
        <v>3</v>
      </c>
    </row>
    <row r="1981" spans="1:10" x14ac:dyDescent="0.35">
      <c r="A1981" t="s">
        <v>2324</v>
      </c>
      <c r="B1981" t="s">
        <v>323</v>
      </c>
      <c r="C1981" t="s">
        <v>2299</v>
      </c>
      <c r="D1981" s="30">
        <v>0.50299768518518517</v>
      </c>
      <c r="E1981" t="s">
        <v>309</v>
      </c>
      <c r="F1981" t="s">
        <v>299</v>
      </c>
      <c r="G1981" t="s">
        <v>299</v>
      </c>
      <c r="H1981">
        <v>61</v>
      </c>
      <c r="I1981" s="30">
        <v>3.2754629629629631E-3</v>
      </c>
      <c r="J1981">
        <v>3</v>
      </c>
    </row>
    <row r="1982" spans="1:10" x14ac:dyDescent="0.35">
      <c r="A1982" t="s">
        <v>2325</v>
      </c>
      <c r="B1982" t="s">
        <v>305</v>
      </c>
      <c r="C1982" t="s">
        <v>2299</v>
      </c>
      <c r="D1982" s="30">
        <v>0.51</v>
      </c>
      <c r="E1982" t="s">
        <v>317</v>
      </c>
      <c r="F1982" t="s">
        <v>299</v>
      </c>
      <c r="G1982" t="s">
        <v>299</v>
      </c>
      <c r="H1982">
        <v>44</v>
      </c>
      <c r="I1982" s="30">
        <v>4.1666666666666669E-4</v>
      </c>
      <c r="J1982">
        <v>3</v>
      </c>
    </row>
    <row r="1983" spans="1:10" x14ac:dyDescent="0.35">
      <c r="A1983" t="s">
        <v>2326</v>
      </c>
      <c r="B1983" t="s">
        <v>301</v>
      </c>
      <c r="C1983" t="s">
        <v>2299</v>
      </c>
      <c r="D1983" s="30">
        <v>0.51</v>
      </c>
      <c r="E1983" t="s">
        <v>314</v>
      </c>
      <c r="F1983" t="s">
        <v>299</v>
      </c>
      <c r="G1983" t="s">
        <v>299</v>
      </c>
      <c r="H1983">
        <v>17</v>
      </c>
      <c r="I1983" s="30">
        <v>3.9930555555555552E-3</v>
      </c>
      <c r="J1983">
        <v>4</v>
      </c>
    </row>
    <row r="1984" spans="1:10" x14ac:dyDescent="0.35">
      <c r="A1984" t="s">
        <v>2327</v>
      </c>
      <c r="B1984" t="s">
        <v>296</v>
      </c>
      <c r="C1984" t="s">
        <v>2299</v>
      </c>
      <c r="D1984" s="30">
        <v>0.51400462962962967</v>
      </c>
      <c r="E1984" t="s">
        <v>317</v>
      </c>
      <c r="F1984" t="s">
        <v>303</v>
      </c>
      <c r="G1984" t="s">
        <v>303</v>
      </c>
    </row>
    <row r="1985" spans="1:10" x14ac:dyDescent="0.35">
      <c r="A1985" t="s">
        <v>2328</v>
      </c>
      <c r="B1985" t="s">
        <v>305</v>
      </c>
      <c r="C1985" t="s">
        <v>2299</v>
      </c>
      <c r="D1985" s="30">
        <v>0.51400462962962967</v>
      </c>
      <c r="E1985" t="s">
        <v>317</v>
      </c>
      <c r="F1985" t="s">
        <v>299</v>
      </c>
      <c r="G1985" t="s">
        <v>299</v>
      </c>
      <c r="H1985">
        <v>15</v>
      </c>
      <c r="I1985" s="30">
        <v>1.9444444444444444E-3</v>
      </c>
      <c r="J1985">
        <v>4</v>
      </c>
    </row>
    <row r="1986" spans="1:10" x14ac:dyDescent="0.35">
      <c r="A1986" t="s">
        <v>2329</v>
      </c>
      <c r="B1986" t="s">
        <v>323</v>
      </c>
      <c r="C1986" t="s">
        <v>2299</v>
      </c>
      <c r="D1986" s="30">
        <v>0.51400462962962967</v>
      </c>
      <c r="E1986" t="s">
        <v>302</v>
      </c>
      <c r="F1986" t="s">
        <v>299</v>
      </c>
      <c r="G1986" t="s">
        <v>299</v>
      </c>
      <c r="H1986">
        <v>112</v>
      </c>
      <c r="I1986" s="30">
        <v>2.2916666666666667E-3</v>
      </c>
      <c r="J1986">
        <v>4</v>
      </c>
    </row>
    <row r="1987" spans="1:10" x14ac:dyDescent="0.35">
      <c r="A1987" t="s">
        <v>2330</v>
      </c>
      <c r="B1987" t="s">
        <v>301</v>
      </c>
      <c r="C1987" t="s">
        <v>2299</v>
      </c>
      <c r="D1987" s="30">
        <v>0.51400462962962967</v>
      </c>
      <c r="E1987" t="s">
        <v>302</v>
      </c>
      <c r="F1987" t="s">
        <v>299</v>
      </c>
      <c r="G1987" t="s">
        <v>299</v>
      </c>
      <c r="H1987">
        <v>119</v>
      </c>
      <c r="I1987" s="30">
        <v>3.0092592592592593E-3</v>
      </c>
      <c r="J1987">
        <v>3</v>
      </c>
    </row>
    <row r="1988" spans="1:10" x14ac:dyDescent="0.35">
      <c r="A1988" t="s">
        <v>2331</v>
      </c>
      <c r="B1988" t="s">
        <v>319</v>
      </c>
      <c r="C1988" t="s">
        <v>2299</v>
      </c>
      <c r="D1988" s="30">
        <v>0.52500000000000002</v>
      </c>
      <c r="E1988" t="s">
        <v>302</v>
      </c>
      <c r="F1988" t="s">
        <v>303</v>
      </c>
      <c r="G1988" t="s">
        <v>303</v>
      </c>
    </row>
    <row r="1989" spans="1:10" x14ac:dyDescent="0.35">
      <c r="A1989" t="s">
        <v>2332</v>
      </c>
      <c r="B1989" t="s">
        <v>319</v>
      </c>
      <c r="C1989" t="s">
        <v>2299</v>
      </c>
      <c r="D1989" s="30">
        <v>0.52500000000000002</v>
      </c>
      <c r="E1989" t="s">
        <v>314</v>
      </c>
      <c r="F1989" t="s">
        <v>299</v>
      </c>
      <c r="G1989" t="s">
        <v>303</v>
      </c>
      <c r="H1989">
        <v>60</v>
      </c>
      <c r="I1989" s="30">
        <v>2.0717592592592593E-3</v>
      </c>
      <c r="J1989">
        <v>5</v>
      </c>
    </row>
    <row r="1990" spans="1:10" x14ac:dyDescent="0.35">
      <c r="A1990" t="s">
        <v>2333</v>
      </c>
      <c r="B1990" t="s">
        <v>316</v>
      </c>
      <c r="C1990" t="s">
        <v>2299</v>
      </c>
      <c r="D1990" s="30">
        <v>0.52700231481481485</v>
      </c>
      <c r="E1990" t="s">
        <v>298</v>
      </c>
      <c r="F1990" t="s">
        <v>299</v>
      </c>
      <c r="G1990" t="s">
        <v>299</v>
      </c>
      <c r="H1990">
        <v>24</v>
      </c>
      <c r="I1990" s="30">
        <v>4.7337962962962967E-3</v>
      </c>
      <c r="J1990">
        <v>4</v>
      </c>
    </row>
    <row r="1991" spans="1:10" x14ac:dyDescent="0.35">
      <c r="A1991" t="s">
        <v>2334</v>
      </c>
      <c r="B1991" t="s">
        <v>316</v>
      </c>
      <c r="C1991" t="s">
        <v>2299</v>
      </c>
      <c r="D1991" s="30">
        <v>0.52700231481481485</v>
      </c>
      <c r="E1991" t="s">
        <v>309</v>
      </c>
      <c r="F1991" t="s">
        <v>299</v>
      </c>
      <c r="G1991" t="s">
        <v>299</v>
      </c>
      <c r="H1991">
        <v>83</v>
      </c>
      <c r="I1991" s="30">
        <v>3.6689814814814814E-3</v>
      </c>
      <c r="J1991">
        <v>4</v>
      </c>
    </row>
    <row r="1992" spans="1:10" x14ac:dyDescent="0.35">
      <c r="A1992" t="s">
        <v>2335</v>
      </c>
      <c r="B1992" t="s">
        <v>296</v>
      </c>
      <c r="C1992" t="s">
        <v>2299</v>
      </c>
      <c r="D1992" s="30">
        <v>0.54599537037037038</v>
      </c>
      <c r="E1992" t="s">
        <v>317</v>
      </c>
      <c r="F1992" t="s">
        <v>299</v>
      </c>
      <c r="G1992" t="s">
        <v>299</v>
      </c>
      <c r="H1992">
        <v>19</v>
      </c>
      <c r="I1992" s="30">
        <v>2.2685185185185187E-3</v>
      </c>
      <c r="J1992">
        <v>3</v>
      </c>
    </row>
    <row r="1993" spans="1:10" x14ac:dyDescent="0.35">
      <c r="A1993" t="s">
        <v>2336</v>
      </c>
      <c r="B1993" t="s">
        <v>323</v>
      </c>
      <c r="C1993" t="s">
        <v>2299</v>
      </c>
      <c r="D1993" s="30">
        <v>0.54599537037037038</v>
      </c>
      <c r="E1993" t="s">
        <v>298</v>
      </c>
      <c r="F1993" t="s">
        <v>299</v>
      </c>
      <c r="G1993" t="s">
        <v>299</v>
      </c>
      <c r="H1993">
        <v>125</v>
      </c>
      <c r="I1993" s="30">
        <v>2.3611111111111111E-3</v>
      </c>
      <c r="J1993">
        <v>4</v>
      </c>
    </row>
    <row r="1994" spans="1:10" x14ac:dyDescent="0.35">
      <c r="A1994" t="s">
        <v>2337</v>
      </c>
      <c r="B1994" t="s">
        <v>319</v>
      </c>
      <c r="C1994" t="s">
        <v>2299</v>
      </c>
      <c r="D1994" s="30">
        <v>0.54599537037037038</v>
      </c>
      <c r="E1994" t="s">
        <v>309</v>
      </c>
      <c r="F1994" t="s">
        <v>299</v>
      </c>
      <c r="G1994" t="s">
        <v>303</v>
      </c>
      <c r="H1994">
        <v>72</v>
      </c>
      <c r="I1994" s="30">
        <v>3.6574074074074074E-3</v>
      </c>
      <c r="J1994">
        <v>2</v>
      </c>
    </row>
    <row r="1995" spans="1:10" x14ac:dyDescent="0.35">
      <c r="A1995" t="s">
        <v>2338</v>
      </c>
      <c r="B1995" t="s">
        <v>296</v>
      </c>
      <c r="C1995" t="s">
        <v>2299</v>
      </c>
      <c r="D1995" s="30">
        <v>0.54599537037037038</v>
      </c>
      <c r="E1995" t="s">
        <v>314</v>
      </c>
      <c r="F1995" t="s">
        <v>303</v>
      </c>
      <c r="G1995" t="s">
        <v>303</v>
      </c>
    </row>
    <row r="1996" spans="1:10" x14ac:dyDescent="0.35">
      <c r="A1996" t="s">
        <v>2339</v>
      </c>
      <c r="B1996" t="s">
        <v>305</v>
      </c>
      <c r="C1996" t="s">
        <v>2299</v>
      </c>
      <c r="D1996" s="30">
        <v>0.55799768518518522</v>
      </c>
      <c r="E1996" t="s">
        <v>317</v>
      </c>
      <c r="F1996" t="s">
        <v>299</v>
      </c>
      <c r="G1996" t="s">
        <v>299</v>
      </c>
      <c r="H1996">
        <v>39</v>
      </c>
      <c r="I1996" s="30">
        <v>2.9282407407407408E-3</v>
      </c>
      <c r="J1996">
        <v>4</v>
      </c>
    </row>
    <row r="1997" spans="1:10" x14ac:dyDescent="0.35">
      <c r="A1997" t="s">
        <v>2340</v>
      </c>
      <c r="B1997" t="s">
        <v>305</v>
      </c>
      <c r="C1997" t="s">
        <v>2299</v>
      </c>
      <c r="D1997" s="30">
        <v>0.55799768518518522</v>
      </c>
      <c r="E1997" t="s">
        <v>309</v>
      </c>
      <c r="F1997" t="s">
        <v>303</v>
      </c>
      <c r="G1997" t="s">
        <v>303</v>
      </c>
    </row>
    <row r="1998" spans="1:10" x14ac:dyDescent="0.35">
      <c r="A1998" t="s">
        <v>2341</v>
      </c>
      <c r="B1998" t="s">
        <v>301</v>
      </c>
      <c r="C1998" t="s">
        <v>2299</v>
      </c>
      <c r="D1998" s="30">
        <v>0.57900462962962962</v>
      </c>
      <c r="E1998" t="s">
        <v>298</v>
      </c>
      <c r="F1998" t="s">
        <v>299</v>
      </c>
      <c r="G1998" t="s">
        <v>299</v>
      </c>
      <c r="H1998">
        <v>125</v>
      </c>
      <c r="I1998" s="30">
        <v>3.1018518518518517E-3</v>
      </c>
      <c r="J1998">
        <v>4</v>
      </c>
    </row>
    <row r="1999" spans="1:10" x14ac:dyDescent="0.35">
      <c r="A1999" t="s">
        <v>2342</v>
      </c>
      <c r="B1999" t="s">
        <v>319</v>
      </c>
      <c r="C1999" t="s">
        <v>2299</v>
      </c>
      <c r="D1999" s="30">
        <v>0.57900462962962962</v>
      </c>
      <c r="E1999" t="s">
        <v>309</v>
      </c>
      <c r="F1999" t="s">
        <v>299</v>
      </c>
      <c r="G1999" t="s">
        <v>299</v>
      </c>
      <c r="H1999">
        <v>124</v>
      </c>
      <c r="I1999" s="30">
        <v>9.837962962962962E-4</v>
      </c>
      <c r="J1999">
        <v>5</v>
      </c>
    </row>
    <row r="2000" spans="1:10" x14ac:dyDescent="0.35">
      <c r="A2000" t="s">
        <v>2343</v>
      </c>
      <c r="B2000" t="s">
        <v>296</v>
      </c>
      <c r="C2000" t="s">
        <v>2299</v>
      </c>
      <c r="D2000" s="30">
        <v>0.58599537037037042</v>
      </c>
      <c r="E2000" t="s">
        <v>309</v>
      </c>
      <c r="F2000" t="s">
        <v>299</v>
      </c>
      <c r="G2000" t="s">
        <v>299</v>
      </c>
      <c r="H2000">
        <v>105</v>
      </c>
      <c r="I2000" s="30">
        <v>2.7546296296296294E-3</v>
      </c>
      <c r="J2000">
        <v>4</v>
      </c>
    </row>
    <row r="2001" spans="1:10" x14ac:dyDescent="0.35">
      <c r="A2001" t="s">
        <v>2344</v>
      </c>
      <c r="B2001" t="s">
        <v>296</v>
      </c>
      <c r="C2001" t="s">
        <v>2299</v>
      </c>
      <c r="D2001" s="30">
        <v>0.58599537037037042</v>
      </c>
      <c r="E2001" t="s">
        <v>302</v>
      </c>
      <c r="F2001" t="s">
        <v>303</v>
      </c>
      <c r="G2001" t="s">
        <v>303</v>
      </c>
    </row>
    <row r="2002" spans="1:10" x14ac:dyDescent="0.35">
      <c r="A2002" t="s">
        <v>2345</v>
      </c>
      <c r="B2002" t="s">
        <v>323</v>
      </c>
      <c r="C2002" t="s">
        <v>2299</v>
      </c>
      <c r="D2002" s="30">
        <v>0.61599537037037033</v>
      </c>
      <c r="E2002" t="s">
        <v>309</v>
      </c>
      <c r="F2002" t="s">
        <v>299</v>
      </c>
      <c r="G2002" t="s">
        <v>299</v>
      </c>
      <c r="H2002">
        <v>28</v>
      </c>
      <c r="I2002" s="30">
        <v>1.261574074074074E-3</v>
      </c>
      <c r="J2002">
        <v>5</v>
      </c>
    </row>
    <row r="2003" spans="1:10" x14ac:dyDescent="0.35">
      <c r="A2003" t="s">
        <v>2346</v>
      </c>
      <c r="B2003" t="s">
        <v>305</v>
      </c>
      <c r="C2003" t="s">
        <v>2299</v>
      </c>
      <c r="D2003" s="30">
        <v>0.61599537037037033</v>
      </c>
      <c r="E2003" t="s">
        <v>317</v>
      </c>
      <c r="F2003" t="s">
        <v>299</v>
      </c>
      <c r="G2003" t="s">
        <v>299</v>
      </c>
      <c r="H2003">
        <v>82</v>
      </c>
      <c r="I2003" s="30">
        <v>5.0925925925925921E-4</v>
      </c>
      <c r="J2003">
        <v>1</v>
      </c>
    </row>
    <row r="2004" spans="1:10" x14ac:dyDescent="0.35">
      <c r="A2004" t="s">
        <v>2347</v>
      </c>
      <c r="B2004" t="s">
        <v>316</v>
      </c>
      <c r="C2004" t="s">
        <v>2299</v>
      </c>
      <c r="D2004" s="30">
        <v>0.62400462962962966</v>
      </c>
      <c r="E2004" t="s">
        <v>314</v>
      </c>
      <c r="F2004" t="s">
        <v>303</v>
      </c>
      <c r="G2004" t="s">
        <v>303</v>
      </c>
    </row>
    <row r="2005" spans="1:10" x14ac:dyDescent="0.35">
      <c r="A2005" t="s">
        <v>2348</v>
      </c>
      <c r="B2005" t="s">
        <v>332</v>
      </c>
      <c r="C2005" t="s">
        <v>2299</v>
      </c>
      <c r="D2005" s="30">
        <v>0.62400462962962966</v>
      </c>
      <c r="E2005" t="s">
        <v>317</v>
      </c>
      <c r="F2005" t="s">
        <v>299</v>
      </c>
      <c r="G2005" t="s">
        <v>299</v>
      </c>
      <c r="H2005">
        <v>30</v>
      </c>
      <c r="I2005" s="30">
        <v>1.5393518518518519E-3</v>
      </c>
      <c r="J2005">
        <v>4</v>
      </c>
    </row>
    <row r="2006" spans="1:10" x14ac:dyDescent="0.35">
      <c r="A2006" t="s">
        <v>2349</v>
      </c>
      <c r="B2006" t="s">
        <v>301</v>
      </c>
      <c r="C2006" t="s">
        <v>2299</v>
      </c>
      <c r="D2006" s="30">
        <v>0.62700231481481483</v>
      </c>
      <c r="E2006" t="s">
        <v>314</v>
      </c>
      <c r="F2006" t="s">
        <v>299</v>
      </c>
      <c r="G2006" t="s">
        <v>299</v>
      </c>
      <c r="H2006">
        <v>47</v>
      </c>
      <c r="I2006" s="30">
        <v>2.1759259259259258E-3</v>
      </c>
      <c r="J2006">
        <v>4</v>
      </c>
    </row>
    <row r="2007" spans="1:10" x14ac:dyDescent="0.35">
      <c r="A2007" t="s">
        <v>2350</v>
      </c>
      <c r="B2007" t="s">
        <v>316</v>
      </c>
      <c r="C2007" t="s">
        <v>2299</v>
      </c>
      <c r="D2007" s="30">
        <v>0.62700231481481483</v>
      </c>
      <c r="E2007" t="s">
        <v>314</v>
      </c>
      <c r="F2007" t="s">
        <v>299</v>
      </c>
      <c r="G2007" t="s">
        <v>299</v>
      </c>
      <c r="H2007">
        <v>124</v>
      </c>
      <c r="I2007" s="30">
        <v>4.178240740740741E-3</v>
      </c>
      <c r="J2007">
        <v>1</v>
      </c>
    </row>
    <row r="2008" spans="1:10" x14ac:dyDescent="0.35">
      <c r="A2008" t="s">
        <v>2351</v>
      </c>
      <c r="B2008" t="s">
        <v>323</v>
      </c>
      <c r="C2008" t="s">
        <v>2299</v>
      </c>
      <c r="D2008" s="30">
        <v>0.64900462962962968</v>
      </c>
      <c r="E2008" t="s">
        <v>302</v>
      </c>
      <c r="F2008" t="s">
        <v>299</v>
      </c>
      <c r="G2008" t="s">
        <v>299</v>
      </c>
      <c r="H2008">
        <v>113</v>
      </c>
      <c r="I2008" s="30">
        <v>3.2407407407407406E-3</v>
      </c>
      <c r="J2008">
        <v>4</v>
      </c>
    </row>
    <row r="2009" spans="1:10" x14ac:dyDescent="0.35">
      <c r="A2009" t="s">
        <v>2352</v>
      </c>
      <c r="B2009" t="s">
        <v>316</v>
      </c>
      <c r="C2009" t="s">
        <v>2299</v>
      </c>
      <c r="D2009" s="30">
        <v>0.64900462962962968</v>
      </c>
      <c r="E2009" t="s">
        <v>317</v>
      </c>
      <c r="F2009" t="s">
        <v>303</v>
      </c>
      <c r="G2009" t="s">
        <v>303</v>
      </c>
    </row>
    <row r="2010" spans="1:10" x14ac:dyDescent="0.35">
      <c r="A2010" t="s">
        <v>2353</v>
      </c>
      <c r="B2010" t="s">
        <v>296</v>
      </c>
      <c r="C2010" t="s">
        <v>2299</v>
      </c>
      <c r="D2010" s="30">
        <v>0.65700231481481486</v>
      </c>
      <c r="E2010" t="s">
        <v>309</v>
      </c>
      <c r="F2010" t="s">
        <v>303</v>
      </c>
      <c r="G2010" t="s">
        <v>303</v>
      </c>
    </row>
    <row r="2011" spans="1:10" x14ac:dyDescent="0.35">
      <c r="A2011" t="s">
        <v>2354</v>
      </c>
      <c r="B2011" t="s">
        <v>305</v>
      </c>
      <c r="C2011" t="s">
        <v>2299</v>
      </c>
      <c r="D2011" s="30">
        <v>0.65700231481481486</v>
      </c>
      <c r="E2011" t="s">
        <v>314</v>
      </c>
      <c r="F2011" t="s">
        <v>299</v>
      </c>
      <c r="G2011" t="s">
        <v>299</v>
      </c>
      <c r="H2011">
        <v>112</v>
      </c>
      <c r="I2011" s="30">
        <v>3.2754629629629631E-3</v>
      </c>
      <c r="J2011">
        <v>5</v>
      </c>
    </row>
    <row r="2012" spans="1:10" x14ac:dyDescent="0.35">
      <c r="A2012" t="s">
        <v>2355</v>
      </c>
      <c r="B2012" t="s">
        <v>316</v>
      </c>
      <c r="C2012" t="s">
        <v>2299</v>
      </c>
      <c r="D2012" s="30">
        <v>0.6579976851851852</v>
      </c>
      <c r="E2012" t="s">
        <v>314</v>
      </c>
      <c r="F2012" t="s">
        <v>299</v>
      </c>
      <c r="G2012" t="s">
        <v>299</v>
      </c>
      <c r="H2012">
        <v>17</v>
      </c>
      <c r="I2012" s="30">
        <v>3.3564814814814816E-3</v>
      </c>
      <c r="J2012">
        <v>3</v>
      </c>
    </row>
    <row r="2013" spans="1:10" x14ac:dyDescent="0.35">
      <c r="A2013" t="s">
        <v>2356</v>
      </c>
      <c r="B2013" t="s">
        <v>319</v>
      </c>
      <c r="C2013" t="s">
        <v>2299</v>
      </c>
      <c r="D2013" s="30">
        <v>0.6579976851851852</v>
      </c>
      <c r="E2013" t="s">
        <v>302</v>
      </c>
      <c r="F2013" t="s">
        <v>303</v>
      </c>
      <c r="G2013" t="s">
        <v>303</v>
      </c>
    </row>
    <row r="2014" spans="1:10" x14ac:dyDescent="0.35">
      <c r="A2014" t="s">
        <v>2357</v>
      </c>
      <c r="B2014" t="s">
        <v>296</v>
      </c>
      <c r="C2014" t="s">
        <v>2299</v>
      </c>
      <c r="D2014" s="30">
        <v>0.67799768518518522</v>
      </c>
      <c r="E2014" t="s">
        <v>314</v>
      </c>
      <c r="F2014" t="s">
        <v>299</v>
      </c>
      <c r="G2014" t="s">
        <v>299</v>
      </c>
      <c r="H2014">
        <v>82</v>
      </c>
      <c r="I2014" s="30">
        <v>4.2245370370370371E-3</v>
      </c>
      <c r="J2014">
        <v>2</v>
      </c>
    </row>
    <row r="2015" spans="1:10" x14ac:dyDescent="0.35">
      <c r="A2015" t="s">
        <v>2358</v>
      </c>
      <c r="B2015" t="s">
        <v>296</v>
      </c>
      <c r="C2015" t="s">
        <v>2299</v>
      </c>
      <c r="D2015" s="30">
        <v>0.67799768518518522</v>
      </c>
      <c r="E2015" t="s">
        <v>314</v>
      </c>
      <c r="F2015" t="s">
        <v>299</v>
      </c>
      <c r="G2015" t="s">
        <v>299</v>
      </c>
      <c r="H2015">
        <v>50</v>
      </c>
      <c r="I2015" s="30">
        <v>3.6921296296296298E-3</v>
      </c>
      <c r="J2015">
        <v>2</v>
      </c>
    </row>
    <row r="2016" spans="1:10" x14ac:dyDescent="0.35">
      <c r="A2016" t="s">
        <v>2359</v>
      </c>
      <c r="B2016" t="s">
        <v>296</v>
      </c>
      <c r="C2016" t="s">
        <v>2299</v>
      </c>
      <c r="D2016" s="30">
        <v>0.68700231481481477</v>
      </c>
      <c r="E2016" t="s">
        <v>302</v>
      </c>
      <c r="F2016" t="s">
        <v>299</v>
      </c>
      <c r="G2016" t="s">
        <v>303</v>
      </c>
      <c r="H2016">
        <v>84</v>
      </c>
      <c r="I2016" s="30">
        <v>7.1759259259259259E-4</v>
      </c>
      <c r="J2016">
        <v>3</v>
      </c>
    </row>
    <row r="2017" spans="1:10" x14ac:dyDescent="0.35">
      <c r="A2017" t="s">
        <v>2360</v>
      </c>
      <c r="B2017" t="s">
        <v>323</v>
      </c>
      <c r="C2017" t="s">
        <v>2299</v>
      </c>
      <c r="D2017" s="30">
        <v>0.68700231481481477</v>
      </c>
      <c r="E2017" t="s">
        <v>309</v>
      </c>
      <c r="F2017" t="s">
        <v>299</v>
      </c>
      <c r="G2017" t="s">
        <v>299</v>
      </c>
      <c r="H2017">
        <v>12</v>
      </c>
      <c r="I2017" s="30">
        <v>3.7962962962962963E-3</v>
      </c>
      <c r="J2017">
        <v>3</v>
      </c>
    </row>
    <row r="2018" spans="1:10" x14ac:dyDescent="0.35">
      <c r="A2018" t="s">
        <v>2361</v>
      </c>
      <c r="B2018" t="s">
        <v>305</v>
      </c>
      <c r="C2018" t="s">
        <v>2299</v>
      </c>
      <c r="D2018" s="30">
        <v>0.70900462962962962</v>
      </c>
      <c r="E2018" t="s">
        <v>298</v>
      </c>
      <c r="F2018" t="s">
        <v>299</v>
      </c>
      <c r="G2018" t="s">
        <v>299</v>
      </c>
      <c r="H2018">
        <v>80</v>
      </c>
      <c r="I2018" s="30">
        <v>1.1574074074074073E-3</v>
      </c>
      <c r="J2018">
        <v>2</v>
      </c>
    </row>
    <row r="2019" spans="1:10" x14ac:dyDescent="0.35">
      <c r="A2019" t="s">
        <v>2362</v>
      </c>
      <c r="B2019" t="s">
        <v>301</v>
      </c>
      <c r="C2019" t="s">
        <v>2299</v>
      </c>
      <c r="D2019" s="30">
        <v>0.70900462962962962</v>
      </c>
      <c r="E2019" t="s">
        <v>302</v>
      </c>
      <c r="F2019" t="s">
        <v>299</v>
      </c>
      <c r="G2019" t="s">
        <v>299</v>
      </c>
      <c r="H2019">
        <v>51</v>
      </c>
      <c r="I2019" s="30">
        <v>1.5856481481481481E-3</v>
      </c>
      <c r="J2019">
        <v>3</v>
      </c>
    </row>
    <row r="2020" spans="1:10" x14ac:dyDescent="0.35">
      <c r="A2020" t="s">
        <v>2363</v>
      </c>
      <c r="B2020" t="s">
        <v>296</v>
      </c>
      <c r="C2020" t="s">
        <v>2299</v>
      </c>
      <c r="D2020" s="30">
        <v>0.71499999999999997</v>
      </c>
      <c r="E2020" t="s">
        <v>309</v>
      </c>
      <c r="F2020" t="s">
        <v>299</v>
      </c>
      <c r="G2020" t="s">
        <v>299</v>
      </c>
      <c r="H2020">
        <v>90</v>
      </c>
      <c r="I2020" s="30">
        <v>2.1759259259259258E-3</v>
      </c>
      <c r="J2020">
        <v>5</v>
      </c>
    </row>
    <row r="2021" spans="1:10" x14ac:dyDescent="0.35">
      <c r="A2021" t="s">
        <v>2364</v>
      </c>
      <c r="B2021" t="s">
        <v>307</v>
      </c>
      <c r="C2021" t="s">
        <v>2299</v>
      </c>
      <c r="D2021" s="30">
        <v>0.71499999999999997</v>
      </c>
      <c r="E2021" t="s">
        <v>298</v>
      </c>
      <c r="F2021" t="s">
        <v>299</v>
      </c>
      <c r="G2021" t="s">
        <v>299</v>
      </c>
      <c r="H2021">
        <v>40</v>
      </c>
      <c r="I2021" s="30">
        <v>2.9282407407407408E-3</v>
      </c>
      <c r="J2021">
        <v>4</v>
      </c>
    </row>
    <row r="2022" spans="1:10" x14ac:dyDescent="0.35">
      <c r="A2022" t="s">
        <v>2365</v>
      </c>
      <c r="B2022" t="s">
        <v>301</v>
      </c>
      <c r="C2022" t="s">
        <v>2299</v>
      </c>
      <c r="D2022" s="30">
        <v>0.73900462962962965</v>
      </c>
      <c r="E2022" t="s">
        <v>302</v>
      </c>
      <c r="F2022" t="s">
        <v>299</v>
      </c>
      <c r="G2022" t="s">
        <v>303</v>
      </c>
      <c r="H2022">
        <v>59</v>
      </c>
      <c r="I2022" s="30">
        <v>7.291666666666667E-4</v>
      </c>
      <c r="J2022">
        <v>3</v>
      </c>
    </row>
    <row r="2023" spans="1:10" x14ac:dyDescent="0.35">
      <c r="A2023" t="s">
        <v>2366</v>
      </c>
      <c r="B2023" t="s">
        <v>319</v>
      </c>
      <c r="C2023" t="s">
        <v>2299</v>
      </c>
      <c r="D2023" s="30">
        <v>0.73900462962962965</v>
      </c>
      <c r="E2023" t="s">
        <v>314</v>
      </c>
      <c r="F2023" t="s">
        <v>299</v>
      </c>
      <c r="G2023" t="s">
        <v>299</v>
      </c>
      <c r="H2023">
        <v>53</v>
      </c>
      <c r="I2023" s="30">
        <v>4.409722222222222E-3</v>
      </c>
      <c r="J2023">
        <v>4</v>
      </c>
    </row>
    <row r="2024" spans="1:10" x14ac:dyDescent="0.35">
      <c r="A2024" t="s">
        <v>2367</v>
      </c>
      <c r="B2024" t="s">
        <v>323</v>
      </c>
      <c r="C2024" t="s">
        <v>2299</v>
      </c>
      <c r="D2024" s="30">
        <v>0.74099537037037033</v>
      </c>
      <c r="E2024" t="s">
        <v>298</v>
      </c>
      <c r="F2024" t="s">
        <v>299</v>
      </c>
      <c r="G2024" t="s">
        <v>299</v>
      </c>
      <c r="H2024">
        <v>14</v>
      </c>
      <c r="I2024" s="30">
        <v>1.8634259259259259E-3</v>
      </c>
      <c r="J2024">
        <v>5</v>
      </c>
    </row>
    <row r="2025" spans="1:10" x14ac:dyDescent="0.35">
      <c r="A2025" t="s">
        <v>2368</v>
      </c>
      <c r="B2025" t="s">
        <v>316</v>
      </c>
      <c r="C2025" t="s">
        <v>2299</v>
      </c>
      <c r="D2025" s="30">
        <v>0.74099537037037033</v>
      </c>
      <c r="E2025" t="s">
        <v>317</v>
      </c>
      <c r="F2025" t="s">
        <v>299</v>
      </c>
      <c r="G2025" t="s">
        <v>299</v>
      </c>
      <c r="H2025">
        <v>89</v>
      </c>
      <c r="I2025" s="30">
        <v>4.4444444444444444E-3</v>
      </c>
      <c r="J2025">
        <v>4</v>
      </c>
    </row>
    <row r="2026" spans="1:10" x14ac:dyDescent="0.35">
      <c r="A2026" t="s">
        <v>2369</v>
      </c>
      <c r="B2026" t="s">
        <v>301</v>
      </c>
      <c r="C2026" t="s">
        <v>2299</v>
      </c>
      <c r="D2026" s="30">
        <v>0.74799768518518517</v>
      </c>
      <c r="E2026" t="s">
        <v>302</v>
      </c>
      <c r="F2026" t="s">
        <v>299</v>
      </c>
      <c r="G2026" t="s">
        <v>299</v>
      </c>
      <c r="H2026">
        <v>22</v>
      </c>
      <c r="I2026" s="30">
        <v>2.0370370370370369E-3</v>
      </c>
      <c r="J2026">
        <v>1</v>
      </c>
    </row>
    <row r="2027" spans="1:10" x14ac:dyDescent="0.35">
      <c r="A2027" t="s">
        <v>2370</v>
      </c>
      <c r="B2027" t="s">
        <v>323</v>
      </c>
      <c r="C2027" t="s">
        <v>2299</v>
      </c>
      <c r="D2027" s="30">
        <v>0.74799768518518517</v>
      </c>
      <c r="E2027" t="s">
        <v>302</v>
      </c>
      <c r="F2027" t="s">
        <v>303</v>
      </c>
      <c r="G2027" t="s">
        <v>303</v>
      </c>
    </row>
    <row r="2028" spans="1:10" x14ac:dyDescent="0.35">
      <c r="A2028" t="s">
        <v>2371</v>
      </c>
      <c r="B2028" t="s">
        <v>319</v>
      </c>
      <c r="C2028" t="s">
        <v>2372</v>
      </c>
      <c r="D2028" s="30">
        <v>0.38599537037037035</v>
      </c>
      <c r="E2028" t="s">
        <v>298</v>
      </c>
      <c r="F2028" t="s">
        <v>299</v>
      </c>
      <c r="G2028" t="s">
        <v>299</v>
      </c>
      <c r="H2028">
        <v>67</v>
      </c>
      <c r="I2028" s="30">
        <v>2.8009259259259259E-3</v>
      </c>
      <c r="J2028">
        <v>3</v>
      </c>
    </row>
    <row r="2029" spans="1:10" x14ac:dyDescent="0.35">
      <c r="A2029" t="s">
        <v>2373</v>
      </c>
      <c r="B2029" t="s">
        <v>296</v>
      </c>
      <c r="C2029" t="s">
        <v>2372</v>
      </c>
      <c r="D2029" s="30">
        <v>0.38599537037037035</v>
      </c>
      <c r="E2029" t="s">
        <v>317</v>
      </c>
      <c r="F2029" t="s">
        <v>299</v>
      </c>
      <c r="G2029" t="s">
        <v>299</v>
      </c>
      <c r="H2029">
        <v>28</v>
      </c>
      <c r="I2029" s="30">
        <v>3.5879629629629629E-3</v>
      </c>
      <c r="J2029">
        <v>1</v>
      </c>
    </row>
    <row r="2030" spans="1:10" x14ac:dyDescent="0.35">
      <c r="A2030" t="s">
        <v>2374</v>
      </c>
      <c r="B2030" t="s">
        <v>307</v>
      </c>
      <c r="C2030" t="s">
        <v>2372</v>
      </c>
      <c r="D2030" s="30">
        <v>0.39400462962962962</v>
      </c>
      <c r="E2030" t="s">
        <v>302</v>
      </c>
      <c r="F2030" t="s">
        <v>303</v>
      </c>
      <c r="G2030" t="s">
        <v>303</v>
      </c>
    </row>
    <row r="2031" spans="1:10" x14ac:dyDescent="0.35">
      <c r="A2031" t="s">
        <v>2375</v>
      </c>
      <c r="B2031" t="s">
        <v>316</v>
      </c>
      <c r="C2031" t="s">
        <v>2372</v>
      </c>
      <c r="D2031" s="30">
        <v>0.39400462962962962</v>
      </c>
      <c r="E2031" t="s">
        <v>298</v>
      </c>
      <c r="F2031" t="s">
        <v>303</v>
      </c>
      <c r="G2031" t="s">
        <v>303</v>
      </c>
    </row>
    <row r="2032" spans="1:10" x14ac:dyDescent="0.35">
      <c r="A2032" t="s">
        <v>2376</v>
      </c>
      <c r="B2032" t="s">
        <v>332</v>
      </c>
      <c r="C2032" t="s">
        <v>2372</v>
      </c>
      <c r="D2032" s="30">
        <v>0.40099537037037036</v>
      </c>
      <c r="E2032" t="s">
        <v>298</v>
      </c>
      <c r="F2032" t="s">
        <v>299</v>
      </c>
      <c r="G2032" t="s">
        <v>299</v>
      </c>
      <c r="H2032">
        <v>15</v>
      </c>
      <c r="I2032" s="30">
        <v>1.3425925925925925E-3</v>
      </c>
      <c r="J2032">
        <v>5</v>
      </c>
    </row>
    <row r="2033" spans="1:10" x14ac:dyDescent="0.35">
      <c r="A2033" t="s">
        <v>2377</v>
      </c>
      <c r="B2033" t="s">
        <v>323</v>
      </c>
      <c r="C2033" t="s">
        <v>2372</v>
      </c>
      <c r="D2033" s="30">
        <v>0.40099537037037036</v>
      </c>
      <c r="E2033" t="s">
        <v>317</v>
      </c>
      <c r="F2033" t="s">
        <v>303</v>
      </c>
      <c r="G2033" t="s">
        <v>303</v>
      </c>
    </row>
    <row r="2034" spans="1:10" x14ac:dyDescent="0.35">
      <c r="A2034" t="s">
        <v>2378</v>
      </c>
      <c r="B2034" t="s">
        <v>323</v>
      </c>
      <c r="C2034" t="s">
        <v>2372</v>
      </c>
      <c r="D2034" s="30">
        <v>0.40099537037037036</v>
      </c>
      <c r="E2034" t="s">
        <v>309</v>
      </c>
      <c r="F2034" t="s">
        <v>299</v>
      </c>
      <c r="G2034" t="s">
        <v>303</v>
      </c>
      <c r="H2034">
        <v>48</v>
      </c>
      <c r="I2034" s="30">
        <v>1.1574074074074073E-3</v>
      </c>
      <c r="J2034">
        <v>1</v>
      </c>
    </row>
    <row r="2035" spans="1:10" x14ac:dyDescent="0.35">
      <c r="A2035" t="s">
        <v>2379</v>
      </c>
      <c r="B2035" t="s">
        <v>296</v>
      </c>
      <c r="C2035" t="s">
        <v>2372</v>
      </c>
      <c r="D2035" s="30">
        <v>0.40099537037037036</v>
      </c>
      <c r="E2035" t="s">
        <v>309</v>
      </c>
      <c r="F2035" t="s">
        <v>299</v>
      </c>
      <c r="G2035" t="s">
        <v>299</v>
      </c>
      <c r="H2035">
        <v>27</v>
      </c>
      <c r="I2035" s="30">
        <v>3.2638888888888891E-3</v>
      </c>
      <c r="J2035">
        <v>1</v>
      </c>
    </row>
    <row r="2036" spans="1:10" x14ac:dyDescent="0.35">
      <c r="A2036" t="s">
        <v>2380</v>
      </c>
      <c r="B2036" t="s">
        <v>332</v>
      </c>
      <c r="C2036" t="s">
        <v>2372</v>
      </c>
      <c r="D2036" s="30">
        <v>0.40299768518518519</v>
      </c>
      <c r="E2036" t="s">
        <v>302</v>
      </c>
      <c r="F2036" t="s">
        <v>299</v>
      </c>
      <c r="G2036" t="s">
        <v>299</v>
      </c>
      <c r="H2036">
        <v>99</v>
      </c>
      <c r="I2036" s="30">
        <v>4.31712962962963E-3</v>
      </c>
      <c r="J2036">
        <v>3</v>
      </c>
    </row>
    <row r="2037" spans="1:10" x14ac:dyDescent="0.35">
      <c r="A2037" t="s">
        <v>2381</v>
      </c>
      <c r="B2037" t="s">
        <v>305</v>
      </c>
      <c r="C2037" t="s">
        <v>2372</v>
      </c>
      <c r="D2037" s="30">
        <v>0.40299768518518519</v>
      </c>
      <c r="E2037" t="s">
        <v>309</v>
      </c>
      <c r="F2037" t="s">
        <v>299</v>
      </c>
      <c r="G2037" t="s">
        <v>299</v>
      </c>
      <c r="H2037">
        <v>33</v>
      </c>
      <c r="I2037" s="30">
        <v>4.7685185185185183E-3</v>
      </c>
      <c r="J2037">
        <v>3</v>
      </c>
    </row>
    <row r="2038" spans="1:10" x14ac:dyDescent="0.35">
      <c r="A2038" t="s">
        <v>2382</v>
      </c>
      <c r="B2038" t="s">
        <v>307</v>
      </c>
      <c r="C2038" t="s">
        <v>2372</v>
      </c>
      <c r="D2038" s="30">
        <v>0.42900462962962965</v>
      </c>
      <c r="E2038" t="s">
        <v>317</v>
      </c>
      <c r="F2038" t="s">
        <v>299</v>
      </c>
      <c r="G2038" t="s">
        <v>299</v>
      </c>
      <c r="H2038">
        <v>106</v>
      </c>
      <c r="I2038" s="30">
        <v>3.0902777777777777E-3</v>
      </c>
      <c r="J2038">
        <v>5</v>
      </c>
    </row>
    <row r="2039" spans="1:10" x14ac:dyDescent="0.35">
      <c r="A2039" t="s">
        <v>2383</v>
      </c>
      <c r="B2039" t="s">
        <v>316</v>
      </c>
      <c r="C2039" t="s">
        <v>2372</v>
      </c>
      <c r="D2039" s="30">
        <v>0.42900462962962965</v>
      </c>
      <c r="E2039" t="s">
        <v>314</v>
      </c>
      <c r="F2039" t="s">
        <v>303</v>
      </c>
      <c r="G2039" t="s">
        <v>303</v>
      </c>
    </row>
    <row r="2040" spans="1:10" x14ac:dyDescent="0.35">
      <c r="A2040" t="s">
        <v>2384</v>
      </c>
      <c r="B2040" t="s">
        <v>332</v>
      </c>
      <c r="C2040" t="s">
        <v>2372</v>
      </c>
      <c r="D2040" s="30">
        <v>0.435</v>
      </c>
      <c r="E2040" t="s">
        <v>309</v>
      </c>
      <c r="F2040" t="s">
        <v>299</v>
      </c>
      <c r="G2040" t="s">
        <v>299</v>
      </c>
      <c r="H2040">
        <v>121</v>
      </c>
      <c r="I2040" s="30">
        <v>2.2569444444444442E-3</v>
      </c>
      <c r="J2040">
        <v>4</v>
      </c>
    </row>
    <row r="2041" spans="1:10" x14ac:dyDescent="0.35">
      <c r="A2041" t="s">
        <v>2385</v>
      </c>
      <c r="B2041" t="s">
        <v>316</v>
      </c>
      <c r="C2041" t="s">
        <v>2372</v>
      </c>
      <c r="D2041" s="30">
        <v>0.435</v>
      </c>
      <c r="E2041" t="s">
        <v>302</v>
      </c>
      <c r="F2041" t="s">
        <v>299</v>
      </c>
      <c r="G2041" t="s">
        <v>299</v>
      </c>
      <c r="H2041">
        <v>36</v>
      </c>
      <c r="I2041" s="30">
        <v>2.9976851851851853E-3</v>
      </c>
      <c r="J2041">
        <v>5</v>
      </c>
    </row>
    <row r="2042" spans="1:10" x14ac:dyDescent="0.35">
      <c r="A2042" t="s">
        <v>2386</v>
      </c>
      <c r="B2042" t="s">
        <v>296</v>
      </c>
      <c r="C2042" t="s">
        <v>2372</v>
      </c>
      <c r="D2042" s="30">
        <v>0.43799768518518517</v>
      </c>
      <c r="E2042" t="s">
        <v>309</v>
      </c>
      <c r="F2042" t="s">
        <v>299</v>
      </c>
      <c r="G2042" t="s">
        <v>299</v>
      </c>
      <c r="H2042">
        <v>54</v>
      </c>
      <c r="I2042" s="30">
        <v>2.8009259259259259E-3</v>
      </c>
      <c r="J2042">
        <v>3</v>
      </c>
    </row>
    <row r="2043" spans="1:10" x14ac:dyDescent="0.35">
      <c r="A2043" t="s">
        <v>2387</v>
      </c>
      <c r="B2043" t="s">
        <v>307</v>
      </c>
      <c r="C2043" t="s">
        <v>2372</v>
      </c>
      <c r="D2043" s="30">
        <v>0.43799768518518517</v>
      </c>
      <c r="E2043" t="s">
        <v>314</v>
      </c>
      <c r="F2043" t="s">
        <v>299</v>
      </c>
      <c r="G2043" t="s">
        <v>299</v>
      </c>
      <c r="H2043">
        <v>55</v>
      </c>
      <c r="I2043" s="30">
        <v>1.5972222222222223E-3</v>
      </c>
      <c r="J2043">
        <v>3</v>
      </c>
    </row>
    <row r="2044" spans="1:10" x14ac:dyDescent="0.35">
      <c r="A2044" t="s">
        <v>2388</v>
      </c>
      <c r="B2044" t="s">
        <v>332</v>
      </c>
      <c r="C2044" t="s">
        <v>2372</v>
      </c>
      <c r="D2044" s="30">
        <v>0.45099537037037035</v>
      </c>
      <c r="E2044" t="s">
        <v>317</v>
      </c>
      <c r="F2044" t="s">
        <v>303</v>
      </c>
      <c r="G2044" t="s">
        <v>303</v>
      </c>
    </row>
    <row r="2045" spans="1:10" x14ac:dyDescent="0.35">
      <c r="A2045" t="s">
        <v>2389</v>
      </c>
      <c r="B2045" t="s">
        <v>319</v>
      </c>
      <c r="C2045" t="s">
        <v>2372</v>
      </c>
      <c r="D2045" s="30">
        <v>0.45099537037037035</v>
      </c>
      <c r="E2045" t="s">
        <v>317</v>
      </c>
      <c r="F2045" t="s">
        <v>299</v>
      </c>
      <c r="G2045" t="s">
        <v>299</v>
      </c>
      <c r="H2045">
        <v>61</v>
      </c>
      <c r="I2045" s="30">
        <v>6.3657407407407413E-4</v>
      </c>
      <c r="J2045">
        <v>3</v>
      </c>
    </row>
    <row r="2046" spans="1:10" x14ac:dyDescent="0.35">
      <c r="A2046" t="s">
        <v>2390</v>
      </c>
      <c r="B2046" t="s">
        <v>316</v>
      </c>
      <c r="C2046" t="s">
        <v>2372</v>
      </c>
      <c r="D2046" s="30">
        <v>0.4679976851851852</v>
      </c>
      <c r="E2046" t="s">
        <v>314</v>
      </c>
      <c r="F2046" t="s">
        <v>299</v>
      </c>
      <c r="G2046" t="s">
        <v>303</v>
      </c>
      <c r="H2046">
        <v>25</v>
      </c>
      <c r="I2046" s="30">
        <v>2.4421296296296296E-3</v>
      </c>
      <c r="J2046">
        <v>2</v>
      </c>
    </row>
    <row r="2047" spans="1:10" x14ac:dyDescent="0.35">
      <c r="A2047" t="s">
        <v>2391</v>
      </c>
      <c r="B2047" t="s">
        <v>323</v>
      </c>
      <c r="C2047" t="s">
        <v>2372</v>
      </c>
      <c r="D2047" s="30">
        <v>0.4679976851851852</v>
      </c>
      <c r="E2047" t="s">
        <v>309</v>
      </c>
      <c r="F2047" t="s">
        <v>303</v>
      </c>
      <c r="G2047" t="s">
        <v>303</v>
      </c>
    </row>
    <row r="2048" spans="1:10" x14ac:dyDescent="0.35">
      <c r="A2048" t="s">
        <v>2392</v>
      </c>
      <c r="B2048" t="s">
        <v>323</v>
      </c>
      <c r="C2048" t="s">
        <v>2372</v>
      </c>
      <c r="D2048" s="30">
        <v>0.48299768518518521</v>
      </c>
      <c r="E2048" t="s">
        <v>314</v>
      </c>
      <c r="F2048" t="s">
        <v>299</v>
      </c>
      <c r="G2048" t="s">
        <v>299</v>
      </c>
      <c r="H2048">
        <v>84</v>
      </c>
      <c r="I2048" s="30">
        <v>1.1458333333333333E-3</v>
      </c>
      <c r="J2048">
        <v>4</v>
      </c>
    </row>
    <row r="2049" spans="1:10" x14ac:dyDescent="0.35">
      <c r="A2049" t="s">
        <v>2393</v>
      </c>
      <c r="B2049" t="s">
        <v>301</v>
      </c>
      <c r="C2049" t="s">
        <v>2372</v>
      </c>
      <c r="D2049" s="30">
        <v>0.48299768518518521</v>
      </c>
      <c r="E2049" t="s">
        <v>309</v>
      </c>
      <c r="F2049" t="s">
        <v>299</v>
      </c>
      <c r="G2049" t="s">
        <v>299</v>
      </c>
      <c r="H2049">
        <v>36</v>
      </c>
      <c r="I2049" s="30">
        <v>3.5995370370370369E-3</v>
      </c>
      <c r="J2049">
        <v>4</v>
      </c>
    </row>
    <row r="2050" spans="1:10" x14ac:dyDescent="0.35">
      <c r="A2050" t="s">
        <v>2394</v>
      </c>
      <c r="B2050" t="s">
        <v>305</v>
      </c>
      <c r="C2050" t="s">
        <v>2372</v>
      </c>
      <c r="D2050" s="30">
        <v>0.48599537037037038</v>
      </c>
      <c r="E2050" t="s">
        <v>317</v>
      </c>
      <c r="F2050" t="s">
        <v>299</v>
      </c>
      <c r="G2050" t="s">
        <v>299</v>
      </c>
      <c r="H2050">
        <v>123</v>
      </c>
      <c r="I2050" s="30">
        <v>2.3032407407407407E-3</v>
      </c>
      <c r="J2050">
        <v>3</v>
      </c>
    </row>
    <row r="2051" spans="1:10" x14ac:dyDescent="0.35">
      <c r="A2051" t="s">
        <v>2395</v>
      </c>
      <c r="B2051" t="s">
        <v>319</v>
      </c>
      <c r="C2051" t="s">
        <v>2372</v>
      </c>
      <c r="D2051" s="30">
        <v>0.48599537037037038</v>
      </c>
      <c r="E2051" t="s">
        <v>309</v>
      </c>
      <c r="F2051" t="s">
        <v>299</v>
      </c>
      <c r="G2051" t="s">
        <v>299</v>
      </c>
      <c r="H2051">
        <v>50</v>
      </c>
      <c r="I2051" s="30">
        <v>4.8032407407407407E-3</v>
      </c>
      <c r="J2051">
        <v>1</v>
      </c>
    </row>
    <row r="2052" spans="1:10" x14ac:dyDescent="0.35">
      <c r="A2052" t="s">
        <v>2396</v>
      </c>
      <c r="B2052" t="s">
        <v>332</v>
      </c>
      <c r="C2052" t="s">
        <v>2372</v>
      </c>
      <c r="D2052" s="30">
        <v>0.48799768518518516</v>
      </c>
      <c r="E2052" t="s">
        <v>314</v>
      </c>
      <c r="F2052" t="s">
        <v>303</v>
      </c>
      <c r="G2052" t="s">
        <v>303</v>
      </c>
    </row>
    <row r="2053" spans="1:10" x14ac:dyDescent="0.35">
      <c r="A2053" t="s">
        <v>2397</v>
      </c>
      <c r="B2053" t="s">
        <v>316</v>
      </c>
      <c r="C2053" t="s">
        <v>2372</v>
      </c>
      <c r="D2053" s="30">
        <v>0.48799768518518516</v>
      </c>
      <c r="E2053" t="s">
        <v>298</v>
      </c>
      <c r="F2053" t="s">
        <v>299</v>
      </c>
      <c r="G2053" t="s">
        <v>299</v>
      </c>
      <c r="H2053">
        <v>69</v>
      </c>
      <c r="I2053" s="30">
        <v>1.6550925925925926E-3</v>
      </c>
      <c r="J2053">
        <v>4</v>
      </c>
    </row>
    <row r="2054" spans="1:10" x14ac:dyDescent="0.35">
      <c r="A2054" t="s">
        <v>2398</v>
      </c>
      <c r="B2054" t="s">
        <v>316</v>
      </c>
      <c r="C2054" t="s">
        <v>2372</v>
      </c>
      <c r="D2054" s="30">
        <v>0.49200231481481482</v>
      </c>
      <c r="E2054" t="s">
        <v>317</v>
      </c>
      <c r="F2054" t="s">
        <v>299</v>
      </c>
      <c r="G2054" t="s">
        <v>299</v>
      </c>
      <c r="H2054">
        <v>62</v>
      </c>
      <c r="I2054" s="30">
        <v>2.4537037037037036E-3</v>
      </c>
      <c r="J2054">
        <v>3</v>
      </c>
    </row>
    <row r="2055" spans="1:10" x14ac:dyDescent="0.35">
      <c r="A2055" t="s">
        <v>2399</v>
      </c>
      <c r="B2055" t="s">
        <v>305</v>
      </c>
      <c r="C2055" t="s">
        <v>2372</v>
      </c>
      <c r="D2055" s="30">
        <v>0.49200231481481482</v>
      </c>
      <c r="E2055" t="s">
        <v>317</v>
      </c>
      <c r="F2055" t="s">
        <v>299</v>
      </c>
      <c r="G2055" t="s">
        <v>299</v>
      </c>
      <c r="H2055">
        <v>39</v>
      </c>
      <c r="I2055" s="30">
        <v>1.0532407407407407E-3</v>
      </c>
      <c r="J2055">
        <v>3</v>
      </c>
    </row>
    <row r="2056" spans="1:10" x14ac:dyDescent="0.35">
      <c r="A2056" t="s">
        <v>2400</v>
      </c>
      <c r="B2056" t="s">
        <v>323</v>
      </c>
      <c r="C2056" t="s">
        <v>2372</v>
      </c>
      <c r="D2056" s="30">
        <v>0.49299768518518516</v>
      </c>
      <c r="E2056" t="s">
        <v>309</v>
      </c>
      <c r="F2056" t="s">
        <v>299</v>
      </c>
      <c r="G2056" t="s">
        <v>299</v>
      </c>
      <c r="H2056">
        <v>61</v>
      </c>
      <c r="I2056" s="30">
        <v>3.5416666666666665E-3</v>
      </c>
      <c r="J2056">
        <v>5</v>
      </c>
    </row>
    <row r="2057" spans="1:10" x14ac:dyDescent="0.35">
      <c r="A2057" t="s">
        <v>2401</v>
      </c>
      <c r="B2057" t="s">
        <v>323</v>
      </c>
      <c r="C2057" t="s">
        <v>2372</v>
      </c>
      <c r="D2057" s="30">
        <v>0.49299768518518516</v>
      </c>
      <c r="E2057" t="s">
        <v>314</v>
      </c>
      <c r="F2057" t="s">
        <v>299</v>
      </c>
      <c r="G2057" t="s">
        <v>299</v>
      </c>
      <c r="H2057">
        <v>45</v>
      </c>
      <c r="I2057" s="30">
        <v>2.1527777777777778E-3</v>
      </c>
      <c r="J2057">
        <v>3</v>
      </c>
    </row>
    <row r="2058" spans="1:10" x14ac:dyDescent="0.35">
      <c r="A2058" t="s">
        <v>2402</v>
      </c>
      <c r="B2058" t="s">
        <v>319</v>
      </c>
      <c r="C2058" t="s">
        <v>2372</v>
      </c>
      <c r="D2058" s="30">
        <v>0.49299768518518516</v>
      </c>
      <c r="E2058" t="s">
        <v>302</v>
      </c>
      <c r="F2058" t="s">
        <v>299</v>
      </c>
      <c r="G2058" t="s">
        <v>299</v>
      </c>
      <c r="H2058">
        <v>109</v>
      </c>
      <c r="I2058" s="30">
        <v>3.6111111111111109E-3</v>
      </c>
      <c r="J2058">
        <v>4</v>
      </c>
    </row>
    <row r="2059" spans="1:10" x14ac:dyDescent="0.35">
      <c r="A2059" t="s">
        <v>2403</v>
      </c>
      <c r="B2059" t="s">
        <v>307</v>
      </c>
      <c r="C2059" t="s">
        <v>2372</v>
      </c>
      <c r="D2059" s="30">
        <v>0.49299768518518516</v>
      </c>
      <c r="E2059" t="s">
        <v>314</v>
      </c>
      <c r="F2059" t="s">
        <v>303</v>
      </c>
      <c r="G2059" t="s">
        <v>303</v>
      </c>
    </row>
    <row r="2060" spans="1:10" x14ac:dyDescent="0.35">
      <c r="A2060" t="s">
        <v>2404</v>
      </c>
      <c r="B2060" t="s">
        <v>323</v>
      </c>
      <c r="C2060" t="s">
        <v>2372</v>
      </c>
      <c r="D2060" s="30">
        <v>0.49400462962962965</v>
      </c>
      <c r="E2060" t="s">
        <v>317</v>
      </c>
      <c r="F2060" t="s">
        <v>299</v>
      </c>
      <c r="G2060" t="s">
        <v>299</v>
      </c>
      <c r="H2060">
        <v>41</v>
      </c>
      <c r="I2060" s="30">
        <v>9.6064814814814819E-4</v>
      </c>
      <c r="J2060">
        <v>5</v>
      </c>
    </row>
    <row r="2061" spans="1:10" x14ac:dyDescent="0.35">
      <c r="A2061" t="s">
        <v>2405</v>
      </c>
      <c r="B2061" t="s">
        <v>307</v>
      </c>
      <c r="C2061" t="s">
        <v>2372</v>
      </c>
      <c r="D2061" s="30">
        <v>0.49400462962962965</v>
      </c>
      <c r="E2061" t="s">
        <v>317</v>
      </c>
      <c r="F2061" t="s">
        <v>299</v>
      </c>
      <c r="G2061" t="s">
        <v>299</v>
      </c>
      <c r="H2061">
        <v>10</v>
      </c>
      <c r="I2061" s="30">
        <v>3.6342592592592594E-3</v>
      </c>
      <c r="J2061">
        <v>3</v>
      </c>
    </row>
    <row r="2062" spans="1:10" x14ac:dyDescent="0.35">
      <c r="A2062" t="s">
        <v>2406</v>
      </c>
      <c r="B2062" t="s">
        <v>305</v>
      </c>
      <c r="C2062" t="s">
        <v>2372</v>
      </c>
      <c r="D2062" s="30">
        <v>0.50799768518518518</v>
      </c>
      <c r="E2062" t="s">
        <v>298</v>
      </c>
      <c r="F2062" t="s">
        <v>299</v>
      </c>
      <c r="G2062" t="s">
        <v>299</v>
      </c>
      <c r="H2062">
        <v>23</v>
      </c>
      <c r="I2062" s="30">
        <v>2.5000000000000001E-3</v>
      </c>
      <c r="J2062">
        <v>1</v>
      </c>
    </row>
    <row r="2063" spans="1:10" x14ac:dyDescent="0.35">
      <c r="A2063" t="s">
        <v>2407</v>
      </c>
      <c r="B2063" t="s">
        <v>323</v>
      </c>
      <c r="C2063" t="s">
        <v>2372</v>
      </c>
      <c r="D2063" s="30">
        <v>0.50799768518518518</v>
      </c>
      <c r="E2063" t="s">
        <v>314</v>
      </c>
      <c r="F2063" t="s">
        <v>299</v>
      </c>
      <c r="G2063" t="s">
        <v>299</v>
      </c>
      <c r="H2063">
        <v>22</v>
      </c>
      <c r="I2063" s="30">
        <v>3.2523148148148147E-3</v>
      </c>
      <c r="J2063">
        <v>4</v>
      </c>
    </row>
    <row r="2064" spans="1:10" x14ac:dyDescent="0.35">
      <c r="A2064" t="s">
        <v>2408</v>
      </c>
      <c r="B2064" t="s">
        <v>296</v>
      </c>
      <c r="C2064" t="s">
        <v>2372</v>
      </c>
      <c r="D2064" s="30">
        <v>0.54700231481481476</v>
      </c>
      <c r="E2064" t="s">
        <v>298</v>
      </c>
      <c r="F2064" t="s">
        <v>299</v>
      </c>
      <c r="G2064" t="s">
        <v>303</v>
      </c>
      <c r="H2064">
        <v>75</v>
      </c>
      <c r="I2064" s="30">
        <v>1.2962962962962963E-3</v>
      </c>
      <c r="J2064">
        <v>5</v>
      </c>
    </row>
    <row r="2065" spans="1:10" x14ac:dyDescent="0.35">
      <c r="A2065" t="s">
        <v>2409</v>
      </c>
      <c r="B2065" t="s">
        <v>332</v>
      </c>
      <c r="C2065" t="s">
        <v>2372</v>
      </c>
      <c r="D2065" s="30">
        <v>0.54700231481481476</v>
      </c>
      <c r="E2065" t="s">
        <v>309</v>
      </c>
      <c r="F2065" t="s">
        <v>299</v>
      </c>
      <c r="G2065" t="s">
        <v>299</v>
      </c>
      <c r="H2065">
        <v>93</v>
      </c>
      <c r="I2065" s="30">
        <v>3.2060185185185186E-3</v>
      </c>
      <c r="J2065">
        <v>3</v>
      </c>
    </row>
    <row r="2066" spans="1:10" x14ac:dyDescent="0.35">
      <c r="A2066" t="s">
        <v>2410</v>
      </c>
      <c r="B2066" t="s">
        <v>316</v>
      </c>
      <c r="C2066" t="s">
        <v>2372</v>
      </c>
      <c r="D2066" s="30">
        <v>0.5540046296296296</v>
      </c>
      <c r="E2066" t="s">
        <v>317</v>
      </c>
      <c r="F2066" t="s">
        <v>299</v>
      </c>
      <c r="G2066" t="s">
        <v>299</v>
      </c>
      <c r="H2066">
        <v>106</v>
      </c>
      <c r="I2066" s="30">
        <v>2.650462962962963E-3</v>
      </c>
      <c r="J2066">
        <v>4</v>
      </c>
    </row>
    <row r="2067" spans="1:10" x14ac:dyDescent="0.35">
      <c r="A2067" t="s">
        <v>2411</v>
      </c>
      <c r="B2067" t="s">
        <v>319</v>
      </c>
      <c r="C2067" t="s">
        <v>2372</v>
      </c>
      <c r="D2067" s="30">
        <v>0.5540046296296296</v>
      </c>
      <c r="E2067" t="s">
        <v>317</v>
      </c>
      <c r="F2067" t="s">
        <v>299</v>
      </c>
      <c r="G2067" t="s">
        <v>299</v>
      </c>
      <c r="H2067">
        <v>117</v>
      </c>
      <c r="I2067" s="30">
        <v>2.685185185185185E-3</v>
      </c>
      <c r="J2067">
        <v>3</v>
      </c>
    </row>
    <row r="2068" spans="1:10" x14ac:dyDescent="0.35">
      <c r="A2068" t="s">
        <v>2412</v>
      </c>
      <c r="B2068" t="s">
        <v>316</v>
      </c>
      <c r="C2068" t="s">
        <v>2372</v>
      </c>
      <c r="D2068" s="30">
        <v>0.57200231481481478</v>
      </c>
      <c r="E2068" t="s">
        <v>309</v>
      </c>
      <c r="F2068" t="s">
        <v>299</v>
      </c>
      <c r="G2068" t="s">
        <v>303</v>
      </c>
      <c r="H2068">
        <v>74</v>
      </c>
      <c r="I2068" s="30">
        <v>1.8749999999999999E-3</v>
      </c>
      <c r="J2068">
        <v>1</v>
      </c>
    </row>
    <row r="2069" spans="1:10" x14ac:dyDescent="0.35">
      <c r="A2069" t="s">
        <v>2413</v>
      </c>
      <c r="B2069" t="s">
        <v>301</v>
      </c>
      <c r="C2069" t="s">
        <v>2372</v>
      </c>
      <c r="D2069" s="30">
        <v>0.57200231481481478</v>
      </c>
      <c r="E2069" t="s">
        <v>302</v>
      </c>
      <c r="F2069" t="s">
        <v>299</v>
      </c>
      <c r="G2069" t="s">
        <v>299</v>
      </c>
      <c r="H2069">
        <v>68</v>
      </c>
      <c r="I2069" s="30">
        <v>7.7546296296296293E-4</v>
      </c>
      <c r="J2069">
        <v>3</v>
      </c>
    </row>
    <row r="2070" spans="1:10" x14ac:dyDescent="0.35">
      <c r="A2070" t="s">
        <v>2414</v>
      </c>
      <c r="B2070" t="s">
        <v>307</v>
      </c>
      <c r="C2070" t="s">
        <v>2372</v>
      </c>
      <c r="D2070" s="30">
        <v>0.59299768518518514</v>
      </c>
      <c r="E2070" t="s">
        <v>314</v>
      </c>
      <c r="F2070" t="s">
        <v>299</v>
      </c>
      <c r="G2070" t="s">
        <v>299</v>
      </c>
      <c r="H2070">
        <v>107</v>
      </c>
      <c r="I2070" s="30">
        <v>3.9004629629629628E-3</v>
      </c>
      <c r="J2070">
        <v>3</v>
      </c>
    </row>
    <row r="2071" spans="1:10" x14ac:dyDescent="0.35">
      <c r="A2071" t="s">
        <v>2415</v>
      </c>
      <c r="B2071" t="s">
        <v>296</v>
      </c>
      <c r="C2071" t="s">
        <v>2372</v>
      </c>
      <c r="D2071" s="30">
        <v>0.59299768518518514</v>
      </c>
      <c r="E2071" t="s">
        <v>298</v>
      </c>
      <c r="F2071" t="s">
        <v>299</v>
      </c>
      <c r="G2071" t="s">
        <v>299</v>
      </c>
      <c r="H2071">
        <v>119</v>
      </c>
      <c r="I2071" s="30">
        <v>6.7129629629629625E-4</v>
      </c>
      <c r="J2071">
        <v>1</v>
      </c>
    </row>
    <row r="2072" spans="1:10" x14ac:dyDescent="0.35">
      <c r="A2072" t="s">
        <v>2416</v>
      </c>
      <c r="B2072" t="s">
        <v>332</v>
      </c>
      <c r="C2072" t="s">
        <v>2372</v>
      </c>
      <c r="D2072" s="30">
        <v>0.60200231481481481</v>
      </c>
      <c r="E2072" t="s">
        <v>309</v>
      </c>
      <c r="F2072" t="s">
        <v>303</v>
      </c>
      <c r="G2072" t="s">
        <v>303</v>
      </c>
    </row>
    <row r="2073" spans="1:10" x14ac:dyDescent="0.35">
      <c r="A2073" t="s">
        <v>2417</v>
      </c>
      <c r="B2073" t="s">
        <v>305</v>
      </c>
      <c r="C2073" t="s">
        <v>2372</v>
      </c>
      <c r="D2073" s="30">
        <v>0.60200231481481481</v>
      </c>
      <c r="E2073" t="s">
        <v>317</v>
      </c>
      <c r="F2073" t="s">
        <v>299</v>
      </c>
      <c r="G2073" t="s">
        <v>299</v>
      </c>
      <c r="H2073">
        <v>123</v>
      </c>
      <c r="I2073" s="30">
        <v>2.9629629629629628E-3</v>
      </c>
      <c r="J2073">
        <v>2</v>
      </c>
    </row>
    <row r="2074" spans="1:10" x14ac:dyDescent="0.35">
      <c r="A2074" t="s">
        <v>2418</v>
      </c>
      <c r="B2074" t="s">
        <v>316</v>
      </c>
      <c r="C2074" t="s">
        <v>2372</v>
      </c>
      <c r="D2074" s="30">
        <v>0.60599537037037032</v>
      </c>
      <c r="E2074" t="s">
        <v>314</v>
      </c>
      <c r="F2074" t="s">
        <v>299</v>
      </c>
      <c r="G2074" t="s">
        <v>299</v>
      </c>
      <c r="H2074">
        <v>103</v>
      </c>
      <c r="I2074" s="30">
        <v>1.5162037037037036E-3</v>
      </c>
      <c r="J2074">
        <v>2</v>
      </c>
    </row>
    <row r="2075" spans="1:10" x14ac:dyDescent="0.35">
      <c r="A2075" t="s">
        <v>2419</v>
      </c>
      <c r="B2075" t="s">
        <v>323</v>
      </c>
      <c r="C2075" t="s">
        <v>2372</v>
      </c>
      <c r="D2075" s="30">
        <v>0.60599537037037032</v>
      </c>
      <c r="E2075" t="s">
        <v>317</v>
      </c>
      <c r="F2075" t="s">
        <v>299</v>
      </c>
      <c r="G2075" t="s">
        <v>299</v>
      </c>
      <c r="H2075">
        <v>113</v>
      </c>
      <c r="I2075" s="30">
        <v>4.2824074074074081E-4</v>
      </c>
      <c r="J2075">
        <v>5</v>
      </c>
    </row>
    <row r="2076" spans="1:10" x14ac:dyDescent="0.35">
      <c r="A2076" t="s">
        <v>2420</v>
      </c>
      <c r="B2076" t="s">
        <v>307</v>
      </c>
      <c r="C2076" t="s">
        <v>2372</v>
      </c>
      <c r="D2076" s="30">
        <v>0.60799768518518515</v>
      </c>
      <c r="E2076" t="s">
        <v>302</v>
      </c>
      <c r="F2076" t="s">
        <v>299</v>
      </c>
      <c r="G2076" t="s">
        <v>303</v>
      </c>
      <c r="H2076">
        <v>116</v>
      </c>
      <c r="I2076" s="30">
        <v>3.6574074074074074E-3</v>
      </c>
      <c r="J2076">
        <v>4</v>
      </c>
    </row>
    <row r="2077" spans="1:10" x14ac:dyDescent="0.35">
      <c r="A2077" t="s">
        <v>2421</v>
      </c>
      <c r="B2077" t="s">
        <v>305</v>
      </c>
      <c r="C2077" t="s">
        <v>2372</v>
      </c>
      <c r="D2077" s="30">
        <v>0.60799768518518515</v>
      </c>
      <c r="E2077" t="s">
        <v>314</v>
      </c>
      <c r="F2077" t="s">
        <v>299</v>
      </c>
      <c r="G2077" t="s">
        <v>303</v>
      </c>
      <c r="H2077">
        <v>39</v>
      </c>
      <c r="I2077" s="30">
        <v>1.5740740740740741E-3</v>
      </c>
      <c r="J2077">
        <v>1</v>
      </c>
    </row>
    <row r="2078" spans="1:10" x14ac:dyDescent="0.35">
      <c r="A2078" t="s">
        <v>2422</v>
      </c>
      <c r="B2078" t="s">
        <v>301</v>
      </c>
      <c r="C2078" t="s">
        <v>2372</v>
      </c>
      <c r="D2078" s="30">
        <v>0.61599537037037033</v>
      </c>
      <c r="E2078" t="s">
        <v>314</v>
      </c>
      <c r="F2078" t="s">
        <v>299</v>
      </c>
      <c r="G2078" t="s">
        <v>299</v>
      </c>
      <c r="H2078">
        <v>78</v>
      </c>
      <c r="I2078" s="30">
        <v>4.3055555555555555E-3</v>
      </c>
      <c r="J2078">
        <v>3</v>
      </c>
    </row>
    <row r="2079" spans="1:10" x14ac:dyDescent="0.35">
      <c r="A2079" t="s">
        <v>2423</v>
      </c>
      <c r="B2079" t="s">
        <v>323</v>
      </c>
      <c r="C2079" t="s">
        <v>2372</v>
      </c>
      <c r="D2079" s="30">
        <v>0.61599537037037033</v>
      </c>
      <c r="E2079" t="s">
        <v>302</v>
      </c>
      <c r="F2079" t="s">
        <v>299</v>
      </c>
      <c r="G2079" t="s">
        <v>299</v>
      </c>
      <c r="H2079">
        <v>120</v>
      </c>
      <c r="I2079" s="30">
        <v>3.5879629629629629E-3</v>
      </c>
      <c r="J2079">
        <v>3</v>
      </c>
    </row>
    <row r="2080" spans="1:10" x14ac:dyDescent="0.35">
      <c r="A2080" t="s">
        <v>2424</v>
      </c>
      <c r="B2080" t="s">
        <v>319</v>
      </c>
      <c r="C2080" t="s">
        <v>2372</v>
      </c>
      <c r="D2080" s="30">
        <v>0.62299768518518517</v>
      </c>
      <c r="E2080" t="s">
        <v>298</v>
      </c>
      <c r="F2080" t="s">
        <v>299</v>
      </c>
      <c r="G2080" t="s">
        <v>299</v>
      </c>
      <c r="H2080">
        <v>118</v>
      </c>
      <c r="I2080" s="30">
        <v>2.0023148148148148E-3</v>
      </c>
      <c r="J2080">
        <v>3</v>
      </c>
    </row>
    <row r="2081" spans="1:10" x14ac:dyDescent="0.35">
      <c r="A2081" t="s">
        <v>2425</v>
      </c>
      <c r="B2081" t="s">
        <v>332</v>
      </c>
      <c r="C2081" t="s">
        <v>2372</v>
      </c>
      <c r="D2081" s="30">
        <v>0.62299768518518517</v>
      </c>
      <c r="E2081" t="s">
        <v>298</v>
      </c>
      <c r="F2081" t="s">
        <v>299</v>
      </c>
      <c r="G2081" t="s">
        <v>299</v>
      </c>
      <c r="H2081">
        <v>103</v>
      </c>
      <c r="I2081" s="30">
        <v>3.3101851851851851E-3</v>
      </c>
      <c r="J2081">
        <v>3</v>
      </c>
    </row>
    <row r="2082" spans="1:10" x14ac:dyDescent="0.35">
      <c r="A2082" t="s">
        <v>2426</v>
      </c>
      <c r="B2082" t="s">
        <v>316</v>
      </c>
      <c r="C2082" t="s">
        <v>2372</v>
      </c>
      <c r="D2082" s="30">
        <v>0.63500000000000001</v>
      </c>
      <c r="E2082" t="s">
        <v>314</v>
      </c>
      <c r="F2082" t="s">
        <v>299</v>
      </c>
      <c r="G2082" t="s">
        <v>299</v>
      </c>
      <c r="H2082">
        <v>96</v>
      </c>
      <c r="I2082" s="30">
        <v>3.460648148148148E-3</v>
      </c>
      <c r="J2082">
        <v>4</v>
      </c>
    </row>
    <row r="2083" spans="1:10" x14ac:dyDescent="0.35">
      <c r="A2083" t="s">
        <v>2427</v>
      </c>
      <c r="B2083" t="s">
        <v>301</v>
      </c>
      <c r="C2083" t="s">
        <v>2372</v>
      </c>
      <c r="D2083" s="30">
        <v>0.63500000000000001</v>
      </c>
      <c r="E2083" t="s">
        <v>309</v>
      </c>
      <c r="F2083" t="s">
        <v>299</v>
      </c>
      <c r="G2083" t="s">
        <v>299</v>
      </c>
      <c r="H2083">
        <v>105</v>
      </c>
      <c r="I2083" s="30">
        <v>2.476851851851852E-3</v>
      </c>
      <c r="J2083">
        <v>4</v>
      </c>
    </row>
    <row r="2084" spans="1:10" x14ac:dyDescent="0.35">
      <c r="A2084" t="s">
        <v>2428</v>
      </c>
      <c r="B2084" t="s">
        <v>319</v>
      </c>
      <c r="C2084" t="s">
        <v>2372</v>
      </c>
      <c r="D2084" s="30">
        <v>0.65400462962962957</v>
      </c>
      <c r="E2084" t="s">
        <v>309</v>
      </c>
      <c r="F2084" t="s">
        <v>299</v>
      </c>
      <c r="G2084" t="s">
        <v>299</v>
      </c>
      <c r="H2084">
        <v>12</v>
      </c>
      <c r="I2084" s="30">
        <v>2.0486111111111113E-3</v>
      </c>
      <c r="J2084">
        <v>2</v>
      </c>
    </row>
    <row r="2085" spans="1:10" x14ac:dyDescent="0.35">
      <c r="A2085" t="s">
        <v>2429</v>
      </c>
      <c r="B2085" t="s">
        <v>323</v>
      </c>
      <c r="C2085" t="s">
        <v>2372</v>
      </c>
      <c r="D2085" s="30">
        <v>0.65400462962962957</v>
      </c>
      <c r="E2085" t="s">
        <v>314</v>
      </c>
      <c r="F2085" t="s">
        <v>303</v>
      </c>
      <c r="G2085" t="s">
        <v>303</v>
      </c>
    </row>
    <row r="2086" spans="1:10" x14ac:dyDescent="0.35">
      <c r="A2086" t="s">
        <v>2430</v>
      </c>
      <c r="B2086" t="s">
        <v>323</v>
      </c>
      <c r="C2086" t="s">
        <v>2372</v>
      </c>
      <c r="D2086" s="30">
        <v>0.67</v>
      </c>
      <c r="E2086" t="s">
        <v>302</v>
      </c>
      <c r="F2086" t="s">
        <v>299</v>
      </c>
      <c r="G2086" t="s">
        <v>299</v>
      </c>
      <c r="H2086">
        <v>61</v>
      </c>
      <c r="I2086" s="30">
        <v>2.2222222222222222E-3</v>
      </c>
      <c r="J2086">
        <v>2</v>
      </c>
    </row>
    <row r="2087" spans="1:10" x14ac:dyDescent="0.35">
      <c r="A2087" t="s">
        <v>2431</v>
      </c>
      <c r="B2087" t="s">
        <v>323</v>
      </c>
      <c r="C2087" t="s">
        <v>2372</v>
      </c>
      <c r="D2087" s="30">
        <v>0.67</v>
      </c>
      <c r="E2087" t="s">
        <v>314</v>
      </c>
      <c r="F2087" t="s">
        <v>299</v>
      </c>
      <c r="G2087" t="s">
        <v>299</v>
      </c>
      <c r="H2087">
        <v>82</v>
      </c>
      <c r="I2087" s="30">
        <v>4.7916666666666663E-3</v>
      </c>
      <c r="J2087">
        <v>1</v>
      </c>
    </row>
    <row r="2088" spans="1:10" x14ac:dyDescent="0.35">
      <c r="A2088" t="s">
        <v>2432</v>
      </c>
      <c r="B2088" t="s">
        <v>307</v>
      </c>
      <c r="C2088" t="s">
        <v>2372</v>
      </c>
      <c r="D2088" s="30">
        <v>0.6790046296296296</v>
      </c>
      <c r="E2088" t="s">
        <v>302</v>
      </c>
      <c r="F2088" t="s">
        <v>299</v>
      </c>
      <c r="G2088" t="s">
        <v>299</v>
      </c>
      <c r="H2088">
        <v>51</v>
      </c>
      <c r="I2088" s="30">
        <v>7.291666666666667E-4</v>
      </c>
      <c r="J2088">
        <v>2</v>
      </c>
    </row>
    <row r="2089" spans="1:10" x14ac:dyDescent="0.35">
      <c r="A2089" t="s">
        <v>2433</v>
      </c>
      <c r="B2089" t="s">
        <v>301</v>
      </c>
      <c r="C2089" t="s">
        <v>2372</v>
      </c>
      <c r="D2089" s="30">
        <v>0.6790046296296296</v>
      </c>
      <c r="E2089" t="s">
        <v>314</v>
      </c>
      <c r="F2089" t="s">
        <v>299</v>
      </c>
      <c r="G2089" t="s">
        <v>299</v>
      </c>
      <c r="H2089">
        <v>25</v>
      </c>
      <c r="I2089" s="30">
        <v>4.6759259259259263E-3</v>
      </c>
      <c r="J2089">
        <v>5</v>
      </c>
    </row>
    <row r="2090" spans="1:10" x14ac:dyDescent="0.35">
      <c r="A2090" t="s">
        <v>2434</v>
      </c>
      <c r="B2090" t="s">
        <v>316</v>
      </c>
      <c r="C2090" t="s">
        <v>2372</v>
      </c>
      <c r="D2090" s="30">
        <v>0.68299768518518522</v>
      </c>
      <c r="E2090" t="s">
        <v>302</v>
      </c>
      <c r="F2090" t="s">
        <v>299</v>
      </c>
      <c r="G2090" t="s">
        <v>299</v>
      </c>
      <c r="H2090">
        <v>30</v>
      </c>
      <c r="I2090" s="30">
        <v>4.0509259259259258E-4</v>
      </c>
      <c r="J2090">
        <v>4</v>
      </c>
    </row>
    <row r="2091" spans="1:10" x14ac:dyDescent="0.35">
      <c r="A2091" t="s">
        <v>2435</v>
      </c>
      <c r="B2091" t="s">
        <v>323</v>
      </c>
      <c r="C2091" t="s">
        <v>2372</v>
      </c>
      <c r="D2091" s="30">
        <v>0.68299768518518522</v>
      </c>
      <c r="E2091" t="s">
        <v>302</v>
      </c>
      <c r="F2091" t="s">
        <v>303</v>
      </c>
      <c r="G2091" t="s">
        <v>303</v>
      </c>
    </row>
    <row r="2092" spans="1:10" x14ac:dyDescent="0.35">
      <c r="A2092" t="s">
        <v>2436</v>
      </c>
      <c r="B2092" t="s">
        <v>305</v>
      </c>
      <c r="C2092" t="s">
        <v>2372</v>
      </c>
      <c r="D2092" s="30">
        <v>0.70499999999999996</v>
      </c>
      <c r="E2092" t="s">
        <v>298</v>
      </c>
      <c r="F2092" t="s">
        <v>299</v>
      </c>
      <c r="G2092" t="s">
        <v>299</v>
      </c>
      <c r="H2092">
        <v>90</v>
      </c>
      <c r="I2092" s="30">
        <v>1.3773148148148147E-3</v>
      </c>
      <c r="J2092">
        <v>3</v>
      </c>
    </row>
    <row r="2093" spans="1:10" x14ac:dyDescent="0.35">
      <c r="A2093" t="s">
        <v>2437</v>
      </c>
      <c r="B2093" t="s">
        <v>332</v>
      </c>
      <c r="C2093" t="s">
        <v>2372</v>
      </c>
      <c r="D2093" s="30">
        <v>0.70499999999999996</v>
      </c>
      <c r="E2093" t="s">
        <v>314</v>
      </c>
      <c r="F2093" t="s">
        <v>303</v>
      </c>
      <c r="G2093" t="s">
        <v>303</v>
      </c>
    </row>
    <row r="2094" spans="1:10" x14ac:dyDescent="0.35">
      <c r="A2094" t="s">
        <v>2438</v>
      </c>
      <c r="B2094" t="s">
        <v>296</v>
      </c>
      <c r="C2094" t="s">
        <v>2372</v>
      </c>
      <c r="D2094" s="30">
        <v>0.72299768518518515</v>
      </c>
      <c r="E2094" t="s">
        <v>298</v>
      </c>
      <c r="F2094" t="s">
        <v>299</v>
      </c>
      <c r="G2094" t="s">
        <v>299</v>
      </c>
      <c r="H2094">
        <v>12</v>
      </c>
      <c r="I2094" s="30">
        <v>1.2152777777777778E-3</v>
      </c>
      <c r="J2094">
        <v>3</v>
      </c>
    </row>
    <row r="2095" spans="1:10" x14ac:dyDescent="0.35">
      <c r="A2095" t="s">
        <v>2439</v>
      </c>
      <c r="B2095" t="s">
        <v>316</v>
      </c>
      <c r="C2095" t="s">
        <v>2372</v>
      </c>
      <c r="D2095" s="30">
        <v>0.72299768518518515</v>
      </c>
      <c r="E2095" t="s">
        <v>314</v>
      </c>
      <c r="F2095" t="s">
        <v>303</v>
      </c>
      <c r="G2095" t="s">
        <v>303</v>
      </c>
    </row>
    <row r="2096" spans="1:10" x14ac:dyDescent="0.35">
      <c r="A2096" t="s">
        <v>2440</v>
      </c>
      <c r="B2096" t="s">
        <v>323</v>
      </c>
      <c r="C2096" t="s">
        <v>2372</v>
      </c>
      <c r="D2096" s="30">
        <v>0.73599537037037033</v>
      </c>
      <c r="E2096" t="s">
        <v>298</v>
      </c>
      <c r="F2096" t="s">
        <v>303</v>
      </c>
      <c r="G2096" t="s">
        <v>303</v>
      </c>
    </row>
    <row r="2097" spans="1:10" x14ac:dyDescent="0.35">
      <c r="A2097" t="s">
        <v>2441</v>
      </c>
      <c r="B2097" t="s">
        <v>316</v>
      </c>
      <c r="C2097" t="s">
        <v>2372</v>
      </c>
      <c r="D2097" s="30">
        <v>0.73599537037037033</v>
      </c>
      <c r="E2097" t="s">
        <v>302</v>
      </c>
      <c r="F2097" t="s">
        <v>303</v>
      </c>
      <c r="G2097" t="s">
        <v>303</v>
      </c>
    </row>
    <row r="2098" spans="1:10" x14ac:dyDescent="0.35">
      <c r="A2098" t="s">
        <v>2442</v>
      </c>
      <c r="B2098" t="s">
        <v>301</v>
      </c>
      <c r="C2098" t="s">
        <v>2372</v>
      </c>
      <c r="D2098" s="30">
        <v>0.73900462962962965</v>
      </c>
      <c r="E2098" t="s">
        <v>302</v>
      </c>
      <c r="F2098" t="s">
        <v>299</v>
      </c>
      <c r="G2098" t="s">
        <v>299</v>
      </c>
      <c r="H2098">
        <v>50</v>
      </c>
      <c r="I2098" s="30">
        <v>3.6574074074074074E-3</v>
      </c>
      <c r="J2098">
        <v>3</v>
      </c>
    </row>
    <row r="2099" spans="1:10" x14ac:dyDescent="0.35">
      <c r="A2099" t="s">
        <v>2443</v>
      </c>
      <c r="B2099" t="s">
        <v>296</v>
      </c>
      <c r="C2099" t="s">
        <v>2372</v>
      </c>
      <c r="D2099" s="30">
        <v>0.73900462962962965</v>
      </c>
      <c r="E2099" t="s">
        <v>302</v>
      </c>
      <c r="F2099" t="s">
        <v>299</v>
      </c>
      <c r="G2099" t="s">
        <v>299</v>
      </c>
      <c r="H2099">
        <v>125</v>
      </c>
      <c r="I2099" s="30">
        <v>5.7870370370370367E-4</v>
      </c>
      <c r="J2099">
        <v>3</v>
      </c>
    </row>
    <row r="2100" spans="1:10" x14ac:dyDescent="0.35">
      <c r="A2100" t="s">
        <v>2444</v>
      </c>
      <c r="B2100" t="s">
        <v>316</v>
      </c>
      <c r="C2100" t="s">
        <v>2445</v>
      </c>
      <c r="D2100" s="30">
        <v>0.39099537037037035</v>
      </c>
      <c r="E2100" t="s">
        <v>314</v>
      </c>
      <c r="F2100" t="s">
        <v>299</v>
      </c>
      <c r="G2100" t="s">
        <v>299</v>
      </c>
      <c r="H2100">
        <v>118</v>
      </c>
      <c r="I2100" s="30">
        <v>1.2731481481481483E-3</v>
      </c>
      <c r="J2100">
        <v>4</v>
      </c>
    </row>
    <row r="2101" spans="1:10" x14ac:dyDescent="0.35">
      <c r="A2101" t="s">
        <v>2446</v>
      </c>
      <c r="B2101" t="s">
        <v>323</v>
      </c>
      <c r="C2101" t="s">
        <v>2445</v>
      </c>
      <c r="D2101" s="30">
        <v>0.39099537037037035</v>
      </c>
      <c r="E2101" t="s">
        <v>317</v>
      </c>
      <c r="F2101" t="s">
        <v>299</v>
      </c>
      <c r="G2101" t="s">
        <v>303</v>
      </c>
      <c r="H2101">
        <v>46</v>
      </c>
      <c r="I2101" s="30">
        <v>1.0763888888888889E-3</v>
      </c>
      <c r="J2101">
        <v>5</v>
      </c>
    </row>
    <row r="2102" spans="1:10" x14ac:dyDescent="0.35">
      <c r="A2102" t="s">
        <v>2447</v>
      </c>
      <c r="B2102" t="s">
        <v>316</v>
      </c>
      <c r="C2102" t="s">
        <v>2445</v>
      </c>
      <c r="D2102" s="30">
        <v>0.41499999999999998</v>
      </c>
      <c r="E2102" t="s">
        <v>302</v>
      </c>
      <c r="F2102" t="s">
        <v>299</v>
      </c>
      <c r="G2102" t="s">
        <v>299</v>
      </c>
      <c r="H2102">
        <v>92</v>
      </c>
      <c r="I2102" s="30">
        <v>2.7199074074074074E-3</v>
      </c>
      <c r="J2102">
        <v>4</v>
      </c>
    </row>
    <row r="2103" spans="1:10" x14ac:dyDescent="0.35">
      <c r="A2103" t="s">
        <v>2448</v>
      </c>
      <c r="B2103" t="s">
        <v>301</v>
      </c>
      <c r="C2103" t="s">
        <v>2445</v>
      </c>
      <c r="D2103" s="30">
        <v>0.41499999999999998</v>
      </c>
      <c r="E2103" t="s">
        <v>309</v>
      </c>
      <c r="F2103" t="s">
        <v>299</v>
      </c>
      <c r="G2103" t="s">
        <v>299</v>
      </c>
      <c r="H2103">
        <v>23</v>
      </c>
      <c r="I2103" s="30">
        <v>1.6898148148148148E-3</v>
      </c>
      <c r="J2103">
        <v>3</v>
      </c>
    </row>
    <row r="2104" spans="1:10" x14ac:dyDescent="0.35">
      <c r="A2104" t="s">
        <v>2449</v>
      </c>
      <c r="B2104" t="s">
        <v>301</v>
      </c>
      <c r="C2104" t="s">
        <v>2445</v>
      </c>
      <c r="D2104" s="30">
        <v>0.41599537037037038</v>
      </c>
      <c r="E2104" t="s">
        <v>298</v>
      </c>
      <c r="F2104" t="s">
        <v>299</v>
      </c>
      <c r="G2104" t="s">
        <v>299</v>
      </c>
      <c r="H2104">
        <v>108</v>
      </c>
      <c r="I2104" s="30">
        <v>2.5810185185185185E-3</v>
      </c>
      <c r="J2104">
        <v>2</v>
      </c>
    </row>
    <row r="2105" spans="1:10" x14ac:dyDescent="0.35">
      <c r="A2105" t="s">
        <v>2450</v>
      </c>
      <c r="B2105" t="s">
        <v>296</v>
      </c>
      <c r="C2105" t="s">
        <v>2445</v>
      </c>
      <c r="D2105" s="30">
        <v>0.41599537037037038</v>
      </c>
      <c r="E2105" t="s">
        <v>317</v>
      </c>
      <c r="F2105" t="s">
        <v>299</v>
      </c>
      <c r="G2105" t="s">
        <v>299</v>
      </c>
      <c r="H2105">
        <v>122</v>
      </c>
      <c r="I2105" s="30">
        <v>2.3148148148148147E-3</v>
      </c>
      <c r="J2105">
        <v>4</v>
      </c>
    </row>
    <row r="2106" spans="1:10" x14ac:dyDescent="0.35">
      <c r="A2106" t="s">
        <v>2451</v>
      </c>
      <c r="B2106" t="s">
        <v>319</v>
      </c>
      <c r="C2106" t="s">
        <v>2445</v>
      </c>
      <c r="D2106" s="30">
        <v>0.44900462962962961</v>
      </c>
      <c r="E2106" t="s">
        <v>302</v>
      </c>
      <c r="F2106" t="s">
        <v>299</v>
      </c>
      <c r="G2106" t="s">
        <v>299</v>
      </c>
      <c r="H2106">
        <v>27</v>
      </c>
      <c r="I2106" s="30">
        <v>4.3981481481481481E-4</v>
      </c>
      <c r="J2106">
        <v>4</v>
      </c>
    </row>
    <row r="2107" spans="1:10" x14ac:dyDescent="0.35">
      <c r="A2107" t="s">
        <v>2452</v>
      </c>
      <c r="B2107" t="s">
        <v>301</v>
      </c>
      <c r="C2107" t="s">
        <v>2445</v>
      </c>
      <c r="D2107" s="30">
        <v>0.44900462962962961</v>
      </c>
      <c r="E2107" t="s">
        <v>314</v>
      </c>
      <c r="F2107" t="s">
        <v>299</v>
      </c>
      <c r="G2107" t="s">
        <v>299</v>
      </c>
      <c r="H2107">
        <v>116</v>
      </c>
      <c r="I2107" s="30">
        <v>9.4907407407407408E-4</v>
      </c>
      <c r="J2107">
        <v>4</v>
      </c>
    </row>
    <row r="2108" spans="1:10" x14ac:dyDescent="0.35">
      <c r="A2108" t="s">
        <v>2453</v>
      </c>
      <c r="B2108" t="s">
        <v>307</v>
      </c>
      <c r="C2108" t="s">
        <v>2445</v>
      </c>
      <c r="D2108" s="30">
        <v>0.45</v>
      </c>
      <c r="E2108" t="s">
        <v>309</v>
      </c>
      <c r="F2108" t="s">
        <v>299</v>
      </c>
      <c r="G2108" t="s">
        <v>299</v>
      </c>
      <c r="H2108">
        <v>120</v>
      </c>
      <c r="I2108" s="30">
        <v>4.409722222222222E-3</v>
      </c>
      <c r="J2108">
        <v>3</v>
      </c>
    </row>
    <row r="2109" spans="1:10" x14ac:dyDescent="0.35">
      <c r="A2109" t="s">
        <v>2454</v>
      </c>
      <c r="B2109" t="s">
        <v>307</v>
      </c>
      <c r="C2109" t="s">
        <v>2445</v>
      </c>
      <c r="D2109" s="30">
        <v>0.45</v>
      </c>
      <c r="E2109" t="s">
        <v>302</v>
      </c>
      <c r="F2109" t="s">
        <v>299</v>
      </c>
      <c r="G2109" t="s">
        <v>299</v>
      </c>
      <c r="H2109">
        <v>55</v>
      </c>
      <c r="I2109" s="30">
        <v>5.7870370370370367E-4</v>
      </c>
      <c r="J2109">
        <v>5</v>
      </c>
    </row>
    <row r="2110" spans="1:10" x14ac:dyDescent="0.35">
      <c r="A2110" t="s">
        <v>2455</v>
      </c>
      <c r="B2110" t="s">
        <v>296</v>
      </c>
      <c r="C2110" t="s">
        <v>2445</v>
      </c>
      <c r="D2110" s="30">
        <v>0.46</v>
      </c>
      <c r="E2110" t="s">
        <v>317</v>
      </c>
      <c r="F2110" t="s">
        <v>299</v>
      </c>
      <c r="G2110" t="s">
        <v>299</v>
      </c>
      <c r="H2110">
        <v>46</v>
      </c>
      <c r="I2110" s="30">
        <v>3.0208333333333333E-3</v>
      </c>
      <c r="J2110">
        <v>4</v>
      </c>
    </row>
    <row r="2111" spans="1:10" x14ac:dyDescent="0.35">
      <c r="A2111" t="s">
        <v>2456</v>
      </c>
      <c r="B2111" t="s">
        <v>305</v>
      </c>
      <c r="C2111" t="s">
        <v>2445</v>
      </c>
      <c r="D2111" s="30">
        <v>0.46</v>
      </c>
      <c r="E2111" t="s">
        <v>298</v>
      </c>
      <c r="F2111" t="s">
        <v>303</v>
      </c>
      <c r="G2111" t="s">
        <v>303</v>
      </c>
    </row>
    <row r="2112" spans="1:10" x14ac:dyDescent="0.35">
      <c r="A2112" t="s">
        <v>2457</v>
      </c>
      <c r="B2112" t="s">
        <v>316</v>
      </c>
      <c r="C2112" t="s">
        <v>2445</v>
      </c>
      <c r="D2112" s="30">
        <v>0.47599537037037037</v>
      </c>
      <c r="E2112" t="s">
        <v>317</v>
      </c>
      <c r="F2112" t="s">
        <v>299</v>
      </c>
      <c r="G2112" t="s">
        <v>299</v>
      </c>
      <c r="H2112">
        <v>78</v>
      </c>
      <c r="I2112" s="30">
        <v>2.5694444444444445E-3</v>
      </c>
      <c r="J2112">
        <v>2</v>
      </c>
    </row>
    <row r="2113" spans="1:10" x14ac:dyDescent="0.35">
      <c r="A2113" t="s">
        <v>2458</v>
      </c>
      <c r="B2113" t="s">
        <v>307</v>
      </c>
      <c r="C2113" t="s">
        <v>2445</v>
      </c>
      <c r="D2113" s="30">
        <v>0.47599537037037037</v>
      </c>
      <c r="E2113" t="s">
        <v>309</v>
      </c>
      <c r="F2113" t="s">
        <v>299</v>
      </c>
      <c r="G2113" t="s">
        <v>299</v>
      </c>
      <c r="H2113">
        <v>76</v>
      </c>
      <c r="I2113" s="30">
        <v>1.9791666666666668E-3</v>
      </c>
      <c r="J2113">
        <v>3</v>
      </c>
    </row>
    <row r="2114" spans="1:10" x14ac:dyDescent="0.35">
      <c r="A2114" t="s">
        <v>2459</v>
      </c>
      <c r="B2114" t="s">
        <v>301</v>
      </c>
      <c r="C2114" t="s">
        <v>2445</v>
      </c>
      <c r="D2114" s="30">
        <v>0.48099537037037038</v>
      </c>
      <c r="E2114" t="s">
        <v>298</v>
      </c>
      <c r="F2114" t="s">
        <v>299</v>
      </c>
      <c r="G2114" t="s">
        <v>299</v>
      </c>
      <c r="H2114">
        <v>15</v>
      </c>
      <c r="I2114" s="30">
        <v>4.43287037037037E-3</v>
      </c>
      <c r="J2114">
        <v>5</v>
      </c>
    </row>
    <row r="2115" spans="1:10" x14ac:dyDescent="0.35">
      <c r="A2115" t="s">
        <v>2460</v>
      </c>
      <c r="B2115" t="s">
        <v>301</v>
      </c>
      <c r="C2115" t="s">
        <v>2445</v>
      </c>
      <c r="D2115" s="30">
        <v>0.48099537037037038</v>
      </c>
      <c r="E2115" t="s">
        <v>314</v>
      </c>
      <c r="F2115" t="s">
        <v>303</v>
      </c>
      <c r="G2115" t="s">
        <v>303</v>
      </c>
    </row>
    <row r="2116" spans="1:10" x14ac:dyDescent="0.35">
      <c r="A2116" t="s">
        <v>2461</v>
      </c>
      <c r="B2116" t="s">
        <v>332</v>
      </c>
      <c r="C2116" t="s">
        <v>2445</v>
      </c>
      <c r="D2116" s="30">
        <v>0.48499999999999999</v>
      </c>
      <c r="E2116" t="s">
        <v>302</v>
      </c>
      <c r="F2116" t="s">
        <v>299</v>
      </c>
      <c r="G2116" t="s">
        <v>299</v>
      </c>
      <c r="H2116">
        <v>15</v>
      </c>
      <c r="I2116" s="30">
        <v>4.43287037037037E-3</v>
      </c>
      <c r="J2116">
        <v>1</v>
      </c>
    </row>
    <row r="2117" spans="1:10" x14ac:dyDescent="0.35">
      <c r="A2117" t="s">
        <v>2462</v>
      </c>
      <c r="B2117" t="s">
        <v>301</v>
      </c>
      <c r="C2117" t="s">
        <v>2445</v>
      </c>
      <c r="D2117" s="30">
        <v>0.48499999999999999</v>
      </c>
      <c r="E2117" t="s">
        <v>309</v>
      </c>
      <c r="F2117" t="s">
        <v>303</v>
      </c>
      <c r="G2117" t="s">
        <v>303</v>
      </c>
    </row>
    <row r="2118" spans="1:10" x14ac:dyDescent="0.35">
      <c r="A2118" t="s">
        <v>2463</v>
      </c>
      <c r="B2118" t="s">
        <v>301</v>
      </c>
      <c r="C2118" t="s">
        <v>2445</v>
      </c>
      <c r="D2118" s="30">
        <v>0.49700231481481483</v>
      </c>
      <c r="E2118" t="s">
        <v>314</v>
      </c>
      <c r="F2118" t="s">
        <v>299</v>
      </c>
      <c r="G2118" t="s">
        <v>299</v>
      </c>
      <c r="H2118">
        <v>82</v>
      </c>
      <c r="I2118" s="30">
        <v>1.4236111111111112E-3</v>
      </c>
      <c r="J2118">
        <v>4</v>
      </c>
    </row>
    <row r="2119" spans="1:10" x14ac:dyDescent="0.35">
      <c r="A2119" t="s">
        <v>2464</v>
      </c>
      <c r="B2119" t="s">
        <v>307</v>
      </c>
      <c r="C2119" t="s">
        <v>2445</v>
      </c>
      <c r="D2119" s="30">
        <v>0.49700231481481483</v>
      </c>
      <c r="E2119" t="s">
        <v>314</v>
      </c>
      <c r="F2119" t="s">
        <v>299</v>
      </c>
      <c r="G2119" t="s">
        <v>299</v>
      </c>
      <c r="H2119">
        <v>59</v>
      </c>
      <c r="I2119" s="30">
        <v>4.0162037037037041E-3</v>
      </c>
      <c r="J2119">
        <v>1</v>
      </c>
    </row>
    <row r="2120" spans="1:10" x14ac:dyDescent="0.35">
      <c r="A2120" t="s">
        <v>2465</v>
      </c>
      <c r="B2120" t="s">
        <v>332</v>
      </c>
      <c r="C2120" t="s">
        <v>2445</v>
      </c>
      <c r="D2120" s="30">
        <v>0.50200231481481483</v>
      </c>
      <c r="E2120" t="s">
        <v>317</v>
      </c>
      <c r="F2120" t="s">
        <v>299</v>
      </c>
      <c r="G2120" t="s">
        <v>299</v>
      </c>
      <c r="H2120">
        <v>41</v>
      </c>
      <c r="I2120" s="30">
        <v>5.6712962962962967E-4</v>
      </c>
      <c r="J2120">
        <v>4</v>
      </c>
    </row>
    <row r="2121" spans="1:10" x14ac:dyDescent="0.35">
      <c r="A2121" t="s">
        <v>2466</v>
      </c>
      <c r="B2121" t="s">
        <v>323</v>
      </c>
      <c r="C2121" t="s">
        <v>2445</v>
      </c>
      <c r="D2121" s="30">
        <v>0.50200231481481483</v>
      </c>
      <c r="E2121" t="s">
        <v>317</v>
      </c>
      <c r="F2121" t="s">
        <v>299</v>
      </c>
      <c r="G2121" t="s">
        <v>299</v>
      </c>
      <c r="H2121">
        <v>39</v>
      </c>
      <c r="I2121" s="30">
        <v>3.0902777777777777E-3</v>
      </c>
      <c r="J2121">
        <v>3</v>
      </c>
    </row>
    <row r="2122" spans="1:10" x14ac:dyDescent="0.35">
      <c r="A2122" t="s">
        <v>2467</v>
      </c>
      <c r="B2122" t="s">
        <v>323</v>
      </c>
      <c r="C2122" t="s">
        <v>2445</v>
      </c>
      <c r="D2122" s="30">
        <v>0.50900462962962967</v>
      </c>
      <c r="E2122" t="s">
        <v>309</v>
      </c>
      <c r="F2122" t="s">
        <v>303</v>
      </c>
      <c r="G2122" t="s">
        <v>303</v>
      </c>
    </row>
    <row r="2123" spans="1:10" x14ac:dyDescent="0.35">
      <c r="A2123" t="s">
        <v>2468</v>
      </c>
      <c r="B2123" t="s">
        <v>323</v>
      </c>
      <c r="C2123" t="s">
        <v>2445</v>
      </c>
      <c r="D2123" s="30">
        <v>0.50900462962962967</v>
      </c>
      <c r="E2123" t="s">
        <v>314</v>
      </c>
      <c r="F2123" t="s">
        <v>299</v>
      </c>
      <c r="G2123" t="s">
        <v>299</v>
      </c>
      <c r="H2123">
        <v>108</v>
      </c>
      <c r="I2123" s="30">
        <v>2.650462962962963E-3</v>
      </c>
      <c r="J2123">
        <v>4</v>
      </c>
    </row>
    <row r="2124" spans="1:10" x14ac:dyDescent="0.35">
      <c r="A2124" t="s">
        <v>2469</v>
      </c>
      <c r="B2124" t="s">
        <v>305</v>
      </c>
      <c r="C2124" t="s">
        <v>2445</v>
      </c>
      <c r="D2124" s="30">
        <v>0.52299768518518519</v>
      </c>
      <c r="E2124" t="s">
        <v>309</v>
      </c>
      <c r="F2124" t="s">
        <v>299</v>
      </c>
      <c r="G2124" t="s">
        <v>299</v>
      </c>
      <c r="H2124">
        <v>48</v>
      </c>
      <c r="I2124" s="30">
        <v>1.8055555555555555E-3</v>
      </c>
      <c r="J2124">
        <v>4</v>
      </c>
    </row>
    <row r="2125" spans="1:10" x14ac:dyDescent="0.35">
      <c r="A2125" t="s">
        <v>2470</v>
      </c>
      <c r="B2125" t="s">
        <v>307</v>
      </c>
      <c r="C2125" t="s">
        <v>2445</v>
      </c>
      <c r="D2125" s="30">
        <v>0.52299768518518519</v>
      </c>
      <c r="E2125" t="s">
        <v>309</v>
      </c>
      <c r="F2125" t="s">
        <v>299</v>
      </c>
      <c r="G2125" t="s">
        <v>299</v>
      </c>
      <c r="H2125">
        <v>106</v>
      </c>
      <c r="I2125" s="30">
        <v>1.2037037037037038E-3</v>
      </c>
      <c r="J2125">
        <v>5</v>
      </c>
    </row>
    <row r="2126" spans="1:10" x14ac:dyDescent="0.35">
      <c r="A2126" t="s">
        <v>2471</v>
      </c>
      <c r="B2126" t="s">
        <v>301</v>
      </c>
      <c r="C2126" t="s">
        <v>2445</v>
      </c>
      <c r="D2126" s="30">
        <v>0.53700231481481486</v>
      </c>
      <c r="E2126" t="s">
        <v>302</v>
      </c>
      <c r="F2126" t="s">
        <v>299</v>
      </c>
      <c r="G2126" t="s">
        <v>299</v>
      </c>
      <c r="H2126">
        <v>100</v>
      </c>
      <c r="I2126" s="30">
        <v>1.6550925925925926E-3</v>
      </c>
      <c r="J2126">
        <v>1</v>
      </c>
    </row>
    <row r="2127" spans="1:10" x14ac:dyDescent="0.35">
      <c r="A2127" t="s">
        <v>2472</v>
      </c>
      <c r="B2127" t="s">
        <v>316</v>
      </c>
      <c r="C2127" t="s">
        <v>2445</v>
      </c>
      <c r="D2127" s="30">
        <v>0.53700231481481486</v>
      </c>
      <c r="E2127" t="s">
        <v>302</v>
      </c>
      <c r="F2127" t="s">
        <v>299</v>
      </c>
      <c r="G2127" t="s">
        <v>299</v>
      </c>
      <c r="H2127">
        <v>109</v>
      </c>
      <c r="I2127" s="30">
        <v>2.1527777777777778E-3</v>
      </c>
      <c r="J2127">
        <v>2</v>
      </c>
    </row>
    <row r="2128" spans="1:10" x14ac:dyDescent="0.35">
      <c r="A2128" t="s">
        <v>2473</v>
      </c>
      <c r="B2128" t="s">
        <v>296</v>
      </c>
      <c r="C2128" t="s">
        <v>2445</v>
      </c>
      <c r="D2128" s="30">
        <v>0.54400462962962959</v>
      </c>
      <c r="E2128" t="s">
        <v>317</v>
      </c>
      <c r="F2128" t="s">
        <v>303</v>
      </c>
      <c r="G2128" t="s">
        <v>303</v>
      </c>
    </row>
    <row r="2129" spans="1:10" x14ac:dyDescent="0.35">
      <c r="A2129" t="s">
        <v>2474</v>
      </c>
      <c r="B2129" t="s">
        <v>301</v>
      </c>
      <c r="C2129" t="s">
        <v>2445</v>
      </c>
      <c r="D2129" s="30">
        <v>0.54400462962962959</v>
      </c>
      <c r="E2129" t="s">
        <v>317</v>
      </c>
      <c r="F2129" t="s">
        <v>299</v>
      </c>
      <c r="G2129" t="s">
        <v>303</v>
      </c>
      <c r="H2129">
        <v>26</v>
      </c>
      <c r="I2129" s="30">
        <v>2.4305555555555556E-3</v>
      </c>
      <c r="J2129">
        <v>3</v>
      </c>
    </row>
    <row r="2130" spans="1:10" x14ac:dyDescent="0.35">
      <c r="A2130" t="s">
        <v>2475</v>
      </c>
      <c r="B2130" t="s">
        <v>332</v>
      </c>
      <c r="C2130" t="s">
        <v>2445</v>
      </c>
      <c r="D2130" s="30">
        <v>0.56900462962962961</v>
      </c>
      <c r="E2130" t="s">
        <v>302</v>
      </c>
      <c r="F2130" t="s">
        <v>299</v>
      </c>
      <c r="G2130" t="s">
        <v>299</v>
      </c>
      <c r="H2130">
        <v>96</v>
      </c>
      <c r="I2130" s="30">
        <v>4.0509259259259257E-3</v>
      </c>
      <c r="J2130">
        <v>4</v>
      </c>
    </row>
    <row r="2131" spans="1:10" x14ac:dyDescent="0.35">
      <c r="A2131" t="s">
        <v>2476</v>
      </c>
      <c r="B2131" t="s">
        <v>307</v>
      </c>
      <c r="C2131" t="s">
        <v>2445</v>
      </c>
      <c r="D2131" s="30">
        <v>0.56900462962962961</v>
      </c>
      <c r="E2131" t="s">
        <v>317</v>
      </c>
      <c r="F2131" t="s">
        <v>299</v>
      </c>
      <c r="G2131" t="s">
        <v>299</v>
      </c>
      <c r="H2131">
        <v>23</v>
      </c>
      <c r="I2131" s="30">
        <v>4.1087962962962962E-3</v>
      </c>
      <c r="J2131">
        <v>5</v>
      </c>
    </row>
    <row r="2132" spans="1:10" x14ac:dyDescent="0.35">
      <c r="A2132" t="s">
        <v>2477</v>
      </c>
      <c r="B2132" t="s">
        <v>323</v>
      </c>
      <c r="C2132" t="s">
        <v>2445</v>
      </c>
      <c r="D2132" s="30">
        <v>0.57200231481481478</v>
      </c>
      <c r="E2132" t="s">
        <v>309</v>
      </c>
      <c r="F2132" t="s">
        <v>303</v>
      </c>
      <c r="G2132" t="s">
        <v>303</v>
      </c>
    </row>
    <row r="2133" spans="1:10" x14ac:dyDescent="0.35">
      <c r="A2133" t="s">
        <v>2478</v>
      </c>
      <c r="B2133" t="s">
        <v>296</v>
      </c>
      <c r="C2133" t="s">
        <v>2445</v>
      </c>
      <c r="D2133" s="30">
        <v>0.57200231481481478</v>
      </c>
      <c r="E2133" t="s">
        <v>309</v>
      </c>
      <c r="F2133" t="s">
        <v>299</v>
      </c>
      <c r="G2133" t="s">
        <v>299</v>
      </c>
      <c r="H2133">
        <v>123</v>
      </c>
      <c r="I2133" s="30">
        <v>1.8981481481481482E-3</v>
      </c>
      <c r="J2133">
        <v>3</v>
      </c>
    </row>
    <row r="2134" spans="1:10" x14ac:dyDescent="0.35">
      <c r="A2134" t="s">
        <v>2479</v>
      </c>
      <c r="B2134" t="s">
        <v>332</v>
      </c>
      <c r="C2134" t="s">
        <v>2445</v>
      </c>
      <c r="D2134" s="30">
        <v>0.62</v>
      </c>
      <c r="E2134" t="s">
        <v>302</v>
      </c>
      <c r="F2134" t="s">
        <v>303</v>
      </c>
      <c r="G2134" t="s">
        <v>303</v>
      </c>
    </row>
    <row r="2135" spans="1:10" x14ac:dyDescent="0.35">
      <c r="A2135" t="s">
        <v>2480</v>
      </c>
      <c r="B2135" t="s">
        <v>332</v>
      </c>
      <c r="C2135" t="s">
        <v>2445</v>
      </c>
      <c r="D2135" s="30">
        <v>0.62</v>
      </c>
      <c r="E2135" t="s">
        <v>298</v>
      </c>
      <c r="F2135" t="s">
        <v>299</v>
      </c>
      <c r="G2135" t="s">
        <v>299</v>
      </c>
      <c r="H2135">
        <v>55</v>
      </c>
      <c r="I2135" s="30">
        <v>2.8703703703703703E-3</v>
      </c>
      <c r="J2135">
        <v>5</v>
      </c>
    </row>
    <row r="2136" spans="1:10" x14ac:dyDescent="0.35">
      <c r="A2136" t="s">
        <v>2481</v>
      </c>
      <c r="B2136" t="s">
        <v>301</v>
      </c>
      <c r="C2136" t="s">
        <v>2445</v>
      </c>
      <c r="D2136" s="30">
        <v>0.62200231481481483</v>
      </c>
      <c r="E2136" t="s">
        <v>302</v>
      </c>
      <c r="F2136" t="s">
        <v>299</v>
      </c>
      <c r="G2136" t="s">
        <v>299</v>
      </c>
      <c r="H2136">
        <v>44</v>
      </c>
      <c r="I2136" s="30">
        <v>4.5717592592592589E-3</v>
      </c>
      <c r="J2136">
        <v>4</v>
      </c>
    </row>
    <row r="2137" spans="1:10" x14ac:dyDescent="0.35">
      <c r="A2137" t="s">
        <v>2482</v>
      </c>
      <c r="B2137" t="s">
        <v>296</v>
      </c>
      <c r="C2137" t="s">
        <v>2445</v>
      </c>
      <c r="D2137" s="30">
        <v>0.62200231481481483</v>
      </c>
      <c r="E2137" t="s">
        <v>309</v>
      </c>
      <c r="F2137" t="s">
        <v>299</v>
      </c>
      <c r="G2137" t="s">
        <v>299</v>
      </c>
      <c r="H2137">
        <v>73</v>
      </c>
      <c r="I2137" s="30">
        <v>3.6342592592592594E-3</v>
      </c>
      <c r="J2137">
        <v>1</v>
      </c>
    </row>
    <row r="2138" spans="1:10" x14ac:dyDescent="0.35">
      <c r="A2138" t="s">
        <v>2483</v>
      </c>
      <c r="B2138" t="s">
        <v>305</v>
      </c>
      <c r="C2138" t="s">
        <v>2445</v>
      </c>
      <c r="D2138" s="30">
        <v>0.66200231481481486</v>
      </c>
      <c r="E2138" t="s">
        <v>309</v>
      </c>
      <c r="F2138" t="s">
        <v>299</v>
      </c>
      <c r="G2138" t="s">
        <v>299</v>
      </c>
      <c r="H2138">
        <v>63</v>
      </c>
      <c r="I2138" s="30">
        <v>4.7569444444444447E-3</v>
      </c>
      <c r="J2138">
        <v>3</v>
      </c>
    </row>
    <row r="2139" spans="1:10" x14ac:dyDescent="0.35">
      <c r="A2139" t="s">
        <v>2484</v>
      </c>
      <c r="B2139" t="s">
        <v>296</v>
      </c>
      <c r="C2139" t="s">
        <v>2445</v>
      </c>
      <c r="D2139" s="30">
        <v>0.66200231481481486</v>
      </c>
      <c r="E2139" t="s">
        <v>309</v>
      </c>
      <c r="F2139" t="s">
        <v>303</v>
      </c>
      <c r="G2139" t="s">
        <v>303</v>
      </c>
    </row>
    <row r="2140" spans="1:10" x14ac:dyDescent="0.35">
      <c r="A2140" t="s">
        <v>2485</v>
      </c>
      <c r="B2140" t="s">
        <v>332</v>
      </c>
      <c r="C2140" t="s">
        <v>2445</v>
      </c>
      <c r="D2140" s="30">
        <v>0.69799768518518523</v>
      </c>
      <c r="E2140" t="s">
        <v>314</v>
      </c>
      <c r="F2140" t="s">
        <v>299</v>
      </c>
      <c r="G2140" t="s">
        <v>299</v>
      </c>
      <c r="H2140">
        <v>82</v>
      </c>
      <c r="I2140" s="30">
        <v>1.6782407407407408E-3</v>
      </c>
      <c r="J2140">
        <v>2</v>
      </c>
    </row>
    <row r="2141" spans="1:10" x14ac:dyDescent="0.35">
      <c r="A2141" t="s">
        <v>2486</v>
      </c>
      <c r="B2141" t="s">
        <v>307</v>
      </c>
      <c r="C2141" t="s">
        <v>2445</v>
      </c>
      <c r="D2141" s="30">
        <v>0.69799768518518523</v>
      </c>
      <c r="E2141" t="s">
        <v>298</v>
      </c>
      <c r="F2141" t="s">
        <v>299</v>
      </c>
      <c r="G2141" t="s">
        <v>299</v>
      </c>
      <c r="H2141">
        <v>113</v>
      </c>
      <c r="I2141" s="30">
        <v>4.363425925925926E-3</v>
      </c>
      <c r="J2141">
        <v>4</v>
      </c>
    </row>
    <row r="2142" spans="1:10" x14ac:dyDescent="0.35">
      <c r="A2142" t="s">
        <v>2487</v>
      </c>
      <c r="B2142" t="s">
        <v>307</v>
      </c>
      <c r="C2142" t="s">
        <v>2445</v>
      </c>
      <c r="D2142" s="30">
        <v>0.71</v>
      </c>
      <c r="E2142" t="s">
        <v>302</v>
      </c>
      <c r="F2142" t="s">
        <v>299</v>
      </c>
      <c r="G2142" t="s">
        <v>303</v>
      </c>
      <c r="H2142">
        <v>57</v>
      </c>
      <c r="I2142" s="30">
        <v>4.3055555555555555E-3</v>
      </c>
      <c r="J2142">
        <v>4</v>
      </c>
    </row>
    <row r="2143" spans="1:10" x14ac:dyDescent="0.35">
      <c r="A2143" t="s">
        <v>2488</v>
      </c>
      <c r="B2143" t="s">
        <v>305</v>
      </c>
      <c r="C2143" t="s">
        <v>2445</v>
      </c>
      <c r="D2143" s="30">
        <v>0.71</v>
      </c>
      <c r="E2143" t="s">
        <v>317</v>
      </c>
      <c r="F2143" t="s">
        <v>299</v>
      </c>
      <c r="G2143" t="s">
        <v>299</v>
      </c>
      <c r="H2143">
        <v>63</v>
      </c>
      <c r="I2143" s="30">
        <v>1.0069444444444444E-3</v>
      </c>
      <c r="J2143">
        <v>1</v>
      </c>
    </row>
    <row r="2144" spans="1:10" x14ac:dyDescent="0.35">
      <c r="A2144" t="s">
        <v>2489</v>
      </c>
      <c r="B2144" t="s">
        <v>296</v>
      </c>
      <c r="C2144" t="s">
        <v>2445</v>
      </c>
      <c r="D2144" s="30">
        <v>0.73</v>
      </c>
      <c r="E2144" t="s">
        <v>314</v>
      </c>
      <c r="F2144" t="s">
        <v>299</v>
      </c>
      <c r="G2144" t="s">
        <v>299</v>
      </c>
      <c r="H2144">
        <v>120</v>
      </c>
      <c r="I2144" s="30">
        <v>3.6226851851851854E-3</v>
      </c>
      <c r="J2144">
        <v>4</v>
      </c>
    </row>
    <row r="2145" spans="1:10" x14ac:dyDescent="0.35">
      <c r="A2145" t="s">
        <v>2490</v>
      </c>
      <c r="B2145" t="s">
        <v>316</v>
      </c>
      <c r="C2145" t="s">
        <v>2445</v>
      </c>
      <c r="D2145" s="30">
        <v>0.73</v>
      </c>
      <c r="E2145" t="s">
        <v>302</v>
      </c>
      <c r="F2145" t="s">
        <v>299</v>
      </c>
      <c r="G2145" t="s">
        <v>299</v>
      </c>
      <c r="H2145">
        <v>68</v>
      </c>
      <c r="I2145" s="30">
        <v>3.9583333333333337E-3</v>
      </c>
      <c r="J2145">
        <v>5</v>
      </c>
    </row>
    <row r="2146" spans="1:10" x14ac:dyDescent="0.35">
      <c r="A2146" t="s">
        <v>2491</v>
      </c>
      <c r="B2146" t="s">
        <v>323</v>
      </c>
      <c r="C2146" t="s">
        <v>2445</v>
      </c>
      <c r="D2146" s="30">
        <v>0.73299768518518515</v>
      </c>
      <c r="E2146" t="s">
        <v>298</v>
      </c>
      <c r="F2146" t="s">
        <v>299</v>
      </c>
      <c r="G2146" t="s">
        <v>299</v>
      </c>
      <c r="H2146">
        <v>31</v>
      </c>
      <c r="I2146" s="30">
        <v>1.5625000000000001E-3</v>
      </c>
      <c r="J2146">
        <v>3</v>
      </c>
    </row>
    <row r="2147" spans="1:10" x14ac:dyDescent="0.35">
      <c r="A2147" t="s">
        <v>2492</v>
      </c>
      <c r="B2147" t="s">
        <v>301</v>
      </c>
      <c r="C2147" t="s">
        <v>2445</v>
      </c>
      <c r="D2147" s="30">
        <v>0.73299768518518515</v>
      </c>
      <c r="E2147" t="s">
        <v>317</v>
      </c>
      <c r="F2147" t="s">
        <v>299</v>
      </c>
      <c r="G2147" t="s">
        <v>299</v>
      </c>
      <c r="H2147">
        <v>44</v>
      </c>
      <c r="I2147" s="30">
        <v>3.5300925925925925E-3</v>
      </c>
      <c r="J2147">
        <v>3</v>
      </c>
    </row>
    <row r="2148" spans="1:10" x14ac:dyDescent="0.35">
      <c r="A2148" t="s">
        <v>2493</v>
      </c>
      <c r="B2148" t="s">
        <v>301</v>
      </c>
      <c r="C2148" t="s">
        <v>2445</v>
      </c>
      <c r="D2148" s="30">
        <v>0.73299768518518515</v>
      </c>
      <c r="E2148" t="s">
        <v>309</v>
      </c>
      <c r="F2148" t="s">
        <v>299</v>
      </c>
      <c r="G2148" t="s">
        <v>299</v>
      </c>
      <c r="H2148">
        <v>84</v>
      </c>
      <c r="I2148" s="30">
        <v>2.4652777777777776E-3</v>
      </c>
      <c r="J2148">
        <v>5</v>
      </c>
    </row>
    <row r="2149" spans="1:10" x14ac:dyDescent="0.35">
      <c r="A2149" t="s">
        <v>2494</v>
      </c>
      <c r="B2149" t="s">
        <v>307</v>
      </c>
      <c r="C2149" t="s">
        <v>2445</v>
      </c>
      <c r="D2149" s="30">
        <v>0.73299768518518515</v>
      </c>
      <c r="E2149" t="s">
        <v>302</v>
      </c>
      <c r="F2149" t="s">
        <v>299</v>
      </c>
      <c r="G2149" t="s">
        <v>299</v>
      </c>
      <c r="H2149">
        <v>79</v>
      </c>
      <c r="I2149" s="30">
        <v>3.3449074074074076E-3</v>
      </c>
      <c r="J2149">
        <v>5</v>
      </c>
    </row>
    <row r="2150" spans="1:10" x14ac:dyDescent="0.35">
      <c r="A2150" t="s">
        <v>2495</v>
      </c>
      <c r="B2150" t="s">
        <v>296</v>
      </c>
      <c r="C2150" t="s">
        <v>2496</v>
      </c>
      <c r="D2150" s="30">
        <v>0.38200231481481484</v>
      </c>
      <c r="E2150" t="s">
        <v>314</v>
      </c>
      <c r="F2150" t="s">
        <v>299</v>
      </c>
      <c r="G2150" t="s">
        <v>299</v>
      </c>
      <c r="H2150">
        <v>71</v>
      </c>
      <c r="I2150" s="30">
        <v>4.7685185185185183E-3</v>
      </c>
      <c r="J2150">
        <v>3</v>
      </c>
    </row>
    <row r="2151" spans="1:10" x14ac:dyDescent="0.35">
      <c r="A2151" t="s">
        <v>2497</v>
      </c>
      <c r="B2151" t="s">
        <v>316</v>
      </c>
      <c r="C2151" t="s">
        <v>2496</v>
      </c>
      <c r="D2151" s="30">
        <v>0.38200231481481484</v>
      </c>
      <c r="E2151" t="s">
        <v>314</v>
      </c>
      <c r="F2151" t="s">
        <v>299</v>
      </c>
      <c r="G2151" t="s">
        <v>299</v>
      </c>
      <c r="H2151">
        <v>94</v>
      </c>
      <c r="I2151" s="30">
        <v>1.5856481481481481E-3</v>
      </c>
      <c r="J2151">
        <v>3</v>
      </c>
    </row>
    <row r="2152" spans="1:10" x14ac:dyDescent="0.35">
      <c r="A2152" t="s">
        <v>2498</v>
      </c>
      <c r="B2152" t="s">
        <v>323</v>
      </c>
      <c r="C2152" t="s">
        <v>2496</v>
      </c>
      <c r="D2152" s="30">
        <v>0.39500000000000002</v>
      </c>
      <c r="E2152" t="s">
        <v>302</v>
      </c>
      <c r="F2152" t="s">
        <v>303</v>
      </c>
      <c r="G2152" t="s">
        <v>303</v>
      </c>
    </row>
    <row r="2153" spans="1:10" x14ac:dyDescent="0.35">
      <c r="A2153" t="s">
        <v>2499</v>
      </c>
      <c r="B2153" t="s">
        <v>332</v>
      </c>
      <c r="C2153" t="s">
        <v>2496</v>
      </c>
      <c r="D2153" s="30">
        <v>0.39500000000000002</v>
      </c>
      <c r="E2153" t="s">
        <v>309</v>
      </c>
      <c r="F2153" t="s">
        <v>299</v>
      </c>
      <c r="G2153" t="s">
        <v>299</v>
      </c>
      <c r="H2153">
        <v>11</v>
      </c>
      <c r="I2153" s="30">
        <v>4.7453703703703703E-3</v>
      </c>
      <c r="J2153">
        <v>5</v>
      </c>
    </row>
    <row r="2154" spans="1:10" x14ac:dyDescent="0.35">
      <c r="A2154" t="s">
        <v>2500</v>
      </c>
      <c r="B2154" t="s">
        <v>307</v>
      </c>
      <c r="C2154" t="s">
        <v>2496</v>
      </c>
      <c r="D2154" s="30">
        <v>0.39599537037037036</v>
      </c>
      <c r="E2154" t="s">
        <v>317</v>
      </c>
      <c r="F2154" t="s">
        <v>299</v>
      </c>
      <c r="G2154" t="s">
        <v>299</v>
      </c>
      <c r="H2154">
        <v>51</v>
      </c>
      <c r="I2154" s="30">
        <v>4.340277777777778E-3</v>
      </c>
      <c r="J2154">
        <v>1</v>
      </c>
    </row>
    <row r="2155" spans="1:10" x14ac:dyDescent="0.35">
      <c r="A2155" t="s">
        <v>2501</v>
      </c>
      <c r="B2155" t="s">
        <v>323</v>
      </c>
      <c r="C2155" t="s">
        <v>2496</v>
      </c>
      <c r="D2155" s="30">
        <v>0.39599537037037036</v>
      </c>
      <c r="E2155" t="s">
        <v>317</v>
      </c>
      <c r="F2155" t="s">
        <v>299</v>
      </c>
      <c r="G2155" t="s">
        <v>303</v>
      </c>
      <c r="H2155">
        <v>12</v>
      </c>
      <c r="I2155" s="30">
        <v>4.2013888888888891E-3</v>
      </c>
      <c r="J2155">
        <v>3</v>
      </c>
    </row>
    <row r="2156" spans="1:10" x14ac:dyDescent="0.35">
      <c r="A2156" t="s">
        <v>2502</v>
      </c>
      <c r="B2156" t="s">
        <v>316</v>
      </c>
      <c r="C2156" t="s">
        <v>2496</v>
      </c>
      <c r="D2156" s="30">
        <v>0.41700231481481481</v>
      </c>
      <c r="E2156" t="s">
        <v>314</v>
      </c>
      <c r="F2156" t="s">
        <v>299</v>
      </c>
      <c r="G2156" t="s">
        <v>299</v>
      </c>
      <c r="H2156">
        <v>16</v>
      </c>
      <c r="I2156" s="30">
        <v>3.7268518518518519E-3</v>
      </c>
      <c r="J2156">
        <v>4</v>
      </c>
    </row>
    <row r="2157" spans="1:10" x14ac:dyDescent="0.35">
      <c r="A2157" t="s">
        <v>2503</v>
      </c>
      <c r="B2157" t="s">
        <v>301</v>
      </c>
      <c r="C2157" t="s">
        <v>2496</v>
      </c>
      <c r="D2157" s="30">
        <v>0.41700231481481481</v>
      </c>
      <c r="E2157" t="s">
        <v>309</v>
      </c>
      <c r="F2157" t="s">
        <v>303</v>
      </c>
      <c r="G2157" t="s">
        <v>303</v>
      </c>
    </row>
    <row r="2158" spans="1:10" x14ac:dyDescent="0.35">
      <c r="A2158" t="s">
        <v>2504</v>
      </c>
      <c r="B2158" t="s">
        <v>316</v>
      </c>
      <c r="C2158" t="s">
        <v>2496</v>
      </c>
      <c r="D2158" s="30">
        <v>0.42099537037037038</v>
      </c>
      <c r="E2158" t="s">
        <v>317</v>
      </c>
      <c r="F2158" t="s">
        <v>299</v>
      </c>
      <c r="G2158" t="s">
        <v>299</v>
      </c>
      <c r="H2158">
        <v>54</v>
      </c>
      <c r="I2158" s="30">
        <v>3.0208333333333333E-3</v>
      </c>
      <c r="J2158">
        <v>3</v>
      </c>
    </row>
    <row r="2159" spans="1:10" x14ac:dyDescent="0.35">
      <c r="A2159" t="s">
        <v>2505</v>
      </c>
      <c r="B2159" t="s">
        <v>323</v>
      </c>
      <c r="C2159" t="s">
        <v>2496</v>
      </c>
      <c r="D2159" s="30">
        <v>0.42099537037037038</v>
      </c>
      <c r="E2159" t="s">
        <v>314</v>
      </c>
      <c r="F2159" t="s">
        <v>299</v>
      </c>
      <c r="G2159" t="s">
        <v>299</v>
      </c>
      <c r="H2159">
        <v>106</v>
      </c>
      <c r="I2159" s="30">
        <v>2.8472222222222223E-3</v>
      </c>
      <c r="J2159">
        <v>3</v>
      </c>
    </row>
    <row r="2160" spans="1:10" x14ac:dyDescent="0.35">
      <c r="A2160" t="s">
        <v>2506</v>
      </c>
      <c r="B2160" t="s">
        <v>296</v>
      </c>
      <c r="C2160" t="s">
        <v>2496</v>
      </c>
      <c r="D2160" s="30">
        <v>0.42599537037037039</v>
      </c>
      <c r="E2160" t="s">
        <v>309</v>
      </c>
      <c r="F2160" t="s">
        <v>303</v>
      </c>
      <c r="G2160" t="s">
        <v>303</v>
      </c>
    </row>
    <row r="2161" spans="1:10" x14ac:dyDescent="0.35">
      <c r="A2161" t="s">
        <v>2507</v>
      </c>
      <c r="B2161" t="s">
        <v>323</v>
      </c>
      <c r="C2161" t="s">
        <v>2496</v>
      </c>
      <c r="D2161" s="30">
        <v>0.42599537037037039</v>
      </c>
      <c r="E2161" t="s">
        <v>314</v>
      </c>
      <c r="F2161" t="s">
        <v>299</v>
      </c>
      <c r="G2161" t="s">
        <v>299</v>
      </c>
      <c r="H2161">
        <v>13</v>
      </c>
      <c r="I2161" s="30">
        <v>8.1018518518518516E-4</v>
      </c>
      <c r="J2161">
        <v>3</v>
      </c>
    </row>
    <row r="2162" spans="1:10" x14ac:dyDescent="0.35">
      <c r="A2162" t="s">
        <v>2508</v>
      </c>
      <c r="B2162" t="s">
        <v>319</v>
      </c>
      <c r="C2162" t="s">
        <v>2496</v>
      </c>
      <c r="D2162" s="30">
        <v>0.44599537037037035</v>
      </c>
      <c r="E2162" t="s">
        <v>317</v>
      </c>
      <c r="F2162" t="s">
        <v>299</v>
      </c>
      <c r="G2162" t="s">
        <v>303</v>
      </c>
      <c r="H2162">
        <v>97</v>
      </c>
      <c r="I2162" s="30">
        <v>2.2685185185185187E-3</v>
      </c>
      <c r="J2162">
        <v>4</v>
      </c>
    </row>
    <row r="2163" spans="1:10" x14ac:dyDescent="0.35">
      <c r="A2163" t="s">
        <v>2509</v>
      </c>
      <c r="B2163" t="s">
        <v>323</v>
      </c>
      <c r="C2163" t="s">
        <v>2496</v>
      </c>
      <c r="D2163" s="30">
        <v>0.44599537037037035</v>
      </c>
      <c r="E2163" t="s">
        <v>298</v>
      </c>
      <c r="F2163" t="s">
        <v>299</v>
      </c>
      <c r="G2163" t="s">
        <v>299</v>
      </c>
      <c r="H2163">
        <v>124</v>
      </c>
      <c r="I2163" s="30">
        <v>3.4027777777777776E-3</v>
      </c>
      <c r="J2163">
        <v>4</v>
      </c>
    </row>
    <row r="2164" spans="1:10" x14ac:dyDescent="0.35">
      <c r="A2164" t="s">
        <v>2510</v>
      </c>
      <c r="B2164" t="s">
        <v>332</v>
      </c>
      <c r="C2164" t="s">
        <v>2496</v>
      </c>
      <c r="D2164" s="30">
        <v>0.45599537037037036</v>
      </c>
      <c r="E2164" t="s">
        <v>302</v>
      </c>
      <c r="F2164" t="s">
        <v>299</v>
      </c>
      <c r="G2164" t="s">
        <v>299</v>
      </c>
      <c r="H2164">
        <v>46</v>
      </c>
      <c r="I2164" s="30">
        <v>2.9166666666666668E-3</v>
      </c>
      <c r="J2164">
        <v>3</v>
      </c>
    </row>
    <row r="2165" spans="1:10" x14ac:dyDescent="0.35">
      <c r="A2165" t="s">
        <v>2511</v>
      </c>
      <c r="B2165" t="s">
        <v>323</v>
      </c>
      <c r="C2165" t="s">
        <v>2496</v>
      </c>
      <c r="D2165" s="30">
        <v>0.45599537037037036</v>
      </c>
      <c r="E2165" t="s">
        <v>317</v>
      </c>
      <c r="F2165" t="s">
        <v>299</v>
      </c>
      <c r="G2165" t="s">
        <v>299</v>
      </c>
      <c r="H2165">
        <v>53</v>
      </c>
      <c r="I2165" s="30">
        <v>4.5949074074074078E-3</v>
      </c>
      <c r="J2165">
        <v>4</v>
      </c>
    </row>
    <row r="2166" spans="1:10" x14ac:dyDescent="0.35">
      <c r="A2166" t="s">
        <v>2512</v>
      </c>
      <c r="B2166" t="s">
        <v>301</v>
      </c>
      <c r="C2166" t="s">
        <v>2496</v>
      </c>
      <c r="D2166" s="30">
        <v>0.47499999999999998</v>
      </c>
      <c r="E2166" t="s">
        <v>309</v>
      </c>
      <c r="F2166" t="s">
        <v>299</v>
      </c>
      <c r="G2166" t="s">
        <v>299</v>
      </c>
      <c r="H2166">
        <v>51</v>
      </c>
      <c r="I2166" s="30">
        <v>4.178240740740741E-3</v>
      </c>
      <c r="J2166">
        <v>2</v>
      </c>
    </row>
    <row r="2167" spans="1:10" x14ac:dyDescent="0.35">
      <c r="A2167" t="s">
        <v>2513</v>
      </c>
      <c r="B2167" t="s">
        <v>296</v>
      </c>
      <c r="C2167" t="s">
        <v>2496</v>
      </c>
      <c r="D2167" s="30">
        <v>0.47499999999999998</v>
      </c>
      <c r="E2167" t="s">
        <v>302</v>
      </c>
      <c r="F2167" t="s">
        <v>299</v>
      </c>
      <c r="G2167" t="s">
        <v>299</v>
      </c>
      <c r="H2167">
        <v>51</v>
      </c>
      <c r="I2167" s="30">
        <v>6.7129629629629625E-4</v>
      </c>
      <c r="J2167">
        <v>5</v>
      </c>
    </row>
    <row r="2168" spans="1:10" x14ac:dyDescent="0.35">
      <c r="A2168" t="s">
        <v>2514</v>
      </c>
      <c r="B2168" t="s">
        <v>301</v>
      </c>
      <c r="C2168" t="s">
        <v>2496</v>
      </c>
      <c r="D2168" s="30">
        <v>0.47499999999999998</v>
      </c>
      <c r="E2168" t="s">
        <v>298</v>
      </c>
      <c r="F2168" t="s">
        <v>299</v>
      </c>
      <c r="G2168" t="s">
        <v>299</v>
      </c>
      <c r="H2168">
        <v>30</v>
      </c>
      <c r="I2168" s="30">
        <v>1.3657407407407407E-3</v>
      </c>
      <c r="J2168">
        <v>4</v>
      </c>
    </row>
    <row r="2169" spans="1:10" x14ac:dyDescent="0.35">
      <c r="A2169" t="s">
        <v>2515</v>
      </c>
      <c r="B2169" t="s">
        <v>307</v>
      </c>
      <c r="C2169" t="s">
        <v>2496</v>
      </c>
      <c r="D2169" s="30">
        <v>0.47499999999999998</v>
      </c>
      <c r="E2169" t="s">
        <v>317</v>
      </c>
      <c r="F2169" t="s">
        <v>299</v>
      </c>
      <c r="G2169" t="s">
        <v>299</v>
      </c>
      <c r="H2169">
        <v>51</v>
      </c>
      <c r="I2169" s="30">
        <v>4.4444444444444444E-3</v>
      </c>
      <c r="J2169">
        <v>5</v>
      </c>
    </row>
    <row r="2170" spans="1:10" x14ac:dyDescent="0.35">
      <c r="A2170" t="s">
        <v>2516</v>
      </c>
      <c r="B2170" t="s">
        <v>301</v>
      </c>
      <c r="C2170" t="s">
        <v>2496</v>
      </c>
      <c r="D2170" s="30">
        <v>0.47599537037037037</v>
      </c>
      <c r="E2170" t="s">
        <v>314</v>
      </c>
      <c r="F2170" t="s">
        <v>299</v>
      </c>
      <c r="G2170" t="s">
        <v>299</v>
      </c>
      <c r="H2170">
        <v>45</v>
      </c>
      <c r="I2170" s="30">
        <v>1.8518518518518519E-3</v>
      </c>
      <c r="J2170">
        <v>1</v>
      </c>
    </row>
    <row r="2171" spans="1:10" x14ac:dyDescent="0.35">
      <c r="A2171" t="s">
        <v>2517</v>
      </c>
      <c r="B2171" t="s">
        <v>296</v>
      </c>
      <c r="C2171" t="s">
        <v>2496</v>
      </c>
      <c r="D2171" s="30">
        <v>0.47599537037037037</v>
      </c>
      <c r="E2171" t="s">
        <v>298</v>
      </c>
      <c r="F2171" t="s">
        <v>299</v>
      </c>
      <c r="G2171" t="s">
        <v>299</v>
      </c>
      <c r="H2171">
        <v>43</v>
      </c>
      <c r="I2171" s="30">
        <v>4.4791666666666669E-3</v>
      </c>
      <c r="J2171">
        <v>5</v>
      </c>
    </row>
    <row r="2172" spans="1:10" x14ac:dyDescent="0.35">
      <c r="A2172" t="s">
        <v>2518</v>
      </c>
      <c r="B2172" t="s">
        <v>307</v>
      </c>
      <c r="C2172" t="s">
        <v>2496</v>
      </c>
      <c r="D2172" s="30">
        <v>0.53400462962962958</v>
      </c>
      <c r="E2172" t="s">
        <v>302</v>
      </c>
      <c r="F2172" t="s">
        <v>299</v>
      </c>
      <c r="G2172" t="s">
        <v>299</v>
      </c>
      <c r="H2172">
        <v>51</v>
      </c>
      <c r="I2172" s="30">
        <v>8.564814814814815E-4</v>
      </c>
      <c r="J2172">
        <v>4</v>
      </c>
    </row>
    <row r="2173" spans="1:10" x14ac:dyDescent="0.35">
      <c r="A2173" t="s">
        <v>2519</v>
      </c>
      <c r="B2173" t="s">
        <v>301</v>
      </c>
      <c r="C2173" t="s">
        <v>2496</v>
      </c>
      <c r="D2173" s="30">
        <v>0.53400462962962958</v>
      </c>
      <c r="E2173" t="s">
        <v>298</v>
      </c>
      <c r="F2173" t="s">
        <v>299</v>
      </c>
      <c r="G2173" t="s">
        <v>299</v>
      </c>
      <c r="H2173">
        <v>99</v>
      </c>
      <c r="I2173" s="30">
        <v>2.8472222222222223E-3</v>
      </c>
      <c r="J2173">
        <v>4</v>
      </c>
    </row>
    <row r="2174" spans="1:10" x14ac:dyDescent="0.35">
      <c r="A2174" t="s">
        <v>2520</v>
      </c>
      <c r="B2174" t="s">
        <v>307</v>
      </c>
      <c r="C2174" t="s">
        <v>2496</v>
      </c>
      <c r="D2174" s="30">
        <v>0.54200231481481487</v>
      </c>
      <c r="E2174" t="s">
        <v>314</v>
      </c>
      <c r="F2174" t="s">
        <v>299</v>
      </c>
      <c r="G2174" t="s">
        <v>299</v>
      </c>
      <c r="H2174">
        <v>94</v>
      </c>
      <c r="I2174" s="30">
        <v>1.2731481481481483E-3</v>
      </c>
      <c r="J2174">
        <v>5</v>
      </c>
    </row>
    <row r="2175" spans="1:10" x14ac:dyDescent="0.35">
      <c r="A2175" t="s">
        <v>2521</v>
      </c>
      <c r="B2175" t="s">
        <v>305</v>
      </c>
      <c r="C2175" t="s">
        <v>2496</v>
      </c>
      <c r="D2175" s="30">
        <v>0.54200231481481487</v>
      </c>
      <c r="E2175" t="s">
        <v>302</v>
      </c>
      <c r="F2175" t="s">
        <v>299</v>
      </c>
      <c r="G2175" t="s">
        <v>299</v>
      </c>
      <c r="H2175">
        <v>11</v>
      </c>
      <c r="I2175" s="30">
        <v>9.1435185185185185E-4</v>
      </c>
      <c r="J2175">
        <v>2</v>
      </c>
    </row>
    <row r="2176" spans="1:10" x14ac:dyDescent="0.35">
      <c r="A2176" t="s">
        <v>2522</v>
      </c>
      <c r="B2176" t="s">
        <v>296</v>
      </c>
      <c r="C2176" t="s">
        <v>2496</v>
      </c>
      <c r="D2176" s="30">
        <v>0.54500000000000004</v>
      </c>
      <c r="E2176" t="s">
        <v>302</v>
      </c>
      <c r="F2176" t="s">
        <v>299</v>
      </c>
      <c r="G2176" t="s">
        <v>299</v>
      </c>
      <c r="H2176">
        <v>120</v>
      </c>
      <c r="I2176" s="30">
        <v>4.6296296296296298E-4</v>
      </c>
      <c r="J2176">
        <v>3</v>
      </c>
    </row>
    <row r="2177" spans="1:10" x14ac:dyDescent="0.35">
      <c r="A2177" t="s">
        <v>2523</v>
      </c>
      <c r="B2177" t="s">
        <v>305</v>
      </c>
      <c r="C2177" t="s">
        <v>2496</v>
      </c>
      <c r="D2177" s="30">
        <v>0.54500000000000004</v>
      </c>
      <c r="E2177" t="s">
        <v>314</v>
      </c>
      <c r="F2177" t="s">
        <v>299</v>
      </c>
      <c r="G2177" t="s">
        <v>299</v>
      </c>
      <c r="H2177">
        <v>70</v>
      </c>
      <c r="I2177" s="30">
        <v>4.5486111111111109E-3</v>
      </c>
      <c r="J2177">
        <v>3</v>
      </c>
    </row>
    <row r="2178" spans="1:10" x14ac:dyDescent="0.35">
      <c r="A2178" t="s">
        <v>2524</v>
      </c>
      <c r="B2178" t="s">
        <v>301</v>
      </c>
      <c r="C2178" t="s">
        <v>2496</v>
      </c>
      <c r="D2178" s="30">
        <v>0.57499999999999996</v>
      </c>
      <c r="E2178" t="s">
        <v>309</v>
      </c>
      <c r="F2178" t="s">
        <v>299</v>
      </c>
      <c r="G2178" t="s">
        <v>299</v>
      </c>
      <c r="H2178">
        <v>111</v>
      </c>
      <c r="I2178" s="30">
        <v>4.6759259259259263E-3</v>
      </c>
      <c r="J2178">
        <v>5</v>
      </c>
    </row>
    <row r="2179" spans="1:10" x14ac:dyDescent="0.35">
      <c r="A2179" t="s">
        <v>2525</v>
      </c>
      <c r="B2179" t="s">
        <v>323</v>
      </c>
      <c r="C2179" t="s">
        <v>2496</v>
      </c>
      <c r="D2179" s="30">
        <v>0.57499999999999996</v>
      </c>
      <c r="E2179" t="s">
        <v>302</v>
      </c>
      <c r="F2179" t="s">
        <v>299</v>
      </c>
      <c r="G2179" t="s">
        <v>299</v>
      </c>
      <c r="H2179">
        <v>85</v>
      </c>
      <c r="I2179" s="30">
        <v>3.2754629629629631E-3</v>
      </c>
      <c r="J2179">
        <v>1</v>
      </c>
    </row>
    <row r="2180" spans="1:10" x14ac:dyDescent="0.35">
      <c r="A2180" t="s">
        <v>2526</v>
      </c>
      <c r="B2180" t="s">
        <v>296</v>
      </c>
      <c r="C2180" t="s">
        <v>2496</v>
      </c>
      <c r="D2180" s="30">
        <v>0.57799768518518524</v>
      </c>
      <c r="E2180" t="s">
        <v>302</v>
      </c>
      <c r="F2180" t="s">
        <v>299</v>
      </c>
      <c r="G2180" t="s">
        <v>303</v>
      </c>
      <c r="H2180">
        <v>58</v>
      </c>
      <c r="I2180" s="30">
        <v>1.0532407407407407E-3</v>
      </c>
      <c r="J2180">
        <v>2</v>
      </c>
    </row>
    <row r="2181" spans="1:10" x14ac:dyDescent="0.35">
      <c r="A2181" t="s">
        <v>2527</v>
      </c>
      <c r="B2181" t="s">
        <v>332</v>
      </c>
      <c r="C2181" t="s">
        <v>2496</v>
      </c>
      <c r="D2181" s="30">
        <v>0.57799768518518524</v>
      </c>
      <c r="E2181" t="s">
        <v>314</v>
      </c>
      <c r="F2181" t="s">
        <v>303</v>
      </c>
      <c r="G2181" t="s">
        <v>303</v>
      </c>
    </row>
    <row r="2182" spans="1:10" x14ac:dyDescent="0.35">
      <c r="A2182" t="s">
        <v>2528</v>
      </c>
      <c r="B2182" t="s">
        <v>307</v>
      </c>
      <c r="C2182" t="s">
        <v>2496</v>
      </c>
      <c r="D2182" s="30">
        <v>0.58900462962962963</v>
      </c>
      <c r="E2182" t="s">
        <v>309</v>
      </c>
      <c r="F2182" t="s">
        <v>299</v>
      </c>
      <c r="G2182" t="s">
        <v>299</v>
      </c>
      <c r="H2182">
        <v>14</v>
      </c>
      <c r="I2182" s="30">
        <v>2.2800925925925927E-3</v>
      </c>
      <c r="J2182">
        <v>4</v>
      </c>
    </row>
    <row r="2183" spans="1:10" x14ac:dyDescent="0.35">
      <c r="A2183" t="s">
        <v>2529</v>
      </c>
      <c r="B2183" t="s">
        <v>323</v>
      </c>
      <c r="C2183" t="s">
        <v>2496</v>
      </c>
      <c r="D2183" s="30">
        <v>0.58900462962962963</v>
      </c>
      <c r="E2183" t="s">
        <v>309</v>
      </c>
      <c r="F2183" t="s">
        <v>299</v>
      </c>
      <c r="G2183" t="s">
        <v>299</v>
      </c>
      <c r="H2183">
        <v>40</v>
      </c>
      <c r="I2183" s="30">
        <v>3.0902777777777777E-3</v>
      </c>
      <c r="J2183">
        <v>4</v>
      </c>
    </row>
    <row r="2184" spans="1:10" x14ac:dyDescent="0.35">
      <c r="A2184" t="s">
        <v>2530</v>
      </c>
      <c r="B2184" t="s">
        <v>316</v>
      </c>
      <c r="C2184" t="s">
        <v>2496</v>
      </c>
      <c r="D2184" s="30">
        <v>0.59</v>
      </c>
      <c r="E2184" t="s">
        <v>298</v>
      </c>
      <c r="F2184" t="s">
        <v>299</v>
      </c>
      <c r="G2184" t="s">
        <v>299</v>
      </c>
      <c r="H2184">
        <v>51</v>
      </c>
      <c r="I2184" s="30">
        <v>3.6342592592592594E-3</v>
      </c>
      <c r="J2184">
        <v>3</v>
      </c>
    </row>
    <row r="2185" spans="1:10" x14ac:dyDescent="0.35">
      <c r="A2185" t="s">
        <v>2531</v>
      </c>
      <c r="B2185" t="s">
        <v>307</v>
      </c>
      <c r="C2185" t="s">
        <v>2496</v>
      </c>
      <c r="D2185" s="30">
        <v>0.59</v>
      </c>
      <c r="E2185" t="s">
        <v>317</v>
      </c>
      <c r="F2185" t="s">
        <v>299</v>
      </c>
      <c r="G2185" t="s">
        <v>303</v>
      </c>
      <c r="H2185">
        <v>16</v>
      </c>
      <c r="I2185" s="30">
        <v>4.0162037037037041E-3</v>
      </c>
      <c r="J2185">
        <v>3</v>
      </c>
    </row>
    <row r="2186" spans="1:10" x14ac:dyDescent="0.35">
      <c r="A2186" t="s">
        <v>2532</v>
      </c>
      <c r="B2186" t="s">
        <v>307</v>
      </c>
      <c r="C2186" t="s">
        <v>2496</v>
      </c>
      <c r="D2186" s="30">
        <v>0.59799768518518515</v>
      </c>
      <c r="E2186" t="s">
        <v>298</v>
      </c>
      <c r="F2186" t="s">
        <v>299</v>
      </c>
      <c r="G2186" t="s">
        <v>299</v>
      </c>
      <c r="H2186">
        <v>27</v>
      </c>
      <c r="I2186" s="30">
        <v>2.6967592592592594E-3</v>
      </c>
      <c r="J2186">
        <v>3</v>
      </c>
    </row>
    <row r="2187" spans="1:10" x14ac:dyDescent="0.35">
      <c r="A2187" t="s">
        <v>2533</v>
      </c>
      <c r="B2187" t="s">
        <v>323</v>
      </c>
      <c r="C2187" t="s">
        <v>2496</v>
      </c>
      <c r="D2187" s="30">
        <v>0.59799768518518515</v>
      </c>
      <c r="E2187" t="s">
        <v>298</v>
      </c>
      <c r="F2187" t="s">
        <v>299</v>
      </c>
      <c r="G2187" t="s">
        <v>299</v>
      </c>
      <c r="H2187">
        <v>14</v>
      </c>
      <c r="I2187" s="30">
        <v>4.4907407407407405E-3</v>
      </c>
      <c r="J2187">
        <v>1</v>
      </c>
    </row>
    <row r="2188" spans="1:10" x14ac:dyDescent="0.35">
      <c r="A2188" t="s">
        <v>2534</v>
      </c>
      <c r="B2188" t="s">
        <v>323</v>
      </c>
      <c r="C2188" t="s">
        <v>2496</v>
      </c>
      <c r="D2188" s="30">
        <v>0.63900462962962967</v>
      </c>
      <c r="E2188" t="s">
        <v>309</v>
      </c>
      <c r="F2188" t="s">
        <v>299</v>
      </c>
      <c r="G2188" t="s">
        <v>299</v>
      </c>
      <c r="H2188">
        <v>105</v>
      </c>
      <c r="I2188" s="30">
        <v>2.9745370370370373E-3</v>
      </c>
      <c r="J2188">
        <v>4</v>
      </c>
    </row>
    <row r="2189" spans="1:10" x14ac:dyDescent="0.35">
      <c r="A2189" t="s">
        <v>2535</v>
      </c>
      <c r="B2189" t="s">
        <v>296</v>
      </c>
      <c r="C2189" t="s">
        <v>2496</v>
      </c>
      <c r="D2189" s="30">
        <v>0.63900462962962967</v>
      </c>
      <c r="E2189" t="s">
        <v>317</v>
      </c>
      <c r="F2189" t="s">
        <v>299</v>
      </c>
      <c r="G2189" t="s">
        <v>299</v>
      </c>
      <c r="H2189">
        <v>77</v>
      </c>
      <c r="I2189" s="30">
        <v>7.5231481481481482E-4</v>
      </c>
      <c r="J2189">
        <v>4</v>
      </c>
    </row>
    <row r="2190" spans="1:10" x14ac:dyDescent="0.35">
      <c r="A2190" t="s">
        <v>2536</v>
      </c>
      <c r="B2190" t="s">
        <v>307</v>
      </c>
      <c r="C2190" t="s">
        <v>2496</v>
      </c>
      <c r="D2190" s="30">
        <v>0.67299768518518521</v>
      </c>
      <c r="E2190" t="s">
        <v>309</v>
      </c>
      <c r="F2190" t="s">
        <v>299</v>
      </c>
      <c r="G2190" t="s">
        <v>303</v>
      </c>
      <c r="H2190">
        <v>71</v>
      </c>
      <c r="I2190" s="30">
        <v>2.4074074074074076E-3</v>
      </c>
      <c r="J2190">
        <v>3</v>
      </c>
    </row>
    <row r="2191" spans="1:10" x14ac:dyDescent="0.35">
      <c r="A2191" t="s">
        <v>2537</v>
      </c>
      <c r="B2191" t="s">
        <v>332</v>
      </c>
      <c r="C2191" t="s">
        <v>2496</v>
      </c>
      <c r="D2191" s="30">
        <v>0.67299768518518521</v>
      </c>
      <c r="E2191" t="s">
        <v>309</v>
      </c>
      <c r="F2191" t="s">
        <v>299</v>
      </c>
      <c r="G2191" t="s">
        <v>299</v>
      </c>
      <c r="H2191">
        <v>105</v>
      </c>
      <c r="I2191" s="30">
        <v>2.9629629629629628E-3</v>
      </c>
      <c r="J2191">
        <v>4</v>
      </c>
    </row>
    <row r="2192" spans="1:10" x14ac:dyDescent="0.35">
      <c r="A2192" t="s">
        <v>2538</v>
      </c>
      <c r="B2192" t="s">
        <v>305</v>
      </c>
      <c r="C2192" t="s">
        <v>2496</v>
      </c>
      <c r="D2192" s="30">
        <v>0.68</v>
      </c>
      <c r="E2192" t="s">
        <v>314</v>
      </c>
      <c r="F2192" t="s">
        <v>299</v>
      </c>
      <c r="G2192" t="s">
        <v>299</v>
      </c>
      <c r="H2192">
        <v>107</v>
      </c>
      <c r="I2192" s="30">
        <v>3.9583333333333337E-3</v>
      </c>
      <c r="J2192">
        <v>4</v>
      </c>
    </row>
    <row r="2193" spans="1:10" x14ac:dyDescent="0.35">
      <c r="A2193" t="s">
        <v>2539</v>
      </c>
      <c r="B2193" t="s">
        <v>323</v>
      </c>
      <c r="C2193" t="s">
        <v>2496</v>
      </c>
      <c r="D2193" s="30">
        <v>0.68</v>
      </c>
      <c r="E2193" t="s">
        <v>302</v>
      </c>
      <c r="F2193" t="s">
        <v>303</v>
      </c>
      <c r="G2193" t="s">
        <v>303</v>
      </c>
    </row>
    <row r="2194" spans="1:10" x14ac:dyDescent="0.35">
      <c r="A2194" t="s">
        <v>2540</v>
      </c>
      <c r="B2194" t="s">
        <v>301</v>
      </c>
      <c r="C2194" t="s">
        <v>2496</v>
      </c>
      <c r="D2194" s="30">
        <v>0.68799768518518523</v>
      </c>
      <c r="E2194" t="s">
        <v>314</v>
      </c>
      <c r="F2194" t="s">
        <v>299</v>
      </c>
      <c r="G2194" t="s">
        <v>299</v>
      </c>
      <c r="H2194">
        <v>53</v>
      </c>
      <c r="I2194" s="30">
        <v>2.7083333333333334E-3</v>
      </c>
      <c r="J2194">
        <v>2</v>
      </c>
    </row>
    <row r="2195" spans="1:10" x14ac:dyDescent="0.35">
      <c r="A2195" t="s">
        <v>2541</v>
      </c>
      <c r="B2195" t="s">
        <v>319</v>
      </c>
      <c r="C2195" t="s">
        <v>2496</v>
      </c>
      <c r="D2195" s="30">
        <v>0.68799768518518523</v>
      </c>
      <c r="E2195" t="s">
        <v>298</v>
      </c>
      <c r="F2195" t="s">
        <v>299</v>
      </c>
      <c r="G2195" t="s">
        <v>299</v>
      </c>
      <c r="H2195">
        <v>109</v>
      </c>
      <c r="I2195" s="30">
        <v>2.5462962962962965E-3</v>
      </c>
      <c r="J2195">
        <v>4</v>
      </c>
    </row>
    <row r="2196" spans="1:10" x14ac:dyDescent="0.35">
      <c r="A2196" t="s">
        <v>2542</v>
      </c>
      <c r="B2196" t="s">
        <v>301</v>
      </c>
      <c r="C2196" t="s">
        <v>2496</v>
      </c>
      <c r="D2196" s="30">
        <v>0.68799768518518523</v>
      </c>
      <c r="E2196" t="s">
        <v>302</v>
      </c>
      <c r="F2196" t="s">
        <v>299</v>
      </c>
      <c r="G2196" t="s">
        <v>299</v>
      </c>
      <c r="H2196">
        <v>18</v>
      </c>
      <c r="I2196" s="30">
        <v>2.9745370370370373E-3</v>
      </c>
      <c r="J2196">
        <v>4</v>
      </c>
    </row>
    <row r="2197" spans="1:10" x14ac:dyDescent="0.35">
      <c r="A2197" t="s">
        <v>2543</v>
      </c>
      <c r="B2197" t="s">
        <v>332</v>
      </c>
      <c r="C2197" t="s">
        <v>2496</v>
      </c>
      <c r="D2197" s="30">
        <v>0.68799768518518523</v>
      </c>
      <c r="E2197" t="s">
        <v>314</v>
      </c>
      <c r="F2197" t="s">
        <v>299</v>
      </c>
      <c r="G2197" t="s">
        <v>299</v>
      </c>
      <c r="H2197">
        <v>34</v>
      </c>
      <c r="I2197" s="30">
        <v>2.3958333333333331E-3</v>
      </c>
      <c r="J2197">
        <v>3</v>
      </c>
    </row>
    <row r="2198" spans="1:10" x14ac:dyDescent="0.35">
      <c r="A2198" t="s">
        <v>2544</v>
      </c>
      <c r="B2198" t="s">
        <v>316</v>
      </c>
      <c r="C2198" t="s">
        <v>2496</v>
      </c>
      <c r="D2198" s="30">
        <v>0.6909953703703704</v>
      </c>
      <c r="E2198" t="s">
        <v>309</v>
      </c>
      <c r="F2198" t="s">
        <v>303</v>
      </c>
      <c r="G2198" t="s">
        <v>303</v>
      </c>
    </row>
    <row r="2199" spans="1:10" x14ac:dyDescent="0.35">
      <c r="A2199" t="s">
        <v>2545</v>
      </c>
      <c r="B2199" t="s">
        <v>323</v>
      </c>
      <c r="C2199" t="s">
        <v>2496</v>
      </c>
      <c r="D2199" s="30">
        <v>0.6909953703703704</v>
      </c>
      <c r="E2199" t="s">
        <v>298</v>
      </c>
      <c r="F2199" t="s">
        <v>299</v>
      </c>
      <c r="G2199" t="s">
        <v>299</v>
      </c>
      <c r="H2199">
        <v>102</v>
      </c>
      <c r="I2199" s="30">
        <v>3.9699074074074072E-3</v>
      </c>
      <c r="J2199">
        <v>2</v>
      </c>
    </row>
    <row r="2200" spans="1:10" x14ac:dyDescent="0.35">
      <c r="A2200" t="s">
        <v>2546</v>
      </c>
      <c r="B2200" t="s">
        <v>323</v>
      </c>
      <c r="C2200" t="s">
        <v>2496</v>
      </c>
      <c r="D2200" s="30">
        <v>0.69400462962962961</v>
      </c>
      <c r="E2200" t="s">
        <v>309</v>
      </c>
      <c r="F2200" t="s">
        <v>303</v>
      </c>
      <c r="G2200" t="s">
        <v>303</v>
      </c>
    </row>
    <row r="2201" spans="1:10" x14ac:dyDescent="0.35">
      <c r="A2201" t="s">
        <v>2547</v>
      </c>
      <c r="B2201" t="s">
        <v>301</v>
      </c>
      <c r="C2201" t="s">
        <v>2496</v>
      </c>
      <c r="D2201" s="30">
        <v>0.69400462962962961</v>
      </c>
      <c r="E2201" t="s">
        <v>309</v>
      </c>
      <c r="F2201" t="s">
        <v>303</v>
      </c>
      <c r="G2201" t="s">
        <v>303</v>
      </c>
    </row>
    <row r="2202" spans="1:10" x14ac:dyDescent="0.35">
      <c r="A2202" t="s">
        <v>2548</v>
      </c>
      <c r="B2202" t="s">
        <v>305</v>
      </c>
      <c r="C2202" t="s">
        <v>2496</v>
      </c>
      <c r="D2202" s="30">
        <v>0.69700231481481478</v>
      </c>
      <c r="E2202" t="s">
        <v>309</v>
      </c>
      <c r="F2202" t="s">
        <v>299</v>
      </c>
      <c r="G2202" t="s">
        <v>299</v>
      </c>
      <c r="H2202">
        <v>111</v>
      </c>
      <c r="I2202" s="30">
        <v>9.2592592592592596E-4</v>
      </c>
      <c r="J2202">
        <v>5</v>
      </c>
    </row>
    <row r="2203" spans="1:10" x14ac:dyDescent="0.35">
      <c r="A2203" t="s">
        <v>2549</v>
      </c>
      <c r="B2203" t="s">
        <v>307</v>
      </c>
      <c r="C2203" t="s">
        <v>2496</v>
      </c>
      <c r="D2203" s="30">
        <v>0.69700231481481478</v>
      </c>
      <c r="E2203" t="s">
        <v>314</v>
      </c>
      <c r="F2203" t="s">
        <v>299</v>
      </c>
      <c r="G2203" t="s">
        <v>299</v>
      </c>
      <c r="H2203">
        <v>81</v>
      </c>
      <c r="I2203" s="30">
        <v>2.9398148148148148E-3</v>
      </c>
      <c r="J2203">
        <v>4</v>
      </c>
    </row>
    <row r="2204" spans="1:10" x14ac:dyDescent="0.35">
      <c r="A2204" t="s">
        <v>2550</v>
      </c>
      <c r="B2204" t="s">
        <v>296</v>
      </c>
      <c r="C2204" t="s">
        <v>2496</v>
      </c>
      <c r="D2204" s="30">
        <v>0.72599537037037032</v>
      </c>
      <c r="E2204" t="s">
        <v>314</v>
      </c>
      <c r="F2204" t="s">
        <v>299</v>
      </c>
      <c r="G2204" t="s">
        <v>299</v>
      </c>
      <c r="H2204">
        <v>97</v>
      </c>
      <c r="I2204" s="30">
        <v>3.6226851851851854E-3</v>
      </c>
      <c r="J2204">
        <v>3</v>
      </c>
    </row>
    <row r="2205" spans="1:10" x14ac:dyDescent="0.35">
      <c r="A2205" t="s">
        <v>2551</v>
      </c>
      <c r="B2205" t="s">
        <v>307</v>
      </c>
      <c r="C2205" t="s">
        <v>2496</v>
      </c>
      <c r="D2205" s="30">
        <v>0.72599537037037032</v>
      </c>
      <c r="E2205" t="s">
        <v>298</v>
      </c>
      <c r="F2205" t="s">
        <v>303</v>
      </c>
      <c r="G2205" t="s">
        <v>303</v>
      </c>
    </row>
    <row r="2206" spans="1:10" x14ac:dyDescent="0.35">
      <c r="A2206" t="s">
        <v>2552</v>
      </c>
      <c r="B2206" t="s">
        <v>316</v>
      </c>
      <c r="C2206" t="s">
        <v>2553</v>
      </c>
      <c r="D2206" s="30">
        <v>0.375</v>
      </c>
      <c r="E2206" t="s">
        <v>314</v>
      </c>
      <c r="F2206" t="s">
        <v>303</v>
      </c>
      <c r="G2206" t="s">
        <v>303</v>
      </c>
    </row>
    <row r="2207" spans="1:10" x14ac:dyDescent="0.35">
      <c r="A2207" t="s">
        <v>2554</v>
      </c>
      <c r="B2207" t="s">
        <v>301</v>
      </c>
      <c r="C2207" t="s">
        <v>2553</v>
      </c>
      <c r="D2207" s="30">
        <v>0.375</v>
      </c>
      <c r="E2207" t="s">
        <v>298</v>
      </c>
      <c r="F2207" t="s">
        <v>299</v>
      </c>
      <c r="G2207" t="s">
        <v>299</v>
      </c>
      <c r="H2207">
        <v>17</v>
      </c>
      <c r="I2207" s="30">
        <v>4.0393518518518521E-3</v>
      </c>
      <c r="J2207">
        <v>4</v>
      </c>
    </row>
    <row r="2208" spans="1:10" x14ac:dyDescent="0.35">
      <c r="A2208" t="s">
        <v>2555</v>
      </c>
      <c r="B2208" t="s">
        <v>301</v>
      </c>
      <c r="C2208" t="s">
        <v>2553</v>
      </c>
      <c r="D2208" s="30">
        <v>0.38599537037037035</v>
      </c>
      <c r="E2208" t="s">
        <v>314</v>
      </c>
      <c r="F2208" t="s">
        <v>299</v>
      </c>
      <c r="G2208" t="s">
        <v>299</v>
      </c>
      <c r="H2208">
        <v>116</v>
      </c>
      <c r="I2208" s="30">
        <v>2.8356481481481483E-3</v>
      </c>
      <c r="J2208">
        <v>4</v>
      </c>
    </row>
    <row r="2209" spans="1:10" x14ac:dyDescent="0.35">
      <c r="A2209" t="s">
        <v>2556</v>
      </c>
      <c r="B2209" t="s">
        <v>319</v>
      </c>
      <c r="C2209" t="s">
        <v>2553</v>
      </c>
      <c r="D2209" s="30">
        <v>0.38599537037037035</v>
      </c>
      <c r="E2209" t="s">
        <v>309</v>
      </c>
      <c r="F2209" t="s">
        <v>299</v>
      </c>
      <c r="G2209" t="s">
        <v>299</v>
      </c>
      <c r="H2209">
        <v>112</v>
      </c>
      <c r="I2209" s="30">
        <v>3.2754629629629631E-3</v>
      </c>
      <c r="J2209">
        <v>3</v>
      </c>
    </row>
    <row r="2210" spans="1:10" x14ac:dyDescent="0.35">
      <c r="A2210" t="s">
        <v>2557</v>
      </c>
      <c r="B2210" t="s">
        <v>296</v>
      </c>
      <c r="C2210" t="s">
        <v>2553</v>
      </c>
      <c r="D2210" s="30">
        <v>0.39099537037037035</v>
      </c>
      <c r="E2210" t="s">
        <v>314</v>
      </c>
      <c r="F2210" t="s">
        <v>299</v>
      </c>
      <c r="G2210" t="s">
        <v>299</v>
      </c>
      <c r="H2210">
        <v>40</v>
      </c>
      <c r="I2210" s="30">
        <v>4.6296296296296294E-3</v>
      </c>
      <c r="J2210">
        <v>1</v>
      </c>
    </row>
    <row r="2211" spans="1:10" x14ac:dyDescent="0.35">
      <c r="A2211" t="s">
        <v>2558</v>
      </c>
      <c r="B2211" t="s">
        <v>301</v>
      </c>
      <c r="C2211" t="s">
        <v>2553</v>
      </c>
      <c r="D2211" s="30">
        <v>0.39099537037037035</v>
      </c>
      <c r="E2211" t="s">
        <v>314</v>
      </c>
      <c r="F2211" t="s">
        <v>299</v>
      </c>
      <c r="G2211" t="s">
        <v>299</v>
      </c>
      <c r="H2211">
        <v>120</v>
      </c>
      <c r="I2211" s="30">
        <v>1.8634259259259259E-3</v>
      </c>
      <c r="J2211">
        <v>5</v>
      </c>
    </row>
    <row r="2212" spans="1:10" x14ac:dyDescent="0.35">
      <c r="A2212" t="s">
        <v>2559</v>
      </c>
      <c r="B2212" t="s">
        <v>319</v>
      </c>
      <c r="C2212" t="s">
        <v>2553</v>
      </c>
      <c r="D2212" s="30">
        <v>0.42200231481481482</v>
      </c>
      <c r="E2212" t="s">
        <v>309</v>
      </c>
      <c r="F2212" t="s">
        <v>299</v>
      </c>
      <c r="G2212" t="s">
        <v>299</v>
      </c>
      <c r="H2212">
        <v>24</v>
      </c>
      <c r="I2212" s="30">
        <v>7.1759259259259259E-4</v>
      </c>
      <c r="J2212">
        <v>4</v>
      </c>
    </row>
    <row r="2213" spans="1:10" x14ac:dyDescent="0.35">
      <c r="A2213" t="s">
        <v>2560</v>
      </c>
      <c r="B2213" t="s">
        <v>296</v>
      </c>
      <c r="C2213" t="s">
        <v>2553</v>
      </c>
      <c r="D2213" s="30">
        <v>0.42200231481481482</v>
      </c>
      <c r="E2213" t="s">
        <v>298</v>
      </c>
      <c r="F2213" t="s">
        <v>303</v>
      </c>
      <c r="G2213" t="s">
        <v>303</v>
      </c>
    </row>
    <row r="2214" spans="1:10" x14ac:dyDescent="0.35">
      <c r="A2214" t="s">
        <v>2561</v>
      </c>
      <c r="B2214" t="s">
        <v>305</v>
      </c>
      <c r="C2214" t="s">
        <v>2553</v>
      </c>
      <c r="D2214" s="30">
        <v>0.43900462962962961</v>
      </c>
      <c r="E2214" t="s">
        <v>302</v>
      </c>
      <c r="F2214" t="s">
        <v>299</v>
      </c>
      <c r="G2214" t="s">
        <v>299</v>
      </c>
      <c r="H2214">
        <v>122</v>
      </c>
      <c r="I2214" s="30">
        <v>1.9560185185185184E-3</v>
      </c>
      <c r="J2214">
        <v>3</v>
      </c>
    </row>
    <row r="2215" spans="1:10" x14ac:dyDescent="0.35">
      <c r="A2215" t="s">
        <v>2562</v>
      </c>
      <c r="B2215" t="s">
        <v>305</v>
      </c>
      <c r="C2215" t="s">
        <v>2553</v>
      </c>
      <c r="D2215" s="30">
        <v>0.43900462962962961</v>
      </c>
      <c r="E2215" t="s">
        <v>317</v>
      </c>
      <c r="F2215" t="s">
        <v>299</v>
      </c>
      <c r="G2215" t="s">
        <v>299</v>
      </c>
      <c r="H2215">
        <v>21</v>
      </c>
      <c r="I2215" s="30">
        <v>4.2476851851851851E-3</v>
      </c>
      <c r="J2215">
        <v>3</v>
      </c>
    </row>
    <row r="2216" spans="1:10" x14ac:dyDescent="0.35">
      <c r="A2216" t="s">
        <v>2563</v>
      </c>
      <c r="B2216" t="s">
        <v>332</v>
      </c>
      <c r="C2216" t="s">
        <v>2553</v>
      </c>
      <c r="D2216" s="30">
        <v>0.50799768518518518</v>
      </c>
      <c r="E2216" t="s">
        <v>298</v>
      </c>
      <c r="F2216" t="s">
        <v>299</v>
      </c>
      <c r="G2216" t="s">
        <v>299</v>
      </c>
      <c r="H2216">
        <v>16</v>
      </c>
      <c r="I2216" s="30">
        <v>3.6111111111111109E-3</v>
      </c>
      <c r="J2216">
        <v>5</v>
      </c>
    </row>
    <row r="2217" spans="1:10" x14ac:dyDescent="0.35">
      <c r="A2217" t="s">
        <v>2564</v>
      </c>
      <c r="B2217" t="s">
        <v>305</v>
      </c>
      <c r="C2217" t="s">
        <v>2553</v>
      </c>
      <c r="D2217" s="30">
        <v>0.50799768518518518</v>
      </c>
      <c r="E2217" t="s">
        <v>317</v>
      </c>
      <c r="F2217" t="s">
        <v>303</v>
      </c>
      <c r="G2217" t="s">
        <v>303</v>
      </c>
    </row>
    <row r="2218" spans="1:10" x14ac:dyDescent="0.35">
      <c r="A2218" t="s">
        <v>2565</v>
      </c>
      <c r="B2218" t="s">
        <v>307</v>
      </c>
      <c r="C2218" t="s">
        <v>2553</v>
      </c>
      <c r="D2218" s="30">
        <v>0.54799768518518521</v>
      </c>
      <c r="E2218" t="s">
        <v>317</v>
      </c>
      <c r="F2218" t="s">
        <v>299</v>
      </c>
      <c r="G2218" t="s">
        <v>299</v>
      </c>
      <c r="H2218">
        <v>65</v>
      </c>
      <c r="I2218" s="30">
        <v>4.31712962962963E-3</v>
      </c>
      <c r="J2218">
        <v>4</v>
      </c>
    </row>
    <row r="2219" spans="1:10" x14ac:dyDescent="0.35">
      <c r="A2219" t="s">
        <v>2566</v>
      </c>
      <c r="B2219" t="s">
        <v>323</v>
      </c>
      <c r="C2219" t="s">
        <v>2553</v>
      </c>
      <c r="D2219" s="30">
        <v>0.54799768518518521</v>
      </c>
      <c r="E2219" t="s">
        <v>298</v>
      </c>
      <c r="F2219" t="s">
        <v>303</v>
      </c>
      <c r="G2219" t="s">
        <v>303</v>
      </c>
    </row>
    <row r="2220" spans="1:10" x14ac:dyDescent="0.35">
      <c r="A2220" t="s">
        <v>2567</v>
      </c>
      <c r="B2220" t="s">
        <v>323</v>
      </c>
      <c r="C2220" t="s">
        <v>2553</v>
      </c>
      <c r="D2220" s="30">
        <v>0.55799768518518522</v>
      </c>
      <c r="E2220" t="s">
        <v>317</v>
      </c>
      <c r="F2220" t="s">
        <v>299</v>
      </c>
      <c r="G2220" t="s">
        <v>303</v>
      </c>
      <c r="H2220">
        <v>111</v>
      </c>
      <c r="I2220" s="30">
        <v>3.6921296296296298E-3</v>
      </c>
      <c r="J2220">
        <v>1</v>
      </c>
    </row>
    <row r="2221" spans="1:10" x14ac:dyDescent="0.35">
      <c r="A2221" t="s">
        <v>2568</v>
      </c>
      <c r="B2221" t="s">
        <v>305</v>
      </c>
      <c r="C2221" t="s">
        <v>2553</v>
      </c>
      <c r="D2221" s="30">
        <v>0.55799768518518522</v>
      </c>
      <c r="E2221" t="s">
        <v>298</v>
      </c>
      <c r="F2221" t="s">
        <v>299</v>
      </c>
      <c r="G2221" t="s">
        <v>299</v>
      </c>
      <c r="H2221">
        <v>81</v>
      </c>
      <c r="I2221" s="30">
        <v>6.3657407407407413E-4</v>
      </c>
      <c r="J2221">
        <v>2</v>
      </c>
    </row>
    <row r="2222" spans="1:10" x14ac:dyDescent="0.35">
      <c r="A2222" t="s">
        <v>2569</v>
      </c>
      <c r="B2222" t="s">
        <v>296</v>
      </c>
      <c r="C2222" t="s">
        <v>2553</v>
      </c>
      <c r="D2222" s="30">
        <v>0.59400462962962963</v>
      </c>
      <c r="E2222" t="s">
        <v>302</v>
      </c>
      <c r="F2222" t="s">
        <v>303</v>
      </c>
      <c r="G2222" t="s">
        <v>303</v>
      </c>
    </row>
    <row r="2223" spans="1:10" x14ac:dyDescent="0.35">
      <c r="A2223" t="s">
        <v>2570</v>
      </c>
      <c r="B2223" t="s">
        <v>323</v>
      </c>
      <c r="C2223" t="s">
        <v>2553</v>
      </c>
      <c r="D2223" s="30">
        <v>0.59400462962962963</v>
      </c>
      <c r="E2223" t="s">
        <v>302</v>
      </c>
      <c r="F2223" t="s">
        <v>299</v>
      </c>
      <c r="G2223" t="s">
        <v>299</v>
      </c>
      <c r="H2223">
        <v>85</v>
      </c>
      <c r="I2223" s="30">
        <v>3.1944444444444446E-3</v>
      </c>
      <c r="J2223">
        <v>3</v>
      </c>
    </row>
    <row r="2224" spans="1:10" x14ac:dyDescent="0.35">
      <c r="A2224" t="s">
        <v>2571</v>
      </c>
      <c r="B2224" t="s">
        <v>323</v>
      </c>
      <c r="C2224" t="s">
        <v>2553</v>
      </c>
      <c r="D2224" s="30">
        <v>0.6</v>
      </c>
      <c r="E2224" t="s">
        <v>302</v>
      </c>
      <c r="F2224" t="s">
        <v>299</v>
      </c>
      <c r="G2224" t="s">
        <v>299</v>
      </c>
      <c r="H2224">
        <v>109</v>
      </c>
      <c r="I2224" s="30">
        <v>4.1087962962962962E-3</v>
      </c>
      <c r="J2224">
        <v>4</v>
      </c>
    </row>
    <row r="2225" spans="1:10" x14ac:dyDescent="0.35">
      <c r="A2225" t="s">
        <v>2572</v>
      </c>
      <c r="B2225" t="s">
        <v>301</v>
      </c>
      <c r="C2225" t="s">
        <v>2553</v>
      </c>
      <c r="D2225" s="30">
        <v>0.6</v>
      </c>
      <c r="E2225" t="s">
        <v>317</v>
      </c>
      <c r="F2225" t="s">
        <v>299</v>
      </c>
      <c r="G2225" t="s">
        <v>303</v>
      </c>
      <c r="H2225">
        <v>71</v>
      </c>
      <c r="I2225" s="30">
        <v>1.1458333333333333E-3</v>
      </c>
      <c r="J2225">
        <v>4</v>
      </c>
    </row>
    <row r="2226" spans="1:10" x14ac:dyDescent="0.35">
      <c r="A2226" t="s">
        <v>2573</v>
      </c>
      <c r="B2226" t="s">
        <v>296</v>
      </c>
      <c r="C2226" t="s">
        <v>2553</v>
      </c>
      <c r="D2226" s="30">
        <v>0.60200231481481481</v>
      </c>
      <c r="E2226" t="s">
        <v>314</v>
      </c>
      <c r="F2226" t="s">
        <v>299</v>
      </c>
      <c r="G2226" t="s">
        <v>299</v>
      </c>
      <c r="H2226">
        <v>50</v>
      </c>
      <c r="I2226" s="30">
        <v>1.4930555555555556E-3</v>
      </c>
      <c r="J2226">
        <v>3</v>
      </c>
    </row>
    <row r="2227" spans="1:10" x14ac:dyDescent="0.35">
      <c r="A2227" t="s">
        <v>2574</v>
      </c>
      <c r="B2227" t="s">
        <v>307</v>
      </c>
      <c r="C2227" t="s">
        <v>2553</v>
      </c>
      <c r="D2227" s="30">
        <v>0.60200231481481481</v>
      </c>
      <c r="E2227" t="s">
        <v>309</v>
      </c>
      <c r="F2227" t="s">
        <v>299</v>
      </c>
      <c r="G2227" t="s">
        <v>299</v>
      </c>
      <c r="H2227">
        <v>66</v>
      </c>
      <c r="I2227" s="30">
        <v>7.291666666666667E-4</v>
      </c>
      <c r="J2227">
        <v>3</v>
      </c>
    </row>
    <row r="2228" spans="1:10" x14ac:dyDescent="0.35">
      <c r="A2228" t="s">
        <v>2575</v>
      </c>
      <c r="B2228" t="s">
        <v>301</v>
      </c>
      <c r="C2228" t="s">
        <v>2553</v>
      </c>
      <c r="D2228" s="30">
        <v>0.60700231481481481</v>
      </c>
      <c r="E2228" t="s">
        <v>317</v>
      </c>
      <c r="F2228" t="s">
        <v>299</v>
      </c>
      <c r="G2228" t="s">
        <v>299</v>
      </c>
      <c r="H2228">
        <v>36</v>
      </c>
      <c r="I2228" s="30">
        <v>1.8055555555555555E-3</v>
      </c>
      <c r="J2228">
        <v>5</v>
      </c>
    </row>
    <row r="2229" spans="1:10" x14ac:dyDescent="0.35">
      <c r="A2229" t="s">
        <v>2576</v>
      </c>
      <c r="B2229" t="s">
        <v>319</v>
      </c>
      <c r="C2229" t="s">
        <v>2553</v>
      </c>
      <c r="D2229" s="30">
        <v>0.60700231481481481</v>
      </c>
      <c r="E2229" t="s">
        <v>317</v>
      </c>
      <c r="F2229" t="s">
        <v>299</v>
      </c>
      <c r="G2229" t="s">
        <v>299</v>
      </c>
      <c r="H2229">
        <v>57</v>
      </c>
      <c r="I2229" s="30">
        <v>2.7314814814814814E-3</v>
      </c>
      <c r="J2229">
        <v>2</v>
      </c>
    </row>
    <row r="2230" spans="1:10" x14ac:dyDescent="0.35">
      <c r="A2230" t="s">
        <v>2577</v>
      </c>
      <c r="B2230" t="s">
        <v>307</v>
      </c>
      <c r="C2230" t="s">
        <v>2553</v>
      </c>
      <c r="D2230" s="30">
        <v>0.61</v>
      </c>
      <c r="E2230" t="s">
        <v>302</v>
      </c>
      <c r="F2230" t="s">
        <v>299</v>
      </c>
      <c r="G2230" t="s">
        <v>299</v>
      </c>
      <c r="H2230">
        <v>124</v>
      </c>
      <c r="I2230" s="30">
        <v>2.9050925925925928E-3</v>
      </c>
      <c r="J2230">
        <v>5</v>
      </c>
    </row>
    <row r="2231" spans="1:10" x14ac:dyDescent="0.35">
      <c r="A2231" t="s">
        <v>2578</v>
      </c>
      <c r="B2231" t="s">
        <v>323</v>
      </c>
      <c r="C2231" t="s">
        <v>2553</v>
      </c>
      <c r="D2231" s="30">
        <v>0.61</v>
      </c>
      <c r="E2231" t="s">
        <v>298</v>
      </c>
      <c r="F2231" t="s">
        <v>299</v>
      </c>
      <c r="G2231" t="s">
        <v>299</v>
      </c>
      <c r="H2231">
        <v>57</v>
      </c>
      <c r="I2231" s="30">
        <v>1.736111111111111E-3</v>
      </c>
      <c r="J2231">
        <v>1</v>
      </c>
    </row>
    <row r="2232" spans="1:10" x14ac:dyDescent="0.35">
      <c r="A2232" t="s">
        <v>2579</v>
      </c>
      <c r="B2232" t="s">
        <v>301</v>
      </c>
      <c r="C2232" t="s">
        <v>2553</v>
      </c>
      <c r="D2232" s="30">
        <v>0.62200231481481483</v>
      </c>
      <c r="E2232" t="s">
        <v>309</v>
      </c>
      <c r="F2232" t="s">
        <v>303</v>
      </c>
      <c r="G2232" t="s">
        <v>303</v>
      </c>
    </row>
    <row r="2233" spans="1:10" x14ac:dyDescent="0.35">
      <c r="A2233" t="s">
        <v>2580</v>
      </c>
      <c r="B2233" t="s">
        <v>316</v>
      </c>
      <c r="C2233" t="s">
        <v>2553</v>
      </c>
      <c r="D2233" s="30">
        <v>0.62200231481481483</v>
      </c>
      <c r="E2233" t="s">
        <v>309</v>
      </c>
      <c r="F2233" t="s">
        <v>299</v>
      </c>
      <c r="G2233" t="s">
        <v>299</v>
      </c>
      <c r="H2233">
        <v>51</v>
      </c>
      <c r="I2233" s="30">
        <v>3.5763888888888889E-3</v>
      </c>
      <c r="J2233">
        <v>5</v>
      </c>
    </row>
    <row r="2234" spans="1:10" x14ac:dyDescent="0.35">
      <c r="A2234" t="s">
        <v>2581</v>
      </c>
      <c r="B2234" t="s">
        <v>296</v>
      </c>
      <c r="C2234" t="s">
        <v>2553</v>
      </c>
      <c r="D2234" s="30">
        <v>0.67599537037037039</v>
      </c>
      <c r="E2234" t="s">
        <v>309</v>
      </c>
      <c r="F2234" t="s">
        <v>299</v>
      </c>
      <c r="G2234" t="s">
        <v>299</v>
      </c>
      <c r="H2234">
        <v>119</v>
      </c>
      <c r="I2234" s="30">
        <v>4.6990740740740743E-3</v>
      </c>
      <c r="J2234">
        <v>3</v>
      </c>
    </row>
    <row r="2235" spans="1:10" x14ac:dyDescent="0.35">
      <c r="A2235" t="s">
        <v>2582</v>
      </c>
      <c r="B2235" t="s">
        <v>296</v>
      </c>
      <c r="C2235" t="s">
        <v>2553</v>
      </c>
      <c r="D2235" s="30">
        <v>0.67599537037037039</v>
      </c>
      <c r="E2235" t="s">
        <v>317</v>
      </c>
      <c r="F2235" t="s">
        <v>299</v>
      </c>
      <c r="G2235" t="s">
        <v>299</v>
      </c>
      <c r="H2235">
        <v>62</v>
      </c>
      <c r="I2235" s="30">
        <v>3.3217592592592591E-3</v>
      </c>
      <c r="J2235">
        <v>3</v>
      </c>
    </row>
    <row r="2236" spans="1:10" x14ac:dyDescent="0.35">
      <c r="A2236" t="s">
        <v>2583</v>
      </c>
      <c r="B2236" t="s">
        <v>319</v>
      </c>
      <c r="C2236" t="s">
        <v>2553</v>
      </c>
      <c r="D2236" s="30">
        <v>0.6790046296296296</v>
      </c>
      <c r="E2236" t="s">
        <v>298</v>
      </c>
      <c r="F2236" t="s">
        <v>299</v>
      </c>
      <c r="G2236" t="s">
        <v>299</v>
      </c>
      <c r="H2236">
        <v>70</v>
      </c>
      <c r="I2236" s="30">
        <v>2.2337962962962962E-3</v>
      </c>
      <c r="J2236">
        <v>5</v>
      </c>
    </row>
    <row r="2237" spans="1:10" x14ac:dyDescent="0.35">
      <c r="A2237" t="s">
        <v>2584</v>
      </c>
      <c r="B2237" t="s">
        <v>316</v>
      </c>
      <c r="C2237" t="s">
        <v>2553</v>
      </c>
      <c r="D2237" s="30">
        <v>0.6790046296296296</v>
      </c>
      <c r="E2237" t="s">
        <v>298</v>
      </c>
      <c r="F2237" t="s">
        <v>299</v>
      </c>
      <c r="G2237" t="s">
        <v>299</v>
      </c>
      <c r="H2237">
        <v>30</v>
      </c>
      <c r="I2237" s="30">
        <v>2.9166666666666668E-3</v>
      </c>
      <c r="J2237">
        <v>4</v>
      </c>
    </row>
    <row r="2238" spans="1:10" x14ac:dyDescent="0.35">
      <c r="A2238" t="s">
        <v>2585</v>
      </c>
      <c r="B2238" t="s">
        <v>296</v>
      </c>
      <c r="C2238" t="s">
        <v>2553</v>
      </c>
      <c r="D2238" s="30">
        <v>0.68799768518518523</v>
      </c>
      <c r="E2238" t="s">
        <v>314</v>
      </c>
      <c r="F2238" t="s">
        <v>299</v>
      </c>
      <c r="G2238" t="s">
        <v>299</v>
      </c>
      <c r="H2238">
        <v>17</v>
      </c>
      <c r="I2238" s="30">
        <v>2.8703703703703703E-3</v>
      </c>
      <c r="J2238">
        <v>3</v>
      </c>
    </row>
    <row r="2239" spans="1:10" x14ac:dyDescent="0.35">
      <c r="A2239" t="s">
        <v>2586</v>
      </c>
      <c r="B2239" t="s">
        <v>319</v>
      </c>
      <c r="C2239" t="s">
        <v>2553</v>
      </c>
      <c r="D2239" s="30">
        <v>0.68799768518518523</v>
      </c>
      <c r="E2239" t="s">
        <v>317</v>
      </c>
      <c r="F2239" t="s">
        <v>299</v>
      </c>
      <c r="G2239" t="s">
        <v>299</v>
      </c>
      <c r="H2239">
        <v>43</v>
      </c>
      <c r="I2239" s="30">
        <v>2.2916666666666667E-3</v>
      </c>
      <c r="J2239">
        <v>3</v>
      </c>
    </row>
    <row r="2240" spans="1:10" x14ac:dyDescent="0.35">
      <c r="A2240" t="s">
        <v>2587</v>
      </c>
      <c r="B2240" t="s">
        <v>332</v>
      </c>
      <c r="C2240" t="s">
        <v>2553</v>
      </c>
      <c r="D2240" s="30">
        <v>0.69799768518518523</v>
      </c>
      <c r="E2240" t="s">
        <v>302</v>
      </c>
      <c r="F2240" t="s">
        <v>299</v>
      </c>
      <c r="G2240" t="s">
        <v>299</v>
      </c>
      <c r="H2240">
        <v>81</v>
      </c>
      <c r="I2240" s="30">
        <v>1.3425925925925925E-3</v>
      </c>
      <c r="J2240">
        <v>5</v>
      </c>
    </row>
    <row r="2241" spans="1:10" x14ac:dyDescent="0.35">
      <c r="A2241" t="s">
        <v>2588</v>
      </c>
      <c r="B2241" t="s">
        <v>323</v>
      </c>
      <c r="C2241" t="s">
        <v>2553</v>
      </c>
      <c r="D2241" s="30">
        <v>0.69799768518518523</v>
      </c>
      <c r="E2241" t="s">
        <v>314</v>
      </c>
      <c r="F2241" t="s">
        <v>299</v>
      </c>
      <c r="G2241" t="s">
        <v>299</v>
      </c>
      <c r="H2241">
        <v>58</v>
      </c>
      <c r="I2241" s="30">
        <v>3.9004629629629628E-3</v>
      </c>
      <c r="J2241">
        <v>3</v>
      </c>
    </row>
    <row r="2242" spans="1:10" x14ac:dyDescent="0.35">
      <c r="A2242" t="s">
        <v>2589</v>
      </c>
      <c r="B2242" t="s">
        <v>323</v>
      </c>
      <c r="C2242" t="s">
        <v>2553</v>
      </c>
      <c r="D2242" s="30">
        <v>0.69900462962962961</v>
      </c>
      <c r="E2242" t="s">
        <v>298</v>
      </c>
      <c r="F2242" t="s">
        <v>299</v>
      </c>
      <c r="G2242" t="s">
        <v>299</v>
      </c>
      <c r="H2242">
        <v>59</v>
      </c>
      <c r="I2242" s="30">
        <v>2.627314814814815E-3</v>
      </c>
      <c r="J2242">
        <v>4</v>
      </c>
    </row>
    <row r="2243" spans="1:10" x14ac:dyDescent="0.35">
      <c r="A2243" t="s">
        <v>2590</v>
      </c>
      <c r="B2243" t="s">
        <v>323</v>
      </c>
      <c r="C2243" t="s">
        <v>2553</v>
      </c>
      <c r="D2243" s="30">
        <v>0.69900462962962961</v>
      </c>
      <c r="E2243" t="s">
        <v>317</v>
      </c>
      <c r="F2243" t="s">
        <v>303</v>
      </c>
      <c r="G2243" t="s">
        <v>303</v>
      </c>
    </row>
    <row r="2244" spans="1:10" x14ac:dyDescent="0.35">
      <c r="A2244" t="s">
        <v>2591</v>
      </c>
      <c r="B2244" t="s">
        <v>323</v>
      </c>
      <c r="C2244" t="s">
        <v>2553</v>
      </c>
      <c r="D2244" s="30">
        <v>0.71400462962962963</v>
      </c>
      <c r="E2244" t="s">
        <v>302</v>
      </c>
      <c r="F2244" t="s">
        <v>299</v>
      </c>
      <c r="G2244" t="s">
        <v>299</v>
      </c>
      <c r="H2244">
        <v>110</v>
      </c>
      <c r="I2244" s="30">
        <v>3.6689814814814814E-3</v>
      </c>
      <c r="J2244">
        <v>5</v>
      </c>
    </row>
    <row r="2245" spans="1:10" x14ac:dyDescent="0.35">
      <c r="A2245" t="s">
        <v>2592</v>
      </c>
      <c r="B2245" t="s">
        <v>296</v>
      </c>
      <c r="C2245" t="s">
        <v>2553</v>
      </c>
      <c r="D2245" s="30">
        <v>0.71400462962962963</v>
      </c>
      <c r="E2245" t="s">
        <v>317</v>
      </c>
      <c r="F2245" t="s">
        <v>299</v>
      </c>
      <c r="G2245" t="s">
        <v>299</v>
      </c>
      <c r="H2245">
        <v>91</v>
      </c>
      <c r="I2245" s="30">
        <v>1.0300925925925926E-3</v>
      </c>
      <c r="J2245">
        <v>3</v>
      </c>
    </row>
    <row r="2246" spans="1:10" x14ac:dyDescent="0.35">
      <c r="A2246" t="s">
        <v>2593</v>
      </c>
      <c r="B2246" t="s">
        <v>307</v>
      </c>
      <c r="C2246" t="s">
        <v>2553</v>
      </c>
      <c r="D2246" s="30">
        <v>0.74799768518518517</v>
      </c>
      <c r="E2246" t="s">
        <v>314</v>
      </c>
      <c r="F2246" t="s">
        <v>299</v>
      </c>
      <c r="G2246" t="s">
        <v>299</v>
      </c>
      <c r="H2246">
        <v>12</v>
      </c>
      <c r="I2246" s="30">
        <v>5.5555555555555556E-4</v>
      </c>
      <c r="J2246">
        <v>3</v>
      </c>
    </row>
    <row r="2247" spans="1:10" x14ac:dyDescent="0.35">
      <c r="A2247" t="s">
        <v>2594</v>
      </c>
      <c r="B2247" t="s">
        <v>332</v>
      </c>
      <c r="C2247" t="s">
        <v>2553</v>
      </c>
      <c r="D2247" s="30">
        <v>0.74799768518518517</v>
      </c>
      <c r="E2247" t="s">
        <v>309</v>
      </c>
      <c r="F2247" t="s">
        <v>299</v>
      </c>
      <c r="G2247" t="s">
        <v>299</v>
      </c>
      <c r="H2247">
        <v>38</v>
      </c>
      <c r="I2247" s="30">
        <v>4.7222222222222223E-3</v>
      </c>
      <c r="J2247">
        <v>5</v>
      </c>
    </row>
    <row r="2248" spans="1:10" x14ac:dyDescent="0.35">
      <c r="A2248" t="s">
        <v>2595</v>
      </c>
      <c r="B2248" t="s">
        <v>301</v>
      </c>
      <c r="C2248" t="s">
        <v>2596</v>
      </c>
      <c r="D2248" s="30">
        <v>0.38400462962962961</v>
      </c>
      <c r="E2248" t="s">
        <v>309</v>
      </c>
      <c r="F2248" t="s">
        <v>299</v>
      </c>
      <c r="G2248" t="s">
        <v>299</v>
      </c>
      <c r="H2248">
        <v>83</v>
      </c>
      <c r="I2248" s="30">
        <v>8.7962962962962962E-4</v>
      </c>
      <c r="J2248">
        <v>5</v>
      </c>
    </row>
    <row r="2249" spans="1:10" x14ac:dyDescent="0.35">
      <c r="A2249" t="s">
        <v>2597</v>
      </c>
      <c r="B2249" t="s">
        <v>319</v>
      </c>
      <c r="C2249" t="s">
        <v>2596</v>
      </c>
      <c r="D2249" s="30">
        <v>0.38400462962962961</v>
      </c>
      <c r="E2249" t="s">
        <v>302</v>
      </c>
      <c r="F2249" t="s">
        <v>299</v>
      </c>
      <c r="G2249" t="s">
        <v>299</v>
      </c>
      <c r="H2249">
        <v>31</v>
      </c>
      <c r="I2249" s="30">
        <v>2.3958333333333331E-3</v>
      </c>
      <c r="J2249">
        <v>4</v>
      </c>
    </row>
    <row r="2250" spans="1:10" x14ac:dyDescent="0.35">
      <c r="A2250" t="s">
        <v>2598</v>
      </c>
      <c r="B2250" t="s">
        <v>305</v>
      </c>
      <c r="C2250" t="s">
        <v>2596</v>
      </c>
      <c r="D2250" s="30">
        <v>0.39500000000000002</v>
      </c>
      <c r="E2250" t="s">
        <v>317</v>
      </c>
      <c r="F2250" t="s">
        <v>299</v>
      </c>
      <c r="G2250" t="s">
        <v>299</v>
      </c>
      <c r="H2250">
        <v>105</v>
      </c>
      <c r="I2250" s="30">
        <v>3.7037037037037041E-4</v>
      </c>
      <c r="J2250">
        <v>5</v>
      </c>
    </row>
    <row r="2251" spans="1:10" x14ac:dyDescent="0.35">
      <c r="A2251" t="s">
        <v>2599</v>
      </c>
      <c r="B2251" t="s">
        <v>296</v>
      </c>
      <c r="C2251" t="s">
        <v>2596</v>
      </c>
      <c r="D2251" s="30">
        <v>0.39500000000000002</v>
      </c>
      <c r="E2251" t="s">
        <v>317</v>
      </c>
      <c r="F2251" t="s">
        <v>299</v>
      </c>
      <c r="G2251" t="s">
        <v>299</v>
      </c>
      <c r="H2251">
        <v>98</v>
      </c>
      <c r="I2251" s="30">
        <v>9.3749999999999997E-4</v>
      </c>
      <c r="J2251">
        <v>5</v>
      </c>
    </row>
    <row r="2252" spans="1:10" x14ac:dyDescent="0.35">
      <c r="A2252" t="s">
        <v>2600</v>
      </c>
      <c r="B2252" t="s">
        <v>319</v>
      </c>
      <c r="C2252" t="s">
        <v>2596</v>
      </c>
      <c r="D2252" s="30">
        <v>0.42400462962962965</v>
      </c>
      <c r="E2252" t="s">
        <v>302</v>
      </c>
      <c r="F2252" t="s">
        <v>299</v>
      </c>
      <c r="G2252" t="s">
        <v>299</v>
      </c>
      <c r="H2252">
        <v>56</v>
      </c>
      <c r="I2252" s="30">
        <v>2.7893518518518519E-3</v>
      </c>
      <c r="J2252">
        <v>2</v>
      </c>
    </row>
    <row r="2253" spans="1:10" x14ac:dyDescent="0.35">
      <c r="A2253" t="s">
        <v>2601</v>
      </c>
      <c r="B2253" t="s">
        <v>301</v>
      </c>
      <c r="C2253" t="s">
        <v>2596</v>
      </c>
      <c r="D2253" s="30">
        <v>0.42400462962962965</v>
      </c>
      <c r="E2253" t="s">
        <v>302</v>
      </c>
      <c r="F2253" t="s">
        <v>299</v>
      </c>
      <c r="G2253" t="s">
        <v>299</v>
      </c>
      <c r="H2253">
        <v>83</v>
      </c>
      <c r="I2253" s="30">
        <v>3.6226851851851854E-3</v>
      </c>
      <c r="J2253">
        <v>5</v>
      </c>
    </row>
    <row r="2254" spans="1:10" x14ac:dyDescent="0.35">
      <c r="A2254" t="s">
        <v>2602</v>
      </c>
      <c r="B2254" t="s">
        <v>307</v>
      </c>
      <c r="C2254" t="s">
        <v>2596</v>
      </c>
      <c r="D2254" s="30">
        <v>0.43599537037037039</v>
      </c>
      <c r="E2254" t="s">
        <v>309</v>
      </c>
      <c r="F2254" t="s">
        <v>299</v>
      </c>
      <c r="G2254" t="s">
        <v>299</v>
      </c>
      <c r="H2254">
        <v>42</v>
      </c>
      <c r="I2254" s="30">
        <v>1.8981481481481482E-3</v>
      </c>
      <c r="J2254">
        <v>2</v>
      </c>
    </row>
    <row r="2255" spans="1:10" x14ac:dyDescent="0.35">
      <c r="A2255" t="s">
        <v>2603</v>
      </c>
      <c r="B2255" t="s">
        <v>332</v>
      </c>
      <c r="C2255" t="s">
        <v>2596</v>
      </c>
      <c r="D2255" s="30">
        <v>0.43599537037037039</v>
      </c>
      <c r="E2255" t="s">
        <v>314</v>
      </c>
      <c r="F2255" t="s">
        <v>299</v>
      </c>
      <c r="G2255" t="s">
        <v>299</v>
      </c>
      <c r="H2255">
        <v>59</v>
      </c>
      <c r="I2255" s="30">
        <v>3.5416666666666665E-3</v>
      </c>
      <c r="J2255">
        <v>3</v>
      </c>
    </row>
    <row r="2256" spans="1:10" x14ac:dyDescent="0.35">
      <c r="A2256" t="s">
        <v>2604</v>
      </c>
      <c r="B2256" t="s">
        <v>332</v>
      </c>
      <c r="C2256" t="s">
        <v>2596</v>
      </c>
      <c r="D2256" s="30">
        <v>0.44900462962962961</v>
      </c>
      <c r="E2256" t="s">
        <v>314</v>
      </c>
      <c r="F2256" t="s">
        <v>299</v>
      </c>
      <c r="G2256" t="s">
        <v>299</v>
      </c>
      <c r="H2256">
        <v>62</v>
      </c>
      <c r="I2256" s="30">
        <v>4.7685185185185183E-3</v>
      </c>
      <c r="J2256">
        <v>4</v>
      </c>
    </row>
    <row r="2257" spans="1:10" x14ac:dyDescent="0.35">
      <c r="A2257" t="s">
        <v>2605</v>
      </c>
      <c r="B2257" t="s">
        <v>316</v>
      </c>
      <c r="C2257" t="s">
        <v>2596</v>
      </c>
      <c r="D2257" s="30">
        <v>0.44900462962962961</v>
      </c>
      <c r="E2257" t="s">
        <v>314</v>
      </c>
      <c r="F2257" t="s">
        <v>299</v>
      </c>
      <c r="G2257" t="s">
        <v>299</v>
      </c>
      <c r="H2257">
        <v>63</v>
      </c>
      <c r="I2257" s="30">
        <v>2.9629629629629628E-3</v>
      </c>
      <c r="J2257">
        <v>1</v>
      </c>
    </row>
    <row r="2258" spans="1:10" x14ac:dyDescent="0.35">
      <c r="A2258" t="s">
        <v>2606</v>
      </c>
      <c r="B2258" t="s">
        <v>319</v>
      </c>
      <c r="C2258" t="s">
        <v>2596</v>
      </c>
      <c r="D2258" s="30">
        <v>0.48099537037037038</v>
      </c>
      <c r="E2258" t="s">
        <v>302</v>
      </c>
      <c r="F2258" t="s">
        <v>299</v>
      </c>
      <c r="G2258" t="s">
        <v>299</v>
      </c>
      <c r="H2258">
        <v>108</v>
      </c>
      <c r="I2258" s="30">
        <v>1.8865740740740742E-3</v>
      </c>
      <c r="J2258">
        <v>3</v>
      </c>
    </row>
    <row r="2259" spans="1:10" x14ac:dyDescent="0.35">
      <c r="A2259" t="s">
        <v>2607</v>
      </c>
      <c r="B2259" t="s">
        <v>332</v>
      </c>
      <c r="C2259" t="s">
        <v>2596</v>
      </c>
      <c r="D2259" s="30">
        <v>0.48099537037037038</v>
      </c>
      <c r="E2259" t="s">
        <v>309</v>
      </c>
      <c r="F2259" t="s">
        <v>299</v>
      </c>
      <c r="G2259" t="s">
        <v>303</v>
      </c>
      <c r="H2259">
        <v>100</v>
      </c>
      <c r="I2259" s="30">
        <v>4.6874999999999998E-3</v>
      </c>
      <c r="J2259">
        <v>5</v>
      </c>
    </row>
    <row r="2260" spans="1:10" x14ac:dyDescent="0.35">
      <c r="A2260" t="s">
        <v>2608</v>
      </c>
      <c r="B2260" t="s">
        <v>323</v>
      </c>
      <c r="C2260" t="s">
        <v>2596</v>
      </c>
      <c r="D2260" s="30">
        <v>0.51400462962962967</v>
      </c>
      <c r="E2260" t="s">
        <v>298</v>
      </c>
      <c r="F2260" t="s">
        <v>299</v>
      </c>
      <c r="G2260" t="s">
        <v>299</v>
      </c>
      <c r="H2260">
        <v>69</v>
      </c>
      <c r="I2260" s="30">
        <v>4.0509259259259257E-3</v>
      </c>
      <c r="J2260">
        <v>3</v>
      </c>
    </row>
    <row r="2261" spans="1:10" x14ac:dyDescent="0.35">
      <c r="A2261" t="s">
        <v>2609</v>
      </c>
      <c r="B2261" t="s">
        <v>319</v>
      </c>
      <c r="C2261" t="s">
        <v>2596</v>
      </c>
      <c r="D2261" s="30">
        <v>0.51400462962962967</v>
      </c>
      <c r="E2261" t="s">
        <v>314</v>
      </c>
      <c r="F2261" t="s">
        <v>299</v>
      </c>
      <c r="G2261" t="s">
        <v>299</v>
      </c>
      <c r="H2261">
        <v>66</v>
      </c>
      <c r="I2261" s="30">
        <v>3.3912037037037036E-3</v>
      </c>
      <c r="J2261">
        <v>2</v>
      </c>
    </row>
    <row r="2262" spans="1:10" x14ac:dyDescent="0.35">
      <c r="A2262" t="s">
        <v>2610</v>
      </c>
      <c r="B2262" t="s">
        <v>332</v>
      </c>
      <c r="C2262" t="s">
        <v>2596</v>
      </c>
      <c r="D2262" s="30">
        <v>0.52</v>
      </c>
      <c r="E2262" t="s">
        <v>309</v>
      </c>
      <c r="F2262" t="s">
        <v>303</v>
      </c>
      <c r="G2262" t="s">
        <v>303</v>
      </c>
    </row>
    <row r="2263" spans="1:10" x14ac:dyDescent="0.35">
      <c r="A2263" t="s">
        <v>2611</v>
      </c>
      <c r="B2263" t="s">
        <v>305</v>
      </c>
      <c r="C2263" t="s">
        <v>2596</v>
      </c>
      <c r="D2263" s="30">
        <v>0.52</v>
      </c>
      <c r="E2263" t="s">
        <v>317</v>
      </c>
      <c r="F2263" t="s">
        <v>303</v>
      </c>
      <c r="G2263" t="s">
        <v>303</v>
      </c>
    </row>
    <row r="2264" spans="1:10" x14ac:dyDescent="0.35">
      <c r="A2264" t="s">
        <v>2612</v>
      </c>
      <c r="B2264" t="s">
        <v>332</v>
      </c>
      <c r="C2264" t="s">
        <v>2596</v>
      </c>
      <c r="D2264" s="30">
        <v>0.52599537037037036</v>
      </c>
      <c r="E2264" t="s">
        <v>309</v>
      </c>
      <c r="F2264" t="s">
        <v>299</v>
      </c>
      <c r="G2264" t="s">
        <v>299</v>
      </c>
      <c r="H2264">
        <v>122</v>
      </c>
      <c r="I2264" s="30">
        <v>5.5555555555555556E-4</v>
      </c>
      <c r="J2264">
        <v>4</v>
      </c>
    </row>
    <row r="2265" spans="1:10" x14ac:dyDescent="0.35">
      <c r="A2265" t="s">
        <v>2613</v>
      </c>
      <c r="B2265" t="s">
        <v>332</v>
      </c>
      <c r="C2265" t="s">
        <v>2596</v>
      </c>
      <c r="D2265" s="30">
        <v>0.52599537037037036</v>
      </c>
      <c r="E2265" t="s">
        <v>314</v>
      </c>
      <c r="F2265" t="s">
        <v>299</v>
      </c>
      <c r="G2265" t="s">
        <v>299</v>
      </c>
      <c r="H2265">
        <v>44</v>
      </c>
      <c r="I2265" s="30">
        <v>3.7731481481481483E-3</v>
      </c>
      <c r="J2265">
        <v>4</v>
      </c>
    </row>
    <row r="2266" spans="1:10" x14ac:dyDescent="0.35">
      <c r="A2266" t="s">
        <v>2614</v>
      </c>
      <c r="B2266" t="s">
        <v>301</v>
      </c>
      <c r="C2266" t="s">
        <v>2596</v>
      </c>
      <c r="D2266" s="30">
        <v>0.5329976851851852</v>
      </c>
      <c r="E2266" t="s">
        <v>298</v>
      </c>
      <c r="F2266" t="s">
        <v>303</v>
      </c>
      <c r="G2266" t="s">
        <v>303</v>
      </c>
    </row>
    <row r="2267" spans="1:10" x14ac:dyDescent="0.35">
      <c r="A2267" t="s">
        <v>2615</v>
      </c>
      <c r="B2267" t="s">
        <v>307</v>
      </c>
      <c r="C2267" t="s">
        <v>2596</v>
      </c>
      <c r="D2267" s="30">
        <v>0.5329976851851852</v>
      </c>
      <c r="E2267" t="s">
        <v>302</v>
      </c>
      <c r="F2267" t="s">
        <v>303</v>
      </c>
      <c r="G2267" t="s">
        <v>303</v>
      </c>
    </row>
    <row r="2268" spans="1:10" x14ac:dyDescent="0.35">
      <c r="A2268" t="s">
        <v>2616</v>
      </c>
      <c r="B2268" t="s">
        <v>319</v>
      </c>
      <c r="C2268" t="s">
        <v>2596</v>
      </c>
      <c r="D2268" s="30">
        <v>0.5329976851851852</v>
      </c>
      <c r="E2268" t="s">
        <v>298</v>
      </c>
      <c r="F2268" t="s">
        <v>299</v>
      </c>
      <c r="G2268" t="s">
        <v>299</v>
      </c>
      <c r="H2268">
        <v>48</v>
      </c>
      <c r="I2268" s="30">
        <v>3.8425925925925928E-3</v>
      </c>
      <c r="J2268">
        <v>3</v>
      </c>
    </row>
    <row r="2269" spans="1:10" x14ac:dyDescent="0.35">
      <c r="A2269" t="s">
        <v>2617</v>
      </c>
      <c r="B2269" t="s">
        <v>332</v>
      </c>
      <c r="C2269" t="s">
        <v>2596</v>
      </c>
      <c r="D2269" s="30">
        <v>0.5329976851851852</v>
      </c>
      <c r="E2269" t="s">
        <v>298</v>
      </c>
      <c r="F2269" t="s">
        <v>299</v>
      </c>
      <c r="G2269" t="s">
        <v>299</v>
      </c>
      <c r="H2269">
        <v>82</v>
      </c>
      <c r="I2269" s="30">
        <v>2.650462962962963E-3</v>
      </c>
      <c r="J2269">
        <v>1</v>
      </c>
    </row>
    <row r="2270" spans="1:10" x14ac:dyDescent="0.35">
      <c r="A2270" t="s">
        <v>2618</v>
      </c>
      <c r="B2270" t="s">
        <v>307</v>
      </c>
      <c r="C2270" t="s">
        <v>2596</v>
      </c>
      <c r="D2270" s="30">
        <v>0.53500000000000003</v>
      </c>
      <c r="E2270" t="s">
        <v>317</v>
      </c>
      <c r="F2270" t="s">
        <v>299</v>
      </c>
      <c r="G2270" t="s">
        <v>303</v>
      </c>
      <c r="H2270">
        <v>17</v>
      </c>
      <c r="I2270" s="30">
        <v>3.5416666666666665E-3</v>
      </c>
      <c r="J2270">
        <v>2</v>
      </c>
    </row>
    <row r="2271" spans="1:10" x14ac:dyDescent="0.35">
      <c r="A2271" t="s">
        <v>2619</v>
      </c>
      <c r="B2271" t="s">
        <v>307</v>
      </c>
      <c r="C2271" t="s">
        <v>2596</v>
      </c>
      <c r="D2271" s="30">
        <v>0.53500000000000003</v>
      </c>
      <c r="E2271" t="s">
        <v>309</v>
      </c>
      <c r="F2271" t="s">
        <v>299</v>
      </c>
      <c r="G2271" t="s">
        <v>299</v>
      </c>
      <c r="H2271">
        <v>52</v>
      </c>
      <c r="I2271" s="30">
        <v>1.3541666666666667E-3</v>
      </c>
      <c r="J2271">
        <v>5</v>
      </c>
    </row>
    <row r="2272" spans="1:10" x14ac:dyDescent="0.35">
      <c r="A2272" t="s">
        <v>2620</v>
      </c>
      <c r="B2272" t="s">
        <v>296</v>
      </c>
      <c r="C2272" t="s">
        <v>2596</v>
      </c>
      <c r="D2272" s="30">
        <v>0.54200231481481487</v>
      </c>
      <c r="E2272" t="s">
        <v>314</v>
      </c>
      <c r="F2272" t="s">
        <v>299</v>
      </c>
      <c r="G2272" t="s">
        <v>299</v>
      </c>
      <c r="H2272">
        <v>61</v>
      </c>
      <c r="I2272" s="30">
        <v>4.1087962962962962E-3</v>
      </c>
      <c r="J2272">
        <v>5</v>
      </c>
    </row>
    <row r="2273" spans="1:10" x14ac:dyDescent="0.35">
      <c r="A2273" t="s">
        <v>2621</v>
      </c>
      <c r="B2273" t="s">
        <v>332</v>
      </c>
      <c r="C2273" t="s">
        <v>2596</v>
      </c>
      <c r="D2273" s="30">
        <v>0.54200231481481487</v>
      </c>
      <c r="E2273" t="s">
        <v>314</v>
      </c>
      <c r="F2273" t="s">
        <v>299</v>
      </c>
      <c r="G2273" t="s">
        <v>299</v>
      </c>
      <c r="H2273">
        <v>103</v>
      </c>
      <c r="I2273" s="30">
        <v>2.3842592592592591E-3</v>
      </c>
      <c r="J2273">
        <v>4</v>
      </c>
    </row>
    <row r="2274" spans="1:10" x14ac:dyDescent="0.35">
      <c r="A2274" t="s">
        <v>2622</v>
      </c>
      <c r="B2274" t="s">
        <v>296</v>
      </c>
      <c r="C2274" t="s">
        <v>2596</v>
      </c>
      <c r="D2274" s="30">
        <v>0.54599537037037038</v>
      </c>
      <c r="E2274" t="s">
        <v>314</v>
      </c>
      <c r="F2274" t="s">
        <v>299</v>
      </c>
      <c r="G2274" t="s">
        <v>299</v>
      </c>
      <c r="H2274">
        <v>30</v>
      </c>
      <c r="I2274" s="30">
        <v>8.2175925925925927E-4</v>
      </c>
      <c r="J2274">
        <v>4</v>
      </c>
    </row>
    <row r="2275" spans="1:10" x14ac:dyDescent="0.35">
      <c r="A2275" t="s">
        <v>2623</v>
      </c>
      <c r="B2275" t="s">
        <v>307</v>
      </c>
      <c r="C2275" t="s">
        <v>2596</v>
      </c>
      <c r="D2275" s="30">
        <v>0.54599537037037038</v>
      </c>
      <c r="E2275" t="s">
        <v>302</v>
      </c>
      <c r="F2275" t="s">
        <v>303</v>
      </c>
      <c r="G2275" t="s">
        <v>303</v>
      </c>
    </row>
    <row r="2276" spans="1:10" x14ac:dyDescent="0.35">
      <c r="A2276" t="s">
        <v>2624</v>
      </c>
      <c r="B2276" t="s">
        <v>316</v>
      </c>
      <c r="C2276" t="s">
        <v>2596</v>
      </c>
      <c r="D2276" s="30">
        <v>0.55700231481481477</v>
      </c>
      <c r="E2276" t="s">
        <v>317</v>
      </c>
      <c r="F2276" t="s">
        <v>299</v>
      </c>
      <c r="G2276" t="s">
        <v>299</v>
      </c>
      <c r="H2276">
        <v>21</v>
      </c>
      <c r="I2276" s="30">
        <v>2.2222222222222222E-3</v>
      </c>
      <c r="J2276">
        <v>5</v>
      </c>
    </row>
    <row r="2277" spans="1:10" x14ac:dyDescent="0.35">
      <c r="A2277" t="s">
        <v>2625</v>
      </c>
      <c r="B2277" t="s">
        <v>316</v>
      </c>
      <c r="C2277" t="s">
        <v>2596</v>
      </c>
      <c r="D2277" s="30">
        <v>0.55700231481481477</v>
      </c>
      <c r="E2277" t="s">
        <v>317</v>
      </c>
      <c r="F2277" t="s">
        <v>299</v>
      </c>
      <c r="G2277" t="s">
        <v>299</v>
      </c>
      <c r="H2277">
        <v>117</v>
      </c>
      <c r="I2277" s="30">
        <v>2.9861111111111113E-3</v>
      </c>
      <c r="J2277">
        <v>5</v>
      </c>
    </row>
    <row r="2278" spans="1:10" x14ac:dyDescent="0.35">
      <c r="A2278" t="s">
        <v>2626</v>
      </c>
      <c r="B2278" t="s">
        <v>316</v>
      </c>
      <c r="C2278" t="s">
        <v>2596</v>
      </c>
      <c r="D2278" s="30">
        <v>0.56200231481481477</v>
      </c>
      <c r="E2278" t="s">
        <v>314</v>
      </c>
      <c r="F2278" t="s">
        <v>303</v>
      </c>
      <c r="G2278" t="s">
        <v>303</v>
      </c>
    </row>
    <row r="2279" spans="1:10" x14ac:dyDescent="0.35">
      <c r="A2279" t="s">
        <v>2627</v>
      </c>
      <c r="B2279" t="s">
        <v>319</v>
      </c>
      <c r="C2279" t="s">
        <v>2596</v>
      </c>
      <c r="D2279" s="30">
        <v>0.56200231481481477</v>
      </c>
      <c r="E2279" t="s">
        <v>314</v>
      </c>
      <c r="F2279" t="s">
        <v>299</v>
      </c>
      <c r="G2279" t="s">
        <v>299</v>
      </c>
      <c r="H2279">
        <v>110</v>
      </c>
      <c r="I2279" s="30">
        <v>4.5486111111111109E-3</v>
      </c>
      <c r="J2279">
        <v>3</v>
      </c>
    </row>
    <row r="2280" spans="1:10" x14ac:dyDescent="0.35">
      <c r="A2280" t="s">
        <v>2628</v>
      </c>
      <c r="B2280" t="s">
        <v>301</v>
      </c>
      <c r="C2280" t="s">
        <v>2596</v>
      </c>
      <c r="D2280" s="30">
        <v>0.60400462962962964</v>
      </c>
      <c r="E2280" t="s">
        <v>309</v>
      </c>
      <c r="F2280" t="s">
        <v>299</v>
      </c>
      <c r="G2280" t="s">
        <v>303</v>
      </c>
      <c r="H2280">
        <v>47</v>
      </c>
      <c r="I2280" s="30">
        <v>4.6527777777777774E-3</v>
      </c>
      <c r="J2280">
        <v>3</v>
      </c>
    </row>
    <row r="2281" spans="1:10" x14ac:dyDescent="0.35">
      <c r="A2281" t="s">
        <v>2629</v>
      </c>
      <c r="B2281" t="s">
        <v>296</v>
      </c>
      <c r="C2281" t="s">
        <v>2596</v>
      </c>
      <c r="D2281" s="30">
        <v>0.60400462962962964</v>
      </c>
      <c r="E2281" t="s">
        <v>317</v>
      </c>
      <c r="F2281" t="s">
        <v>299</v>
      </c>
      <c r="G2281" t="s">
        <v>299</v>
      </c>
      <c r="H2281">
        <v>48</v>
      </c>
      <c r="I2281" s="30">
        <v>1.4236111111111112E-3</v>
      </c>
      <c r="J2281">
        <v>4</v>
      </c>
    </row>
    <row r="2282" spans="1:10" x14ac:dyDescent="0.35">
      <c r="A2282" t="s">
        <v>2630</v>
      </c>
      <c r="B2282" t="s">
        <v>323</v>
      </c>
      <c r="C2282" t="s">
        <v>2596</v>
      </c>
      <c r="D2282" s="30">
        <v>0.60400462962962964</v>
      </c>
      <c r="E2282" t="s">
        <v>302</v>
      </c>
      <c r="F2282" t="s">
        <v>299</v>
      </c>
      <c r="G2282" t="s">
        <v>299</v>
      </c>
      <c r="H2282">
        <v>63</v>
      </c>
      <c r="I2282" s="30">
        <v>2.4421296296296296E-3</v>
      </c>
      <c r="J2282">
        <v>5</v>
      </c>
    </row>
    <row r="2283" spans="1:10" x14ac:dyDescent="0.35">
      <c r="A2283" t="s">
        <v>2631</v>
      </c>
      <c r="B2283" t="s">
        <v>319</v>
      </c>
      <c r="C2283" t="s">
        <v>2596</v>
      </c>
      <c r="D2283" s="30">
        <v>0.60400462962962964</v>
      </c>
      <c r="E2283" t="s">
        <v>309</v>
      </c>
      <c r="F2283" t="s">
        <v>303</v>
      </c>
      <c r="G2283" t="s">
        <v>303</v>
      </c>
    </row>
    <row r="2284" spans="1:10" x14ac:dyDescent="0.35">
      <c r="A2284" t="s">
        <v>2632</v>
      </c>
      <c r="B2284" t="s">
        <v>296</v>
      </c>
      <c r="C2284" t="s">
        <v>2596</v>
      </c>
      <c r="D2284" s="30">
        <v>0.63900462962962967</v>
      </c>
      <c r="E2284" t="s">
        <v>302</v>
      </c>
      <c r="F2284" t="s">
        <v>303</v>
      </c>
      <c r="G2284" t="s">
        <v>303</v>
      </c>
    </row>
    <row r="2285" spans="1:10" x14ac:dyDescent="0.35">
      <c r="A2285" t="s">
        <v>2633</v>
      </c>
      <c r="B2285" t="s">
        <v>316</v>
      </c>
      <c r="C2285" t="s">
        <v>2596</v>
      </c>
      <c r="D2285" s="30">
        <v>0.63900462962962967</v>
      </c>
      <c r="E2285" t="s">
        <v>314</v>
      </c>
      <c r="F2285" t="s">
        <v>299</v>
      </c>
      <c r="G2285" t="s">
        <v>299</v>
      </c>
      <c r="H2285">
        <v>78</v>
      </c>
      <c r="I2285" s="30">
        <v>1.1921296296296296E-3</v>
      </c>
      <c r="J2285">
        <v>3</v>
      </c>
    </row>
    <row r="2286" spans="1:10" x14ac:dyDescent="0.35">
      <c r="A2286" t="s">
        <v>2634</v>
      </c>
      <c r="B2286" t="s">
        <v>332</v>
      </c>
      <c r="C2286" t="s">
        <v>2596</v>
      </c>
      <c r="D2286" s="30">
        <v>0.6629976851851852</v>
      </c>
      <c r="E2286" t="s">
        <v>314</v>
      </c>
      <c r="F2286" t="s">
        <v>299</v>
      </c>
      <c r="G2286" t="s">
        <v>299</v>
      </c>
      <c r="H2286">
        <v>80</v>
      </c>
      <c r="I2286" s="30">
        <v>4.6064814814814814E-3</v>
      </c>
      <c r="J2286">
        <v>5</v>
      </c>
    </row>
    <row r="2287" spans="1:10" x14ac:dyDescent="0.35">
      <c r="A2287" t="s">
        <v>2635</v>
      </c>
      <c r="B2287" t="s">
        <v>323</v>
      </c>
      <c r="C2287" t="s">
        <v>2596</v>
      </c>
      <c r="D2287" s="30">
        <v>0.6629976851851852</v>
      </c>
      <c r="E2287" t="s">
        <v>302</v>
      </c>
      <c r="F2287" t="s">
        <v>303</v>
      </c>
      <c r="G2287" t="s">
        <v>303</v>
      </c>
    </row>
    <row r="2288" spans="1:10" x14ac:dyDescent="0.35">
      <c r="A2288" t="s">
        <v>2636</v>
      </c>
      <c r="B2288" t="s">
        <v>323</v>
      </c>
      <c r="C2288" t="s">
        <v>2596</v>
      </c>
      <c r="D2288" s="30">
        <v>0.68</v>
      </c>
      <c r="E2288" t="s">
        <v>314</v>
      </c>
      <c r="F2288" t="s">
        <v>299</v>
      </c>
      <c r="G2288" t="s">
        <v>299</v>
      </c>
      <c r="H2288">
        <v>93</v>
      </c>
      <c r="I2288" s="30">
        <v>1.0069444444444444E-3</v>
      </c>
      <c r="J2288">
        <v>5</v>
      </c>
    </row>
    <row r="2289" spans="1:10" x14ac:dyDescent="0.35">
      <c r="A2289" t="s">
        <v>2637</v>
      </c>
      <c r="B2289" t="s">
        <v>307</v>
      </c>
      <c r="C2289" t="s">
        <v>2596</v>
      </c>
      <c r="D2289" s="30">
        <v>0.68</v>
      </c>
      <c r="E2289" t="s">
        <v>314</v>
      </c>
      <c r="F2289" t="s">
        <v>299</v>
      </c>
      <c r="G2289" t="s">
        <v>299</v>
      </c>
      <c r="H2289">
        <v>88</v>
      </c>
      <c r="I2289" s="30">
        <v>1.1111111111111111E-3</v>
      </c>
      <c r="J2289">
        <v>5</v>
      </c>
    </row>
    <row r="2290" spans="1:10" x14ac:dyDescent="0.35">
      <c r="A2290" t="s">
        <v>2638</v>
      </c>
      <c r="B2290" t="s">
        <v>319</v>
      </c>
      <c r="C2290" t="s">
        <v>2596</v>
      </c>
      <c r="D2290" s="30">
        <v>0.68099537037037039</v>
      </c>
      <c r="E2290" t="s">
        <v>317</v>
      </c>
      <c r="F2290" t="s">
        <v>299</v>
      </c>
      <c r="G2290" t="s">
        <v>299</v>
      </c>
      <c r="H2290">
        <v>14</v>
      </c>
      <c r="I2290" s="30">
        <v>2.4305555555555556E-3</v>
      </c>
      <c r="J2290">
        <v>5</v>
      </c>
    </row>
    <row r="2291" spans="1:10" x14ac:dyDescent="0.35">
      <c r="A2291" t="s">
        <v>2639</v>
      </c>
      <c r="B2291" t="s">
        <v>301</v>
      </c>
      <c r="C2291" t="s">
        <v>2596</v>
      </c>
      <c r="D2291" s="30">
        <v>0.68099537037037039</v>
      </c>
      <c r="E2291" t="s">
        <v>314</v>
      </c>
      <c r="F2291" t="s">
        <v>299</v>
      </c>
      <c r="G2291" t="s">
        <v>299</v>
      </c>
      <c r="H2291">
        <v>59</v>
      </c>
      <c r="I2291" s="30">
        <v>3.1944444444444446E-3</v>
      </c>
      <c r="J2291">
        <v>3</v>
      </c>
    </row>
    <row r="2292" spans="1:10" x14ac:dyDescent="0.35">
      <c r="A2292" t="s">
        <v>2640</v>
      </c>
      <c r="B2292" t="s">
        <v>305</v>
      </c>
      <c r="C2292" t="s">
        <v>2596</v>
      </c>
      <c r="D2292" s="30">
        <v>0.68200231481481477</v>
      </c>
      <c r="E2292" t="s">
        <v>302</v>
      </c>
      <c r="F2292" t="s">
        <v>299</v>
      </c>
      <c r="G2292" t="s">
        <v>299</v>
      </c>
      <c r="H2292">
        <v>101</v>
      </c>
      <c r="I2292" s="30">
        <v>9.0277777777777774E-4</v>
      </c>
      <c r="J2292">
        <v>2</v>
      </c>
    </row>
    <row r="2293" spans="1:10" x14ac:dyDescent="0.35">
      <c r="A2293" t="s">
        <v>2641</v>
      </c>
      <c r="B2293" t="s">
        <v>307</v>
      </c>
      <c r="C2293" t="s">
        <v>2596</v>
      </c>
      <c r="D2293" s="30">
        <v>0.68200231481481477</v>
      </c>
      <c r="E2293" t="s">
        <v>317</v>
      </c>
      <c r="F2293" t="s">
        <v>299</v>
      </c>
      <c r="G2293" t="s">
        <v>299</v>
      </c>
      <c r="H2293">
        <v>38</v>
      </c>
      <c r="I2293" s="30">
        <v>4.9768518518518521E-4</v>
      </c>
      <c r="J2293">
        <v>2</v>
      </c>
    </row>
    <row r="2294" spans="1:10" x14ac:dyDescent="0.35">
      <c r="A2294" t="s">
        <v>2642</v>
      </c>
      <c r="B2294" t="s">
        <v>316</v>
      </c>
      <c r="C2294" t="s">
        <v>2596</v>
      </c>
      <c r="D2294" s="30">
        <v>0.68900462962962961</v>
      </c>
      <c r="E2294" t="s">
        <v>302</v>
      </c>
      <c r="F2294" t="s">
        <v>299</v>
      </c>
      <c r="G2294" t="s">
        <v>299</v>
      </c>
      <c r="H2294">
        <v>104</v>
      </c>
      <c r="I2294" s="30">
        <v>1.7824074074074075E-3</v>
      </c>
      <c r="J2294">
        <v>1</v>
      </c>
    </row>
    <row r="2295" spans="1:10" x14ac:dyDescent="0.35">
      <c r="A2295" t="s">
        <v>2643</v>
      </c>
      <c r="B2295" t="s">
        <v>305</v>
      </c>
      <c r="C2295" t="s">
        <v>2596</v>
      </c>
      <c r="D2295" s="30">
        <v>0.68900462962962961</v>
      </c>
      <c r="E2295" t="s">
        <v>314</v>
      </c>
      <c r="F2295" t="s">
        <v>299</v>
      </c>
      <c r="G2295" t="s">
        <v>299</v>
      </c>
      <c r="H2295">
        <v>29</v>
      </c>
      <c r="I2295" s="30">
        <v>7.407407407407407E-4</v>
      </c>
      <c r="J2295">
        <v>4</v>
      </c>
    </row>
    <row r="2296" spans="1:10" x14ac:dyDescent="0.35">
      <c r="A2296" t="s">
        <v>2644</v>
      </c>
      <c r="B2296" t="s">
        <v>296</v>
      </c>
      <c r="C2296" t="s">
        <v>2596</v>
      </c>
      <c r="D2296" s="30">
        <v>0.70299768518518524</v>
      </c>
      <c r="E2296" t="s">
        <v>317</v>
      </c>
      <c r="F2296" t="s">
        <v>299</v>
      </c>
      <c r="G2296" t="s">
        <v>299</v>
      </c>
      <c r="H2296">
        <v>67</v>
      </c>
      <c r="I2296" s="30">
        <v>1.2847222222222223E-3</v>
      </c>
      <c r="J2296">
        <v>2</v>
      </c>
    </row>
    <row r="2297" spans="1:10" x14ac:dyDescent="0.35">
      <c r="A2297" t="s">
        <v>2645</v>
      </c>
      <c r="B2297" t="s">
        <v>332</v>
      </c>
      <c r="C2297" t="s">
        <v>2596</v>
      </c>
      <c r="D2297" s="30">
        <v>0.70299768518518524</v>
      </c>
      <c r="E2297" t="s">
        <v>314</v>
      </c>
      <c r="F2297" t="s">
        <v>299</v>
      </c>
      <c r="G2297" t="s">
        <v>299</v>
      </c>
      <c r="H2297">
        <v>75</v>
      </c>
      <c r="I2297" s="30">
        <v>3.414351851851852E-3</v>
      </c>
      <c r="J2297">
        <v>5</v>
      </c>
    </row>
    <row r="2298" spans="1:10" x14ac:dyDescent="0.35">
      <c r="A2298" t="s">
        <v>2646</v>
      </c>
      <c r="B2298" t="s">
        <v>307</v>
      </c>
      <c r="C2298" t="s">
        <v>2596</v>
      </c>
      <c r="D2298" s="30">
        <v>0.71099537037037042</v>
      </c>
      <c r="E2298" t="s">
        <v>309</v>
      </c>
      <c r="F2298" t="s">
        <v>299</v>
      </c>
      <c r="G2298" t="s">
        <v>299</v>
      </c>
      <c r="H2298">
        <v>110</v>
      </c>
      <c r="I2298" s="30">
        <v>7.291666666666667E-4</v>
      </c>
      <c r="J2298">
        <v>1</v>
      </c>
    </row>
    <row r="2299" spans="1:10" x14ac:dyDescent="0.35">
      <c r="A2299" t="s">
        <v>2647</v>
      </c>
      <c r="B2299" t="s">
        <v>316</v>
      </c>
      <c r="C2299" t="s">
        <v>2596</v>
      </c>
      <c r="D2299" s="30">
        <v>0.71099537037037042</v>
      </c>
      <c r="E2299" t="s">
        <v>317</v>
      </c>
      <c r="F2299" t="s">
        <v>299</v>
      </c>
      <c r="G2299" t="s">
        <v>303</v>
      </c>
      <c r="H2299">
        <v>36</v>
      </c>
      <c r="I2299" s="30">
        <v>4.7569444444444447E-3</v>
      </c>
      <c r="J2299">
        <v>2</v>
      </c>
    </row>
    <row r="2300" spans="1:10" x14ac:dyDescent="0.35">
      <c r="A2300" t="s">
        <v>2648</v>
      </c>
      <c r="B2300" t="s">
        <v>296</v>
      </c>
      <c r="C2300" t="s">
        <v>2596</v>
      </c>
      <c r="D2300" s="30">
        <v>0.72900462962962964</v>
      </c>
      <c r="E2300" t="s">
        <v>298</v>
      </c>
      <c r="F2300" t="s">
        <v>299</v>
      </c>
      <c r="G2300" t="s">
        <v>299</v>
      </c>
      <c r="H2300">
        <v>96</v>
      </c>
      <c r="I2300" s="30">
        <v>4.4444444444444444E-3</v>
      </c>
      <c r="J2300">
        <v>2</v>
      </c>
    </row>
    <row r="2301" spans="1:10" x14ac:dyDescent="0.35">
      <c r="A2301" t="s">
        <v>2649</v>
      </c>
      <c r="B2301" t="s">
        <v>319</v>
      </c>
      <c r="C2301" t="s">
        <v>2596</v>
      </c>
      <c r="D2301" s="30">
        <v>0.72900462962962964</v>
      </c>
      <c r="E2301" t="s">
        <v>302</v>
      </c>
      <c r="F2301" t="s">
        <v>299</v>
      </c>
      <c r="G2301" t="s">
        <v>303</v>
      </c>
      <c r="H2301">
        <v>91</v>
      </c>
      <c r="I2301" s="30">
        <v>2.5810185185185185E-3</v>
      </c>
      <c r="J2301">
        <v>4</v>
      </c>
    </row>
    <row r="2302" spans="1:10" x14ac:dyDescent="0.35">
      <c r="A2302" t="s">
        <v>2650</v>
      </c>
      <c r="B2302" t="s">
        <v>332</v>
      </c>
      <c r="C2302" t="s">
        <v>2596</v>
      </c>
      <c r="D2302" s="30">
        <v>0.74799768518518517</v>
      </c>
      <c r="E2302" t="s">
        <v>314</v>
      </c>
      <c r="F2302" t="s">
        <v>303</v>
      </c>
      <c r="G2302" t="s">
        <v>303</v>
      </c>
    </row>
    <row r="2303" spans="1:10" x14ac:dyDescent="0.35">
      <c r="A2303" t="s">
        <v>2651</v>
      </c>
      <c r="B2303" t="s">
        <v>301</v>
      </c>
      <c r="C2303" t="s">
        <v>2596</v>
      </c>
      <c r="D2303" s="30">
        <v>0.74799768518518517</v>
      </c>
      <c r="E2303" t="s">
        <v>317</v>
      </c>
      <c r="F2303" t="s">
        <v>299</v>
      </c>
      <c r="G2303" t="s">
        <v>299</v>
      </c>
      <c r="H2303">
        <v>53</v>
      </c>
      <c r="I2303" s="30">
        <v>7.8703703703703705E-4</v>
      </c>
      <c r="J2303">
        <v>4</v>
      </c>
    </row>
    <row r="2304" spans="1:10" x14ac:dyDescent="0.35">
      <c r="A2304" t="s">
        <v>2652</v>
      </c>
      <c r="B2304" t="s">
        <v>319</v>
      </c>
      <c r="C2304" t="s">
        <v>2653</v>
      </c>
      <c r="D2304" s="30">
        <v>0.3759953703703704</v>
      </c>
      <c r="E2304" t="s">
        <v>317</v>
      </c>
      <c r="F2304" t="s">
        <v>299</v>
      </c>
      <c r="G2304" t="s">
        <v>299</v>
      </c>
      <c r="H2304">
        <v>112</v>
      </c>
      <c r="I2304" s="30">
        <v>3.8657407407407408E-3</v>
      </c>
      <c r="J2304">
        <v>3</v>
      </c>
    </row>
    <row r="2305" spans="1:10" x14ac:dyDescent="0.35">
      <c r="A2305" t="s">
        <v>2654</v>
      </c>
      <c r="B2305" t="s">
        <v>305</v>
      </c>
      <c r="C2305" t="s">
        <v>2653</v>
      </c>
      <c r="D2305" s="30">
        <v>0.3759953703703704</v>
      </c>
      <c r="E2305" t="s">
        <v>314</v>
      </c>
      <c r="F2305" t="s">
        <v>303</v>
      </c>
      <c r="G2305" t="s">
        <v>303</v>
      </c>
    </row>
    <row r="2306" spans="1:10" x14ac:dyDescent="0.35">
      <c r="A2306" t="s">
        <v>2655</v>
      </c>
      <c r="B2306" t="s">
        <v>323</v>
      </c>
      <c r="C2306" t="s">
        <v>2653</v>
      </c>
      <c r="D2306" s="30">
        <v>0.38400462962962961</v>
      </c>
      <c r="E2306" t="s">
        <v>302</v>
      </c>
      <c r="F2306" t="s">
        <v>299</v>
      </c>
      <c r="G2306" t="s">
        <v>299</v>
      </c>
      <c r="H2306">
        <v>87</v>
      </c>
      <c r="I2306" s="30">
        <v>9.6064814814814819E-4</v>
      </c>
      <c r="J2306">
        <v>3</v>
      </c>
    </row>
    <row r="2307" spans="1:10" x14ac:dyDescent="0.35">
      <c r="A2307" t="s">
        <v>2656</v>
      </c>
      <c r="B2307" t="s">
        <v>296</v>
      </c>
      <c r="C2307" t="s">
        <v>2653</v>
      </c>
      <c r="D2307" s="30">
        <v>0.38400462962962961</v>
      </c>
      <c r="E2307" t="s">
        <v>314</v>
      </c>
      <c r="F2307" t="s">
        <v>299</v>
      </c>
      <c r="G2307" t="s">
        <v>299</v>
      </c>
      <c r="H2307">
        <v>78</v>
      </c>
      <c r="I2307" s="30">
        <v>1.2152777777777778E-3</v>
      </c>
      <c r="J2307">
        <v>5</v>
      </c>
    </row>
    <row r="2308" spans="1:10" x14ac:dyDescent="0.35">
      <c r="A2308" t="s">
        <v>2657</v>
      </c>
      <c r="B2308" t="s">
        <v>316</v>
      </c>
      <c r="C2308" t="s">
        <v>2653</v>
      </c>
      <c r="D2308" s="30">
        <v>0.38799768518518518</v>
      </c>
      <c r="E2308" t="s">
        <v>309</v>
      </c>
      <c r="F2308" t="s">
        <v>299</v>
      </c>
      <c r="G2308" t="s">
        <v>303</v>
      </c>
      <c r="H2308">
        <v>16</v>
      </c>
      <c r="I2308" s="30">
        <v>1.3078703703703703E-3</v>
      </c>
      <c r="J2308">
        <v>4</v>
      </c>
    </row>
    <row r="2309" spans="1:10" x14ac:dyDescent="0.35">
      <c r="A2309" t="s">
        <v>2658</v>
      </c>
      <c r="B2309" t="s">
        <v>316</v>
      </c>
      <c r="C2309" t="s">
        <v>2653</v>
      </c>
      <c r="D2309" s="30">
        <v>0.38799768518518518</v>
      </c>
      <c r="E2309" t="s">
        <v>317</v>
      </c>
      <c r="F2309" t="s">
        <v>299</v>
      </c>
      <c r="G2309" t="s">
        <v>299</v>
      </c>
      <c r="H2309">
        <v>56</v>
      </c>
      <c r="I2309" s="30">
        <v>4.6064814814814814E-3</v>
      </c>
      <c r="J2309">
        <v>4</v>
      </c>
    </row>
    <row r="2310" spans="1:10" x14ac:dyDescent="0.35">
      <c r="A2310" t="s">
        <v>2659</v>
      </c>
      <c r="B2310" t="s">
        <v>296</v>
      </c>
      <c r="C2310" t="s">
        <v>2653</v>
      </c>
      <c r="D2310" s="30">
        <v>0.44299768518518517</v>
      </c>
      <c r="E2310" t="s">
        <v>302</v>
      </c>
      <c r="F2310" t="s">
        <v>299</v>
      </c>
      <c r="G2310" t="s">
        <v>299</v>
      </c>
      <c r="H2310">
        <v>87</v>
      </c>
      <c r="I2310" s="30">
        <v>4.7337962962962967E-3</v>
      </c>
      <c r="J2310">
        <v>3</v>
      </c>
    </row>
    <row r="2311" spans="1:10" x14ac:dyDescent="0.35">
      <c r="A2311" t="s">
        <v>2660</v>
      </c>
      <c r="B2311" t="s">
        <v>301</v>
      </c>
      <c r="C2311" t="s">
        <v>2653</v>
      </c>
      <c r="D2311" s="30">
        <v>0.44299768518518517</v>
      </c>
      <c r="E2311" t="s">
        <v>298</v>
      </c>
      <c r="F2311" t="s">
        <v>303</v>
      </c>
      <c r="G2311" t="s">
        <v>303</v>
      </c>
    </row>
    <row r="2312" spans="1:10" x14ac:dyDescent="0.35">
      <c r="A2312" t="s">
        <v>2661</v>
      </c>
      <c r="B2312" t="s">
        <v>316</v>
      </c>
      <c r="C2312" t="s">
        <v>2653</v>
      </c>
      <c r="D2312" s="30">
        <v>0.46099537037037036</v>
      </c>
      <c r="E2312" t="s">
        <v>314</v>
      </c>
      <c r="F2312" t="s">
        <v>299</v>
      </c>
      <c r="G2312" t="s">
        <v>303</v>
      </c>
      <c r="H2312">
        <v>46</v>
      </c>
      <c r="I2312" s="30">
        <v>4.0972222222222226E-3</v>
      </c>
      <c r="J2312">
        <v>4</v>
      </c>
    </row>
    <row r="2313" spans="1:10" x14ac:dyDescent="0.35">
      <c r="A2313" t="s">
        <v>2662</v>
      </c>
      <c r="B2313" t="s">
        <v>301</v>
      </c>
      <c r="C2313" t="s">
        <v>2653</v>
      </c>
      <c r="D2313" s="30">
        <v>0.46099537037037036</v>
      </c>
      <c r="E2313" t="s">
        <v>309</v>
      </c>
      <c r="F2313" t="s">
        <v>299</v>
      </c>
      <c r="G2313" t="s">
        <v>299</v>
      </c>
      <c r="H2313">
        <v>116</v>
      </c>
      <c r="I2313" s="30">
        <v>4.31712962962963E-3</v>
      </c>
      <c r="J2313">
        <v>3</v>
      </c>
    </row>
    <row r="2314" spans="1:10" x14ac:dyDescent="0.35">
      <c r="A2314" t="s">
        <v>2663</v>
      </c>
      <c r="B2314" t="s">
        <v>305</v>
      </c>
      <c r="C2314" t="s">
        <v>2653</v>
      </c>
      <c r="D2314" s="30">
        <v>0.46500000000000002</v>
      </c>
      <c r="E2314" t="s">
        <v>302</v>
      </c>
      <c r="F2314" t="s">
        <v>299</v>
      </c>
      <c r="G2314" t="s">
        <v>299</v>
      </c>
      <c r="H2314">
        <v>26</v>
      </c>
      <c r="I2314" s="30">
        <v>1.1458333333333333E-3</v>
      </c>
      <c r="J2314">
        <v>4</v>
      </c>
    </row>
    <row r="2315" spans="1:10" x14ac:dyDescent="0.35">
      <c r="A2315" t="s">
        <v>2664</v>
      </c>
      <c r="B2315" t="s">
        <v>319</v>
      </c>
      <c r="C2315" t="s">
        <v>2653</v>
      </c>
      <c r="D2315" s="30">
        <v>0.46500000000000002</v>
      </c>
      <c r="E2315" t="s">
        <v>302</v>
      </c>
      <c r="F2315" t="s">
        <v>299</v>
      </c>
      <c r="G2315" t="s">
        <v>299</v>
      </c>
      <c r="H2315">
        <v>94</v>
      </c>
      <c r="I2315" s="30">
        <v>2.6967592592592594E-3</v>
      </c>
      <c r="J2315">
        <v>2</v>
      </c>
    </row>
    <row r="2316" spans="1:10" x14ac:dyDescent="0.35">
      <c r="A2316" t="s">
        <v>2665</v>
      </c>
      <c r="B2316" t="s">
        <v>319</v>
      </c>
      <c r="C2316" t="s">
        <v>2653</v>
      </c>
      <c r="D2316" s="30">
        <v>0.47200231481481481</v>
      </c>
      <c r="E2316" t="s">
        <v>317</v>
      </c>
      <c r="F2316" t="s">
        <v>299</v>
      </c>
      <c r="G2316" t="s">
        <v>303</v>
      </c>
      <c r="H2316">
        <v>87</v>
      </c>
      <c r="I2316" s="30">
        <v>9.3749999999999997E-4</v>
      </c>
      <c r="J2316">
        <v>3</v>
      </c>
    </row>
    <row r="2317" spans="1:10" x14ac:dyDescent="0.35">
      <c r="A2317" t="s">
        <v>2666</v>
      </c>
      <c r="B2317" t="s">
        <v>307</v>
      </c>
      <c r="C2317" t="s">
        <v>2653</v>
      </c>
      <c r="D2317" s="30">
        <v>0.47200231481481481</v>
      </c>
      <c r="E2317" t="s">
        <v>302</v>
      </c>
      <c r="F2317" t="s">
        <v>299</v>
      </c>
      <c r="G2317" t="s">
        <v>299</v>
      </c>
      <c r="H2317">
        <v>14</v>
      </c>
      <c r="I2317" s="30">
        <v>9.1435185185185185E-4</v>
      </c>
      <c r="J2317">
        <v>3</v>
      </c>
    </row>
    <row r="2318" spans="1:10" x14ac:dyDescent="0.35">
      <c r="A2318" t="s">
        <v>2667</v>
      </c>
      <c r="B2318" t="s">
        <v>316</v>
      </c>
      <c r="C2318" t="s">
        <v>2653</v>
      </c>
      <c r="D2318" s="30">
        <v>0.47900462962962964</v>
      </c>
      <c r="E2318" t="s">
        <v>298</v>
      </c>
      <c r="F2318" t="s">
        <v>299</v>
      </c>
      <c r="G2318" t="s">
        <v>299</v>
      </c>
      <c r="H2318">
        <v>49</v>
      </c>
      <c r="I2318" s="30">
        <v>2.673611111111111E-3</v>
      </c>
      <c r="J2318">
        <v>3</v>
      </c>
    </row>
    <row r="2319" spans="1:10" x14ac:dyDescent="0.35">
      <c r="A2319" t="s">
        <v>2668</v>
      </c>
      <c r="B2319" t="s">
        <v>305</v>
      </c>
      <c r="C2319" t="s">
        <v>2653</v>
      </c>
      <c r="D2319" s="30">
        <v>0.47900462962962964</v>
      </c>
      <c r="E2319" t="s">
        <v>298</v>
      </c>
      <c r="F2319" t="s">
        <v>299</v>
      </c>
      <c r="G2319" t="s">
        <v>299</v>
      </c>
      <c r="H2319">
        <v>91</v>
      </c>
      <c r="I2319" s="30">
        <v>1.5277777777777779E-3</v>
      </c>
      <c r="J2319">
        <v>2</v>
      </c>
    </row>
    <row r="2320" spans="1:10" x14ac:dyDescent="0.35">
      <c r="A2320" t="s">
        <v>2669</v>
      </c>
      <c r="B2320" t="s">
        <v>301</v>
      </c>
      <c r="C2320" t="s">
        <v>2653</v>
      </c>
      <c r="D2320" s="30">
        <v>0.48</v>
      </c>
      <c r="E2320" t="s">
        <v>298</v>
      </c>
      <c r="F2320" t="s">
        <v>299</v>
      </c>
      <c r="G2320" t="s">
        <v>299</v>
      </c>
      <c r="H2320">
        <v>63</v>
      </c>
      <c r="I2320" s="30">
        <v>1.8287037037037037E-3</v>
      </c>
      <c r="J2320">
        <v>3</v>
      </c>
    </row>
    <row r="2321" spans="1:10" x14ac:dyDescent="0.35">
      <c r="A2321" t="s">
        <v>2670</v>
      </c>
      <c r="B2321" t="s">
        <v>296</v>
      </c>
      <c r="C2321" t="s">
        <v>2653</v>
      </c>
      <c r="D2321" s="30">
        <v>0.48</v>
      </c>
      <c r="E2321" t="s">
        <v>314</v>
      </c>
      <c r="F2321" t="s">
        <v>299</v>
      </c>
      <c r="G2321" t="s">
        <v>299</v>
      </c>
      <c r="H2321">
        <v>92</v>
      </c>
      <c r="I2321" s="30">
        <v>1.9444444444444444E-3</v>
      </c>
      <c r="J2321">
        <v>4</v>
      </c>
    </row>
    <row r="2322" spans="1:10" x14ac:dyDescent="0.35">
      <c r="A2322" t="s">
        <v>2671</v>
      </c>
      <c r="B2322" t="s">
        <v>301</v>
      </c>
      <c r="C2322" t="s">
        <v>2653</v>
      </c>
      <c r="D2322" s="30">
        <v>0.49400462962962965</v>
      </c>
      <c r="E2322" t="s">
        <v>309</v>
      </c>
      <c r="F2322" t="s">
        <v>303</v>
      </c>
      <c r="G2322" t="s">
        <v>303</v>
      </c>
    </row>
    <row r="2323" spans="1:10" x14ac:dyDescent="0.35">
      <c r="A2323" t="s">
        <v>2672</v>
      </c>
      <c r="B2323" t="s">
        <v>305</v>
      </c>
      <c r="C2323" t="s">
        <v>2653</v>
      </c>
      <c r="D2323" s="30">
        <v>0.49400462962962965</v>
      </c>
      <c r="E2323" t="s">
        <v>309</v>
      </c>
      <c r="F2323" t="s">
        <v>303</v>
      </c>
      <c r="G2323" t="s">
        <v>303</v>
      </c>
    </row>
    <row r="2324" spans="1:10" x14ac:dyDescent="0.35">
      <c r="A2324" t="s">
        <v>2673</v>
      </c>
      <c r="B2324" t="s">
        <v>316</v>
      </c>
      <c r="C2324" t="s">
        <v>2653</v>
      </c>
      <c r="D2324" s="30">
        <v>0.51099537037037035</v>
      </c>
      <c r="E2324" t="s">
        <v>302</v>
      </c>
      <c r="F2324" t="s">
        <v>299</v>
      </c>
      <c r="G2324" t="s">
        <v>299</v>
      </c>
      <c r="H2324">
        <v>34</v>
      </c>
      <c r="I2324" s="30">
        <v>1.724537037037037E-3</v>
      </c>
      <c r="J2324">
        <v>5</v>
      </c>
    </row>
    <row r="2325" spans="1:10" x14ac:dyDescent="0.35">
      <c r="A2325" t="s">
        <v>2674</v>
      </c>
      <c r="B2325" t="s">
        <v>316</v>
      </c>
      <c r="C2325" t="s">
        <v>2653</v>
      </c>
      <c r="D2325" s="30">
        <v>0.51099537037037035</v>
      </c>
      <c r="E2325" t="s">
        <v>309</v>
      </c>
      <c r="F2325" t="s">
        <v>299</v>
      </c>
      <c r="G2325" t="s">
        <v>299</v>
      </c>
      <c r="H2325">
        <v>88</v>
      </c>
      <c r="I2325" s="30">
        <v>2.5810185185185185E-3</v>
      </c>
      <c r="J2325">
        <v>3</v>
      </c>
    </row>
    <row r="2326" spans="1:10" x14ac:dyDescent="0.35">
      <c r="A2326" t="s">
        <v>2675</v>
      </c>
      <c r="B2326" t="s">
        <v>323</v>
      </c>
      <c r="C2326" t="s">
        <v>2653</v>
      </c>
      <c r="D2326" s="30">
        <v>0.51400462962962967</v>
      </c>
      <c r="E2326" t="s">
        <v>314</v>
      </c>
      <c r="F2326" t="s">
        <v>299</v>
      </c>
      <c r="G2326" t="s">
        <v>299</v>
      </c>
      <c r="H2326">
        <v>28</v>
      </c>
      <c r="I2326" s="30">
        <v>1.3657407407407407E-3</v>
      </c>
      <c r="J2326">
        <v>3</v>
      </c>
    </row>
    <row r="2327" spans="1:10" x14ac:dyDescent="0.35">
      <c r="A2327" t="s">
        <v>2676</v>
      </c>
      <c r="B2327" t="s">
        <v>301</v>
      </c>
      <c r="C2327" t="s">
        <v>2653</v>
      </c>
      <c r="D2327" s="30">
        <v>0.51400462962962967</v>
      </c>
      <c r="E2327" t="s">
        <v>302</v>
      </c>
      <c r="F2327" t="s">
        <v>303</v>
      </c>
      <c r="G2327" t="s">
        <v>303</v>
      </c>
    </row>
    <row r="2328" spans="1:10" x14ac:dyDescent="0.35">
      <c r="A2328" t="s">
        <v>2677</v>
      </c>
      <c r="B2328" t="s">
        <v>316</v>
      </c>
      <c r="C2328" t="s">
        <v>2653</v>
      </c>
      <c r="D2328" s="30">
        <v>0.51599537037037035</v>
      </c>
      <c r="E2328" t="s">
        <v>298</v>
      </c>
      <c r="F2328" t="s">
        <v>303</v>
      </c>
      <c r="G2328" t="s">
        <v>303</v>
      </c>
    </row>
    <row r="2329" spans="1:10" x14ac:dyDescent="0.35">
      <c r="A2329" t="s">
        <v>2678</v>
      </c>
      <c r="B2329" t="s">
        <v>323</v>
      </c>
      <c r="C2329" t="s">
        <v>2653</v>
      </c>
      <c r="D2329" s="30">
        <v>0.51599537037037035</v>
      </c>
      <c r="E2329" t="s">
        <v>298</v>
      </c>
      <c r="F2329" t="s">
        <v>299</v>
      </c>
      <c r="G2329" t="s">
        <v>299</v>
      </c>
      <c r="H2329">
        <v>103</v>
      </c>
      <c r="I2329" s="30">
        <v>6.018518518518519E-4</v>
      </c>
      <c r="J2329">
        <v>2</v>
      </c>
    </row>
    <row r="2330" spans="1:10" x14ac:dyDescent="0.35">
      <c r="A2330" t="s">
        <v>2679</v>
      </c>
      <c r="B2330" t="s">
        <v>319</v>
      </c>
      <c r="C2330" t="s">
        <v>2653</v>
      </c>
      <c r="D2330" s="30">
        <v>0.5329976851851852</v>
      </c>
      <c r="E2330" t="s">
        <v>302</v>
      </c>
      <c r="F2330" t="s">
        <v>299</v>
      </c>
      <c r="G2330" t="s">
        <v>299</v>
      </c>
      <c r="H2330">
        <v>11</v>
      </c>
      <c r="I2330" s="30">
        <v>7.1759259259259259E-4</v>
      </c>
      <c r="J2330">
        <v>1</v>
      </c>
    </row>
    <row r="2331" spans="1:10" x14ac:dyDescent="0.35">
      <c r="A2331" t="s">
        <v>2680</v>
      </c>
      <c r="B2331" t="s">
        <v>332</v>
      </c>
      <c r="C2331" t="s">
        <v>2653</v>
      </c>
      <c r="D2331" s="30">
        <v>0.5329976851851852</v>
      </c>
      <c r="E2331" t="s">
        <v>314</v>
      </c>
      <c r="F2331" t="s">
        <v>303</v>
      </c>
      <c r="G2331" t="s">
        <v>303</v>
      </c>
    </row>
    <row r="2332" spans="1:10" x14ac:dyDescent="0.35">
      <c r="A2332" t="s">
        <v>2681</v>
      </c>
      <c r="B2332" t="s">
        <v>301</v>
      </c>
      <c r="C2332" t="s">
        <v>2653</v>
      </c>
      <c r="D2332" s="30">
        <v>0.54099537037037038</v>
      </c>
      <c r="E2332" t="s">
        <v>309</v>
      </c>
      <c r="F2332" t="s">
        <v>299</v>
      </c>
      <c r="G2332" t="s">
        <v>299</v>
      </c>
      <c r="H2332">
        <v>65</v>
      </c>
      <c r="I2332" s="30">
        <v>1.8749999999999999E-3</v>
      </c>
      <c r="J2332">
        <v>5</v>
      </c>
    </row>
    <row r="2333" spans="1:10" x14ac:dyDescent="0.35">
      <c r="A2333" t="s">
        <v>2682</v>
      </c>
      <c r="B2333" t="s">
        <v>332</v>
      </c>
      <c r="C2333" t="s">
        <v>2653</v>
      </c>
      <c r="D2333" s="30">
        <v>0.54099537037037038</v>
      </c>
      <c r="E2333" t="s">
        <v>309</v>
      </c>
      <c r="F2333" t="s">
        <v>299</v>
      </c>
      <c r="G2333" t="s">
        <v>303</v>
      </c>
      <c r="H2333">
        <v>46</v>
      </c>
      <c r="I2333" s="30">
        <v>4.2592592592592595E-3</v>
      </c>
      <c r="J2333">
        <v>2</v>
      </c>
    </row>
    <row r="2334" spans="1:10" x14ac:dyDescent="0.35">
      <c r="A2334" t="s">
        <v>2683</v>
      </c>
      <c r="B2334" t="s">
        <v>305</v>
      </c>
      <c r="C2334" t="s">
        <v>2653</v>
      </c>
      <c r="D2334" s="30">
        <v>0.54500000000000004</v>
      </c>
      <c r="E2334" t="s">
        <v>309</v>
      </c>
      <c r="F2334" t="s">
        <v>299</v>
      </c>
      <c r="G2334" t="s">
        <v>299</v>
      </c>
      <c r="H2334">
        <v>77</v>
      </c>
      <c r="I2334" s="30">
        <v>4.409722222222222E-3</v>
      </c>
      <c r="J2334">
        <v>1</v>
      </c>
    </row>
    <row r="2335" spans="1:10" x14ac:dyDescent="0.35">
      <c r="A2335" t="s">
        <v>2684</v>
      </c>
      <c r="B2335" t="s">
        <v>332</v>
      </c>
      <c r="C2335" t="s">
        <v>2653</v>
      </c>
      <c r="D2335" s="30">
        <v>0.54500000000000004</v>
      </c>
      <c r="E2335" t="s">
        <v>298</v>
      </c>
      <c r="F2335" t="s">
        <v>299</v>
      </c>
      <c r="G2335" t="s">
        <v>303</v>
      </c>
      <c r="H2335">
        <v>53</v>
      </c>
      <c r="I2335" s="30">
        <v>4.0162037037037041E-3</v>
      </c>
      <c r="J2335">
        <v>2</v>
      </c>
    </row>
    <row r="2336" spans="1:10" x14ac:dyDescent="0.35">
      <c r="A2336" t="s">
        <v>2685</v>
      </c>
      <c r="B2336" t="s">
        <v>316</v>
      </c>
      <c r="C2336" t="s">
        <v>2653</v>
      </c>
      <c r="D2336" s="30">
        <v>0.54500000000000004</v>
      </c>
      <c r="E2336" t="s">
        <v>309</v>
      </c>
      <c r="F2336" t="s">
        <v>299</v>
      </c>
      <c r="G2336" t="s">
        <v>299</v>
      </c>
      <c r="H2336">
        <v>30</v>
      </c>
      <c r="I2336" s="30">
        <v>1.6319444444444445E-3</v>
      </c>
      <c r="J2336">
        <v>4</v>
      </c>
    </row>
    <row r="2337" spans="1:10" x14ac:dyDescent="0.35">
      <c r="A2337" t="s">
        <v>2686</v>
      </c>
      <c r="B2337" t="s">
        <v>319</v>
      </c>
      <c r="C2337" t="s">
        <v>2653</v>
      </c>
      <c r="D2337" s="30">
        <v>0.54500000000000004</v>
      </c>
      <c r="E2337" t="s">
        <v>314</v>
      </c>
      <c r="F2337" t="s">
        <v>299</v>
      </c>
      <c r="G2337" t="s">
        <v>299</v>
      </c>
      <c r="H2337">
        <v>106</v>
      </c>
      <c r="I2337" s="30">
        <v>1.7708333333333332E-3</v>
      </c>
      <c r="J2337">
        <v>2</v>
      </c>
    </row>
    <row r="2338" spans="1:10" x14ac:dyDescent="0.35">
      <c r="A2338" t="s">
        <v>2687</v>
      </c>
      <c r="B2338" t="s">
        <v>319</v>
      </c>
      <c r="C2338" t="s">
        <v>2653</v>
      </c>
      <c r="D2338" s="30">
        <v>0.57400462962962961</v>
      </c>
      <c r="E2338" t="s">
        <v>317</v>
      </c>
      <c r="F2338" t="s">
        <v>299</v>
      </c>
      <c r="G2338" t="s">
        <v>299</v>
      </c>
      <c r="H2338">
        <v>13</v>
      </c>
      <c r="I2338" s="30">
        <v>4.0509259259259257E-3</v>
      </c>
      <c r="J2338">
        <v>4</v>
      </c>
    </row>
    <row r="2339" spans="1:10" x14ac:dyDescent="0.35">
      <c r="A2339" t="s">
        <v>2688</v>
      </c>
      <c r="B2339" t="s">
        <v>323</v>
      </c>
      <c r="C2339" t="s">
        <v>2653</v>
      </c>
      <c r="D2339" s="30">
        <v>0.57400462962962961</v>
      </c>
      <c r="E2339" t="s">
        <v>298</v>
      </c>
      <c r="F2339" t="s">
        <v>299</v>
      </c>
      <c r="G2339" t="s">
        <v>299</v>
      </c>
      <c r="H2339">
        <v>45</v>
      </c>
      <c r="I2339" s="30">
        <v>3.9004629629629628E-3</v>
      </c>
      <c r="J2339">
        <v>5</v>
      </c>
    </row>
    <row r="2340" spans="1:10" x14ac:dyDescent="0.35">
      <c r="A2340" t="s">
        <v>2689</v>
      </c>
      <c r="B2340" t="s">
        <v>305</v>
      </c>
      <c r="C2340" t="s">
        <v>2653</v>
      </c>
      <c r="D2340" s="30">
        <v>0.59</v>
      </c>
      <c r="E2340" t="s">
        <v>317</v>
      </c>
      <c r="F2340" t="s">
        <v>303</v>
      </c>
      <c r="G2340" t="s">
        <v>303</v>
      </c>
    </row>
    <row r="2341" spans="1:10" x14ac:dyDescent="0.35">
      <c r="A2341" t="s">
        <v>2690</v>
      </c>
      <c r="B2341" t="s">
        <v>307</v>
      </c>
      <c r="C2341" t="s">
        <v>2653</v>
      </c>
      <c r="D2341" s="30">
        <v>0.59</v>
      </c>
      <c r="E2341" t="s">
        <v>317</v>
      </c>
      <c r="F2341" t="s">
        <v>299</v>
      </c>
      <c r="G2341" t="s">
        <v>299</v>
      </c>
      <c r="H2341">
        <v>19</v>
      </c>
      <c r="I2341" s="30">
        <v>1.261574074074074E-3</v>
      </c>
      <c r="J2341">
        <v>5</v>
      </c>
    </row>
    <row r="2342" spans="1:10" x14ac:dyDescent="0.35">
      <c r="A2342" t="s">
        <v>2691</v>
      </c>
      <c r="B2342" t="s">
        <v>301</v>
      </c>
      <c r="C2342" t="s">
        <v>2653</v>
      </c>
      <c r="D2342" s="30">
        <v>0.62900462962962966</v>
      </c>
      <c r="E2342" t="s">
        <v>309</v>
      </c>
      <c r="F2342" t="s">
        <v>299</v>
      </c>
      <c r="G2342" t="s">
        <v>299</v>
      </c>
      <c r="H2342">
        <v>64</v>
      </c>
      <c r="I2342" s="30">
        <v>1.9675925925925924E-3</v>
      </c>
      <c r="J2342">
        <v>5</v>
      </c>
    </row>
    <row r="2343" spans="1:10" x14ac:dyDescent="0.35">
      <c r="A2343" t="s">
        <v>2692</v>
      </c>
      <c r="B2343" t="s">
        <v>332</v>
      </c>
      <c r="C2343" t="s">
        <v>2653</v>
      </c>
      <c r="D2343" s="30">
        <v>0.62900462962962966</v>
      </c>
      <c r="E2343" t="s">
        <v>317</v>
      </c>
      <c r="F2343" t="s">
        <v>299</v>
      </c>
      <c r="G2343" t="s">
        <v>303</v>
      </c>
      <c r="H2343">
        <v>47</v>
      </c>
      <c r="I2343" s="30">
        <v>1.4004629629629629E-3</v>
      </c>
      <c r="J2343">
        <v>5</v>
      </c>
    </row>
    <row r="2344" spans="1:10" x14ac:dyDescent="0.35">
      <c r="A2344" t="s">
        <v>2693</v>
      </c>
      <c r="B2344" t="s">
        <v>307</v>
      </c>
      <c r="C2344" t="s">
        <v>2653</v>
      </c>
      <c r="D2344" s="30">
        <v>0.65700231481481486</v>
      </c>
      <c r="E2344" t="s">
        <v>309</v>
      </c>
      <c r="F2344" t="s">
        <v>299</v>
      </c>
      <c r="G2344" t="s">
        <v>299</v>
      </c>
      <c r="H2344">
        <v>120</v>
      </c>
      <c r="I2344" s="30">
        <v>6.4814814814814813E-4</v>
      </c>
      <c r="J2344">
        <v>3</v>
      </c>
    </row>
    <row r="2345" spans="1:10" x14ac:dyDescent="0.35">
      <c r="A2345" t="s">
        <v>2694</v>
      </c>
      <c r="B2345" t="s">
        <v>305</v>
      </c>
      <c r="C2345" t="s">
        <v>2653</v>
      </c>
      <c r="D2345" s="30">
        <v>0.65700231481481486</v>
      </c>
      <c r="E2345" t="s">
        <v>298</v>
      </c>
      <c r="F2345" t="s">
        <v>299</v>
      </c>
      <c r="G2345" t="s">
        <v>299</v>
      </c>
      <c r="H2345">
        <v>85</v>
      </c>
      <c r="I2345" s="30">
        <v>1.4930555555555556E-3</v>
      </c>
      <c r="J2345">
        <v>3</v>
      </c>
    </row>
    <row r="2346" spans="1:10" x14ac:dyDescent="0.35">
      <c r="A2346" t="s">
        <v>2695</v>
      </c>
      <c r="B2346" t="s">
        <v>332</v>
      </c>
      <c r="C2346" t="s">
        <v>2653</v>
      </c>
      <c r="D2346" s="30">
        <v>0.68200231481481477</v>
      </c>
      <c r="E2346" t="s">
        <v>298</v>
      </c>
      <c r="F2346" t="s">
        <v>299</v>
      </c>
      <c r="G2346" t="s">
        <v>299</v>
      </c>
      <c r="H2346">
        <v>64</v>
      </c>
      <c r="I2346" s="30">
        <v>1.1342592592592593E-3</v>
      </c>
      <c r="J2346">
        <v>3</v>
      </c>
    </row>
    <row r="2347" spans="1:10" x14ac:dyDescent="0.35">
      <c r="A2347" t="s">
        <v>2696</v>
      </c>
      <c r="B2347" t="s">
        <v>296</v>
      </c>
      <c r="C2347" t="s">
        <v>2653</v>
      </c>
      <c r="D2347" s="30">
        <v>0.68200231481481477</v>
      </c>
      <c r="E2347" t="s">
        <v>314</v>
      </c>
      <c r="F2347" t="s">
        <v>303</v>
      </c>
      <c r="G2347" t="s">
        <v>303</v>
      </c>
    </row>
    <row r="2348" spans="1:10" x14ac:dyDescent="0.35">
      <c r="A2348" t="s">
        <v>2697</v>
      </c>
      <c r="B2348" t="s">
        <v>323</v>
      </c>
      <c r="C2348" t="s">
        <v>2653</v>
      </c>
      <c r="D2348" s="30">
        <v>0.68500000000000005</v>
      </c>
      <c r="E2348" t="s">
        <v>302</v>
      </c>
      <c r="F2348" t="s">
        <v>299</v>
      </c>
      <c r="G2348" t="s">
        <v>299</v>
      </c>
      <c r="H2348">
        <v>73</v>
      </c>
      <c r="I2348" s="30">
        <v>4.2939814814814811E-3</v>
      </c>
      <c r="J2348">
        <v>5</v>
      </c>
    </row>
    <row r="2349" spans="1:10" x14ac:dyDescent="0.35">
      <c r="A2349" t="s">
        <v>2698</v>
      </c>
      <c r="B2349" t="s">
        <v>301</v>
      </c>
      <c r="C2349" t="s">
        <v>2653</v>
      </c>
      <c r="D2349" s="30">
        <v>0.68500000000000005</v>
      </c>
      <c r="E2349" t="s">
        <v>302</v>
      </c>
      <c r="F2349" t="s">
        <v>303</v>
      </c>
      <c r="G2349" t="s">
        <v>303</v>
      </c>
    </row>
    <row r="2350" spans="1:10" x14ac:dyDescent="0.35">
      <c r="A2350" t="s">
        <v>2699</v>
      </c>
      <c r="B2350" t="s">
        <v>319</v>
      </c>
      <c r="C2350" t="s">
        <v>2653</v>
      </c>
      <c r="D2350" s="30">
        <v>0.68599537037037039</v>
      </c>
      <c r="E2350" t="s">
        <v>302</v>
      </c>
      <c r="F2350" t="s">
        <v>303</v>
      </c>
      <c r="G2350" t="s">
        <v>303</v>
      </c>
    </row>
    <row r="2351" spans="1:10" x14ac:dyDescent="0.35">
      <c r="A2351" t="s">
        <v>2700</v>
      </c>
      <c r="B2351" t="s">
        <v>323</v>
      </c>
      <c r="C2351" t="s">
        <v>2653</v>
      </c>
      <c r="D2351" s="30">
        <v>0.68599537037037039</v>
      </c>
      <c r="E2351" t="s">
        <v>298</v>
      </c>
      <c r="F2351" t="s">
        <v>299</v>
      </c>
      <c r="G2351" t="s">
        <v>299</v>
      </c>
      <c r="H2351">
        <v>122</v>
      </c>
      <c r="I2351" s="30">
        <v>3.1828703703703702E-3</v>
      </c>
      <c r="J2351">
        <v>4</v>
      </c>
    </row>
    <row r="2352" spans="1:10" x14ac:dyDescent="0.35">
      <c r="A2352" t="s">
        <v>2701</v>
      </c>
      <c r="B2352" t="s">
        <v>332</v>
      </c>
      <c r="C2352" t="s">
        <v>2653</v>
      </c>
      <c r="D2352" s="30">
        <v>0.68599537037037039</v>
      </c>
      <c r="E2352" t="s">
        <v>298</v>
      </c>
      <c r="F2352" t="s">
        <v>303</v>
      </c>
      <c r="G2352" t="s">
        <v>303</v>
      </c>
    </row>
    <row r="2353" spans="1:10" x14ac:dyDescent="0.35">
      <c r="A2353" t="s">
        <v>2702</v>
      </c>
      <c r="B2353" t="s">
        <v>296</v>
      </c>
      <c r="C2353" t="s">
        <v>2653</v>
      </c>
      <c r="D2353" s="30">
        <v>0.68599537037037039</v>
      </c>
      <c r="E2353" t="s">
        <v>298</v>
      </c>
      <c r="F2353" t="s">
        <v>303</v>
      </c>
      <c r="G2353" t="s">
        <v>303</v>
      </c>
    </row>
    <row r="2354" spans="1:10" x14ac:dyDescent="0.35">
      <c r="A2354" t="s">
        <v>2703</v>
      </c>
      <c r="B2354" t="s">
        <v>296</v>
      </c>
      <c r="C2354" t="s">
        <v>2653</v>
      </c>
      <c r="D2354" s="30">
        <v>0.71400462962962963</v>
      </c>
      <c r="E2354" t="s">
        <v>302</v>
      </c>
      <c r="F2354" t="s">
        <v>299</v>
      </c>
      <c r="G2354" t="s">
        <v>299</v>
      </c>
      <c r="H2354">
        <v>114</v>
      </c>
      <c r="I2354" s="30">
        <v>4.7916666666666663E-3</v>
      </c>
      <c r="J2354">
        <v>3</v>
      </c>
    </row>
    <row r="2355" spans="1:10" x14ac:dyDescent="0.35">
      <c r="A2355" t="s">
        <v>2704</v>
      </c>
      <c r="B2355" t="s">
        <v>301</v>
      </c>
      <c r="C2355" t="s">
        <v>2653</v>
      </c>
      <c r="D2355" s="30">
        <v>0.71400462962962963</v>
      </c>
      <c r="E2355" t="s">
        <v>302</v>
      </c>
      <c r="F2355" t="s">
        <v>299</v>
      </c>
      <c r="G2355" t="s">
        <v>299</v>
      </c>
      <c r="H2355">
        <v>30</v>
      </c>
      <c r="I2355" s="30">
        <v>4.5254629629629629E-3</v>
      </c>
      <c r="J2355">
        <v>1</v>
      </c>
    </row>
    <row r="2356" spans="1:10" x14ac:dyDescent="0.35">
      <c r="A2356" t="s">
        <v>2705</v>
      </c>
      <c r="B2356" t="s">
        <v>296</v>
      </c>
      <c r="C2356" t="s">
        <v>2653</v>
      </c>
      <c r="D2356" s="30">
        <v>0.72099537037037043</v>
      </c>
      <c r="E2356" t="s">
        <v>314</v>
      </c>
      <c r="F2356" t="s">
        <v>299</v>
      </c>
      <c r="G2356" t="s">
        <v>299</v>
      </c>
      <c r="H2356">
        <v>47</v>
      </c>
      <c r="I2356" s="30">
        <v>5.4398148148148144E-4</v>
      </c>
      <c r="J2356">
        <v>4</v>
      </c>
    </row>
    <row r="2357" spans="1:10" x14ac:dyDescent="0.35">
      <c r="A2357" t="s">
        <v>2706</v>
      </c>
      <c r="B2357" t="s">
        <v>319</v>
      </c>
      <c r="C2357" t="s">
        <v>2653</v>
      </c>
      <c r="D2357" s="30">
        <v>0.72099537037037043</v>
      </c>
      <c r="E2357" t="s">
        <v>309</v>
      </c>
      <c r="F2357" t="s">
        <v>299</v>
      </c>
      <c r="G2357" t="s">
        <v>299</v>
      </c>
      <c r="H2357">
        <v>23</v>
      </c>
      <c r="I2357" s="30">
        <v>2.5115740740740741E-3</v>
      </c>
      <c r="J2357">
        <v>2</v>
      </c>
    </row>
    <row r="2358" spans="1:10" x14ac:dyDescent="0.35">
      <c r="A2358" t="s">
        <v>2707</v>
      </c>
      <c r="B2358" t="s">
        <v>307</v>
      </c>
      <c r="C2358" t="s">
        <v>2653</v>
      </c>
      <c r="D2358" s="30">
        <v>0.72599537037037032</v>
      </c>
      <c r="E2358" t="s">
        <v>309</v>
      </c>
      <c r="F2358" t="s">
        <v>299</v>
      </c>
      <c r="G2358" t="s">
        <v>299</v>
      </c>
      <c r="H2358">
        <v>99</v>
      </c>
      <c r="I2358" s="30">
        <v>1.1805555555555556E-3</v>
      </c>
      <c r="J2358">
        <v>3</v>
      </c>
    </row>
    <row r="2359" spans="1:10" x14ac:dyDescent="0.35">
      <c r="A2359" t="s">
        <v>2708</v>
      </c>
      <c r="B2359" t="s">
        <v>305</v>
      </c>
      <c r="C2359" t="s">
        <v>2653</v>
      </c>
      <c r="D2359" s="30">
        <v>0.72599537037037032</v>
      </c>
      <c r="E2359" t="s">
        <v>298</v>
      </c>
      <c r="F2359" t="s">
        <v>299</v>
      </c>
      <c r="G2359" t="s">
        <v>299</v>
      </c>
      <c r="H2359">
        <v>51</v>
      </c>
      <c r="I2359" s="30">
        <v>3.3680555555555556E-3</v>
      </c>
      <c r="J2359">
        <v>4</v>
      </c>
    </row>
    <row r="2360" spans="1:10" x14ac:dyDescent="0.35">
      <c r="A2360" t="s">
        <v>2709</v>
      </c>
      <c r="B2360" t="s">
        <v>296</v>
      </c>
      <c r="C2360" t="s">
        <v>2653</v>
      </c>
      <c r="D2360" s="30">
        <v>0.72799768518518515</v>
      </c>
      <c r="E2360" t="s">
        <v>298</v>
      </c>
      <c r="F2360" t="s">
        <v>299</v>
      </c>
      <c r="G2360" t="s">
        <v>299</v>
      </c>
      <c r="H2360">
        <v>20</v>
      </c>
      <c r="I2360" s="30">
        <v>3.5416666666666665E-3</v>
      </c>
      <c r="J2360">
        <v>1</v>
      </c>
    </row>
    <row r="2361" spans="1:10" x14ac:dyDescent="0.35">
      <c r="A2361" t="s">
        <v>2710</v>
      </c>
      <c r="B2361" t="s">
        <v>316</v>
      </c>
      <c r="C2361" t="s">
        <v>2653</v>
      </c>
      <c r="D2361" s="30">
        <v>0.72799768518518515</v>
      </c>
      <c r="E2361" t="s">
        <v>314</v>
      </c>
      <c r="F2361" t="s">
        <v>299</v>
      </c>
      <c r="G2361" t="s">
        <v>299</v>
      </c>
      <c r="H2361">
        <v>25</v>
      </c>
      <c r="I2361" s="30">
        <v>4.340277777777778E-3</v>
      </c>
      <c r="J2361">
        <v>5</v>
      </c>
    </row>
    <row r="2362" spans="1:10" x14ac:dyDescent="0.35">
      <c r="A2362" t="s">
        <v>2711</v>
      </c>
      <c r="B2362" t="s">
        <v>316</v>
      </c>
      <c r="C2362" t="s">
        <v>2653</v>
      </c>
      <c r="D2362" s="30">
        <v>0.73299768518518515</v>
      </c>
      <c r="E2362" t="s">
        <v>298</v>
      </c>
      <c r="F2362" t="s">
        <v>303</v>
      </c>
      <c r="G2362" t="s">
        <v>303</v>
      </c>
    </row>
    <row r="2363" spans="1:10" x14ac:dyDescent="0.35">
      <c r="A2363" t="s">
        <v>2712</v>
      </c>
      <c r="B2363" t="s">
        <v>316</v>
      </c>
      <c r="C2363" t="s">
        <v>2653</v>
      </c>
      <c r="D2363" s="30">
        <v>0.73299768518518515</v>
      </c>
      <c r="E2363" t="s">
        <v>298</v>
      </c>
      <c r="F2363" t="s">
        <v>299</v>
      </c>
      <c r="G2363" t="s">
        <v>299</v>
      </c>
      <c r="H2363">
        <v>69</v>
      </c>
      <c r="I2363" s="30">
        <v>2.9629629629629628E-3</v>
      </c>
      <c r="J2363">
        <v>3</v>
      </c>
    </row>
    <row r="2364" spans="1:10" x14ac:dyDescent="0.35">
      <c r="A2364" t="s">
        <v>2713</v>
      </c>
      <c r="B2364" t="s">
        <v>332</v>
      </c>
      <c r="C2364" t="s">
        <v>2653</v>
      </c>
      <c r="D2364" s="30">
        <v>0.73900462962962965</v>
      </c>
      <c r="E2364" t="s">
        <v>314</v>
      </c>
      <c r="F2364" t="s">
        <v>299</v>
      </c>
      <c r="G2364" t="s">
        <v>299</v>
      </c>
      <c r="H2364">
        <v>118</v>
      </c>
      <c r="I2364" s="30">
        <v>3.9351851851851848E-3</v>
      </c>
      <c r="J2364">
        <v>4</v>
      </c>
    </row>
    <row r="2365" spans="1:10" x14ac:dyDescent="0.35">
      <c r="A2365" t="s">
        <v>2714</v>
      </c>
      <c r="B2365" t="s">
        <v>296</v>
      </c>
      <c r="C2365" t="s">
        <v>2653</v>
      </c>
      <c r="D2365" s="30">
        <v>0.73900462962962965</v>
      </c>
      <c r="E2365" t="s">
        <v>309</v>
      </c>
      <c r="F2365" t="s">
        <v>299</v>
      </c>
      <c r="G2365" t="s">
        <v>299</v>
      </c>
      <c r="H2365">
        <v>108</v>
      </c>
      <c r="I2365" s="30">
        <v>3.2407407407407406E-3</v>
      </c>
      <c r="J2365">
        <v>5</v>
      </c>
    </row>
    <row r="2366" spans="1:10" x14ac:dyDescent="0.35">
      <c r="A2366" t="s">
        <v>2715</v>
      </c>
      <c r="B2366" t="s">
        <v>323</v>
      </c>
      <c r="C2366" t="s">
        <v>2716</v>
      </c>
      <c r="D2366" s="30">
        <v>0.37900462962962961</v>
      </c>
      <c r="E2366" t="s">
        <v>317</v>
      </c>
      <c r="F2366" t="s">
        <v>299</v>
      </c>
      <c r="G2366" t="s">
        <v>299</v>
      </c>
      <c r="H2366">
        <v>59</v>
      </c>
      <c r="I2366" s="30">
        <v>3.1365740740740742E-3</v>
      </c>
      <c r="J2366">
        <v>5</v>
      </c>
    </row>
    <row r="2367" spans="1:10" x14ac:dyDescent="0.35">
      <c r="A2367" t="s">
        <v>2717</v>
      </c>
      <c r="B2367" t="s">
        <v>296</v>
      </c>
      <c r="C2367" t="s">
        <v>2716</v>
      </c>
      <c r="D2367" s="30">
        <v>0.37900462962962961</v>
      </c>
      <c r="E2367" t="s">
        <v>302</v>
      </c>
      <c r="F2367" t="s">
        <v>299</v>
      </c>
      <c r="G2367" t="s">
        <v>299</v>
      </c>
      <c r="H2367">
        <v>103</v>
      </c>
      <c r="I2367" s="30">
        <v>9.4907407407407408E-4</v>
      </c>
      <c r="J2367">
        <v>3</v>
      </c>
    </row>
    <row r="2368" spans="1:10" x14ac:dyDescent="0.35">
      <c r="A2368" t="s">
        <v>2718</v>
      </c>
      <c r="B2368" t="s">
        <v>301</v>
      </c>
      <c r="C2368" t="s">
        <v>2716</v>
      </c>
      <c r="D2368" s="30">
        <v>0.38299768518518518</v>
      </c>
      <c r="E2368" t="s">
        <v>309</v>
      </c>
      <c r="F2368" t="s">
        <v>303</v>
      </c>
      <c r="G2368" t="s">
        <v>303</v>
      </c>
    </row>
    <row r="2369" spans="1:10" x14ac:dyDescent="0.35">
      <c r="A2369" t="s">
        <v>2719</v>
      </c>
      <c r="B2369" t="s">
        <v>316</v>
      </c>
      <c r="C2369" t="s">
        <v>2716</v>
      </c>
      <c r="D2369" s="30">
        <v>0.38299768518518518</v>
      </c>
      <c r="E2369" t="s">
        <v>298</v>
      </c>
      <c r="F2369" t="s">
        <v>299</v>
      </c>
      <c r="G2369" t="s">
        <v>299</v>
      </c>
      <c r="H2369">
        <v>112</v>
      </c>
      <c r="I2369" s="30">
        <v>9.7222222222222219E-4</v>
      </c>
      <c r="J2369">
        <v>1</v>
      </c>
    </row>
    <row r="2370" spans="1:10" x14ac:dyDescent="0.35">
      <c r="A2370" t="s">
        <v>2720</v>
      </c>
      <c r="B2370" t="s">
        <v>296</v>
      </c>
      <c r="C2370" t="s">
        <v>2716</v>
      </c>
      <c r="D2370" s="30">
        <v>0.39900462962962963</v>
      </c>
      <c r="E2370" t="s">
        <v>317</v>
      </c>
      <c r="F2370" t="s">
        <v>299</v>
      </c>
      <c r="G2370" t="s">
        <v>299</v>
      </c>
      <c r="H2370">
        <v>38</v>
      </c>
      <c r="I2370" s="30">
        <v>2.4305555555555556E-3</v>
      </c>
      <c r="J2370">
        <v>5</v>
      </c>
    </row>
    <row r="2371" spans="1:10" x14ac:dyDescent="0.35">
      <c r="A2371" t="s">
        <v>2721</v>
      </c>
      <c r="B2371" t="s">
        <v>316</v>
      </c>
      <c r="C2371" t="s">
        <v>2716</v>
      </c>
      <c r="D2371" s="30">
        <v>0.39900462962962963</v>
      </c>
      <c r="E2371" t="s">
        <v>298</v>
      </c>
      <c r="F2371" t="s">
        <v>299</v>
      </c>
      <c r="G2371" t="s">
        <v>299</v>
      </c>
      <c r="H2371">
        <v>81</v>
      </c>
      <c r="I2371" s="30">
        <v>3.2870370370370371E-3</v>
      </c>
      <c r="J2371">
        <v>3</v>
      </c>
    </row>
    <row r="2372" spans="1:10" x14ac:dyDescent="0.35">
      <c r="A2372" t="s">
        <v>2722</v>
      </c>
      <c r="B2372" t="s">
        <v>323</v>
      </c>
      <c r="C2372" t="s">
        <v>2716</v>
      </c>
      <c r="D2372" s="30">
        <v>0.40599537037037037</v>
      </c>
      <c r="E2372" t="s">
        <v>314</v>
      </c>
      <c r="F2372" t="s">
        <v>299</v>
      </c>
      <c r="G2372" t="s">
        <v>303</v>
      </c>
      <c r="H2372">
        <v>115</v>
      </c>
      <c r="I2372" s="30">
        <v>2.1064814814814813E-3</v>
      </c>
      <c r="J2372">
        <v>4</v>
      </c>
    </row>
    <row r="2373" spans="1:10" x14ac:dyDescent="0.35">
      <c r="A2373" t="s">
        <v>2723</v>
      </c>
      <c r="B2373" t="s">
        <v>307</v>
      </c>
      <c r="C2373" t="s">
        <v>2716</v>
      </c>
      <c r="D2373" s="30">
        <v>0.40599537037037037</v>
      </c>
      <c r="E2373" t="s">
        <v>298</v>
      </c>
      <c r="F2373" t="s">
        <v>303</v>
      </c>
      <c r="G2373" t="s">
        <v>303</v>
      </c>
    </row>
    <row r="2374" spans="1:10" x14ac:dyDescent="0.35">
      <c r="A2374" t="s">
        <v>2724</v>
      </c>
      <c r="B2374" t="s">
        <v>305</v>
      </c>
      <c r="C2374" t="s">
        <v>2716</v>
      </c>
      <c r="D2374" s="30">
        <v>0.42499999999999999</v>
      </c>
      <c r="E2374" t="s">
        <v>298</v>
      </c>
      <c r="F2374" t="s">
        <v>299</v>
      </c>
      <c r="G2374" t="s">
        <v>299</v>
      </c>
      <c r="H2374">
        <v>45</v>
      </c>
      <c r="I2374" s="30">
        <v>7.407407407407407E-4</v>
      </c>
      <c r="J2374">
        <v>4</v>
      </c>
    </row>
    <row r="2375" spans="1:10" x14ac:dyDescent="0.35">
      <c r="A2375" t="s">
        <v>2725</v>
      </c>
      <c r="B2375" t="s">
        <v>332</v>
      </c>
      <c r="C2375" t="s">
        <v>2716</v>
      </c>
      <c r="D2375" s="30">
        <v>0.42499999999999999</v>
      </c>
      <c r="E2375" t="s">
        <v>314</v>
      </c>
      <c r="F2375" t="s">
        <v>299</v>
      </c>
      <c r="G2375" t="s">
        <v>299</v>
      </c>
      <c r="H2375">
        <v>11</v>
      </c>
      <c r="I2375" s="30">
        <v>1.4583333333333334E-3</v>
      </c>
      <c r="J2375">
        <v>5</v>
      </c>
    </row>
    <row r="2376" spans="1:10" x14ac:dyDescent="0.35">
      <c r="A2376" t="s">
        <v>2726</v>
      </c>
      <c r="B2376" t="s">
        <v>319</v>
      </c>
      <c r="C2376" t="s">
        <v>2716</v>
      </c>
      <c r="D2376" s="30">
        <v>0.43299768518518517</v>
      </c>
      <c r="E2376" t="s">
        <v>317</v>
      </c>
      <c r="F2376" t="s">
        <v>299</v>
      </c>
      <c r="G2376" t="s">
        <v>299</v>
      </c>
      <c r="H2376">
        <v>93</v>
      </c>
      <c r="I2376" s="30">
        <v>1.5856481481481481E-3</v>
      </c>
      <c r="J2376">
        <v>1</v>
      </c>
    </row>
    <row r="2377" spans="1:10" x14ac:dyDescent="0.35">
      <c r="A2377" t="s">
        <v>2727</v>
      </c>
      <c r="B2377" t="s">
        <v>301</v>
      </c>
      <c r="C2377" t="s">
        <v>2716</v>
      </c>
      <c r="D2377" s="30">
        <v>0.43299768518518517</v>
      </c>
      <c r="E2377" t="s">
        <v>317</v>
      </c>
      <c r="F2377" t="s">
        <v>299</v>
      </c>
      <c r="G2377" t="s">
        <v>299</v>
      </c>
      <c r="H2377">
        <v>107</v>
      </c>
      <c r="I2377" s="30">
        <v>1.2152777777777778E-3</v>
      </c>
      <c r="J2377">
        <v>5</v>
      </c>
    </row>
    <row r="2378" spans="1:10" x14ac:dyDescent="0.35">
      <c r="A2378" t="s">
        <v>2728</v>
      </c>
      <c r="B2378" t="s">
        <v>323</v>
      </c>
      <c r="C2378" t="s">
        <v>2716</v>
      </c>
      <c r="D2378" s="30">
        <v>0.43700231481481483</v>
      </c>
      <c r="E2378" t="s">
        <v>309</v>
      </c>
      <c r="F2378" t="s">
        <v>299</v>
      </c>
      <c r="G2378" t="s">
        <v>299</v>
      </c>
      <c r="H2378">
        <v>36</v>
      </c>
      <c r="I2378" s="30">
        <v>3.9004629629629628E-3</v>
      </c>
      <c r="J2378">
        <v>3</v>
      </c>
    </row>
    <row r="2379" spans="1:10" x14ac:dyDescent="0.35">
      <c r="A2379" t="s">
        <v>2729</v>
      </c>
      <c r="B2379" t="s">
        <v>307</v>
      </c>
      <c r="C2379" t="s">
        <v>2716</v>
      </c>
      <c r="D2379" s="30">
        <v>0.43700231481481483</v>
      </c>
      <c r="E2379" t="s">
        <v>298</v>
      </c>
      <c r="F2379" t="s">
        <v>299</v>
      </c>
      <c r="G2379" t="s">
        <v>299</v>
      </c>
      <c r="H2379">
        <v>81</v>
      </c>
      <c r="I2379" s="30">
        <v>3.0092592592592593E-3</v>
      </c>
      <c r="J2379">
        <v>1</v>
      </c>
    </row>
    <row r="2380" spans="1:10" x14ac:dyDescent="0.35">
      <c r="A2380" t="s">
        <v>2730</v>
      </c>
      <c r="B2380" t="s">
        <v>307</v>
      </c>
      <c r="C2380" t="s">
        <v>2716</v>
      </c>
      <c r="D2380" s="30">
        <v>0.4620023148148148</v>
      </c>
      <c r="E2380" t="s">
        <v>309</v>
      </c>
      <c r="F2380" t="s">
        <v>299</v>
      </c>
      <c r="G2380" t="s">
        <v>299</v>
      </c>
      <c r="H2380">
        <v>58</v>
      </c>
      <c r="I2380" s="30">
        <v>4.5254629629629629E-3</v>
      </c>
      <c r="J2380">
        <v>3</v>
      </c>
    </row>
    <row r="2381" spans="1:10" x14ac:dyDescent="0.35">
      <c r="A2381" t="s">
        <v>2731</v>
      </c>
      <c r="B2381" t="s">
        <v>296</v>
      </c>
      <c r="C2381" t="s">
        <v>2716</v>
      </c>
      <c r="D2381" s="30">
        <v>0.4620023148148148</v>
      </c>
      <c r="E2381" t="s">
        <v>298</v>
      </c>
      <c r="F2381" t="s">
        <v>303</v>
      </c>
      <c r="G2381" t="s">
        <v>303</v>
      </c>
    </row>
    <row r="2382" spans="1:10" x14ac:dyDescent="0.35">
      <c r="A2382" t="s">
        <v>2732</v>
      </c>
      <c r="B2382" t="s">
        <v>316</v>
      </c>
      <c r="C2382" t="s">
        <v>2716</v>
      </c>
      <c r="D2382" s="30">
        <v>0.4670023148148148</v>
      </c>
      <c r="E2382" t="s">
        <v>298</v>
      </c>
      <c r="F2382" t="s">
        <v>299</v>
      </c>
      <c r="G2382" t="s">
        <v>299</v>
      </c>
      <c r="H2382">
        <v>102</v>
      </c>
      <c r="I2382" s="30">
        <v>4.31712962962963E-3</v>
      </c>
      <c r="J2382">
        <v>5</v>
      </c>
    </row>
    <row r="2383" spans="1:10" x14ac:dyDescent="0.35">
      <c r="A2383" t="s">
        <v>2733</v>
      </c>
      <c r="B2383" t="s">
        <v>301</v>
      </c>
      <c r="C2383" t="s">
        <v>2716</v>
      </c>
      <c r="D2383" s="30">
        <v>0.4670023148148148</v>
      </c>
      <c r="E2383" t="s">
        <v>317</v>
      </c>
      <c r="F2383" t="s">
        <v>299</v>
      </c>
      <c r="G2383" t="s">
        <v>299</v>
      </c>
      <c r="H2383">
        <v>63</v>
      </c>
      <c r="I2383" s="30">
        <v>4.0740740740740737E-3</v>
      </c>
      <c r="J2383">
        <v>4</v>
      </c>
    </row>
    <row r="2384" spans="1:10" x14ac:dyDescent="0.35">
      <c r="A2384" t="s">
        <v>2734</v>
      </c>
      <c r="B2384" t="s">
        <v>332</v>
      </c>
      <c r="C2384" t="s">
        <v>2716</v>
      </c>
      <c r="D2384" s="30">
        <v>0.49599537037037039</v>
      </c>
      <c r="E2384" t="s">
        <v>317</v>
      </c>
      <c r="F2384" t="s">
        <v>299</v>
      </c>
      <c r="G2384" t="s">
        <v>299</v>
      </c>
      <c r="H2384">
        <v>106</v>
      </c>
      <c r="I2384" s="30">
        <v>4.7453703703703698E-4</v>
      </c>
      <c r="J2384">
        <v>4</v>
      </c>
    </row>
    <row r="2385" spans="1:10" x14ac:dyDescent="0.35">
      <c r="A2385" t="s">
        <v>2735</v>
      </c>
      <c r="B2385" t="s">
        <v>301</v>
      </c>
      <c r="C2385" t="s">
        <v>2716</v>
      </c>
      <c r="D2385" s="30">
        <v>0.49599537037037039</v>
      </c>
      <c r="E2385" t="s">
        <v>314</v>
      </c>
      <c r="F2385" t="s">
        <v>303</v>
      </c>
      <c r="G2385" t="s">
        <v>303</v>
      </c>
    </row>
    <row r="2386" spans="1:10" x14ac:dyDescent="0.35">
      <c r="A2386" t="s">
        <v>2736</v>
      </c>
      <c r="B2386" t="s">
        <v>316</v>
      </c>
      <c r="C2386" t="s">
        <v>2716</v>
      </c>
      <c r="D2386" s="30">
        <v>0.49700231481481483</v>
      </c>
      <c r="E2386" t="s">
        <v>309</v>
      </c>
      <c r="F2386" t="s">
        <v>299</v>
      </c>
      <c r="G2386" t="s">
        <v>299</v>
      </c>
      <c r="H2386">
        <v>31</v>
      </c>
      <c r="I2386" s="30">
        <v>5.4398148148148144E-4</v>
      </c>
      <c r="J2386">
        <v>4</v>
      </c>
    </row>
    <row r="2387" spans="1:10" x14ac:dyDescent="0.35">
      <c r="A2387" t="s">
        <v>2737</v>
      </c>
      <c r="B2387" t="s">
        <v>332</v>
      </c>
      <c r="C2387" t="s">
        <v>2716</v>
      </c>
      <c r="D2387" s="30">
        <v>0.49700231481481483</v>
      </c>
      <c r="E2387" t="s">
        <v>298</v>
      </c>
      <c r="F2387" t="s">
        <v>299</v>
      </c>
      <c r="G2387" t="s">
        <v>299</v>
      </c>
      <c r="H2387">
        <v>93</v>
      </c>
      <c r="I2387" s="30">
        <v>3.4027777777777776E-3</v>
      </c>
      <c r="J2387">
        <v>5</v>
      </c>
    </row>
    <row r="2388" spans="1:10" x14ac:dyDescent="0.35">
      <c r="A2388" t="s">
        <v>2738</v>
      </c>
      <c r="B2388" t="s">
        <v>296</v>
      </c>
      <c r="C2388" t="s">
        <v>2716</v>
      </c>
      <c r="D2388" s="30">
        <v>0.5</v>
      </c>
      <c r="E2388" t="s">
        <v>309</v>
      </c>
      <c r="F2388" t="s">
        <v>303</v>
      </c>
      <c r="G2388" t="s">
        <v>303</v>
      </c>
    </row>
    <row r="2389" spans="1:10" x14ac:dyDescent="0.35">
      <c r="A2389" t="s">
        <v>2739</v>
      </c>
      <c r="B2389" t="s">
        <v>301</v>
      </c>
      <c r="C2389" t="s">
        <v>2716</v>
      </c>
      <c r="D2389" s="30">
        <v>0.5</v>
      </c>
      <c r="E2389" t="s">
        <v>314</v>
      </c>
      <c r="F2389" t="s">
        <v>299</v>
      </c>
      <c r="G2389" t="s">
        <v>299</v>
      </c>
      <c r="H2389">
        <v>66</v>
      </c>
      <c r="I2389" s="30">
        <v>2.2106481481481482E-3</v>
      </c>
      <c r="J2389">
        <v>4</v>
      </c>
    </row>
    <row r="2390" spans="1:10" x14ac:dyDescent="0.35">
      <c r="A2390" t="s">
        <v>2740</v>
      </c>
      <c r="B2390" t="s">
        <v>301</v>
      </c>
      <c r="C2390" t="s">
        <v>2716</v>
      </c>
      <c r="D2390" s="30">
        <v>0.5</v>
      </c>
      <c r="E2390" t="s">
        <v>309</v>
      </c>
      <c r="F2390" t="s">
        <v>303</v>
      </c>
      <c r="G2390" t="s">
        <v>303</v>
      </c>
    </row>
    <row r="2391" spans="1:10" x14ac:dyDescent="0.35">
      <c r="A2391" t="s">
        <v>2741</v>
      </c>
      <c r="B2391" t="s">
        <v>301</v>
      </c>
      <c r="C2391" t="s">
        <v>2716</v>
      </c>
      <c r="D2391" s="30">
        <v>0.5</v>
      </c>
      <c r="E2391" t="s">
        <v>314</v>
      </c>
      <c r="F2391" t="s">
        <v>303</v>
      </c>
      <c r="G2391" t="s">
        <v>303</v>
      </c>
    </row>
    <row r="2392" spans="1:10" x14ac:dyDescent="0.35">
      <c r="A2392" t="s">
        <v>2742</v>
      </c>
      <c r="B2392" t="s">
        <v>296</v>
      </c>
      <c r="C2392" t="s">
        <v>2716</v>
      </c>
      <c r="D2392" s="30">
        <v>0.50299768518518517</v>
      </c>
      <c r="E2392" t="s">
        <v>309</v>
      </c>
      <c r="F2392" t="s">
        <v>299</v>
      </c>
      <c r="G2392" t="s">
        <v>299</v>
      </c>
      <c r="H2392">
        <v>18</v>
      </c>
      <c r="I2392" s="30">
        <v>1.4814814814814814E-3</v>
      </c>
      <c r="J2392">
        <v>5</v>
      </c>
    </row>
    <row r="2393" spans="1:10" x14ac:dyDescent="0.35">
      <c r="A2393" t="s">
        <v>2743</v>
      </c>
      <c r="B2393" t="s">
        <v>323</v>
      </c>
      <c r="C2393" t="s">
        <v>2716</v>
      </c>
      <c r="D2393" s="30">
        <v>0.50299768518518517</v>
      </c>
      <c r="E2393" t="s">
        <v>314</v>
      </c>
      <c r="F2393" t="s">
        <v>299</v>
      </c>
      <c r="G2393" t="s">
        <v>299</v>
      </c>
      <c r="H2393">
        <v>65</v>
      </c>
      <c r="I2393" s="30">
        <v>3.9699074074074072E-3</v>
      </c>
      <c r="J2393">
        <v>5</v>
      </c>
    </row>
    <row r="2394" spans="1:10" x14ac:dyDescent="0.35">
      <c r="A2394" t="s">
        <v>2744</v>
      </c>
      <c r="B2394" t="s">
        <v>332</v>
      </c>
      <c r="C2394" t="s">
        <v>2716</v>
      </c>
      <c r="D2394" s="30">
        <v>0.51099537037037035</v>
      </c>
      <c r="E2394" t="s">
        <v>298</v>
      </c>
      <c r="F2394" t="s">
        <v>299</v>
      </c>
      <c r="G2394" t="s">
        <v>299</v>
      </c>
      <c r="H2394">
        <v>116</v>
      </c>
      <c r="I2394" s="30">
        <v>2.9166666666666668E-3</v>
      </c>
      <c r="J2394">
        <v>2</v>
      </c>
    </row>
    <row r="2395" spans="1:10" x14ac:dyDescent="0.35">
      <c r="A2395" t="s">
        <v>2745</v>
      </c>
      <c r="B2395" t="s">
        <v>332</v>
      </c>
      <c r="C2395" t="s">
        <v>2716</v>
      </c>
      <c r="D2395" s="30">
        <v>0.51099537037037035</v>
      </c>
      <c r="E2395" t="s">
        <v>309</v>
      </c>
      <c r="F2395" t="s">
        <v>303</v>
      </c>
      <c r="G2395" t="s">
        <v>303</v>
      </c>
    </row>
    <row r="2396" spans="1:10" x14ac:dyDescent="0.35">
      <c r="A2396" t="s">
        <v>2746</v>
      </c>
      <c r="B2396" t="s">
        <v>305</v>
      </c>
      <c r="C2396" t="s">
        <v>2716</v>
      </c>
      <c r="D2396" s="30">
        <v>0.52099537037037036</v>
      </c>
      <c r="E2396" t="s">
        <v>309</v>
      </c>
      <c r="F2396" t="s">
        <v>303</v>
      </c>
      <c r="G2396" t="s">
        <v>303</v>
      </c>
    </row>
    <row r="2397" spans="1:10" x14ac:dyDescent="0.35">
      <c r="A2397" t="s">
        <v>2747</v>
      </c>
      <c r="B2397" t="s">
        <v>323</v>
      </c>
      <c r="C2397" t="s">
        <v>2716</v>
      </c>
      <c r="D2397" s="30">
        <v>0.52099537037037036</v>
      </c>
      <c r="E2397" t="s">
        <v>314</v>
      </c>
      <c r="F2397" t="s">
        <v>299</v>
      </c>
      <c r="G2397" t="s">
        <v>299</v>
      </c>
      <c r="H2397">
        <v>19</v>
      </c>
      <c r="I2397" s="30">
        <v>3.8773148148148148E-3</v>
      </c>
      <c r="J2397">
        <v>5</v>
      </c>
    </row>
    <row r="2398" spans="1:10" x14ac:dyDescent="0.35">
      <c r="A2398" t="s">
        <v>2748</v>
      </c>
      <c r="B2398" t="s">
        <v>332</v>
      </c>
      <c r="C2398" t="s">
        <v>2716</v>
      </c>
      <c r="D2398" s="30">
        <v>0.52400462962962968</v>
      </c>
      <c r="E2398" t="s">
        <v>302</v>
      </c>
      <c r="F2398" t="s">
        <v>303</v>
      </c>
      <c r="G2398" t="s">
        <v>303</v>
      </c>
    </row>
    <row r="2399" spans="1:10" x14ac:dyDescent="0.35">
      <c r="A2399" t="s">
        <v>2749</v>
      </c>
      <c r="B2399" t="s">
        <v>307</v>
      </c>
      <c r="C2399" t="s">
        <v>2716</v>
      </c>
      <c r="D2399" s="30">
        <v>0.52400462962962968</v>
      </c>
      <c r="E2399" t="s">
        <v>302</v>
      </c>
      <c r="F2399" t="s">
        <v>299</v>
      </c>
      <c r="G2399" t="s">
        <v>299</v>
      </c>
      <c r="H2399">
        <v>120</v>
      </c>
      <c r="I2399" s="30">
        <v>4.7916666666666663E-3</v>
      </c>
      <c r="J2399">
        <v>3</v>
      </c>
    </row>
    <row r="2400" spans="1:10" x14ac:dyDescent="0.35">
      <c r="A2400" t="s">
        <v>2750</v>
      </c>
      <c r="B2400" t="s">
        <v>323</v>
      </c>
      <c r="C2400" t="s">
        <v>2716</v>
      </c>
      <c r="D2400" s="30">
        <v>0.52500000000000002</v>
      </c>
      <c r="E2400" t="s">
        <v>314</v>
      </c>
      <c r="F2400" t="s">
        <v>299</v>
      </c>
      <c r="G2400" t="s">
        <v>299</v>
      </c>
      <c r="H2400">
        <v>32</v>
      </c>
      <c r="I2400" s="30">
        <v>6.3657407407407413E-4</v>
      </c>
      <c r="J2400">
        <v>3</v>
      </c>
    </row>
    <row r="2401" spans="1:10" x14ac:dyDescent="0.35">
      <c r="A2401" t="s">
        <v>2751</v>
      </c>
      <c r="B2401" t="s">
        <v>305</v>
      </c>
      <c r="C2401" t="s">
        <v>2716</v>
      </c>
      <c r="D2401" s="30">
        <v>0.52500000000000002</v>
      </c>
      <c r="E2401" t="s">
        <v>314</v>
      </c>
      <c r="F2401" t="s">
        <v>299</v>
      </c>
      <c r="G2401" t="s">
        <v>299</v>
      </c>
      <c r="H2401">
        <v>121</v>
      </c>
      <c r="I2401" s="30">
        <v>3.9930555555555552E-3</v>
      </c>
      <c r="J2401">
        <v>2</v>
      </c>
    </row>
    <row r="2402" spans="1:10" x14ac:dyDescent="0.35">
      <c r="A2402" t="s">
        <v>2752</v>
      </c>
      <c r="B2402" t="s">
        <v>316</v>
      </c>
      <c r="C2402" t="s">
        <v>2716</v>
      </c>
      <c r="D2402" s="30">
        <v>0.53500000000000003</v>
      </c>
      <c r="E2402" t="s">
        <v>298</v>
      </c>
      <c r="F2402" t="s">
        <v>303</v>
      </c>
      <c r="G2402" t="s">
        <v>303</v>
      </c>
    </row>
    <row r="2403" spans="1:10" x14ac:dyDescent="0.35">
      <c r="A2403" t="s">
        <v>2753</v>
      </c>
      <c r="B2403" t="s">
        <v>307</v>
      </c>
      <c r="C2403" t="s">
        <v>2716</v>
      </c>
      <c r="D2403" s="30">
        <v>0.53500000000000003</v>
      </c>
      <c r="E2403" t="s">
        <v>314</v>
      </c>
      <c r="F2403" t="s">
        <v>299</v>
      </c>
      <c r="G2403" t="s">
        <v>299</v>
      </c>
      <c r="H2403">
        <v>82</v>
      </c>
      <c r="I2403" s="30">
        <v>2.3263888888888887E-3</v>
      </c>
      <c r="J2403">
        <v>4</v>
      </c>
    </row>
    <row r="2404" spans="1:10" x14ac:dyDescent="0.35">
      <c r="A2404" t="s">
        <v>2754</v>
      </c>
      <c r="B2404" t="s">
        <v>323</v>
      </c>
      <c r="C2404" t="s">
        <v>2716</v>
      </c>
      <c r="D2404" s="30">
        <v>0.54</v>
      </c>
      <c r="E2404" t="s">
        <v>298</v>
      </c>
      <c r="F2404" t="s">
        <v>299</v>
      </c>
      <c r="G2404" t="s">
        <v>299</v>
      </c>
      <c r="H2404">
        <v>53</v>
      </c>
      <c r="I2404" s="30">
        <v>1.5972222222222223E-3</v>
      </c>
      <c r="J2404">
        <v>4</v>
      </c>
    </row>
    <row r="2405" spans="1:10" x14ac:dyDescent="0.35">
      <c r="A2405" t="s">
        <v>2755</v>
      </c>
      <c r="B2405" t="s">
        <v>305</v>
      </c>
      <c r="C2405" t="s">
        <v>2716</v>
      </c>
      <c r="D2405" s="30">
        <v>0.54</v>
      </c>
      <c r="E2405" t="s">
        <v>309</v>
      </c>
      <c r="F2405" t="s">
        <v>303</v>
      </c>
      <c r="G2405" t="s">
        <v>303</v>
      </c>
    </row>
    <row r="2406" spans="1:10" x14ac:dyDescent="0.35">
      <c r="A2406" t="s">
        <v>2756</v>
      </c>
      <c r="B2406" t="s">
        <v>301</v>
      </c>
      <c r="C2406" t="s">
        <v>2716</v>
      </c>
      <c r="D2406" s="30">
        <v>0.55000000000000004</v>
      </c>
      <c r="E2406" t="s">
        <v>302</v>
      </c>
      <c r="F2406" t="s">
        <v>299</v>
      </c>
      <c r="G2406" t="s">
        <v>299</v>
      </c>
      <c r="H2406">
        <v>16</v>
      </c>
      <c r="I2406" s="30">
        <v>3.6111111111111109E-3</v>
      </c>
      <c r="J2406">
        <v>4</v>
      </c>
    </row>
    <row r="2407" spans="1:10" x14ac:dyDescent="0.35">
      <c r="A2407" t="s">
        <v>2757</v>
      </c>
      <c r="B2407" t="s">
        <v>323</v>
      </c>
      <c r="C2407" t="s">
        <v>2716</v>
      </c>
      <c r="D2407" s="30">
        <v>0.55000000000000004</v>
      </c>
      <c r="E2407" t="s">
        <v>314</v>
      </c>
      <c r="F2407" t="s">
        <v>299</v>
      </c>
      <c r="G2407" t="s">
        <v>299</v>
      </c>
      <c r="H2407">
        <v>67</v>
      </c>
      <c r="I2407" s="30">
        <v>4.2939814814814811E-3</v>
      </c>
      <c r="J2407">
        <v>3</v>
      </c>
    </row>
    <row r="2408" spans="1:10" x14ac:dyDescent="0.35">
      <c r="A2408" t="s">
        <v>2758</v>
      </c>
      <c r="B2408" t="s">
        <v>332</v>
      </c>
      <c r="C2408" t="s">
        <v>2716</v>
      </c>
      <c r="D2408" s="30">
        <v>0.55700231481481477</v>
      </c>
      <c r="E2408" t="s">
        <v>317</v>
      </c>
      <c r="F2408" t="s">
        <v>299</v>
      </c>
      <c r="G2408" t="s">
        <v>299</v>
      </c>
      <c r="H2408">
        <v>95</v>
      </c>
      <c r="I2408" s="30">
        <v>2.0717592592592593E-3</v>
      </c>
      <c r="J2408">
        <v>4</v>
      </c>
    </row>
    <row r="2409" spans="1:10" x14ac:dyDescent="0.35">
      <c r="A2409" t="s">
        <v>2759</v>
      </c>
      <c r="B2409" t="s">
        <v>296</v>
      </c>
      <c r="C2409" t="s">
        <v>2716</v>
      </c>
      <c r="D2409" s="30">
        <v>0.55700231481481477</v>
      </c>
      <c r="E2409" t="s">
        <v>314</v>
      </c>
      <c r="F2409" t="s">
        <v>299</v>
      </c>
      <c r="G2409" t="s">
        <v>299</v>
      </c>
      <c r="H2409">
        <v>75</v>
      </c>
      <c r="I2409" s="30">
        <v>1.8749999999999999E-3</v>
      </c>
      <c r="J2409">
        <v>3</v>
      </c>
    </row>
    <row r="2410" spans="1:10" x14ac:dyDescent="0.35">
      <c r="A2410" t="s">
        <v>2760</v>
      </c>
      <c r="B2410" t="s">
        <v>316</v>
      </c>
      <c r="C2410" t="s">
        <v>2716</v>
      </c>
      <c r="D2410" s="30">
        <v>0.56299768518518523</v>
      </c>
      <c r="E2410" t="s">
        <v>317</v>
      </c>
      <c r="F2410" t="s">
        <v>299</v>
      </c>
      <c r="G2410" t="s">
        <v>299</v>
      </c>
      <c r="H2410">
        <v>53</v>
      </c>
      <c r="I2410" s="30">
        <v>3.7615740740740739E-3</v>
      </c>
      <c r="J2410">
        <v>3</v>
      </c>
    </row>
    <row r="2411" spans="1:10" x14ac:dyDescent="0.35">
      <c r="A2411" t="s">
        <v>2761</v>
      </c>
      <c r="B2411" t="s">
        <v>319</v>
      </c>
      <c r="C2411" t="s">
        <v>2716</v>
      </c>
      <c r="D2411" s="30">
        <v>0.56299768518518523</v>
      </c>
      <c r="E2411" t="s">
        <v>298</v>
      </c>
      <c r="F2411" t="s">
        <v>299</v>
      </c>
      <c r="G2411" t="s">
        <v>299</v>
      </c>
      <c r="H2411">
        <v>116</v>
      </c>
      <c r="I2411" s="30">
        <v>5.6712962962962967E-4</v>
      </c>
      <c r="J2411">
        <v>5</v>
      </c>
    </row>
    <row r="2412" spans="1:10" x14ac:dyDescent="0.35">
      <c r="A2412" t="s">
        <v>2762</v>
      </c>
      <c r="B2412" t="s">
        <v>305</v>
      </c>
      <c r="C2412" t="s">
        <v>2716</v>
      </c>
      <c r="D2412" s="30">
        <v>0.56799768518518523</v>
      </c>
      <c r="E2412" t="s">
        <v>302</v>
      </c>
      <c r="F2412" t="s">
        <v>299</v>
      </c>
      <c r="G2412" t="s">
        <v>299</v>
      </c>
      <c r="H2412">
        <v>83</v>
      </c>
      <c r="I2412" s="30">
        <v>3.0439814814814813E-3</v>
      </c>
      <c r="J2412">
        <v>3</v>
      </c>
    </row>
    <row r="2413" spans="1:10" x14ac:dyDescent="0.35">
      <c r="A2413" t="s">
        <v>2763</v>
      </c>
      <c r="B2413" t="s">
        <v>316</v>
      </c>
      <c r="C2413" t="s">
        <v>2716</v>
      </c>
      <c r="D2413" s="30">
        <v>0.56799768518518523</v>
      </c>
      <c r="E2413" t="s">
        <v>298</v>
      </c>
      <c r="F2413" t="s">
        <v>299</v>
      </c>
      <c r="G2413" t="s">
        <v>299</v>
      </c>
      <c r="H2413">
        <v>92</v>
      </c>
      <c r="I2413" s="30">
        <v>1.5625000000000001E-3</v>
      </c>
      <c r="J2413">
        <v>4</v>
      </c>
    </row>
    <row r="2414" spans="1:10" x14ac:dyDescent="0.35">
      <c r="A2414" t="s">
        <v>2764</v>
      </c>
      <c r="B2414" t="s">
        <v>323</v>
      </c>
      <c r="C2414" t="s">
        <v>2716</v>
      </c>
      <c r="D2414" s="30">
        <v>0.57400462962962961</v>
      </c>
      <c r="E2414" t="s">
        <v>314</v>
      </c>
      <c r="F2414" t="s">
        <v>299</v>
      </c>
      <c r="G2414" t="s">
        <v>299</v>
      </c>
      <c r="H2414">
        <v>24</v>
      </c>
      <c r="I2414" s="30">
        <v>1.8634259259259259E-3</v>
      </c>
      <c r="J2414">
        <v>3</v>
      </c>
    </row>
    <row r="2415" spans="1:10" x14ac:dyDescent="0.35">
      <c r="A2415" t="s">
        <v>2765</v>
      </c>
      <c r="B2415" t="s">
        <v>323</v>
      </c>
      <c r="C2415" t="s">
        <v>2716</v>
      </c>
      <c r="D2415" s="30">
        <v>0.57400462962962961</v>
      </c>
      <c r="E2415" t="s">
        <v>298</v>
      </c>
      <c r="F2415" t="s">
        <v>299</v>
      </c>
      <c r="G2415" t="s">
        <v>299</v>
      </c>
      <c r="H2415">
        <v>16</v>
      </c>
      <c r="I2415" s="30">
        <v>2.9745370370370373E-3</v>
      </c>
      <c r="J2415">
        <v>4</v>
      </c>
    </row>
    <row r="2416" spans="1:10" x14ac:dyDescent="0.35">
      <c r="A2416" t="s">
        <v>2766</v>
      </c>
      <c r="B2416" t="s">
        <v>316</v>
      </c>
      <c r="C2416" t="s">
        <v>2716</v>
      </c>
      <c r="D2416" s="30">
        <v>0.58599537037037042</v>
      </c>
      <c r="E2416" t="s">
        <v>298</v>
      </c>
      <c r="F2416" t="s">
        <v>299</v>
      </c>
      <c r="G2416" t="s">
        <v>299</v>
      </c>
      <c r="H2416">
        <v>24</v>
      </c>
      <c r="I2416" s="30">
        <v>1.6435185185185185E-3</v>
      </c>
      <c r="J2416">
        <v>5</v>
      </c>
    </row>
    <row r="2417" spans="1:10" x14ac:dyDescent="0.35">
      <c r="A2417" t="s">
        <v>2767</v>
      </c>
      <c r="B2417" t="s">
        <v>323</v>
      </c>
      <c r="C2417" t="s">
        <v>2716</v>
      </c>
      <c r="D2417" s="30">
        <v>0.58599537037037042</v>
      </c>
      <c r="E2417" t="s">
        <v>302</v>
      </c>
      <c r="F2417" t="s">
        <v>299</v>
      </c>
      <c r="G2417" t="s">
        <v>299</v>
      </c>
      <c r="H2417">
        <v>114</v>
      </c>
      <c r="I2417" s="30">
        <v>2.650462962962963E-3</v>
      </c>
      <c r="J2417">
        <v>2</v>
      </c>
    </row>
    <row r="2418" spans="1:10" x14ac:dyDescent="0.35">
      <c r="A2418" t="s">
        <v>2768</v>
      </c>
      <c r="B2418" t="s">
        <v>316</v>
      </c>
      <c r="C2418" t="s">
        <v>2716</v>
      </c>
      <c r="D2418" s="30">
        <v>0.58599537037037042</v>
      </c>
      <c r="E2418" t="s">
        <v>298</v>
      </c>
      <c r="F2418" t="s">
        <v>303</v>
      </c>
      <c r="G2418" t="s">
        <v>303</v>
      </c>
    </row>
    <row r="2419" spans="1:10" x14ac:dyDescent="0.35">
      <c r="A2419" t="s">
        <v>2769</v>
      </c>
      <c r="B2419" t="s">
        <v>316</v>
      </c>
      <c r="C2419" t="s">
        <v>2716</v>
      </c>
      <c r="D2419" s="30">
        <v>0.58599537037037042</v>
      </c>
      <c r="E2419" t="s">
        <v>302</v>
      </c>
      <c r="F2419" t="s">
        <v>299</v>
      </c>
      <c r="G2419" t="s">
        <v>299</v>
      </c>
      <c r="H2419">
        <v>120</v>
      </c>
      <c r="I2419" s="30">
        <v>4.1319444444444442E-3</v>
      </c>
      <c r="J2419">
        <v>4</v>
      </c>
    </row>
    <row r="2420" spans="1:10" x14ac:dyDescent="0.35">
      <c r="A2420" t="s">
        <v>2770</v>
      </c>
      <c r="B2420" t="s">
        <v>323</v>
      </c>
      <c r="C2420" t="s">
        <v>2716</v>
      </c>
      <c r="D2420" s="30">
        <v>0.60099537037037032</v>
      </c>
      <c r="E2420" t="s">
        <v>317</v>
      </c>
      <c r="F2420" t="s">
        <v>299</v>
      </c>
      <c r="G2420" t="s">
        <v>299</v>
      </c>
      <c r="H2420">
        <v>89</v>
      </c>
      <c r="I2420" s="30">
        <v>4.8263888888888887E-3</v>
      </c>
      <c r="J2420">
        <v>5</v>
      </c>
    </row>
    <row r="2421" spans="1:10" x14ac:dyDescent="0.35">
      <c r="A2421" t="s">
        <v>2771</v>
      </c>
      <c r="B2421" t="s">
        <v>323</v>
      </c>
      <c r="C2421" t="s">
        <v>2716</v>
      </c>
      <c r="D2421" s="30">
        <v>0.60099537037037032</v>
      </c>
      <c r="E2421" t="s">
        <v>309</v>
      </c>
      <c r="F2421" t="s">
        <v>299</v>
      </c>
      <c r="G2421" t="s">
        <v>299</v>
      </c>
      <c r="H2421">
        <v>83</v>
      </c>
      <c r="I2421" s="30">
        <v>1.0300925925925926E-3</v>
      </c>
      <c r="J2421">
        <v>4</v>
      </c>
    </row>
    <row r="2422" spans="1:10" x14ac:dyDescent="0.35">
      <c r="A2422" t="s">
        <v>2772</v>
      </c>
      <c r="B2422" t="s">
        <v>332</v>
      </c>
      <c r="C2422" t="s">
        <v>2716</v>
      </c>
      <c r="D2422" s="30">
        <v>0.62</v>
      </c>
      <c r="E2422" t="s">
        <v>317</v>
      </c>
      <c r="F2422" t="s">
        <v>299</v>
      </c>
      <c r="G2422" t="s">
        <v>299</v>
      </c>
      <c r="H2422">
        <v>71</v>
      </c>
      <c r="I2422" s="30">
        <v>1.7824074074074075E-3</v>
      </c>
      <c r="J2422">
        <v>5</v>
      </c>
    </row>
    <row r="2423" spans="1:10" x14ac:dyDescent="0.35">
      <c r="A2423" t="s">
        <v>2773</v>
      </c>
      <c r="B2423" t="s">
        <v>307</v>
      </c>
      <c r="C2423" t="s">
        <v>2716</v>
      </c>
      <c r="D2423" s="30">
        <v>0.62</v>
      </c>
      <c r="E2423" t="s">
        <v>317</v>
      </c>
      <c r="F2423" t="s">
        <v>299</v>
      </c>
      <c r="G2423" t="s">
        <v>299</v>
      </c>
      <c r="H2423">
        <v>62</v>
      </c>
      <c r="I2423" s="30">
        <v>1.3888888888888889E-3</v>
      </c>
      <c r="J2423">
        <v>4</v>
      </c>
    </row>
    <row r="2424" spans="1:10" x14ac:dyDescent="0.35">
      <c r="A2424" t="s">
        <v>2774</v>
      </c>
      <c r="B2424" t="s">
        <v>301</v>
      </c>
      <c r="C2424" t="s">
        <v>2716</v>
      </c>
      <c r="D2424" s="30">
        <v>0.62799768518518517</v>
      </c>
      <c r="E2424" t="s">
        <v>309</v>
      </c>
      <c r="F2424" t="s">
        <v>299</v>
      </c>
      <c r="G2424" t="s">
        <v>299</v>
      </c>
      <c r="H2424">
        <v>84</v>
      </c>
      <c r="I2424" s="30">
        <v>2.2569444444444442E-3</v>
      </c>
      <c r="J2424">
        <v>2</v>
      </c>
    </row>
    <row r="2425" spans="1:10" x14ac:dyDescent="0.35">
      <c r="A2425" t="s">
        <v>2775</v>
      </c>
      <c r="B2425" t="s">
        <v>332</v>
      </c>
      <c r="C2425" t="s">
        <v>2716</v>
      </c>
      <c r="D2425" s="30">
        <v>0.62799768518518517</v>
      </c>
      <c r="E2425" t="s">
        <v>302</v>
      </c>
      <c r="F2425" t="s">
        <v>299</v>
      </c>
      <c r="G2425" t="s">
        <v>299</v>
      </c>
      <c r="H2425">
        <v>17</v>
      </c>
      <c r="I2425" s="30">
        <v>9.3749999999999997E-4</v>
      </c>
      <c r="J2425">
        <v>4</v>
      </c>
    </row>
    <row r="2426" spans="1:10" x14ac:dyDescent="0.35">
      <c r="A2426" t="s">
        <v>2776</v>
      </c>
      <c r="B2426" t="s">
        <v>307</v>
      </c>
      <c r="C2426" t="s">
        <v>2716</v>
      </c>
      <c r="D2426" s="30">
        <v>0.63299768518518518</v>
      </c>
      <c r="E2426" t="s">
        <v>298</v>
      </c>
      <c r="F2426" t="s">
        <v>299</v>
      </c>
      <c r="G2426" t="s">
        <v>299</v>
      </c>
      <c r="H2426">
        <v>24</v>
      </c>
      <c r="I2426" s="30">
        <v>2.673611111111111E-3</v>
      </c>
      <c r="J2426">
        <v>4</v>
      </c>
    </row>
    <row r="2427" spans="1:10" x14ac:dyDescent="0.35">
      <c r="A2427" t="s">
        <v>2777</v>
      </c>
      <c r="B2427" t="s">
        <v>319</v>
      </c>
      <c r="C2427" t="s">
        <v>2716</v>
      </c>
      <c r="D2427" s="30">
        <v>0.63299768518518518</v>
      </c>
      <c r="E2427" t="s">
        <v>317</v>
      </c>
      <c r="F2427" t="s">
        <v>299</v>
      </c>
      <c r="G2427" t="s">
        <v>299</v>
      </c>
      <c r="H2427">
        <v>108</v>
      </c>
      <c r="I2427" s="30">
        <v>3.8657407407407408E-3</v>
      </c>
      <c r="J2427">
        <v>3</v>
      </c>
    </row>
    <row r="2428" spans="1:10" x14ac:dyDescent="0.35">
      <c r="A2428" t="s">
        <v>2778</v>
      </c>
      <c r="B2428" t="s">
        <v>296</v>
      </c>
      <c r="C2428" t="s">
        <v>2716</v>
      </c>
      <c r="D2428" s="30">
        <v>0.66599537037037038</v>
      </c>
      <c r="E2428" t="s">
        <v>309</v>
      </c>
      <c r="F2428" t="s">
        <v>299</v>
      </c>
      <c r="G2428" t="s">
        <v>299</v>
      </c>
      <c r="H2428">
        <v>13</v>
      </c>
      <c r="I2428" s="30">
        <v>1.4351851851851852E-3</v>
      </c>
      <c r="J2428">
        <v>3</v>
      </c>
    </row>
    <row r="2429" spans="1:10" x14ac:dyDescent="0.35">
      <c r="A2429" t="s">
        <v>2779</v>
      </c>
      <c r="B2429" t="s">
        <v>301</v>
      </c>
      <c r="C2429" t="s">
        <v>2716</v>
      </c>
      <c r="D2429" s="30">
        <v>0.66599537037037038</v>
      </c>
      <c r="E2429" t="s">
        <v>302</v>
      </c>
      <c r="F2429" t="s">
        <v>299</v>
      </c>
      <c r="G2429" t="s">
        <v>299</v>
      </c>
      <c r="H2429">
        <v>119</v>
      </c>
      <c r="I2429" s="30">
        <v>4.43287037037037E-3</v>
      </c>
      <c r="J2429">
        <v>3</v>
      </c>
    </row>
    <row r="2430" spans="1:10" x14ac:dyDescent="0.35">
      <c r="A2430" t="s">
        <v>2780</v>
      </c>
      <c r="B2430" t="s">
        <v>332</v>
      </c>
      <c r="C2430" t="s">
        <v>2716</v>
      </c>
      <c r="D2430" s="30">
        <v>0.68700231481481477</v>
      </c>
      <c r="E2430" t="s">
        <v>309</v>
      </c>
      <c r="F2430" t="s">
        <v>299</v>
      </c>
      <c r="G2430" t="s">
        <v>299</v>
      </c>
      <c r="H2430">
        <v>80</v>
      </c>
      <c r="I2430" s="30">
        <v>3.8425925925925928E-3</v>
      </c>
      <c r="J2430">
        <v>2</v>
      </c>
    </row>
    <row r="2431" spans="1:10" x14ac:dyDescent="0.35">
      <c r="A2431" t="s">
        <v>2781</v>
      </c>
      <c r="B2431" t="s">
        <v>319</v>
      </c>
      <c r="C2431" t="s">
        <v>2716</v>
      </c>
      <c r="D2431" s="30">
        <v>0.68700231481481477</v>
      </c>
      <c r="E2431" t="s">
        <v>298</v>
      </c>
      <c r="F2431" t="s">
        <v>299</v>
      </c>
      <c r="G2431" t="s">
        <v>299</v>
      </c>
      <c r="H2431">
        <v>99</v>
      </c>
      <c r="I2431" s="30">
        <v>1.2962962962962963E-3</v>
      </c>
      <c r="J2431">
        <v>4</v>
      </c>
    </row>
    <row r="2432" spans="1:10" x14ac:dyDescent="0.35">
      <c r="A2432" t="s">
        <v>2782</v>
      </c>
      <c r="B2432" t="s">
        <v>323</v>
      </c>
      <c r="C2432" t="s">
        <v>2716</v>
      </c>
      <c r="D2432" s="30">
        <v>0.70200231481481479</v>
      </c>
      <c r="E2432" t="s">
        <v>317</v>
      </c>
      <c r="F2432" t="s">
        <v>299</v>
      </c>
      <c r="G2432" t="s">
        <v>299</v>
      </c>
      <c r="H2432">
        <v>60</v>
      </c>
      <c r="I2432" s="30">
        <v>4.0856481481481481E-3</v>
      </c>
      <c r="J2432">
        <v>4</v>
      </c>
    </row>
    <row r="2433" spans="1:10" x14ac:dyDescent="0.35">
      <c r="A2433" t="s">
        <v>2783</v>
      </c>
      <c r="B2433" t="s">
        <v>307</v>
      </c>
      <c r="C2433" t="s">
        <v>2716</v>
      </c>
      <c r="D2433" s="30">
        <v>0.70200231481481479</v>
      </c>
      <c r="E2433" t="s">
        <v>314</v>
      </c>
      <c r="F2433" t="s">
        <v>299</v>
      </c>
      <c r="G2433" t="s">
        <v>299</v>
      </c>
      <c r="H2433">
        <v>121</v>
      </c>
      <c r="I2433" s="30">
        <v>3.3796296296296296E-3</v>
      </c>
      <c r="J2433">
        <v>4</v>
      </c>
    </row>
    <row r="2434" spans="1:10" x14ac:dyDescent="0.35">
      <c r="A2434" t="s">
        <v>2784</v>
      </c>
      <c r="B2434" t="s">
        <v>296</v>
      </c>
      <c r="C2434" t="s">
        <v>2716</v>
      </c>
      <c r="D2434" s="30">
        <v>0.71</v>
      </c>
      <c r="E2434" t="s">
        <v>302</v>
      </c>
      <c r="F2434" t="s">
        <v>303</v>
      </c>
      <c r="G2434" t="s">
        <v>303</v>
      </c>
    </row>
    <row r="2435" spans="1:10" x14ac:dyDescent="0.35">
      <c r="A2435" t="s">
        <v>2785</v>
      </c>
      <c r="B2435" t="s">
        <v>301</v>
      </c>
      <c r="C2435" t="s">
        <v>2716</v>
      </c>
      <c r="D2435" s="30">
        <v>0.71</v>
      </c>
      <c r="E2435" t="s">
        <v>298</v>
      </c>
      <c r="F2435" t="s">
        <v>299</v>
      </c>
      <c r="G2435" t="s">
        <v>299</v>
      </c>
      <c r="H2435">
        <v>91</v>
      </c>
      <c r="I2435" s="30">
        <v>4.2592592592592595E-3</v>
      </c>
      <c r="J2435">
        <v>2</v>
      </c>
    </row>
    <row r="2436" spans="1:10" x14ac:dyDescent="0.35">
      <c r="A2436" t="s">
        <v>2786</v>
      </c>
      <c r="B2436" t="s">
        <v>307</v>
      </c>
      <c r="C2436" t="s">
        <v>2716</v>
      </c>
      <c r="D2436" s="30">
        <v>0.72499999999999998</v>
      </c>
      <c r="E2436" t="s">
        <v>309</v>
      </c>
      <c r="F2436" t="s">
        <v>299</v>
      </c>
      <c r="G2436" t="s">
        <v>299</v>
      </c>
      <c r="H2436">
        <v>91</v>
      </c>
      <c r="I2436" s="30">
        <v>1.2152777777777778E-3</v>
      </c>
      <c r="J2436">
        <v>2</v>
      </c>
    </row>
    <row r="2437" spans="1:10" x14ac:dyDescent="0.35">
      <c r="A2437" t="s">
        <v>2787</v>
      </c>
      <c r="B2437" t="s">
        <v>296</v>
      </c>
      <c r="C2437" t="s">
        <v>2716</v>
      </c>
      <c r="D2437" s="30">
        <v>0.72499999999999998</v>
      </c>
      <c r="E2437" t="s">
        <v>314</v>
      </c>
      <c r="F2437" t="s">
        <v>299</v>
      </c>
      <c r="G2437" t="s">
        <v>299</v>
      </c>
      <c r="H2437">
        <v>99</v>
      </c>
      <c r="I2437" s="30">
        <v>7.5231481481481482E-4</v>
      </c>
      <c r="J2437">
        <v>3</v>
      </c>
    </row>
    <row r="2438" spans="1:10" x14ac:dyDescent="0.35">
      <c r="A2438" t="s">
        <v>2788</v>
      </c>
      <c r="B2438" t="s">
        <v>323</v>
      </c>
      <c r="C2438" t="s">
        <v>2789</v>
      </c>
      <c r="D2438" s="30">
        <v>0.38400462962962961</v>
      </c>
      <c r="E2438" t="s">
        <v>298</v>
      </c>
      <c r="F2438" t="s">
        <v>303</v>
      </c>
      <c r="G2438" t="s">
        <v>303</v>
      </c>
    </row>
    <row r="2439" spans="1:10" x14ac:dyDescent="0.35">
      <c r="A2439" t="s">
        <v>2790</v>
      </c>
      <c r="B2439" t="s">
        <v>319</v>
      </c>
      <c r="C2439" t="s">
        <v>2789</v>
      </c>
      <c r="D2439" s="30">
        <v>0.38400462962962961</v>
      </c>
      <c r="E2439" t="s">
        <v>309</v>
      </c>
      <c r="F2439" t="s">
        <v>303</v>
      </c>
      <c r="G2439" t="s">
        <v>303</v>
      </c>
    </row>
    <row r="2440" spans="1:10" x14ac:dyDescent="0.35">
      <c r="A2440" t="s">
        <v>2791</v>
      </c>
      <c r="B2440" t="s">
        <v>323</v>
      </c>
      <c r="C2440" t="s">
        <v>2789</v>
      </c>
      <c r="D2440" s="30">
        <v>0.41700231481481481</v>
      </c>
      <c r="E2440" t="s">
        <v>302</v>
      </c>
      <c r="F2440" t="s">
        <v>299</v>
      </c>
      <c r="G2440" t="s">
        <v>299</v>
      </c>
      <c r="H2440">
        <v>101</v>
      </c>
      <c r="I2440" s="30">
        <v>3.6574074074074074E-3</v>
      </c>
      <c r="J2440">
        <v>3</v>
      </c>
    </row>
    <row r="2441" spans="1:10" x14ac:dyDescent="0.35">
      <c r="A2441" t="s">
        <v>2792</v>
      </c>
      <c r="B2441" t="s">
        <v>296</v>
      </c>
      <c r="C2441" t="s">
        <v>2789</v>
      </c>
      <c r="D2441" s="30">
        <v>0.41700231481481481</v>
      </c>
      <c r="E2441" t="s">
        <v>302</v>
      </c>
      <c r="F2441" t="s">
        <v>299</v>
      </c>
      <c r="G2441" t="s">
        <v>299</v>
      </c>
      <c r="H2441">
        <v>61</v>
      </c>
      <c r="I2441" s="30">
        <v>3.0671296296296297E-3</v>
      </c>
      <c r="J2441">
        <v>1</v>
      </c>
    </row>
    <row r="2442" spans="1:10" x14ac:dyDescent="0.35">
      <c r="A2442" t="s">
        <v>2793</v>
      </c>
      <c r="B2442" t="s">
        <v>301</v>
      </c>
      <c r="C2442" t="s">
        <v>2789</v>
      </c>
      <c r="D2442" s="30">
        <v>0.42599537037037039</v>
      </c>
      <c r="E2442" t="s">
        <v>317</v>
      </c>
      <c r="F2442" t="s">
        <v>299</v>
      </c>
      <c r="G2442" t="s">
        <v>299</v>
      </c>
      <c r="H2442">
        <v>35</v>
      </c>
      <c r="I2442" s="30">
        <v>1.7476851851851852E-3</v>
      </c>
      <c r="J2442">
        <v>4</v>
      </c>
    </row>
    <row r="2443" spans="1:10" x14ac:dyDescent="0.35">
      <c r="A2443" t="s">
        <v>2794</v>
      </c>
      <c r="B2443" t="s">
        <v>319</v>
      </c>
      <c r="C2443" t="s">
        <v>2789</v>
      </c>
      <c r="D2443" s="30">
        <v>0.42599537037037039</v>
      </c>
      <c r="E2443" t="s">
        <v>298</v>
      </c>
      <c r="F2443" t="s">
        <v>299</v>
      </c>
      <c r="G2443" t="s">
        <v>303</v>
      </c>
      <c r="H2443">
        <v>55</v>
      </c>
      <c r="I2443" s="30">
        <v>2.9398148148148148E-3</v>
      </c>
      <c r="J2443">
        <v>1</v>
      </c>
    </row>
    <row r="2444" spans="1:10" x14ac:dyDescent="0.35">
      <c r="A2444" t="s">
        <v>2795</v>
      </c>
      <c r="B2444" t="s">
        <v>323</v>
      </c>
      <c r="C2444" t="s">
        <v>2789</v>
      </c>
      <c r="D2444" s="30">
        <v>0.42799768518518516</v>
      </c>
      <c r="E2444" t="s">
        <v>314</v>
      </c>
      <c r="F2444" t="s">
        <v>303</v>
      </c>
      <c r="G2444" t="s">
        <v>303</v>
      </c>
    </row>
    <row r="2445" spans="1:10" x14ac:dyDescent="0.35">
      <c r="A2445" t="s">
        <v>2796</v>
      </c>
      <c r="B2445" t="s">
        <v>316</v>
      </c>
      <c r="C2445" t="s">
        <v>2789</v>
      </c>
      <c r="D2445" s="30">
        <v>0.42799768518518516</v>
      </c>
      <c r="E2445" t="s">
        <v>302</v>
      </c>
      <c r="F2445" t="s">
        <v>303</v>
      </c>
      <c r="G2445" t="s">
        <v>303</v>
      </c>
    </row>
    <row r="2446" spans="1:10" x14ac:dyDescent="0.35">
      <c r="A2446" t="s">
        <v>2797</v>
      </c>
      <c r="B2446" t="s">
        <v>301</v>
      </c>
      <c r="C2446" t="s">
        <v>2789</v>
      </c>
      <c r="D2446" s="30">
        <v>0.43400462962962966</v>
      </c>
      <c r="E2446" t="s">
        <v>314</v>
      </c>
      <c r="F2446" t="s">
        <v>299</v>
      </c>
      <c r="G2446" t="s">
        <v>299</v>
      </c>
      <c r="H2446">
        <v>107</v>
      </c>
      <c r="I2446" s="30">
        <v>2.662037037037037E-3</v>
      </c>
      <c r="J2446">
        <v>5</v>
      </c>
    </row>
    <row r="2447" spans="1:10" x14ac:dyDescent="0.35">
      <c r="A2447" t="s">
        <v>2798</v>
      </c>
      <c r="B2447" t="s">
        <v>301</v>
      </c>
      <c r="C2447" t="s">
        <v>2789</v>
      </c>
      <c r="D2447" s="30">
        <v>0.43400462962962966</v>
      </c>
      <c r="E2447" t="s">
        <v>317</v>
      </c>
      <c r="F2447" t="s">
        <v>299</v>
      </c>
      <c r="G2447" t="s">
        <v>299</v>
      </c>
      <c r="H2447">
        <v>21</v>
      </c>
      <c r="I2447" s="30">
        <v>4.8611111111111112E-3</v>
      </c>
      <c r="J2447">
        <v>5</v>
      </c>
    </row>
    <row r="2448" spans="1:10" x14ac:dyDescent="0.35">
      <c r="A2448" t="s">
        <v>2799</v>
      </c>
      <c r="B2448" t="s">
        <v>319</v>
      </c>
      <c r="C2448" t="s">
        <v>2789</v>
      </c>
      <c r="D2448" s="30">
        <v>0.435</v>
      </c>
      <c r="E2448" t="s">
        <v>298</v>
      </c>
      <c r="F2448" t="s">
        <v>299</v>
      </c>
      <c r="G2448" t="s">
        <v>299</v>
      </c>
      <c r="H2448">
        <v>79</v>
      </c>
      <c r="I2448" s="30">
        <v>2.4421296296296296E-3</v>
      </c>
      <c r="J2448">
        <v>4</v>
      </c>
    </row>
    <row r="2449" spans="1:10" x14ac:dyDescent="0.35">
      <c r="A2449" t="s">
        <v>2800</v>
      </c>
      <c r="B2449" t="s">
        <v>296</v>
      </c>
      <c r="C2449" t="s">
        <v>2789</v>
      </c>
      <c r="D2449" s="30">
        <v>0.435</v>
      </c>
      <c r="E2449" t="s">
        <v>309</v>
      </c>
      <c r="F2449" t="s">
        <v>299</v>
      </c>
      <c r="G2449" t="s">
        <v>299</v>
      </c>
      <c r="H2449">
        <v>67</v>
      </c>
      <c r="I2449" s="30">
        <v>1.5856481481481481E-3</v>
      </c>
      <c r="J2449">
        <v>3</v>
      </c>
    </row>
    <row r="2450" spans="1:10" x14ac:dyDescent="0.35">
      <c r="A2450" t="s">
        <v>2801</v>
      </c>
      <c r="B2450" t="s">
        <v>301</v>
      </c>
      <c r="C2450" t="s">
        <v>2789</v>
      </c>
      <c r="D2450" s="30">
        <v>0.43900462962962961</v>
      </c>
      <c r="E2450" t="s">
        <v>302</v>
      </c>
      <c r="F2450" t="s">
        <v>299</v>
      </c>
      <c r="G2450" t="s">
        <v>299</v>
      </c>
      <c r="H2450">
        <v>32</v>
      </c>
      <c r="I2450" s="30">
        <v>1.2962962962962963E-3</v>
      </c>
      <c r="J2450">
        <v>3</v>
      </c>
    </row>
    <row r="2451" spans="1:10" x14ac:dyDescent="0.35">
      <c r="A2451" t="s">
        <v>2802</v>
      </c>
      <c r="B2451" t="s">
        <v>301</v>
      </c>
      <c r="C2451" t="s">
        <v>2789</v>
      </c>
      <c r="D2451" s="30">
        <v>0.43900462962962961</v>
      </c>
      <c r="E2451" t="s">
        <v>298</v>
      </c>
      <c r="F2451" t="s">
        <v>303</v>
      </c>
      <c r="G2451" t="s">
        <v>303</v>
      </c>
    </row>
    <row r="2452" spans="1:10" x14ac:dyDescent="0.35">
      <c r="A2452" t="s">
        <v>2803</v>
      </c>
      <c r="B2452" t="s">
        <v>323</v>
      </c>
      <c r="C2452" t="s">
        <v>2789</v>
      </c>
      <c r="D2452" s="30">
        <v>0.44900462962962961</v>
      </c>
      <c r="E2452" t="s">
        <v>298</v>
      </c>
      <c r="F2452" t="s">
        <v>299</v>
      </c>
      <c r="G2452" t="s">
        <v>299</v>
      </c>
      <c r="H2452">
        <v>79</v>
      </c>
      <c r="I2452" s="30">
        <v>3.2986111111111111E-3</v>
      </c>
      <c r="J2452">
        <v>4</v>
      </c>
    </row>
    <row r="2453" spans="1:10" x14ac:dyDescent="0.35">
      <c r="A2453" t="s">
        <v>2804</v>
      </c>
      <c r="B2453" t="s">
        <v>316</v>
      </c>
      <c r="C2453" t="s">
        <v>2789</v>
      </c>
      <c r="D2453" s="30">
        <v>0.44900462962962961</v>
      </c>
      <c r="E2453" t="s">
        <v>314</v>
      </c>
      <c r="F2453" t="s">
        <v>299</v>
      </c>
      <c r="G2453" t="s">
        <v>299</v>
      </c>
      <c r="H2453">
        <v>117</v>
      </c>
      <c r="I2453" s="30">
        <v>2.7662037037037039E-3</v>
      </c>
      <c r="J2453">
        <v>3</v>
      </c>
    </row>
    <row r="2454" spans="1:10" x14ac:dyDescent="0.35">
      <c r="A2454" t="s">
        <v>2805</v>
      </c>
      <c r="B2454" t="s">
        <v>332</v>
      </c>
      <c r="C2454" t="s">
        <v>2789</v>
      </c>
      <c r="D2454" s="30">
        <v>0.45400462962962962</v>
      </c>
      <c r="E2454" t="s">
        <v>302</v>
      </c>
      <c r="F2454" t="s">
        <v>299</v>
      </c>
      <c r="G2454" t="s">
        <v>299</v>
      </c>
      <c r="H2454">
        <v>110</v>
      </c>
      <c r="I2454" s="30">
        <v>3.1365740740740742E-3</v>
      </c>
      <c r="J2454">
        <v>4</v>
      </c>
    </row>
    <row r="2455" spans="1:10" x14ac:dyDescent="0.35">
      <c r="A2455" t="s">
        <v>2806</v>
      </c>
      <c r="B2455" t="s">
        <v>332</v>
      </c>
      <c r="C2455" t="s">
        <v>2789</v>
      </c>
      <c r="D2455" s="30">
        <v>0.45400462962962962</v>
      </c>
      <c r="E2455" t="s">
        <v>314</v>
      </c>
      <c r="F2455" t="s">
        <v>299</v>
      </c>
      <c r="G2455" t="s">
        <v>299</v>
      </c>
      <c r="H2455">
        <v>31</v>
      </c>
      <c r="I2455" s="30">
        <v>3.7037037037037041E-4</v>
      </c>
      <c r="J2455">
        <v>4</v>
      </c>
    </row>
    <row r="2456" spans="1:10" x14ac:dyDescent="0.35">
      <c r="A2456" t="s">
        <v>2807</v>
      </c>
      <c r="B2456" t="s">
        <v>332</v>
      </c>
      <c r="C2456" t="s">
        <v>2789</v>
      </c>
      <c r="D2456" s="30">
        <v>0.46400462962962963</v>
      </c>
      <c r="E2456" t="s">
        <v>298</v>
      </c>
      <c r="F2456" t="s">
        <v>303</v>
      </c>
      <c r="G2456" t="s">
        <v>303</v>
      </c>
    </row>
    <row r="2457" spans="1:10" x14ac:dyDescent="0.35">
      <c r="A2457" t="s">
        <v>2808</v>
      </c>
      <c r="B2457" t="s">
        <v>307</v>
      </c>
      <c r="C2457" t="s">
        <v>2789</v>
      </c>
      <c r="D2457" s="30">
        <v>0.46400462962962963</v>
      </c>
      <c r="E2457" t="s">
        <v>317</v>
      </c>
      <c r="F2457" t="s">
        <v>299</v>
      </c>
      <c r="G2457" t="s">
        <v>299</v>
      </c>
      <c r="H2457">
        <v>87</v>
      </c>
      <c r="I2457" s="30">
        <v>4.5138888888888885E-3</v>
      </c>
      <c r="J2457">
        <v>4</v>
      </c>
    </row>
    <row r="2458" spans="1:10" x14ac:dyDescent="0.35">
      <c r="A2458" t="s">
        <v>2809</v>
      </c>
      <c r="B2458" t="s">
        <v>301</v>
      </c>
      <c r="C2458" t="s">
        <v>2789</v>
      </c>
      <c r="D2458" s="30">
        <v>0.47700231481481481</v>
      </c>
      <c r="E2458" t="s">
        <v>302</v>
      </c>
      <c r="F2458" t="s">
        <v>299</v>
      </c>
      <c r="G2458" t="s">
        <v>299</v>
      </c>
      <c r="H2458">
        <v>99</v>
      </c>
      <c r="I2458" s="30">
        <v>4.8032407407407407E-3</v>
      </c>
      <c r="J2458">
        <v>5</v>
      </c>
    </row>
    <row r="2459" spans="1:10" x14ac:dyDescent="0.35">
      <c r="A2459" t="s">
        <v>2810</v>
      </c>
      <c r="B2459" t="s">
        <v>323</v>
      </c>
      <c r="C2459" t="s">
        <v>2789</v>
      </c>
      <c r="D2459" s="30">
        <v>0.47700231481481481</v>
      </c>
      <c r="E2459" t="s">
        <v>317</v>
      </c>
      <c r="F2459" t="s">
        <v>299</v>
      </c>
      <c r="G2459" t="s">
        <v>299</v>
      </c>
      <c r="H2459">
        <v>83</v>
      </c>
      <c r="I2459" s="30">
        <v>2.5810185185185185E-3</v>
      </c>
      <c r="J2459">
        <v>4</v>
      </c>
    </row>
    <row r="2460" spans="1:10" x14ac:dyDescent="0.35">
      <c r="A2460" t="s">
        <v>2811</v>
      </c>
      <c r="B2460" t="s">
        <v>296</v>
      </c>
      <c r="C2460" t="s">
        <v>2789</v>
      </c>
      <c r="D2460" s="30">
        <v>0.49599537037037039</v>
      </c>
      <c r="E2460" t="s">
        <v>314</v>
      </c>
      <c r="F2460" t="s">
        <v>299</v>
      </c>
      <c r="G2460" t="s">
        <v>299</v>
      </c>
      <c r="H2460">
        <v>36</v>
      </c>
      <c r="I2460" s="30">
        <v>4.31712962962963E-3</v>
      </c>
      <c r="J2460">
        <v>3</v>
      </c>
    </row>
    <row r="2461" spans="1:10" x14ac:dyDescent="0.35">
      <c r="A2461" t="s">
        <v>2812</v>
      </c>
      <c r="B2461" t="s">
        <v>332</v>
      </c>
      <c r="C2461" t="s">
        <v>2789</v>
      </c>
      <c r="D2461" s="30">
        <v>0.49599537037037039</v>
      </c>
      <c r="E2461" t="s">
        <v>314</v>
      </c>
      <c r="F2461" t="s">
        <v>299</v>
      </c>
      <c r="G2461" t="s">
        <v>299</v>
      </c>
      <c r="H2461">
        <v>67</v>
      </c>
      <c r="I2461" s="30">
        <v>4.7685185185185183E-3</v>
      </c>
      <c r="J2461">
        <v>3</v>
      </c>
    </row>
    <row r="2462" spans="1:10" x14ac:dyDescent="0.35">
      <c r="A2462" t="s">
        <v>2813</v>
      </c>
      <c r="B2462" t="s">
        <v>305</v>
      </c>
      <c r="C2462" t="s">
        <v>2789</v>
      </c>
      <c r="D2462" s="30">
        <v>0.51</v>
      </c>
      <c r="E2462" t="s">
        <v>302</v>
      </c>
      <c r="F2462" t="s">
        <v>299</v>
      </c>
      <c r="G2462" t="s">
        <v>299</v>
      </c>
      <c r="H2462">
        <v>91</v>
      </c>
      <c r="I2462" s="30">
        <v>2.1527777777777778E-3</v>
      </c>
      <c r="J2462">
        <v>4</v>
      </c>
    </row>
    <row r="2463" spans="1:10" x14ac:dyDescent="0.35">
      <c r="A2463" t="s">
        <v>2814</v>
      </c>
      <c r="B2463" t="s">
        <v>332</v>
      </c>
      <c r="C2463" t="s">
        <v>2789</v>
      </c>
      <c r="D2463" s="30">
        <v>0.51</v>
      </c>
      <c r="E2463" t="s">
        <v>302</v>
      </c>
      <c r="F2463" t="s">
        <v>303</v>
      </c>
      <c r="G2463" t="s">
        <v>303</v>
      </c>
    </row>
    <row r="2464" spans="1:10" x14ac:dyDescent="0.35">
      <c r="A2464" t="s">
        <v>2815</v>
      </c>
      <c r="B2464" t="s">
        <v>307</v>
      </c>
      <c r="C2464" t="s">
        <v>2789</v>
      </c>
      <c r="D2464" s="30">
        <v>0.51700231481481485</v>
      </c>
      <c r="E2464" t="s">
        <v>317</v>
      </c>
      <c r="F2464" t="s">
        <v>299</v>
      </c>
      <c r="G2464" t="s">
        <v>299</v>
      </c>
      <c r="H2464">
        <v>29</v>
      </c>
      <c r="I2464" s="30">
        <v>4.1203703703703706E-3</v>
      </c>
      <c r="J2464">
        <v>3</v>
      </c>
    </row>
    <row r="2465" spans="1:10" x14ac:dyDescent="0.35">
      <c r="A2465" t="s">
        <v>2816</v>
      </c>
      <c r="B2465" t="s">
        <v>296</v>
      </c>
      <c r="C2465" t="s">
        <v>2789</v>
      </c>
      <c r="D2465" s="30">
        <v>0.51700231481481485</v>
      </c>
      <c r="E2465" t="s">
        <v>314</v>
      </c>
      <c r="F2465" t="s">
        <v>299</v>
      </c>
      <c r="G2465" t="s">
        <v>299</v>
      </c>
      <c r="H2465">
        <v>86</v>
      </c>
      <c r="I2465" s="30">
        <v>2.9166666666666668E-3</v>
      </c>
      <c r="J2465">
        <v>1</v>
      </c>
    </row>
    <row r="2466" spans="1:10" x14ac:dyDescent="0.35">
      <c r="A2466" t="s">
        <v>2817</v>
      </c>
      <c r="B2466" t="s">
        <v>316</v>
      </c>
      <c r="C2466" t="s">
        <v>2789</v>
      </c>
      <c r="D2466" s="30">
        <v>0.53500000000000003</v>
      </c>
      <c r="E2466" t="s">
        <v>309</v>
      </c>
      <c r="F2466" t="s">
        <v>299</v>
      </c>
      <c r="G2466" t="s">
        <v>299</v>
      </c>
      <c r="H2466">
        <v>58</v>
      </c>
      <c r="I2466" s="30">
        <v>1.2962962962962963E-3</v>
      </c>
      <c r="J2466">
        <v>5</v>
      </c>
    </row>
    <row r="2467" spans="1:10" x14ac:dyDescent="0.35">
      <c r="A2467" t="s">
        <v>2818</v>
      </c>
      <c r="B2467" t="s">
        <v>307</v>
      </c>
      <c r="C2467" t="s">
        <v>2789</v>
      </c>
      <c r="D2467" s="30">
        <v>0.53500000000000003</v>
      </c>
      <c r="E2467" t="s">
        <v>309</v>
      </c>
      <c r="F2467" t="s">
        <v>299</v>
      </c>
      <c r="G2467" t="s">
        <v>299</v>
      </c>
      <c r="H2467">
        <v>57</v>
      </c>
      <c r="I2467" s="30">
        <v>5.3240740740740744E-4</v>
      </c>
      <c r="J2467">
        <v>1</v>
      </c>
    </row>
    <row r="2468" spans="1:10" x14ac:dyDescent="0.35">
      <c r="A2468" t="s">
        <v>2819</v>
      </c>
      <c r="B2468" t="s">
        <v>316</v>
      </c>
      <c r="C2468" t="s">
        <v>2789</v>
      </c>
      <c r="D2468" s="30">
        <v>0.54700231481481476</v>
      </c>
      <c r="E2468" t="s">
        <v>317</v>
      </c>
      <c r="F2468" t="s">
        <v>299</v>
      </c>
      <c r="G2468" t="s">
        <v>299</v>
      </c>
      <c r="H2468">
        <v>70</v>
      </c>
      <c r="I2468" s="30">
        <v>3.3333333333333335E-3</v>
      </c>
      <c r="J2468">
        <v>3</v>
      </c>
    </row>
    <row r="2469" spans="1:10" x14ac:dyDescent="0.35">
      <c r="A2469" t="s">
        <v>2820</v>
      </c>
      <c r="B2469" t="s">
        <v>316</v>
      </c>
      <c r="C2469" t="s">
        <v>2789</v>
      </c>
      <c r="D2469" s="30">
        <v>0.54700231481481476</v>
      </c>
      <c r="E2469" t="s">
        <v>314</v>
      </c>
      <c r="F2469" t="s">
        <v>303</v>
      </c>
      <c r="G2469" t="s">
        <v>303</v>
      </c>
    </row>
    <row r="2470" spans="1:10" x14ac:dyDescent="0.35">
      <c r="A2470" t="s">
        <v>2821</v>
      </c>
      <c r="B2470" t="s">
        <v>319</v>
      </c>
      <c r="C2470" t="s">
        <v>2789</v>
      </c>
      <c r="D2470" s="30">
        <v>0.5590046296296296</v>
      </c>
      <c r="E2470" t="s">
        <v>298</v>
      </c>
      <c r="F2470" t="s">
        <v>299</v>
      </c>
      <c r="G2470" t="s">
        <v>299</v>
      </c>
      <c r="H2470">
        <v>77</v>
      </c>
      <c r="I2470" s="30">
        <v>1.6203703703703703E-3</v>
      </c>
      <c r="J2470">
        <v>4</v>
      </c>
    </row>
    <row r="2471" spans="1:10" x14ac:dyDescent="0.35">
      <c r="A2471" t="s">
        <v>2822</v>
      </c>
      <c r="B2471" t="s">
        <v>332</v>
      </c>
      <c r="C2471" t="s">
        <v>2789</v>
      </c>
      <c r="D2471" s="30">
        <v>0.5590046296296296</v>
      </c>
      <c r="E2471" t="s">
        <v>298</v>
      </c>
      <c r="F2471" t="s">
        <v>299</v>
      </c>
      <c r="G2471" t="s">
        <v>299</v>
      </c>
      <c r="H2471">
        <v>31</v>
      </c>
      <c r="I2471" s="30">
        <v>3.6574074074074074E-3</v>
      </c>
      <c r="J2471">
        <v>5</v>
      </c>
    </row>
    <row r="2472" spans="1:10" x14ac:dyDescent="0.35">
      <c r="A2472" t="s">
        <v>2823</v>
      </c>
      <c r="B2472" t="s">
        <v>296</v>
      </c>
      <c r="C2472" t="s">
        <v>2789</v>
      </c>
      <c r="D2472" s="30">
        <v>0.56200231481481477</v>
      </c>
      <c r="E2472" t="s">
        <v>302</v>
      </c>
      <c r="F2472" t="s">
        <v>299</v>
      </c>
      <c r="G2472" t="s">
        <v>299</v>
      </c>
      <c r="H2472">
        <v>43</v>
      </c>
      <c r="I2472" s="30">
        <v>6.4814814814814813E-4</v>
      </c>
      <c r="J2472">
        <v>2</v>
      </c>
    </row>
    <row r="2473" spans="1:10" x14ac:dyDescent="0.35">
      <c r="A2473" t="s">
        <v>2824</v>
      </c>
      <c r="B2473" t="s">
        <v>316</v>
      </c>
      <c r="C2473" t="s">
        <v>2789</v>
      </c>
      <c r="D2473" s="30">
        <v>0.56200231481481477</v>
      </c>
      <c r="E2473" t="s">
        <v>302</v>
      </c>
      <c r="F2473" t="s">
        <v>299</v>
      </c>
      <c r="G2473" t="s">
        <v>299</v>
      </c>
      <c r="H2473">
        <v>38</v>
      </c>
      <c r="I2473" s="30">
        <v>3.5416666666666665E-3</v>
      </c>
      <c r="J2473">
        <v>4</v>
      </c>
    </row>
    <row r="2474" spans="1:10" x14ac:dyDescent="0.35">
      <c r="A2474" t="s">
        <v>2825</v>
      </c>
      <c r="B2474" t="s">
        <v>296</v>
      </c>
      <c r="C2474" t="s">
        <v>2789</v>
      </c>
      <c r="D2474" s="30">
        <v>0.66200231481481486</v>
      </c>
      <c r="E2474" t="s">
        <v>302</v>
      </c>
      <c r="F2474" t="s">
        <v>303</v>
      </c>
      <c r="G2474" t="s">
        <v>303</v>
      </c>
    </row>
    <row r="2475" spans="1:10" x14ac:dyDescent="0.35">
      <c r="A2475" t="s">
        <v>2826</v>
      </c>
      <c r="B2475" t="s">
        <v>296</v>
      </c>
      <c r="C2475" t="s">
        <v>2789</v>
      </c>
      <c r="D2475" s="30">
        <v>0.66200231481481486</v>
      </c>
      <c r="E2475" t="s">
        <v>298</v>
      </c>
      <c r="F2475" t="s">
        <v>299</v>
      </c>
      <c r="G2475" t="s">
        <v>303</v>
      </c>
      <c r="H2475">
        <v>83</v>
      </c>
      <c r="I2475" s="30">
        <v>1.6666666666666668E-3</v>
      </c>
      <c r="J2475">
        <v>5</v>
      </c>
    </row>
    <row r="2476" spans="1:10" x14ac:dyDescent="0.35">
      <c r="A2476" t="s">
        <v>2827</v>
      </c>
      <c r="B2476" t="s">
        <v>316</v>
      </c>
      <c r="C2476" t="s">
        <v>2789</v>
      </c>
      <c r="D2476" s="30">
        <v>0.71799768518518514</v>
      </c>
      <c r="E2476" t="s">
        <v>314</v>
      </c>
      <c r="F2476" t="s">
        <v>299</v>
      </c>
      <c r="G2476" t="s">
        <v>299</v>
      </c>
      <c r="H2476">
        <v>122</v>
      </c>
      <c r="I2476" s="30">
        <v>3.1365740740740742E-3</v>
      </c>
      <c r="J2476">
        <v>5</v>
      </c>
    </row>
    <row r="2477" spans="1:10" x14ac:dyDescent="0.35">
      <c r="A2477" t="s">
        <v>2828</v>
      </c>
      <c r="B2477" t="s">
        <v>332</v>
      </c>
      <c r="C2477" t="s">
        <v>2789</v>
      </c>
      <c r="D2477" s="30">
        <v>0.71799768518518514</v>
      </c>
      <c r="E2477" t="s">
        <v>302</v>
      </c>
      <c r="F2477" t="s">
        <v>299</v>
      </c>
      <c r="G2477" t="s">
        <v>299</v>
      </c>
      <c r="H2477">
        <v>42</v>
      </c>
      <c r="I2477" s="30">
        <v>4.7222222222222223E-3</v>
      </c>
      <c r="J2477">
        <v>5</v>
      </c>
    </row>
    <row r="2478" spans="1:10" x14ac:dyDescent="0.35">
      <c r="A2478" t="s">
        <v>2829</v>
      </c>
      <c r="B2478" t="s">
        <v>301</v>
      </c>
      <c r="C2478" t="s">
        <v>2789</v>
      </c>
      <c r="D2478" s="30">
        <v>0.745</v>
      </c>
      <c r="E2478" t="s">
        <v>317</v>
      </c>
      <c r="F2478" t="s">
        <v>299</v>
      </c>
      <c r="G2478" t="s">
        <v>299</v>
      </c>
      <c r="H2478">
        <v>61</v>
      </c>
      <c r="I2478" s="30">
        <v>8.2175925925925927E-4</v>
      </c>
      <c r="J2478">
        <v>4</v>
      </c>
    </row>
    <row r="2479" spans="1:10" x14ac:dyDescent="0.35">
      <c r="A2479" t="s">
        <v>2830</v>
      </c>
      <c r="B2479" t="s">
        <v>316</v>
      </c>
      <c r="C2479" t="s">
        <v>2789</v>
      </c>
      <c r="D2479" s="30">
        <v>0.745</v>
      </c>
      <c r="E2479" t="s">
        <v>317</v>
      </c>
      <c r="F2479" t="s">
        <v>299</v>
      </c>
      <c r="G2479" t="s">
        <v>303</v>
      </c>
      <c r="H2479">
        <v>103</v>
      </c>
      <c r="I2479" s="30">
        <v>2.7430555555555554E-3</v>
      </c>
      <c r="J2479">
        <v>3</v>
      </c>
    </row>
    <row r="2480" spans="1:10" x14ac:dyDescent="0.35">
      <c r="A2480" t="s">
        <v>2831</v>
      </c>
      <c r="B2480" t="s">
        <v>301</v>
      </c>
      <c r="C2480" t="s">
        <v>2789</v>
      </c>
      <c r="D2480" s="30">
        <v>0.745</v>
      </c>
      <c r="E2480" t="s">
        <v>317</v>
      </c>
      <c r="F2480" t="s">
        <v>299</v>
      </c>
      <c r="G2480" t="s">
        <v>299</v>
      </c>
      <c r="H2480">
        <v>110</v>
      </c>
      <c r="I2480" s="30">
        <v>3.7731481481481483E-3</v>
      </c>
      <c r="J2480">
        <v>4</v>
      </c>
    </row>
    <row r="2481" spans="1:10" x14ac:dyDescent="0.35">
      <c r="A2481" t="s">
        <v>2832</v>
      </c>
      <c r="B2481" t="s">
        <v>296</v>
      </c>
      <c r="C2481" t="s">
        <v>2789</v>
      </c>
      <c r="D2481" s="30">
        <v>0.745</v>
      </c>
      <c r="E2481" t="s">
        <v>317</v>
      </c>
      <c r="F2481" t="s">
        <v>303</v>
      </c>
      <c r="G2481" t="s">
        <v>303</v>
      </c>
    </row>
    <row r="2482" spans="1:10" x14ac:dyDescent="0.35">
      <c r="A2482" t="s">
        <v>2833</v>
      </c>
      <c r="B2482" t="s">
        <v>323</v>
      </c>
      <c r="C2482" t="s">
        <v>2834</v>
      </c>
      <c r="D2482" s="30">
        <v>0.38500000000000001</v>
      </c>
      <c r="E2482" t="s">
        <v>309</v>
      </c>
      <c r="F2482" t="s">
        <v>303</v>
      </c>
      <c r="G2482" t="s">
        <v>303</v>
      </c>
    </row>
    <row r="2483" spans="1:10" x14ac:dyDescent="0.35">
      <c r="A2483" t="s">
        <v>2835</v>
      </c>
      <c r="B2483" t="s">
        <v>332</v>
      </c>
      <c r="C2483" t="s">
        <v>2834</v>
      </c>
      <c r="D2483" s="30">
        <v>0.38500000000000001</v>
      </c>
      <c r="E2483" t="s">
        <v>302</v>
      </c>
      <c r="F2483" t="s">
        <v>303</v>
      </c>
      <c r="G2483" t="s">
        <v>303</v>
      </c>
    </row>
    <row r="2484" spans="1:10" x14ac:dyDescent="0.35">
      <c r="A2484" t="s">
        <v>2836</v>
      </c>
      <c r="B2484" t="s">
        <v>323</v>
      </c>
      <c r="C2484" t="s">
        <v>2834</v>
      </c>
      <c r="D2484" s="30">
        <v>0.39799768518518519</v>
      </c>
      <c r="E2484" t="s">
        <v>302</v>
      </c>
      <c r="F2484" t="s">
        <v>299</v>
      </c>
      <c r="G2484" t="s">
        <v>299</v>
      </c>
      <c r="H2484">
        <v>88</v>
      </c>
      <c r="I2484" s="30">
        <v>1.5625000000000001E-3</v>
      </c>
      <c r="J2484">
        <v>2</v>
      </c>
    </row>
    <row r="2485" spans="1:10" x14ac:dyDescent="0.35">
      <c r="A2485" t="s">
        <v>2837</v>
      </c>
      <c r="B2485" t="s">
        <v>316</v>
      </c>
      <c r="C2485" t="s">
        <v>2834</v>
      </c>
      <c r="D2485" s="30">
        <v>0.39799768518518519</v>
      </c>
      <c r="E2485" t="s">
        <v>317</v>
      </c>
      <c r="F2485" t="s">
        <v>303</v>
      </c>
      <c r="G2485" t="s">
        <v>303</v>
      </c>
    </row>
    <row r="2486" spans="1:10" x14ac:dyDescent="0.35">
      <c r="A2486" t="s">
        <v>2838</v>
      </c>
      <c r="B2486" t="s">
        <v>305</v>
      </c>
      <c r="C2486" t="s">
        <v>2834</v>
      </c>
      <c r="D2486" s="30">
        <v>0.4</v>
      </c>
      <c r="E2486" t="s">
        <v>302</v>
      </c>
      <c r="F2486" t="s">
        <v>299</v>
      </c>
      <c r="G2486" t="s">
        <v>299</v>
      </c>
      <c r="H2486">
        <v>57</v>
      </c>
      <c r="I2486" s="30">
        <v>1.6666666666666668E-3</v>
      </c>
      <c r="J2486">
        <v>5</v>
      </c>
    </row>
    <row r="2487" spans="1:10" x14ac:dyDescent="0.35">
      <c r="A2487" t="s">
        <v>2839</v>
      </c>
      <c r="B2487" t="s">
        <v>316</v>
      </c>
      <c r="C2487" t="s">
        <v>2834</v>
      </c>
      <c r="D2487" s="30">
        <v>0.4</v>
      </c>
      <c r="E2487" t="s">
        <v>309</v>
      </c>
      <c r="F2487" t="s">
        <v>303</v>
      </c>
      <c r="G2487" t="s">
        <v>303</v>
      </c>
    </row>
    <row r="2488" spans="1:10" x14ac:dyDescent="0.35">
      <c r="A2488" t="s">
        <v>2840</v>
      </c>
      <c r="B2488" t="s">
        <v>301</v>
      </c>
      <c r="C2488" t="s">
        <v>2834</v>
      </c>
      <c r="D2488" s="30">
        <v>0.40400462962962963</v>
      </c>
      <c r="E2488" t="s">
        <v>298</v>
      </c>
      <c r="F2488" t="s">
        <v>303</v>
      </c>
      <c r="G2488" t="s">
        <v>303</v>
      </c>
    </row>
    <row r="2489" spans="1:10" x14ac:dyDescent="0.35">
      <c r="A2489" t="s">
        <v>2841</v>
      </c>
      <c r="B2489" t="s">
        <v>332</v>
      </c>
      <c r="C2489" t="s">
        <v>2834</v>
      </c>
      <c r="D2489" s="30">
        <v>0.40400462962962963</v>
      </c>
      <c r="E2489" t="s">
        <v>298</v>
      </c>
      <c r="F2489" t="s">
        <v>299</v>
      </c>
      <c r="G2489" t="s">
        <v>299</v>
      </c>
      <c r="H2489">
        <v>37</v>
      </c>
      <c r="I2489" s="30">
        <v>4.2245370370370371E-3</v>
      </c>
      <c r="J2489">
        <v>3</v>
      </c>
    </row>
    <row r="2490" spans="1:10" x14ac:dyDescent="0.35">
      <c r="A2490" t="s">
        <v>2842</v>
      </c>
      <c r="B2490" t="s">
        <v>307</v>
      </c>
      <c r="C2490" t="s">
        <v>2834</v>
      </c>
      <c r="D2490" s="30">
        <v>0.4129976851851852</v>
      </c>
      <c r="E2490" t="s">
        <v>309</v>
      </c>
      <c r="F2490" t="s">
        <v>299</v>
      </c>
      <c r="G2490" t="s">
        <v>299</v>
      </c>
      <c r="H2490">
        <v>62</v>
      </c>
      <c r="I2490" s="30">
        <v>8.564814814814815E-4</v>
      </c>
      <c r="J2490">
        <v>2</v>
      </c>
    </row>
    <row r="2491" spans="1:10" x14ac:dyDescent="0.35">
      <c r="A2491" t="s">
        <v>2843</v>
      </c>
      <c r="B2491" t="s">
        <v>307</v>
      </c>
      <c r="C2491" t="s">
        <v>2834</v>
      </c>
      <c r="D2491" s="30">
        <v>0.4129976851851852</v>
      </c>
      <c r="E2491" t="s">
        <v>317</v>
      </c>
      <c r="F2491" t="s">
        <v>299</v>
      </c>
      <c r="G2491" t="s">
        <v>299</v>
      </c>
      <c r="H2491">
        <v>48</v>
      </c>
      <c r="I2491" s="30">
        <v>1.0069444444444444E-3</v>
      </c>
      <c r="J2491">
        <v>4</v>
      </c>
    </row>
    <row r="2492" spans="1:10" x14ac:dyDescent="0.35">
      <c r="A2492" t="s">
        <v>2844</v>
      </c>
      <c r="B2492" t="s">
        <v>332</v>
      </c>
      <c r="C2492" t="s">
        <v>2834</v>
      </c>
      <c r="D2492" s="30">
        <v>0.42400462962962965</v>
      </c>
      <c r="E2492" t="s">
        <v>302</v>
      </c>
      <c r="F2492" t="s">
        <v>299</v>
      </c>
      <c r="G2492" t="s">
        <v>299</v>
      </c>
      <c r="H2492">
        <v>123</v>
      </c>
      <c r="I2492" s="30">
        <v>2.2222222222222222E-3</v>
      </c>
      <c r="J2492">
        <v>3</v>
      </c>
    </row>
    <row r="2493" spans="1:10" x14ac:dyDescent="0.35">
      <c r="A2493" t="s">
        <v>2845</v>
      </c>
      <c r="B2493" t="s">
        <v>307</v>
      </c>
      <c r="C2493" t="s">
        <v>2834</v>
      </c>
      <c r="D2493" s="30">
        <v>0.42400462962962965</v>
      </c>
      <c r="E2493" t="s">
        <v>298</v>
      </c>
      <c r="F2493" t="s">
        <v>299</v>
      </c>
      <c r="G2493" t="s">
        <v>299</v>
      </c>
      <c r="H2493">
        <v>83</v>
      </c>
      <c r="I2493" s="30">
        <v>5.7870370370370367E-4</v>
      </c>
      <c r="J2493">
        <v>5</v>
      </c>
    </row>
    <row r="2494" spans="1:10" x14ac:dyDescent="0.35">
      <c r="A2494" t="s">
        <v>2846</v>
      </c>
      <c r="B2494" t="s">
        <v>319</v>
      </c>
      <c r="C2494" t="s">
        <v>2834</v>
      </c>
      <c r="D2494" s="30">
        <v>0.44</v>
      </c>
      <c r="E2494" t="s">
        <v>314</v>
      </c>
      <c r="F2494" t="s">
        <v>299</v>
      </c>
      <c r="G2494" t="s">
        <v>299</v>
      </c>
      <c r="H2494">
        <v>23</v>
      </c>
      <c r="I2494" s="30">
        <v>1.9791666666666668E-3</v>
      </c>
      <c r="J2494">
        <v>5</v>
      </c>
    </row>
    <row r="2495" spans="1:10" x14ac:dyDescent="0.35">
      <c r="A2495" t="s">
        <v>2847</v>
      </c>
      <c r="B2495" t="s">
        <v>332</v>
      </c>
      <c r="C2495" t="s">
        <v>2834</v>
      </c>
      <c r="D2495" s="30">
        <v>0.44</v>
      </c>
      <c r="E2495" t="s">
        <v>309</v>
      </c>
      <c r="F2495" t="s">
        <v>303</v>
      </c>
      <c r="G2495" t="s">
        <v>303</v>
      </c>
    </row>
    <row r="2496" spans="1:10" x14ac:dyDescent="0.35">
      <c r="A2496" t="s">
        <v>2848</v>
      </c>
      <c r="B2496" t="s">
        <v>307</v>
      </c>
      <c r="C2496" t="s">
        <v>2834</v>
      </c>
      <c r="D2496" s="30">
        <v>0.44799768518518518</v>
      </c>
      <c r="E2496" t="s">
        <v>317</v>
      </c>
      <c r="F2496" t="s">
        <v>299</v>
      </c>
      <c r="G2496" t="s">
        <v>303</v>
      </c>
      <c r="H2496">
        <v>27</v>
      </c>
      <c r="I2496" s="30">
        <v>3.5995370370370369E-3</v>
      </c>
      <c r="J2496">
        <v>3</v>
      </c>
    </row>
    <row r="2497" spans="1:10" x14ac:dyDescent="0.35">
      <c r="A2497" t="s">
        <v>2849</v>
      </c>
      <c r="B2497" t="s">
        <v>319</v>
      </c>
      <c r="C2497" t="s">
        <v>2834</v>
      </c>
      <c r="D2497" s="30">
        <v>0.44799768518518518</v>
      </c>
      <c r="E2497" t="s">
        <v>314</v>
      </c>
      <c r="F2497" t="s">
        <v>299</v>
      </c>
      <c r="G2497" t="s">
        <v>299</v>
      </c>
      <c r="H2497">
        <v>78</v>
      </c>
      <c r="I2497" s="30">
        <v>4.43287037037037E-3</v>
      </c>
      <c r="J2497">
        <v>5</v>
      </c>
    </row>
    <row r="2498" spans="1:10" x14ac:dyDescent="0.35">
      <c r="A2498" t="s">
        <v>2850</v>
      </c>
      <c r="B2498" t="s">
        <v>301</v>
      </c>
      <c r="C2498" t="s">
        <v>2834</v>
      </c>
      <c r="D2498" s="30">
        <v>0.46099537037037036</v>
      </c>
      <c r="E2498" t="s">
        <v>317</v>
      </c>
      <c r="F2498" t="s">
        <v>299</v>
      </c>
      <c r="G2498" t="s">
        <v>299</v>
      </c>
      <c r="H2498">
        <v>82</v>
      </c>
      <c r="I2498" s="30">
        <v>3.6111111111111109E-3</v>
      </c>
      <c r="J2498">
        <v>3</v>
      </c>
    </row>
    <row r="2499" spans="1:10" x14ac:dyDescent="0.35">
      <c r="A2499" t="s">
        <v>2851</v>
      </c>
      <c r="B2499" t="s">
        <v>316</v>
      </c>
      <c r="C2499" t="s">
        <v>2834</v>
      </c>
      <c r="D2499" s="30">
        <v>0.46099537037037036</v>
      </c>
      <c r="E2499" t="s">
        <v>317</v>
      </c>
      <c r="F2499" t="s">
        <v>299</v>
      </c>
      <c r="G2499" t="s">
        <v>299</v>
      </c>
      <c r="H2499">
        <v>50</v>
      </c>
      <c r="I2499" s="30">
        <v>3.7847222222222223E-3</v>
      </c>
      <c r="J2499">
        <v>4</v>
      </c>
    </row>
    <row r="2500" spans="1:10" x14ac:dyDescent="0.35">
      <c r="A2500" t="s">
        <v>2852</v>
      </c>
      <c r="B2500" t="s">
        <v>296</v>
      </c>
      <c r="C2500" t="s">
        <v>2834</v>
      </c>
      <c r="D2500" s="30">
        <v>0.48099537037037038</v>
      </c>
      <c r="E2500" t="s">
        <v>314</v>
      </c>
      <c r="F2500" t="s">
        <v>299</v>
      </c>
      <c r="G2500" t="s">
        <v>299</v>
      </c>
      <c r="H2500">
        <v>90</v>
      </c>
      <c r="I2500" s="30">
        <v>7.8703703703703705E-4</v>
      </c>
      <c r="J2500">
        <v>4</v>
      </c>
    </row>
    <row r="2501" spans="1:10" x14ac:dyDescent="0.35">
      <c r="A2501" t="s">
        <v>2853</v>
      </c>
      <c r="B2501" t="s">
        <v>319</v>
      </c>
      <c r="C2501" t="s">
        <v>2834</v>
      </c>
      <c r="D2501" s="30">
        <v>0.48099537037037038</v>
      </c>
      <c r="E2501" t="s">
        <v>314</v>
      </c>
      <c r="F2501" t="s">
        <v>299</v>
      </c>
      <c r="G2501" t="s">
        <v>299</v>
      </c>
      <c r="H2501">
        <v>89</v>
      </c>
      <c r="I2501" s="30">
        <v>3.6226851851851854E-3</v>
      </c>
      <c r="J2501">
        <v>3</v>
      </c>
    </row>
    <row r="2502" spans="1:10" x14ac:dyDescent="0.35">
      <c r="A2502" t="s">
        <v>2854</v>
      </c>
      <c r="B2502" t="s">
        <v>323</v>
      </c>
      <c r="C2502" t="s">
        <v>2834</v>
      </c>
      <c r="D2502" s="30">
        <v>0.50900462962962967</v>
      </c>
      <c r="E2502" t="s">
        <v>309</v>
      </c>
      <c r="F2502" t="s">
        <v>299</v>
      </c>
      <c r="G2502" t="s">
        <v>299</v>
      </c>
      <c r="H2502">
        <v>79</v>
      </c>
      <c r="I2502" s="30">
        <v>4.7106481481481478E-3</v>
      </c>
      <c r="J2502">
        <v>1</v>
      </c>
    </row>
    <row r="2503" spans="1:10" x14ac:dyDescent="0.35">
      <c r="A2503" t="s">
        <v>2855</v>
      </c>
      <c r="B2503" t="s">
        <v>307</v>
      </c>
      <c r="C2503" t="s">
        <v>2834</v>
      </c>
      <c r="D2503" s="30">
        <v>0.50900462962962967</v>
      </c>
      <c r="E2503" t="s">
        <v>298</v>
      </c>
      <c r="F2503" t="s">
        <v>299</v>
      </c>
      <c r="G2503" t="s">
        <v>299</v>
      </c>
      <c r="H2503">
        <v>123</v>
      </c>
      <c r="I2503" s="30">
        <v>4.6527777777777774E-3</v>
      </c>
      <c r="J2503">
        <v>2</v>
      </c>
    </row>
    <row r="2504" spans="1:10" x14ac:dyDescent="0.35">
      <c r="A2504" t="s">
        <v>2856</v>
      </c>
      <c r="B2504" t="s">
        <v>332</v>
      </c>
      <c r="C2504" t="s">
        <v>2834</v>
      </c>
      <c r="D2504" s="30">
        <v>0.51799768518518519</v>
      </c>
      <c r="E2504" t="s">
        <v>314</v>
      </c>
      <c r="F2504" t="s">
        <v>299</v>
      </c>
      <c r="G2504" t="s">
        <v>299</v>
      </c>
      <c r="H2504">
        <v>97</v>
      </c>
      <c r="I2504" s="30">
        <v>1.7592592592592592E-3</v>
      </c>
      <c r="J2504">
        <v>1</v>
      </c>
    </row>
    <row r="2505" spans="1:10" x14ac:dyDescent="0.35">
      <c r="A2505" t="s">
        <v>2857</v>
      </c>
      <c r="B2505" t="s">
        <v>332</v>
      </c>
      <c r="C2505" t="s">
        <v>2834</v>
      </c>
      <c r="D2505" s="30">
        <v>0.51799768518518519</v>
      </c>
      <c r="E2505" t="s">
        <v>302</v>
      </c>
      <c r="F2505" t="s">
        <v>299</v>
      </c>
      <c r="G2505" t="s">
        <v>299</v>
      </c>
      <c r="H2505">
        <v>74</v>
      </c>
      <c r="I2505" s="30">
        <v>4.1319444444444442E-3</v>
      </c>
      <c r="J2505">
        <v>3</v>
      </c>
    </row>
    <row r="2506" spans="1:10" x14ac:dyDescent="0.35">
      <c r="A2506" t="s">
        <v>2858</v>
      </c>
      <c r="B2506" t="s">
        <v>316</v>
      </c>
      <c r="C2506" t="s">
        <v>2834</v>
      </c>
      <c r="D2506" s="30">
        <v>0.51900462962962968</v>
      </c>
      <c r="E2506" t="s">
        <v>314</v>
      </c>
      <c r="F2506" t="s">
        <v>299</v>
      </c>
      <c r="G2506" t="s">
        <v>299</v>
      </c>
      <c r="H2506">
        <v>68</v>
      </c>
      <c r="I2506" s="30">
        <v>2.1990740740740742E-3</v>
      </c>
      <c r="J2506">
        <v>5</v>
      </c>
    </row>
    <row r="2507" spans="1:10" x14ac:dyDescent="0.35">
      <c r="A2507" t="s">
        <v>2859</v>
      </c>
      <c r="B2507" t="s">
        <v>319</v>
      </c>
      <c r="C2507" t="s">
        <v>2834</v>
      </c>
      <c r="D2507" s="30">
        <v>0.51900462962962968</v>
      </c>
      <c r="E2507" t="s">
        <v>317</v>
      </c>
      <c r="F2507" t="s">
        <v>299</v>
      </c>
      <c r="G2507" t="s">
        <v>299</v>
      </c>
      <c r="H2507">
        <v>100</v>
      </c>
      <c r="I2507" s="30">
        <v>3.0787037037037037E-3</v>
      </c>
      <c r="J2507">
        <v>5</v>
      </c>
    </row>
    <row r="2508" spans="1:10" x14ac:dyDescent="0.35">
      <c r="A2508" t="s">
        <v>2860</v>
      </c>
      <c r="B2508" t="s">
        <v>316</v>
      </c>
      <c r="C2508" t="s">
        <v>2834</v>
      </c>
      <c r="D2508" s="30">
        <v>0.52</v>
      </c>
      <c r="E2508" t="s">
        <v>314</v>
      </c>
      <c r="F2508" t="s">
        <v>303</v>
      </c>
      <c r="G2508" t="s">
        <v>303</v>
      </c>
    </row>
    <row r="2509" spans="1:10" x14ac:dyDescent="0.35">
      <c r="A2509" t="s">
        <v>2861</v>
      </c>
      <c r="B2509" t="s">
        <v>323</v>
      </c>
      <c r="C2509" t="s">
        <v>2834</v>
      </c>
      <c r="D2509" s="30">
        <v>0.52</v>
      </c>
      <c r="E2509" t="s">
        <v>298</v>
      </c>
      <c r="F2509" t="s">
        <v>299</v>
      </c>
      <c r="G2509" t="s">
        <v>299</v>
      </c>
      <c r="H2509">
        <v>34</v>
      </c>
      <c r="I2509" s="30">
        <v>3.1134259259259257E-3</v>
      </c>
      <c r="J2509">
        <v>4</v>
      </c>
    </row>
    <row r="2510" spans="1:10" x14ac:dyDescent="0.35">
      <c r="A2510" t="s">
        <v>2862</v>
      </c>
      <c r="B2510" t="s">
        <v>332</v>
      </c>
      <c r="C2510" t="s">
        <v>2834</v>
      </c>
      <c r="D2510" s="30">
        <v>0.5329976851851852</v>
      </c>
      <c r="E2510" t="s">
        <v>302</v>
      </c>
      <c r="F2510" t="s">
        <v>303</v>
      </c>
      <c r="G2510" t="s">
        <v>303</v>
      </c>
    </row>
    <row r="2511" spans="1:10" x14ac:dyDescent="0.35">
      <c r="A2511" t="s">
        <v>2863</v>
      </c>
      <c r="B2511" t="s">
        <v>307</v>
      </c>
      <c r="C2511" t="s">
        <v>2834</v>
      </c>
      <c r="D2511" s="30">
        <v>0.5329976851851852</v>
      </c>
      <c r="E2511" t="s">
        <v>298</v>
      </c>
      <c r="F2511" t="s">
        <v>299</v>
      </c>
      <c r="G2511" t="s">
        <v>299</v>
      </c>
      <c r="H2511">
        <v>33</v>
      </c>
      <c r="I2511" s="30">
        <v>2.6157407407407405E-3</v>
      </c>
      <c r="J2511">
        <v>1</v>
      </c>
    </row>
    <row r="2512" spans="1:10" x14ac:dyDescent="0.35">
      <c r="A2512" t="s">
        <v>2864</v>
      </c>
      <c r="B2512" t="s">
        <v>307</v>
      </c>
      <c r="C2512" t="s">
        <v>2834</v>
      </c>
      <c r="D2512" s="30">
        <v>0.53700231481481486</v>
      </c>
      <c r="E2512" t="s">
        <v>298</v>
      </c>
      <c r="F2512" t="s">
        <v>299</v>
      </c>
      <c r="G2512" t="s">
        <v>299</v>
      </c>
      <c r="H2512">
        <v>63</v>
      </c>
      <c r="I2512" s="30">
        <v>3.6226851851851854E-3</v>
      </c>
      <c r="J2512">
        <v>5</v>
      </c>
    </row>
    <row r="2513" spans="1:10" x14ac:dyDescent="0.35">
      <c r="A2513" t="s">
        <v>2865</v>
      </c>
      <c r="B2513" t="s">
        <v>307</v>
      </c>
      <c r="C2513" t="s">
        <v>2834</v>
      </c>
      <c r="D2513" s="30">
        <v>0.53700231481481486</v>
      </c>
      <c r="E2513" t="s">
        <v>302</v>
      </c>
      <c r="F2513" t="s">
        <v>299</v>
      </c>
      <c r="G2513" t="s">
        <v>299</v>
      </c>
      <c r="H2513">
        <v>54</v>
      </c>
      <c r="I2513" s="30">
        <v>2.0601851851851853E-3</v>
      </c>
      <c r="J2513">
        <v>1</v>
      </c>
    </row>
    <row r="2514" spans="1:10" x14ac:dyDescent="0.35">
      <c r="A2514" t="s">
        <v>2866</v>
      </c>
      <c r="B2514" t="s">
        <v>307</v>
      </c>
      <c r="C2514" t="s">
        <v>2834</v>
      </c>
      <c r="D2514" s="30">
        <v>0.55099537037037039</v>
      </c>
      <c r="E2514" t="s">
        <v>314</v>
      </c>
      <c r="F2514" t="s">
        <v>303</v>
      </c>
      <c r="G2514" t="s">
        <v>303</v>
      </c>
    </row>
    <row r="2515" spans="1:10" x14ac:dyDescent="0.35">
      <c r="A2515" t="s">
        <v>2867</v>
      </c>
      <c r="B2515" t="s">
        <v>307</v>
      </c>
      <c r="C2515" t="s">
        <v>2834</v>
      </c>
      <c r="D2515" s="30">
        <v>0.55099537037037039</v>
      </c>
      <c r="E2515" t="s">
        <v>302</v>
      </c>
      <c r="F2515" t="s">
        <v>299</v>
      </c>
      <c r="G2515" t="s">
        <v>299</v>
      </c>
      <c r="H2515">
        <v>91</v>
      </c>
      <c r="I2515" s="30">
        <v>2.5694444444444445E-3</v>
      </c>
      <c r="J2515">
        <v>2</v>
      </c>
    </row>
    <row r="2516" spans="1:10" x14ac:dyDescent="0.35">
      <c r="A2516" t="s">
        <v>2868</v>
      </c>
      <c r="B2516" t="s">
        <v>301</v>
      </c>
      <c r="C2516" t="s">
        <v>2834</v>
      </c>
      <c r="D2516" s="30">
        <v>0.55299768518518522</v>
      </c>
      <c r="E2516" t="s">
        <v>309</v>
      </c>
      <c r="F2516" t="s">
        <v>299</v>
      </c>
      <c r="G2516" t="s">
        <v>299</v>
      </c>
      <c r="H2516">
        <v>89</v>
      </c>
      <c r="I2516" s="30">
        <v>2.9513888888888888E-3</v>
      </c>
      <c r="J2516">
        <v>4</v>
      </c>
    </row>
    <row r="2517" spans="1:10" x14ac:dyDescent="0.35">
      <c r="A2517" t="s">
        <v>2869</v>
      </c>
      <c r="B2517" t="s">
        <v>319</v>
      </c>
      <c r="C2517" t="s">
        <v>2834</v>
      </c>
      <c r="D2517" s="30">
        <v>0.55299768518518522</v>
      </c>
      <c r="E2517" t="s">
        <v>309</v>
      </c>
      <c r="F2517" t="s">
        <v>299</v>
      </c>
      <c r="G2517" t="s">
        <v>299</v>
      </c>
      <c r="H2517">
        <v>75</v>
      </c>
      <c r="I2517" s="30">
        <v>3.2291666666666666E-3</v>
      </c>
      <c r="J2517">
        <v>5</v>
      </c>
    </row>
    <row r="2518" spans="1:10" x14ac:dyDescent="0.35">
      <c r="A2518" t="s">
        <v>2870</v>
      </c>
      <c r="B2518" t="s">
        <v>307</v>
      </c>
      <c r="C2518" t="s">
        <v>2834</v>
      </c>
      <c r="D2518" s="30">
        <v>0.56299768518518523</v>
      </c>
      <c r="E2518" t="s">
        <v>317</v>
      </c>
      <c r="F2518" t="s">
        <v>299</v>
      </c>
      <c r="G2518" t="s">
        <v>299</v>
      </c>
      <c r="H2518">
        <v>54</v>
      </c>
      <c r="I2518" s="30">
        <v>4.0509259259259258E-4</v>
      </c>
      <c r="J2518">
        <v>4</v>
      </c>
    </row>
    <row r="2519" spans="1:10" x14ac:dyDescent="0.35">
      <c r="A2519" t="s">
        <v>2871</v>
      </c>
      <c r="B2519" t="s">
        <v>305</v>
      </c>
      <c r="C2519" t="s">
        <v>2834</v>
      </c>
      <c r="D2519" s="30">
        <v>0.56299768518518523</v>
      </c>
      <c r="E2519" t="s">
        <v>309</v>
      </c>
      <c r="F2519" t="s">
        <v>299</v>
      </c>
      <c r="G2519" t="s">
        <v>299</v>
      </c>
      <c r="H2519">
        <v>43</v>
      </c>
      <c r="I2519" s="30">
        <v>2.1759259259259258E-3</v>
      </c>
      <c r="J2519">
        <v>3</v>
      </c>
    </row>
    <row r="2520" spans="1:10" x14ac:dyDescent="0.35">
      <c r="A2520" t="s">
        <v>2872</v>
      </c>
      <c r="B2520" t="s">
        <v>305</v>
      </c>
      <c r="C2520" t="s">
        <v>2834</v>
      </c>
      <c r="D2520" s="30">
        <v>0.60299768518518515</v>
      </c>
      <c r="E2520" t="s">
        <v>314</v>
      </c>
      <c r="F2520" t="s">
        <v>299</v>
      </c>
      <c r="G2520" t="s">
        <v>299</v>
      </c>
      <c r="H2520">
        <v>45</v>
      </c>
      <c r="I2520" s="30">
        <v>4.7800925925925927E-3</v>
      </c>
      <c r="J2520">
        <v>4</v>
      </c>
    </row>
    <row r="2521" spans="1:10" x14ac:dyDescent="0.35">
      <c r="A2521" t="s">
        <v>2873</v>
      </c>
      <c r="B2521" t="s">
        <v>323</v>
      </c>
      <c r="C2521" t="s">
        <v>2834</v>
      </c>
      <c r="D2521" s="30">
        <v>0.60299768518518515</v>
      </c>
      <c r="E2521" t="s">
        <v>309</v>
      </c>
      <c r="F2521" t="s">
        <v>299</v>
      </c>
      <c r="G2521" t="s">
        <v>299</v>
      </c>
      <c r="H2521">
        <v>79</v>
      </c>
      <c r="I2521" s="30">
        <v>3.5879629629629629E-4</v>
      </c>
      <c r="J2521">
        <v>5</v>
      </c>
    </row>
    <row r="2522" spans="1:10" x14ac:dyDescent="0.35">
      <c r="A2522" t="s">
        <v>2874</v>
      </c>
      <c r="B2522" t="s">
        <v>319</v>
      </c>
      <c r="C2522" t="s">
        <v>2834</v>
      </c>
      <c r="D2522" s="30">
        <v>0.61099537037037033</v>
      </c>
      <c r="E2522" t="s">
        <v>302</v>
      </c>
      <c r="F2522" t="s">
        <v>299</v>
      </c>
      <c r="G2522" t="s">
        <v>299</v>
      </c>
      <c r="H2522">
        <v>27</v>
      </c>
      <c r="I2522" s="30">
        <v>2.2453703703703702E-3</v>
      </c>
      <c r="J2522">
        <v>3</v>
      </c>
    </row>
    <row r="2523" spans="1:10" x14ac:dyDescent="0.35">
      <c r="A2523" t="s">
        <v>2875</v>
      </c>
      <c r="B2523" t="s">
        <v>296</v>
      </c>
      <c r="C2523" t="s">
        <v>2834</v>
      </c>
      <c r="D2523" s="30">
        <v>0.61099537037037033</v>
      </c>
      <c r="E2523" t="s">
        <v>309</v>
      </c>
      <c r="F2523" t="s">
        <v>299</v>
      </c>
      <c r="G2523" t="s">
        <v>299</v>
      </c>
      <c r="H2523">
        <v>59</v>
      </c>
      <c r="I2523" s="30">
        <v>3.8541666666666668E-3</v>
      </c>
      <c r="J2523">
        <v>3</v>
      </c>
    </row>
    <row r="2524" spans="1:10" x14ac:dyDescent="0.35">
      <c r="A2524" t="s">
        <v>2876</v>
      </c>
      <c r="B2524" t="s">
        <v>305</v>
      </c>
      <c r="C2524" t="s">
        <v>2834</v>
      </c>
      <c r="D2524" s="30">
        <v>0.63500000000000001</v>
      </c>
      <c r="E2524" t="s">
        <v>298</v>
      </c>
      <c r="F2524" t="s">
        <v>299</v>
      </c>
      <c r="G2524" t="s">
        <v>303</v>
      </c>
      <c r="H2524">
        <v>70</v>
      </c>
      <c r="I2524" s="30">
        <v>6.018518518518519E-4</v>
      </c>
      <c r="J2524">
        <v>4</v>
      </c>
    </row>
    <row r="2525" spans="1:10" x14ac:dyDescent="0.35">
      <c r="A2525" t="s">
        <v>2877</v>
      </c>
      <c r="B2525" t="s">
        <v>332</v>
      </c>
      <c r="C2525" t="s">
        <v>2834</v>
      </c>
      <c r="D2525" s="30">
        <v>0.63500000000000001</v>
      </c>
      <c r="E2525" t="s">
        <v>309</v>
      </c>
      <c r="F2525" t="s">
        <v>299</v>
      </c>
      <c r="G2525" t="s">
        <v>303</v>
      </c>
      <c r="H2525">
        <v>92</v>
      </c>
      <c r="I2525" s="30">
        <v>9.9537037037037042E-4</v>
      </c>
      <c r="J2525">
        <v>5</v>
      </c>
    </row>
    <row r="2526" spans="1:10" x14ac:dyDescent="0.35">
      <c r="A2526" t="s">
        <v>2878</v>
      </c>
      <c r="B2526" t="s">
        <v>307</v>
      </c>
      <c r="C2526" t="s">
        <v>2834</v>
      </c>
      <c r="D2526" s="30">
        <v>0.64799768518518519</v>
      </c>
      <c r="E2526" t="s">
        <v>302</v>
      </c>
      <c r="F2526" t="s">
        <v>299</v>
      </c>
      <c r="G2526" t="s">
        <v>299</v>
      </c>
      <c r="H2526">
        <v>96</v>
      </c>
      <c r="I2526" s="30">
        <v>3.1828703703703702E-3</v>
      </c>
      <c r="J2526">
        <v>2</v>
      </c>
    </row>
    <row r="2527" spans="1:10" x14ac:dyDescent="0.35">
      <c r="A2527" t="s">
        <v>2879</v>
      </c>
      <c r="B2527" t="s">
        <v>301</v>
      </c>
      <c r="C2527" t="s">
        <v>2834</v>
      </c>
      <c r="D2527" s="30">
        <v>0.64799768518518519</v>
      </c>
      <c r="E2527" t="s">
        <v>317</v>
      </c>
      <c r="F2527" t="s">
        <v>299</v>
      </c>
      <c r="G2527" t="s">
        <v>299</v>
      </c>
      <c r="H2527">
        <v>79</v>
      </c>
      <c r="I2527" s="30">
        <v>3.5879629629629629E-3</v>
      </c>
      <c r="J2527">
        <v>5</v>
      </c>
    </row>
    <row r="2528" spans="1:10" x14ac:dyDescent="0.35">
      <c r="A2528" t="s">
        <v>2880</v>
      </c>
      <c r="B2528" t="s">
        <v>307</v>
      </c>
      <c r="C2528" t="s">
        <v>2834</v>
      </c>
      <c r="D2528" s="30">
        <v>0.66500000000000004</v>
      </c>
      <c r="E2528" t="s">
        <v>314</v>
      </c>
      <c r="F2528" t="s">
        <v>299</v>
      </c>
      <c r="G2528" t="s">
        <v>299</v>
      </c>
      <c r="H2528">
        <v>115</v>
      </c>
      <c r="I2528" s="30">
        <v>7.5231481481481482E-4</v>
      </c>
      <c r="J2528">
        <v>5</v>
      </c>
    </row>
    <row r="2529" spans="1:10" x14ac:dyDescent="0.35">
      <c r="A2529" t="s">
        <v>2881</v>
      </c>
      <c r="B2529" t="s">
        <v>316</v>
      </c>
      <c r="C2529" t="s">
        <v>2834</v>
      </c>
      <c r="D2529" s="30">
        <v>0.66500000000000004</v>
      </c>
      <c r="E2529" t="s">
        <v>309</v>
      </c>
      <c r="F2529" t="s">
        <v>299</v>
      </c>
      <c r="G2529" t="s">
        <v>299</v>
      </c>
      <c r="H2529">
        <v>71</v>
      </c>
      <c r="I2529" s="30">
        <v>4.0046296296296297E-3</v>
      </c>
      <c r="J2529">
        <v>3</v>
      </c>
    </row>
    <row r="2530" spans="1:10" x14ac:dyDescent="0.35">
      <c r="A2530" t="s">
        <v>2882</v>
      </c>
      <c r="B2530" t="s">
        <v>323</v>
      </c>
      <c r="C2530" t="s">
        <v>2834</v>
      </c>
      <c r="D2530" s="30">
        <v>0.67799768518518522</v>
      </c>
      <c r="E2530" t="s">
        <v>317</v>
      </c>
      <c r="F2530" t="s">
        <v>303</v>
      </c>
      <c r="G2530" t="s">
        <v>303</v>
      </c>
    </row>
    <row r="2531" spans="1:10" x14ac:dyDescent="0.35">
      <c r="A2531" t="s">
        <v>2883</v>
      </c>
      <c r="B2531" t="s">
        <v>305</v>
      </c>
      <c r="C2531" t="s">
        <v>2834</v>
      </c>
      <c r="D2531" s="30">
        <v>0.67799768518518522</v>
      </c>
      <c r="E2531" t="s">
        <v>309</v>
      </c>
      <c r="F2531" t="s">
        <v>299</v>
      </c>
      <c r="G2531" t="s">
        <v>303</v>
      </c>
      <c r="H2531">
        <v>124</v>
      </c>
      <c r="I2531" s="30">
        <v>3.9467592592592592E-3</v>
      </c>
      <c r="J2531">
        <v>4</v>
      </c>
    </row>
    <row r="2532" spans="1:10" x14ac:dyDescent="0.35">
      <c r="A2532" t="s">
        <v>2884</v>
      </c>
      <c r="B2532" t="s">
        <v>296</v>
      </c>
      <c r="C2532" t="s">
        <v>2834</v>
      </c>
      <c r="D2532" s="30">
        <v>0.70200231481481479</v>
      </c>
      <c r="E2532" t="s">
        <v>309</v>
      </c>
      <c r="F2532" t="s">
        <v>303</v>
      </c>
      <c r="G2532" t="s">
        <v>303</v>
      </c>
    </row>
    <row r="2533" spans="1:10" x14ac:dyDescent="0.35">
      <c r="A2533" t="s">
        <v>2885</v>
      </c>
      <c r="B2533" t="s">
        <v>319</v>
      </c>
      <c r="C2533" t="s">
        <v>2834</v>
      </c>
      <c r="D2533" s="30">
        <v>0.70200231481481479</v>
      </c>
      <c r="E2533" t="s">
        <v>298</v>
      </c>
      <c r="F2533" t="s">
        <v>299</v>
      </c>
      <c r="G2533" t="s">
        <v>299</v>
      </c>
      <c r="H2533">
        <v>35</v>
      </c>
      <c r="I2533" s="30">
        <v>3.5879629629629629E-4</v>
      </c>
      <c r="J2533">
        <v>5</v>
      </c>
    </row>
    <row r="2534" spans="1:10" x14ac:dyDescent="0.35">
      <c r="A2534" t="s">
        <v>2886</v>
      </c>
      <c r="B2534" t="s">
        <v>332</v>
      </c>
      <c r="C2534" t="s">
        <v>2834</v>
      </c>
      <c r="D2534" s="30">
        <v>0.72099537037037043</v>
      </c>
      <c r="E2534" t="s">
        <v>298</v>
      </c>
      <c r="F2534" t="s">
        <v>299</v>
      </c>
      <c r="G2534" t="s">
        <v>299</v>
      </c>
      <c r="H2534">
        <v>106</v>
      </c>
      <c r="I2534" s="30">
        <v>2.3379629629629631E-3</v>
      </c>
      <c r="J2534">
        <v>3</v>
      </c>
    </row>
    <row r="2535" spans="1:10" x14ac:dyDescent="0.35">
      <c r="A2535" t="s">
        <v>2887</v>
      </c>
      <c r="B2535" t="s">
        <v>332</v>
      </c>
      <c r="C2535" t="s">
        <v>2834</v>
      </c>
      <c r="D2535" s="30">
        <v>0.72099537037037043</v>
      </c>
      <c r="E2535" t="s">
        <v>298</v>
      </c>
      <c r="F2535" t="s">
        <v>299</v>
      </c>
      <c r="G2535" t="s">
        <v>299</v>
      </c>
      <c r="H2535">
        <v>32</v>
      </c>
      <c r="I2535" s="30">
        <v>2.4652777777777776E-3</v>
      </c>
      <c r="J2535">
        <v>4</v>
      </c>
    </row>
    <row r="2536" spans="1:10" x14ac:dyDescent="0.35">
      <c r="A2536" t="s">
        <v>2888</v>
      </c>
      <c r="B2536" t="s">
        <v>316</v>
      </c>
      <c r="C2536" t="s">
        <v>2889</v>
      </c>
      <c r="D2536" s="30">
        <v>0.38</v>
      </c>
      <c r="E2536" t="s">
        <v>309</v>
      </c>
      <c r="F2536" t="s">
        <v>299</v>
      </c>
      <c r="G2536" t="s">
        <v>299</v>
      </c>
      <c r="H2536">
        <v>119</v>
      </c>
      <c r="I2536" s="30">
        <v>2.9861111111111113E-3</v>
      </c>
      <c r="J2536">
        <v>4</v>
      </c>
    </row>
    <row r="2537" spans="1:10" x14ac:dyDescent="0.35">
      <c r="A2537" t="s">
        <v>2890</v>
      </c>
      <c r="B2537" t="s">
        <v>307</v>
      </c>
      <c r="C2537" t="s">
        <v>2889</v>
      </c>
      <c r="D2537" s="30">
        <v>0.38</v>
      </c>
      <c r="E2537" t="s">
        <v>298</v>
      </c>
      <c r="F2537" t="s">
        <v>299</v>
      </c>
      <c r="G2537" t="s">
        <v>299</v>
      </c>
      <c r="H2537">
        <v>112</v>
      </c>
      <c r="I2537" s="30">
        <v>3.1134259259259257E-3</v>
      </c>
      <c r="J2537">
        <v>2</v>
      </c>
    </row>
    <row r="2538" spans="1:10" x14ac:dyDescent="0.35">
      <c r="A2538" t="s">
        <v>2891</v>
      </c>
      <c r="B2538" t="s">
        <v>305</v>
      </c>
      <c r="C2538" t="s">
        <v>2889</v>
      </c>
      <c r="D2538" s="30">
        <v>0.4020023148148148</v>
      </c>
      <c r="E2538" t="s">
        <v>302</v>
      </c>
      <c r="F2538" t="s">
        <v>299</v>
      </c>
      <c r="G2538" t="s">
        <v>299</v>
      </c>
      <c r="H2538">
        <v>49</v>
      </c>
      <c r="I2538" s="30">
        <v>2.8935185185185184E-3</v>
      </c>
      <c r="J2538">
        <v>1</v>
      </c>
    </row>
    <row r="2539" spans="1:10" x14ac:dyDescent="0.35">
      <c r="A2539" t="s">
        <v>2892</v>
      </c>
      <c r="B2539" t="s">
        <v>305</v>
      </c>
      <c r="C2539" t="s">
        <v>2889</v>
      </c>
      <c r="D2539" s="30">
        <v>0.4020023148148148</v>
      </c>
      <c r="E2539" t="s">
        <v>298</v>
      </c>
      <c r="F2539" t="s">
        <v>303</v>
      </c>
      <c r="G2539" t="s">
        <v>303</v>
      </c>
    </row>
    <row r="2540" spans="1:10" x14ac:dyDescent="0.35">
      <c r="A2540" t="s">
        <v>2893</v>
      </c>
      <c r="B2540" t="s">
        <v>319</v>
      </c>
      <c r="C2540" t="s">
        <v>2889</v>
      </c>
      <c r="D2540" s="30">
        <v>0.4070023148148148</v>
      </c>
      <c r="E2540" t="s">
        <v>314</v>
      </c>
      <c r="F2540" t="s">
        <v>299</v>
      </c>
      <c r="G2540" t="s">
        <v>299</v>
      </c>
      <c r="H2540">
        <v>74</v>
      </c>
      <c r="I2540" s="30">
        <v>3.4027777777777776E-3</v>
      </c>
      <c r="J2540">
        <v>3</v>
      </c>
    </row>
    <row r="2541" spans="1:10" x14ac:dyDescent="0.35">
      <c r="A2541" t="s">
        <v>2894</v>
      </c>
      <c r="B2541" t="s">
        <v>307</v>
      </c>
      <c r="C2541" t="s">
        <v>2889</v>
      </c>
      <c r="D2541" s="30">
        <v>0.4070023148148148</v>
      </c>
      <c r="E2541" t="s">
        <v>317</v>
      </c>
      <c r="F2541" t="s">
        <v>299</v>
      </c>
      <c r="G2541" t="s">
        <v>303</v>
      </c>
      <c r="H2541">
        <v>117</v>
      </c>
      <c r="I2541" s="30">
        <v>1.9097222222222222E-3</v>
      </c>
      <c r="J2541">
        <v>4</v>
      </c>
    </row>
    <row r="2542" spans="1:10" x14ac:dyDescent="0.35">
      <c r="A2542" t="s">
        <v>2895</v>
      </c>
      <c r="B2542" t="s">
        <v>316</v>
      </c>
      <c r="C2542" t="s">
        <v>2889</v>
      </c>
      <c r="D2542" s="30">
        <v>0.40900462962962963</v>
      </c>
      <c r="E2542" t="s">
        <v>298</v>
      </c>
      <c r="F2542" t="s">
        <v>303</v>
      </c>
      <c r="G2542" t="s">
        <v>303</v>
      </c>
    </row>
    <row r="2543" spans="1:10" x14ac:dyDescent="0.35">
      <c r="A2543" t="s">
        <v>2896</v>
      </c>
      <c r="B2543" t="s">
        <v>296</v>
      </c>
      <c r="C2543" t="s">
        <v>2889</v>
      </c>
      <c r="D2543" s="30">
        <v>0.40900462962962963</v>
      </c>
      <c r="E2543" t="s">
        <v>314</v>
      </c>
      <c r="F2543" t="s">
        <v>299</v>
      </c>
      <c r="G2543" t="s">
        <v>299</v>
      </c>
      <c r="H2543">
        <v>40</v>
      </c>
      <c r="I2543" s="30">
        <v>4.7569444444444447E-3</v>
      </c>
      <c r="J2543">
        <v>1</v>
      </c>
    </row>
    <row r="2544" spans="1:10" x14ac:dyDescent="0.35">
      <c r="A2544" t="s">
        <v>2897</v>
      </c>
      <c r="B2544" t="s">
        <v>323</v>
      </c>
      <c r="C2544" t="s">
        <v>2889</v>
      </c>
      <c r="D2544" s="30">
        <v>0.43400462962962966</v>
      </c>
      <c r="E2544" t="s">
        <v>298</v>
      </c>
      <c r="F2544" t="s">
        <v>299</v>
      </c>
      <c r="G2544" t="s">
        <v>299</v>
      </c>
      <c r="H2544">
        <v>87</v>
      </c>
      <c r="I2544" s="30">
        <v>3.3912037037037036E-3</v>
      </c>
      <c r="J2544">
        <v>5</v>
      </c>
    </row>
    <row r="2545" spans="1:10" x14ac:dyDescent="0.35">
      <c r="A2545" t="s">
        <v>2898</v>
      </c>
      <c r="B2545" t="s">
        <v>323</v>
      </c>
      <c r="C2545" t="s">
        <v>2889</v>
      </c>
      <c r="D2545" s="30">
        <v>0.43400462962962966</v>
      </c>
      <c r="E2545" t="s">
        <v>317</v>
      </c>
      <c r="F2545" t="s">
        <v>299</v>
      </c>
      <c r="G2545" t="s">
        <v>299</v>
      </c>
      <c r="H2545">
        <v>58</v>
      </c>
      <c r="I2545" s="30">
        <v>9.7222222222222219E-4</v>
      </c>
      <c r="J2545">
        <v>4</v>
      </c>
    </row>
    <row r="2546" spans="1:10" x14ac:dyDescent="0.35">
      <c r="A2546" t="s">
        <v>2899</v>
      </c>
      <c r="B2546" t="s">
        <v>301</v>
      </c>
      <c r="C2546" t="s">
        <v>2889</v>
      </c>
      <c r="D2546" s="30">
        <v>0.43799768518518517</v>
      </c>
      <c r="E2546" t="s">
        <v>302</v>
      </c>
      <c r="F2546" t="s">
        <v>299</v>
      </c>
      <c r="G2546" t="s">
        <v>299</v>
      </c>
      <c r="H2546">
        <v>84</v>
      </c>
      <c r="I2546" s="30">
        <v>4.1666666666666666E-3</v>
      </c>
      <c r="J2546">
        <v>4</v>
      </c>
    </row>
    <row r="2547" spans="1:10" x14ac:dyDescent="0.35">
      <c r="A2547" t="s">
        <v>2900</v>
      </c>
      <c r="B2547" t="s">
        <v>316</v>
      </c>
      <c r="C2547" t="s">
        <v>2889</v>
      </c>
      <c r="D2547" s="30">
        <v>0.43799768518518517</v>
      </c>
      <c r="E2547" t="s">
        <v>309</v>
      </c>
      <c r="F2547" t="s">
        <v>299</v>
      </c>
      <c r="G2547" t="s">
        <v>299</v>
      </c>
      <c r="H2547">
        <v>54</v>
      </c>
      <c r="I2547" s="30">
        <v>1.5856481481481481E-3</v>
      </c>
      <c r="J2547">
        <v>2</v>
      </c>
    </row>
    <row r="2548" spans="1:10" x14ac:dyDescent="0.35">
      <c r="A2548" t="s">
        <v>2901</v>
      </c>
      <c r="B2548" t="s">
        <v>332</v>
      </c>
      <c r="C2548" t="s">
        <v>2889</v>
      </c>
      <c r="D2548" s="30">
        <v>0.45299768518518518</v>
      </c>
      <c r="E2548" t="s">
        <v>298</v>
      </c>
      <c r="F2548" t="s">
        <v>299</v>
      </c>
      <c r="G2548" t="s">
        <v>299</v>
      </c>
      <c r="H2548">
        <v>13</v>
      </c>
      <c r="I2548" s="30">
        <v>3.8888888888888888E-3</v>
      </c>
      <c r="J2548">
        <v>5</v>
      </c>
    </row>
    <row r="2549" spans="1:10" x14ac:dyDescent="0.35">
      <c r="A2549" t="s">
        <v>2902</v>
      </c>
      <c r="B2549" t="s">
        <v>296</v>
      </c>
      <c r="C2549" t="s">
        <v>2889</v>
      </c>
      <c r="D2549" s="30">
        <v>0.45299768518518518</v>
      </c>
      <c r="E2549" t="s">
        <v>302</v>
      </c>
      <c r="F2549" t="s">
        <v>303</v>
      </c>
      <c r="G2549" t="s">
        <v>303</v>
      </c>
    </row>
    <row r="2550" spans="1:10" x14ac:dyDescent="0.35">
      <c r="A2550" t="s">
        <v>2903</v>
      </c>
      <c r="B2550" t="s">
        <v>316</v>
      </c>
      <c r="C2550" t="s">
        <v>2889</v>
      </c>
      <c r="D2550" s="30">
        <v>0.49599537037037039</v>
      </c>
      <c r="E2550" t="s">
        <v>302</v>
      </c>
      <c r="F2550" t="s">
        <v>299</v>
      </c>
      <c r="G2550" t="s">
        <v>299</v>
      </c>
      <c r="H2550">
        <v>42</v>
      </c>
      <c r="I2550" s="30">
        <v>4.1666666666666669E-4</v>
      </c>
      <c r="J2550">
        <v>4</v>
      </c>
    </row>
    <row r="2551" spans="1:10" x14ac:dyDescent="0.35">
      <c r="A2551" t="s">
        <v>2904</v>
      </c>
      <c r="B2551" t="s">
        <v>305</v>
      </c>
      <c r="C2551" t="s">
        <v>2889</v>
      </c>
      <c r="D2551" s="30">
        <v>0.49599537037037039</v>
      </c>
      <c r="E2551" t="s">
        <v>309</v>
      </c>
      <c r="F2551" t="s">
        <v>299</v>
      </c>
      <c r="G2551" t="s">
        <v>299</v>
      </c>
      <c r="H2551">
        <v>12</v>
      </c>
      <c r="I2551" s="30">
        <v>1.8055555555555555E-3</v>
      </c>
      <c r="J2551">
        <v>1</v>
      </c>
    </row>
    <row r="2552" spans="1:10" x14ac:dyDescent="0.35">
      <c r="A2552" t="s">
        <v>2905</v>
      </c>
      <c r="B2552" t="s">
        <v>296</v>
      </c>
      <c r="C2552" t="s">
        <v>2889</v>
      </c>
      <c r="D2552" s="30">
        <v>0.52200231481481485</v>
      </c>
      <c r="E2552" t="s">
        <v>314</v>
      </c>
      <c r="F2552" t="s">
        <v>299</v>
      </c>
      <c r="G2552" t="s">
        <v>299</v>
      </c>
      <c r="H2552">
        <v>13</v>
      </c>
      <c r="I2552" s="30">
        <v>3.2407407407407406E-3</v>
      </c>
      <c r="J2552">
        <v>3</v>
      </c>
    </row>
    <row r="2553" spans="1:10" x14ac:dyDescent="0.35">
      <c r="A2553" t="s">
        <v>2906</v>
      </c>
      <c r="B2553" t="s">
        <v>307</v>
      </c>
      <c r="C2553" t="s">
        <v>2889</v>
      </c>
      <c r="D2553" s="30">
        <v>0.52200231481481485</v>
      </c>
      <c r="E2553" t="s">
        <v>298</v>
      </c>
      <c r="F2553" t="s">
        <v>303</v>
      </c>
      <c r="G2553" t="s">
        <v>303</v>
      </c>
    </row>
    <row r="2554" spans="1:10" x14ac:dyDescent="0.35">
      <c r="A2554" t="s">
        <v>2907</v>
      </c>
      <c r="B2554" t="s">
        <v>296</v>
      </c>
      <c r="C2554" t="s">
        <v>2889</v>
      </c>
      <c r="D2554" s="30">
        <v>0.52900462962962957</v>
      </c>
      <c r="E2554" t="s">
        <v>317</v>
      </c>
      <c r="F2554" t="s">
        <v>299</v>
      </c>
      <c r="G2554" t="s">
        <v>299</v>
      </c>
      <c r="H2554">
        <v>100</v>
      </c>
      <c r="I2554" s="30">
        <v>2.2106481481481482E-3</v>
      </c>
      <c r="J2554">
        <v>5</v>
      </c>
    </row>
    <row r="2555" spans="1:10" x14ac:dyDescent="0.35">
      <c r="A2555" t="s">
        <v>2908</v>
      </c>
      <c r="B2555" t="s">
        <v>319</v>
      </c>
      <c r="C2555" t="s">
        <v>2889</v>
      </c>
      <c r="D2555" s="30">
        <v>0.52900462962962957</v>
      </c>
      <c r="E2555" t="s">
        <v>309</v>
      </c>
      <c r="F2555" t="s">
        <v>299</v>
      </c>
      <c r="G2555" t="s">
        <v>299</v>
      </c>
      <c r="H2555">
        <v>70</v>
      </c>
      <c r="I2555" s="30">
        <v>8.1018518518518516E-4</v>
      </c>
      <c r="J2555">
        <v>2</v>
      </c>
    </row>
    <row r="2556" spans="1:10" x14ac:dyDescent="0.35">
      <c r="A2556" t="s">
        <v>2909</v>
      </c>
      <c r="B2556" t="s">
        <v>305</v>
      </c>
      <c r="C2556" t="s">
        <v>2889</v>
      </c>
      <c r="D2556" s="30">
        <v>0.54</v>
      </c>
      <c r="E2556" t="s">
        <v>317</v>
      </c>
      <c r="F2556" t="s">
        <v>303</v>
      </c>
      <c r="G2556" t="s">
        <v>303</v>
      </c>
    </row>
    <row r="2557" spans="1:10" x14ac:dyDescent="0.35">
      <c r="A2557" t="s">
        <v>2910</v>
      </c>
      <c r="B2557" t="s">
        <v>316</v>
      </c>
      <c r="C2557" t="s">
        <v>2889</v>
      </c>
      <c r="D2557" s="30">
        <v>0.54</v>
      </c>
      <c r="E2557" t="s">
        <v>302</v>
      </c>
      <c r="F2557" t="s">
        <v>303</v>
      </c>
      <c r="G2557" t="s">
        <v>303</v>
      </c>
    </row>
    <row r="2558" spans="1:10" x14ac:dyDescent="0.35">
      <c r="A2558" t="s">
        <v>2911</v>
      </c>
      <c r="B2558" t="s">
        <v>301</v>
      </c>
      <c r="C2558" t="s">
        <v>2889</v>
      </c>
      <c r="D2558" s="30">
        <v>0.55099537037037039</v>
      </c>
      <c r="E2558" t="s">
        <v>302</v>
      </c>
      <c r="F2558" t="s">
        <v>299</v>
      </c>
      <c r="G2558" t="s">
        <v>299</v>
      </c>
      <c r="H2558">
        <v>102</v>
      </c>
      <c r="I2558" s="30">
        <v>4.0856481481481481E-3</v>
      </c>
      <c r="J2558">
        <v>4</v>
      </c>
    </row>
    <row r="2559" spans="1:10" x14ac:dyDescent="0.35">
      <c r="A2559" t="s">
        <v>2912</v>
      </c>
      <c r="B2559" t="s">
        <v>301</v>
      </c>
      <c r="C2559" t="s">
        <v>2889</v>
      </c>
      <c r="D2559" s="30">
        <v>0.55099537037037039</v>
      </c>
      <c r="E2559" t="s">
        <v>302</v>
      </c>
      <c r="F2559" t="s">
        <v>299</v>
      </c>
      <c r="G2559" t="s">
        <v>299</v>
      </c>
      <c r="H2559">
        <v>82</v>
      </c>
      <c r="I2559" s="30">
        <v>2.3032407407407407E-3</v>
      </c>
      <c r="J2559">
        <v>3</v>
      </c>
    </row>
    <row r="2560" spans="1:10" x14ac:dyDescent="0.35">
      <c r="A2560" t="s">
        <v>2913</v>
      </c>
      <c r="B2560" t="s">
        <v>319</v>
      </c>
      <c r="C2560" t="s">
        <v>2889</v>
      </c>
      <c r="D2560" s="30">
        <v>0.56000000000000005</v>
      </c>
      <c r="E2560" t="s">
        <v>317</v>
      </c>
      <c r="F2560" t="s">
        <v>299</v>
      </c>
      <c r="G2560" t="s">
        <v>303</v>
      </c>
      <c r="H2560">
        <v>24</v>
      </c>
      <c r="I2560" s="30">
        <v>2.8587962962962963E-3</v>
      </c>
      <c r="J2560">
        <v>5</v>
      </c>
    </row>
    <row r="2561" spans="1:10" x14ac:dyDescent="0.35">
      <c r="A2561" t="s">
        <v>2914</v>
      </c>
      <c r="B2561" t="s">
        <v>305</v>
      </c>
      <c r="C2561" t="s">
        <v>2889</v>
      </c>
      <c r="D2561" s="30">
        <v>0.56000000000000005</v>
      </c>
      <c r="E2561" t="s">
        <v>314</v>
      </c>
      <c r="F2561" t="s">
        <v>299</v>
      </c>
      <c r="G2561" t="s">
        <v>299</v>
      </c>
      <c r="H2561">
        <v>10</v>
      </c>
      <c r="I2561" s="30">
        <v>1.1458333333333333E-3</v>
      </c>
      <c r="J2561">
        <v>5</v>
      </c>
    </row>
    <row r="2562" spans="1:10" x14ac:dyDescent="0.35">
      <c r="A2562" t="s">
        <v>2915</v>
      </c>
      <c r="B2562" t="s">
        <v>316</v>
      </c>
      <c r="C2562" t="s">
        <v>2889</v>
      </c>
      <c r="D2562" s="30">
        <v>0.57400462962962961</v>
      </c>
      <c r="E2562" t="s">
        <v>309</v>
      </c>
      <c r="F2562" t="s">
        <v>303</v>
      </c>
      <c r="G2562" t="s">
        <v>303</v>
      </c>
    </row>
    <row r="2563" spans="1:10" x14ac:dyDescent="0.35">
      <c r="A2563" t="s">
        <v>2916</v>
      </c>
      <c r="B2563" t="s">
        <v>305</v>
      </c>
      <c r="C2563" t="s">
        <v>2889</v>
      </c>
      <c r="D2563" s="30">
        <v>0.57400462962962961</v>
      </c>
      <c r="E2563" t="s">
        <v>317</v>
      </c>
      <c r="F2563" t="s">
        <v>299</v>
      </c>
      <c r="G2563" t="s">
        <v>299</v>
      </c>
      <c r="H2563">
        <v>80</v>
      </c>
      <c r="I2563" s="30">
        <v>3.4837962962962965E-3</v>
      </c>
      <c r="J2563">
        <v>1</v>
      </c>
    </row>
    <row r="2564" spans="1:10" x14ac:dyDescent="0.35">
      <c r="A2564" t="s">
        <v>2917</v>
      </c>
      <c r="B2564" t="s">
        <v>305</v>
      </c>
      <c r="C2564" t="s">
        <v>2889</v>
      </c>
      <c r="D2564" s="30">
        <v>0.57700231481481479</v>
      </c>
      <c r="E2564" t="s">
        <v>302</v>
      </c>
      <c r="F2564" t="s">
        <v>299</v>
      </c>
      <c r="G2564" t="s">
        <v>299</v>
      </c>
      <c r="H2564">
        <v>63</v>
      </c>
      <c r="I2564" s="30">
        <v>4.3287037037037035E-3</v>
      </c>
      <c r="J2564">
        <v>4</v>
      </c>
    </row>
    <row r="2565" spans="1:10" x14ac:dyDescent="0.35">
      <c r="A2565" t="s">
        <v>2918</v>
      </c>
      <c r="B2565" t="s">
        <v>307</v>
      </c>
      <c r="C2565" t="s">
        <v>2889</v>
      </c>
      <c r="D2565" s="30">
        <v>0.57700231481481479</v>
      </c>
      <c r="E2565" t="s">
        <v>298</v>
      </c>
      <c r="F2565" t="s">
        <v>299</v>
      </c>
      <c r="G2565" t="s">
        <v>299</v>
      </c>
      <c r="H2565">
        <v>43</v>
      </c>
      <c r="I2565" s="30">
        <v>4.7800925925925927E-3</v>
      </c>
      <c r="J2565">
        <v>4</v>
      </c>
    </row>
    <row r="2566" spans="1:10" x14ac:dyDescent="0.35">
      <c r="A2566" t="s">
        <v>2919</v>
      </c>
      <c r="B2566" t="s">
        <v>332</v>
      </c>
      <c r="C2566" t="s">
        <v>2889</v>
      </c>
      <c r="D2566" s="30">
        <v>0.59799768518518515</v>
      </c>
      <c r="E2566" t="s">
        <v>309</v>
      </c>
      <c r="F2566" t="s">
        <v>303</v>
      </c>
      <c r="G2566" t="s">
        <v>303</v>
      </c>
    </row>
    <row r="2567" spans="1:10" x14ac:dyDescent="0.35">
      <c r="A2567" t="s">
        <v>2920</v>
      </c>
      <c r="B2567" t="s">
        <v>296</v>
      </c>
      <c r="C2567" t="s">
        <v>2889</v>
      </c>
      <c r="D2567" s="30">
        <v>0.59799768518518515</v>
      </c>
      <c r="E2567" t="s">
        <v>309</v>
      </c>
      <c r="F2567" t="s">
        <v>299</v>
      </c>
      <c r="G2567" t="s">
        <v>299</v>
      </c>
      <c r="H2567">
        <v>87</v>
      </c>
      <c r="I2567" s="30">
        <v>1.4120370370370369E-3</v>
      </c>
      <c r="J2567">
        <v>4</v>
      </c>
    </row>
    <row r="2568" spans="1:10" x14ac:dyDescent="0.35">
      <c r="A2568" t="s">
        <v>2921</v>
      </c>
      <c r="B2568" t="s">
        <v>319</v>
      </c>
      <c r="C2568" t="s">
        <v>2889</v>
      </c>
      <c r="D2568" s="30">
        <v>0.6</v>
      </c>
      <c r="E2568" t="s">
        <v>302</v>
      </c>
      <c r="F2568" t="s">
        <v>299</v>
      </c>
      <c r="G2568" t="s">
        <v>299</v>
      </c>
      <c r="H2568">
        <v>125</v>
      </c>
      <c r="I2568" s="30">
        <v>4.2129629629629626E-3</v>
      </c>
      <c r="J2568">
        <v>4</v>
      </c>
    </row>
    <row r="2569" spans="1:10" x14ac:dyDescent="0.35">
      <c r="A2569" t="s">
        <v>2922</v>
      </c>
      <c r="B2569" t="s">
        <v>305</v>
      </c>
      <c r="C2569" t="s">
        <v>2889</v>
      </c>
      <c r="D2569" s="30">
        <v>0.6</v>
      </c>
      <c r="E2569" t="s">
        <v>309</v>
      </c>
      <c r="F2569" t="s">
        <v>299</v>
      </c>
      <c r="G2569" t="s">
        <v>299</v>
      </c>
      <c r="H2569">
        <v>56</v>
      </c>
      <c r="I2569" s="30">
        <v>2.685185185185185E-3</v>
      </c>
      <c r="J2569">
        <v>1</v>
      </c>
    </row>
    <row r="2570" spans="1:10" x14ac:dyDescent="0.35">
      <c r="A2570" t="s">
        <v>2923</v>
      </c>
      <c r="B2570" t="s">
        <v>307</v>
      </c>
      <c r="C2570" t="s">
        <v>2889</v>
      </c>
      <c r="D2570" s="30">
        <v>0.61799768518518516</v>
      </c>
      <c r="E2570" t="s">
        <v>309</v>
      </c>
      <c r="F2570" t="s">
        <v>299</v>
      </c>
      <c r="G2570" t="s">
        <v>299</v>
      </c>
      <c r="H2570">
        <v>88</v>
      </c>
      <c r="I2570" s="30">
        <v>2.6157407407407405E-3</v>
      </c>
      <c r="J2570">
        <v>3</v>
      </c>
    </row>
    <row r="2571" spans="1:10" x14ac:dyDescent="0.35">
      <c r="A2571" t="s">
        <v>2924</v>
      </c>
      <c r="B2571" t="s">
        <v>316</v>
      </c>
      <c r="C2571" t="s">
        <v>2889</v>
      </c>
      <c r="D2571" s="30">
        <v>0.61799768518518516</v>
      </c>
      <c r="E2571" t="s">
        <v>309</v>
      </c>
      <c r="F2571" t="s">
        <v>299</v>
      </c>
      <c r="G2571" t="s">
        <v>299</v>
      </c>
      <c r="H2571">
        <v>45</v>
      </c>
      <c r="I2571" s="30">
        <v>8.9120370370370373E-4</v>
      </c>
      <c r="J2571">
        <v>4</v>
      </c>
    </row>
    <row r="2572" spans="1:10" x14ac:dyDescent="0.35">
      <c r="A2572" t="s">
        <v>2925</v>
      </c>
      <c r="B2572" t="s">
        <v>332</v>
      </c>
      <c r="C2572" t="s">
        <v>2889</v>
      </c>
      <c r="D2572" s="30">
        <v>0.61900462962962965</v>
      </c>
      <c r="E2572" t="s">
        <v>302</v>
      </c>
      <c r="F2572" t="s">
        <v>299</v>
      </c>
      <c r="G2572" t="s">
        <v>299</v>
      </c>
      <c r="H2572">
        <v>24</v>
      </c>
      <c r="I2572" s="30">
        <v>1.4004629629629629E-3</v>
      </c>
      <c r="J2572">
        <v>4</v>
      </c>
    </row>
    <row r="2573" spans="1:10" x14ac:dyDescent="0.35">
      <c r="A2573" t="s">
        <v>2926</v>
      </c>
      <c r="B2573" t="s">
        <v>316</v>
      </c>
      <c r="C2573" t="s">
        <v>2889</v>
      </c>
      <c r="D2573" s="30">
        <v>0.61900462962962965</v>
      </c>
      <c r="E2573" t="s">
        <v>298</v>
      </c>
      <c r="F2573" t="s">
        <v>299</v>
      </c>
      <c r="G2573" t="s">
        <v>299</v>
      </c>
      <c r="H2573">
        <v>23</v>
      </c>
      <c r="I2573" s="30">
        <v>2.9166666666666668E-3</v>
      </c>
      <c r="J2573">
        <v>5</v>
      </c>
    </row>
    <row r="2574" spans="1:10" x14ac:dyDescent="0.35">
      <c r="A2574" t="s">
        <v>2927</v>
      </c>
      <c r="B2574" t="s">
        <v>301</v>
      </c>
      <c r="C2574" t="s">
        <v>2889</v>
      </c>
      <c r="D2574" s="30">
        <v>0.64900462962962968</v>
      </c>
      <c r="E2574" t="s">
        <v>309</v>
      </c>
      <c r="F2574" t="s">
        <v>299</v>
      </c>
      <c r="G2574" t="s">
        <v>299</v>
      </c>
      <c r="H2574">
        <v>66</v>
      </c>
      <c r="I2574" s="30">
        <v>4.7106481481481478E-3</v>
      </c>
      <c r="J2574">
        <v>5</v>
      </c>
    </row>
    <row r="2575" spans="1:10" x14ac:dyDescent="0.35">
      <c r="A2575" t="s">
        <v>2928</v>
      </c>
      <c r="B2575" t="s">
        <v>323</v>
      </c>
      <c r="C2575" t="s">
        <v>2889</v>
      </c>
      <c r="D2575" s="30">
        <v>0.64900462962962968</v>
      </c>
      <c r="E2575" t="s">
        <v>314</v>
      </c>
      <c r="F2575" t="s">
        <v>303</v>
      </c>
      <c r="G2575" t="s">
        <v>303</v>
      </c>
    </row>
    <row r="2576" spans="1:10" x14ac:dyDescent="0.35">
      <c r="A2576" t="s">
        <v>2929</v>
      </c>
      <c r="B2576" t="s">
        <v>319</v>
      </c>
      <c r="C2576" t="s">
        <v>2889</v>
      </c>
      <c r="D2576" s="30">
        <v>0.68599537037037039</v>
      </c>
      <c r="E2576" t="s">
        <v>317</v>
      </c>
      <c r="F2576" t="s">
        <v>299</v>
      </c>
      <c r="G2576" t="s">
        <v>299</v>
      </c>
      <c r="H2576">
        <v>67</v>
      </c>
      <c r="I2576" s="30">
        <v>1.0995370370370371E-3</v>
      </c>
      <c r="J2576">
        <v>4</v>
      </c>
    </row>
    <row r="2577" spans="1:10" x14ac:dyDescent="0.35">
      <c r="A2577" t="s">
        <v>2930</v>
      </c>
      <c r="B2577" t="s">
        <v>301</v>
      </c>
      <c r="C2577" t="s">
        <v>2889</v>
      </c>
      <c r="D2577" s="30">
        <v>0.68599537037037039</v>
      </c>
      <c r="E2577" t="s">
        <v>302</v>
      </c>
      <c r="F2577" t="s">
        <v>299</v>
      </c>
      <c r="G2577" t="s">
        <v>299</v>
      </c>
      <c r="H2577">
        <v>39</v>
      </c>
      <c r="I2577" s="30">
        <v>3.6342592592592594E-3</v>
      </c>
      <c r="J2577">
        <v>1</v>
      </c>
    </row>
    <row r="2578" spans="1:10" x14ac:dyDescent="0.35">
      <c r="A2578" t="s">
        <v>2931</v>
      </c>
      <c r="B2578" t="s">
        <v>301</v>
      </c>
      <c r="C2578" t="s">
        <v>2889</v>
      </c>
      <c r="D2578" s="30">
        <v>0.69299768518518523</v>
      </c>
      <c r="E2578" t="s">
        <v>317</v>
      </c>
      <c r="F2578" t="s">
        <v>299</v>
      </c>
      <c r="G2578" t="s">
        <v>299</v>
      </c>
      <c r="H2578">
        <v>70</v>
      </c>
      <c r="I2578" s="30">
        <v>4.5138888888888892E-4</v>
      </c>
      <c r="J2578">
        <v>1</v>
      </c>
    </row>
    <row r="2579" spans="1:10" x14ac:dyDescent="0.35">
      <c r="A2579" t="s">
        <v>2932</v>
      </c>
      <c r="B2579" t="s">
        <v>316</v>
      </c>
      <c r="C2579" t="s">
        <v>2889</v>
      </c>
      <c r="D2579" s="30">
        <v>0.69299768518518523</v>
      </c>
      <c r="E2579" t="s">
        <v>314</v>
      </c>
      <c r="F2579" t="s">
        <v>299</v>
      </c>
      <c r="G2579" t="s">
        <v>299</v>
      </c>
      <c r="H2579">
        <v>40</v>
      </c>
      <c r="I2579" s="30">
        <v>4.6180555555555558E-3</v>
      </c>
      <c r="J2579">
        <v>5</v>
      </c>
    </row>
    <row r="2580" spans="1:10" x14ac:dyDescent="0.35">
      <c r="A2580" t="s">
        <v>2933</v>
      </c>
      <c r="B2580" t="s">
        <v>305</v>
      </c>
      <c r="C2580" t="s">
        <v>2889</v>
      </c>
      <c r="D2580" s="30">
        <v>0.69299768518518523</v>
      </c>
      <c r="E2580" t="s">
        <v>298</v>
      </c>
      <c r="F2580" t="s">
        <v>303</v>
      </c>
      <c r="G2580" t="s">
        <v>303</v>
      </c>
    </row>
    <row r="2581" spans="1:10" x14ac:dyDescent="0.35">
      <c r="A2581" t="s">
        <v>2934</v>
      </c>
      <c r="B2581" t="s">
        <v>323</v>
      </c>
      <c r="C2581" t="s">
        <v>2889</v>
      </c>
      <c r="D2581" s="30">
        <v>0.69299768518518523</v>
      </c>
      <c r="E2581" t="s">
        <v>314</v>
      </c>
      <c r="F2581" t="s">
        <v>299</v>
      </c>
      <c r="G2581" t="s">
        <v>299</v>
      </c>
      <c r="H2581">
        <v>28</v>
      </c>
      <c r="I2581" s="30">
        <v>4.4675925925925924E-3</v>
      </c>
      <c r="J2581">
        <v>3</v>
      </c>
    </row>
    <row r="2582" spans="1:10" x14ac:dyDescent="0.35">
      <c r="A2582" t="s">
        <v>2935</v>
      </c>
      <c r="B2582" t="s">
        <v>319</v>
      </c>
      <c r="C2582" t="s">
        <v>2889</v>
      </c>
      <c r="D2582" s="30">
        <v>0.70200231481481479</v>
      </c>
      <c r="E2582" t="s">
        <v>302</v>
      </c>
      <c r="F2582" t="s">
        <v>299</v>
      </c>
      <c r="G2582" t="s">
        <v>299</v>
      </c>
      <c r="H2582">
        <v>107</v>
      </c>
      <c r="I2582" s="30">
        <v>2.5347222222222221E-3</v>
      </c>
      <c r="J2582">
        <v>2</v>
      </c>
    </row>
    <row r="2583" spans="1:10" x14ac:dyDescent="0.35">
      <c r="A2583" t="s">
        <v>2936</v>
      </c>
      <c r="B2583" t="s">
        <v>305</v>
      </c>
      <c r="C2583" t="s">
        <v>2889</v>
      </c>
      <c r="D2583" s="30">
        <v>0.70200231481481479</v>
      </c>
      <c r="E2583" t="s">
        <v>309</v>
      </c>
      <c r="F2583" t="s">
        <v>299</v>
      </c>
      <c r="G2583" t="s">
        <v>299</v>
      </c>
      <c r="H2583">
        <v>62</v>
      </c>
      <c r="I2583" s="30">
        <v>3.2638888888888891E-3</v>
      </c>
      <c r="J2583">
        <v>4</v>
      </c>
    </row>
    <row r="2584" spans="1:10" x14ac:dyDescent="0.35">
      <c r="A2584" t="s">
        <v>2937</v>
      </c>
      <c r="B2584" t="s">
        <v>296</v>
      </c>
      <c r="C2584" t="s">
        <v>2889</v>
      </c>
      <c r="D2584" s="30">
        <v>0.70400462962962962</v>
      </c>
      <c r="E2584" t="s">
        <v>302</v>
      </c>
      <c r="F2584" t="s">
        <v>299</v>
      </c>
      <c r="G2584" t="s">
        <v>299</v>
      </c>
      <c r="H2584">
        <v>80</v>
      </c>
      <c r="I2584" s="30">
        <v>3.0092592592592593E-3</v>
      </c>
      <c r="J2584">
        <v>4</v>
      </c>
    </row>
    <row r="2585" spans="1:10" x14ac:dyDescent="0.35">
      <c r="A2585" t="s">
        <v>2938</v>
      </c>
      <c r="B2585" t="s">
        <v>305</v>
      </c>
      <c r="C2585" t="s">
        <v>2889</v>
      </c>
      <c r="D2585" s="30">
        <v>0.70400462962962962</v>
      </c>
      <c r="E2585" t="s">
        <v>298</v>
      </c>
      <c r="F2585" t="s">
        <v>299</v>
      </c>
      <c r="G2585" t="s">
        <v>299</v>
      </c>
      <c r="H2585">
        <v>63</v>
      </c>
      <c r="I2585" s="30">
        <v>2.1527777777777778E-3</v>
      </c>
      <c r="J2585">
        <v>3</v>
      </c>
    </row>
    <row r="2586" spans="1:10" x14ac:dyDescent="0.35">
      <c r="A2586" t="s">
        <v>2939</v>
      </c>
      <c r="B2586" t="s">
        <v>301</v>
      </c>
      <c r="C2586" t="s">
        <v>2889</v>
      </c>
      <c r="D2586" s="30">
        <v>0.71499999999999997</v>
      </c>
      <c r="E2586" t="s">
        <v>302</v>
      </c>
      <c r="F2586" t="s">
        <v>299</v>
      </c>
      <c r="G2586" t="s">
        <v>299</v>
      </c>
      <c r="H2586">
        <v>36</v>
      </c>
      <c r="I2586" s="30">
        <v>3.6805555555555554E-3</v>
      </c>
      <c r="J2586">
        <v>3</v>
      </c>
    </row>
    <row r="2587" spans="1:10" x14ac:dyDescent="0.35">
      <c r="A2587" t="s">
        <v>2940</v>
      </c>
      <c r="B2587" t="s">
        <v>332</v>
      </c>
      <c r="C2587" t="s">
        <v>2889</v>
      </c>
      <c r="D2587" s="30">
        <v>0.71499999999999997</v>
      </c>
      <c r="E2587" t="s">
        <v>298</v>
      </c>
      <c r="F2587" t="s">
        <v>299</v>
      </c>
      <c r="G2587" t="s">
        <v>299</v>
      </c>
      <c r="H2587">
        <v>64</v>
      </c>
      <c r="I2587" s="30">
        <v>1.4467592592592592E-3</v>
      </c>
      <c r="J2587">
        <v>3</v>
      </c>
    </row>
    <row r="2588" spans="1:10" x14ac:dyDescent="0.35">
      <c r="A2588" t="s">
        <v>2941</v>
      </c>
      <c r="B2588" t="s">
        <v>307</v>
      </c>
      <c r="C2588" t="s">
        <v>2889</v>
      </c>
      <c r="D2588" s="30">
        <v>0.71499999999999997</v>
      </c>
      <c r="E2588" t="s">
        <v>298</v>
      </c>
      <c r="F2588" t="s">
        <v>299</v>
      </c>
      <c r="G2588" t="s">
        <v>299</v>
      </c>
      <c r="H2588">
        <v>110</v>
      </c>
      <c r="I2588" s="30">
        <v>3.9699074074074072E-3</v>
      </c>
      <c r="J2588">
        <v>3</v>
      </c>
    </row>
    <row r="2589" spans="1:10" x14ac:dyDescent="0.35">
      <c r="A2589" t="s">
        <v>2942</v>
      </c>
      <c r="B2589" t="s">
        <v>316</v>
      </c>
      <c r="C2589" t="s">
        <v>2889</v>
      </c>
      <c r="D2589" s="30">
        <v>0.71499999999999997</v>
      </c>
      <c r="E2589" t="s">
        <v>314</v>
      </c>
      <c r="F2589" t="s">
        <v>299</v>
      </c>
      <c r="G2589" t="s">
        <v>299</v>
      </c>
      <c r="H2589">
        <v>43</v>
      </c>
      <c r="I2589" s="30">
        <v>4.4212962962962964E-3</v>
      </c>
      <c r="J2589">
        <v>3</v>
      </c>
    </row>
    <row r="2590" spans="1:10" x14ac:dyDescent="0.35">
      <c r="A2590" t="s">
        <v>2943</v>
      </c>
      <c r="B2590" t="s">
        <v>316</v>
      </c>
      <c r="C2590" t="s">
        <v>2889</v>
      </c>
      <c r="D2590" s="30">
        <v>0.71599537037037042</v>
      </c>
      <c r="E2590" t="s">
        <v>302</v>
      </c>
      <c r="F2590" t="s">
        <v>299</v>
      </c>
      <c r="G2590" t="s">
        <v>299</v>
      </c>
      <c r="H2590">
        <v>76</v>
      </c>
      <c r="I2590" s="30">
        <v>3.2870370370370371E-3</v>
      </c>
      <c r="J2590">
        <v>5</v>
      </c>
    </row>
    <row r="2591" spans="1:10" x14ac:dyDescent="0.35">
      <c r="A2591" t="s">
        <v>2944</v>
      </c>
      <c r="B2591" t="s">
        <v>319</v>
      </c>
      <c r="C2591" t="s">
        <v>2889</v>
      </c>
      <c r="D2591" s="30">
        <v>0.71599537037037042</v>
      </c>
      <c r="E2591" t="s">
        <v>302</v>
      </c>
      <c r="F2591" t="s">
        <v>299</v>
      </c>
      <c r="G2591" t="s">
        <v>299</v>
      </c>
      <c r="H2591">
        <v>45</v>
      </c>
      <c r="I2591" s="30">
        <v>1.724537037037037E-3</v>
      </c>
      <c r="J2591">
        <v>2</v>
      </c>
    </row>
    <row r="2592" spans="1:10" x14ac:dyDescent="0.35">
      <c r="A2592" t="s">
        <v>2945</v>
      </c>
      <c r="B2592" t="s">
        <v>323</v>
      </c>
      <c r="C2592" t="s">
        <v>2889</v>
      </c>
      <c r="D2592" s="30">
        <v>0.73400462962962965</v>
      </c>
      <c r="E2592" t="s">
        <v>317</v>
      </c>
      <c r="F2592" t="s">
        <v>299</v>
      </c>
      <c r="G2592" t="s">
        <v>303</v>
      </c>
      <c r="H2592">
        <v>109</v>
      </c>
      <c r="I2592" s="30">
        <v>8.3333333333333339E-4</v>
      </c>
      <c r="J2592">
        <v>3</v>
      </c>
    </row>
    <row r="2593" spans="1:10" x14ac:dyDescent="0.35">
      <c r="A2593" t="s">
        <v>2946</v>
      </c>
      <c r="B2593" t="s">
        <v>319</v>
      </c>
      <c r="C2593" t="s">
        <v>2889</v>
      </c>
      <c r="D2593" s="30">
        <v>0.73400462962962965</v>
      </c>
      <c r="E2593" t="s">
        <v>317</v>
      </c>
      <c r="F2593" t="s">
        <v>299</v>
      </c>
      <c r="G2593" t="s">
        <v>299</v>
      </c>
      <c r="H2593">
        <v>68</v>
      </c>
      <c r="I2593" s="30">
        <v>4.7916666666666663E-3</v>
      </c>
      <c r="J2593">
        <v>4</v>
      </c>
    </row>
    <row r="2594" spans="1:10" x14ac:dyDescent="0.35">
      <c r="A2594" t="s">
        <v>2947</v>
      </c>
      <c r="B2594" t="s">
        <v>307</v>
      </c>
      <c r="C2594" t="s">
        <v>2889</v>
      </c>
      <c r="D2594" s="30">
        <v>0.73799768518518516</v>
      </c>
      <c r="E2594" t="s">
        <v>298</v>
      </c>
      <c r="F2594" t="s">
        <v>299</v>
      </c>
      <c r="G2594" t="s">
        <v>303</v>
      </c>
      <c r="H2594">
        <v>99</v>
      </c>
      <c r="I2594" s="30">
        <v>4.7916666666666663E-3</v>
      </c>
      <c r="J2594">
        <v>1</v>
      </c>
    </row>
    <row r="2595" spans="1:10" x14ac:dyDescent="0.35">
      <c r="A2595" t="s">
        <v>2948</v>
      </c>
      <c r="B2595" t="s">
        <v>332</v>
      </c>
      <c r="C2595" t="s">
        <v>2889</v>
      </c>
      <c r="D2595" s="30">
        <v>0.73799768518518516</v>
      </c>
      <c r="E2595" t="s">
        <v>298</v>
      </c>
      <c r="F2595" t="s">
        <v>299</v>
      </c>
      <c r="G2595" t="s">
        <v>299</v>
      </c>
      <c r="H2595">
        <v>27</v>
      </c>
      <c r="I2595" s="30">
        <v>2.8356481481481483E-3</v>
      </c>
      <c r="J2595">
        <v>4</v>
      </c>
    </row>
    <row r="2596" spans="1:10" x14ac:dyDescent="0.35">
      <c r="A2596" t="s">
        <v>2949</v>
      </c>
      <c r="B2596" t="s">
        <v>307</v>
      </c>
      <c r="C2596" t="s">
        <v>2950</v>
      </c>
      <c r="D2596" s="30">
        <v>0.375</v>
      </c>
      <c r="E2596" t="s">
        <v>317</v>
      </c>
      <c r="F2596" t="s">
        <v>299</v>
      </c>
      <c r="G2596" t="s">
        <v>299</v>
      </c>
      <c r="H2596">
        <v>14</v>
      </c>
      <c r="I2596" s="30">
        <v>6.7129629629629625E-4</v>
      </c>
      <c r="J2596">
        <v>3</v>
      </c>
    </row>
    <row r="2597" spans="1:10" x14ac:dyDescent="0.35">
      <c r="A2597" t="s">
        <v>2951</v>
      </c>
      <c r="B2597" t="s">
        <v>307</v>
      </c>
      <c r="C2597" t="s">
        <v>2950</v>
      </c>
      <c r="D2597" s="30">
        <v>0.375</v>
      </c>
      <c r="E2597" t="s">
        <v>314</v>
      </c>
      <c r="F2597" t="s">
        <v>299</v>
      </c>
      <c r="G2597" t="s">
        <v>299</v>
      </c>
      <c r="H2597">
        <v>81</v>
      </c>
      <c r="I2597" s="30">
        <v>3.0208333333333333E-3</v>
      </c>
      <c r="J2597">
        <v>3</v>
      </c>
    </row>
    <row r="2598" spans="1:10" x14ac:dyDescent="0.35">
      <c r="A2598" t="s">
        <v>2952</v>
      </c>
      <c r="B2598" t="s">
        <v>332</v>
      </c>
      <c r="C2598" t="s">
        <v>2950</v>
      </c>
      <c r="D2598" s="30">
        <v>0.39799768518518519</v>
      </c>
      <c r="E2598" t="s">
        <v>314</v>
      </c>
      <c r="F2598" t="s">
        <v>299</v>
      </c>
      <c r="G2598" t="s">
        <v>299</v>
      </c>
      <c r="H2598">
        <v>24</v>
      </c>
      <c r="I2598" s="30">
        <v>2.1643518518518518E-3</v>
      </c>
      <c r="J2598">
        <v>3</v>
      </c>
    </row>
    <row r="2599" spans="1:10" x14ac:dyDescent="0.35">
      <c r="A2599" t="s">
        <v>2953</v>
      </c>
      <c r="B2599" t="s">
        <v>332</v>
      </c>
      <c r="C2599" t="s">
        <v>2950</v>
      </c>
      <c r="D2599" s="30">
        <v>0.39799768518518519</v>
      </c>
      <c r="E2599" t="s">
        <v>298</v>
      </c>
      <c r="F2599" t="s">
        <v>299</v>
      </c>
      <c r="G2599" t="s">
        <v>299</v>
      </c>
      <c r="H2599">
        <v>13</v>
      </c>
      <c r="I2599" s="30">
        <v>4.0277777777777777E-3</v>
      </c>
      <c r="J2599">
        <v>1</v>
      </c>
    </row>
    <row r="2600" spans="1:10" x14ac:dyDescent="0.35">
      <c r="A2600" t="s">
        <v>2954</v>
      </c>
      <c r="B2600" t="s">
        <v>301</v>
      </c>
      <c r="C2600" t="s">
        <v>2950</v>
      </c>
      <c r="D2600" s="30">
        <v>0.41799768518518521</v>
      </c>
      <c r="E2600" t="s">
        <v>302</v>
      </c>
      <c r="F2600" t="s">
        <v>299</v>
      </c>
      <c r="G2600" t="s">
        <v>299</v>
      </c>
      <c r="H2600">
        <v>89</v>
      </c>
      <c r="I2600" s="30">
        <v>6.134259259259259E-4</v>
      </c>
      <c r="J2600">
        <v>1</v>
      </c>
    </row>
    <row r="2601" spans="1:10" x14ac:dyDescent="0.35">
      <c r="A2601" t="s">
        <v>2955</v>
      </c>
      <c r="B2601" t="s">
        <v>301</v>
      </c>
      <c r="C2601" t="s">
        <v>2950</v>
      </c>
      <c r="D2601" s="30">
        <v>0.41799768518518521</v>
      </c>
      <c r="E2601" t="s">
        <v>317</v>
      </c>
      <c r="F2601" t="s">
        <v>299</v>
      </c>
      <c r="G2601" t="s">
        <v>299</v>
      </c>
      <c r="H2601">
        <v>103</v>
      </c>
      <c r="I2601" s="30">
        <v>4.1319444444444442E-3</v>
      </c>
      <c r="J2601">
        <v>4</v>
      </c>
    </row>
    <row r="2602" spans="1:10" x14ac:dyDescent="0.35">
      <c r="A2602" t="s">
        <v>2956</v>
      </c>
      <c r="B2602" t="s">
        <v>316</v>
      </c>
      <c r="C2602" t="s">
        <v>2950</v>
      </c>
      <c r="D2602" s="30">
        <v>0.41799768518518521</v>
      </c>
      <c r="E2602" t="s">
        <v>309</v>
      </c>
      <c r="F2602" t="s">
        <v>299</v>
      </c>
      <c r="G2602" t="s">
        <v>299</v>
      </c>
      <c r="H2602">
        <v>103</v>
      </c>
      <c r="I2602" s="30">
        <v>2.638888888888889E-3</v>
      </c>
      <c r="J2602">
        <v>3</v>
      </c>
    </row>
    <row r="2603" spans="1:10" x14ac:dyDescent="0.35">
      <c r="A2603" t="s">
        <v>2957</v>
      </c>
      <c r="B2603" t="s">
        <v>307</v>
      </c>
      <c r="C2603" t="s">
        <v>2950</v>
      </c>
      <c r="D2603" s="30">
        <v>0.41799768518518521</v>
      </c>
      <c r="E2603" t="s">
        <v>309</v>
      </c>
      <c r="F2603" t="s">
        <v>303</v>
      </c>
      <c r="G2603" t="s">
        <v>303</v>
      </c>
    </row>
    <row r="2604" spans="1:10" x14ac:dyDescent="0.35">
      <c r="A2604" t="s">
        <v>2958</v>
      </c>
      <c r="B2604" t="s">
        <v>305</v>
      </c>
      <c r="C2604" t="s">
        <v>2950</v>
      </c>
      <c r="D2604" s="30">
        <v>0.43099537037037039</v>
      </c>
      <c r="E2604" t="s">
        <v>298</v>
      </c>
      <c r="F2604" t="s">
        <v>299</v>
      </c>
      <c r="G2604" t="s">
        <v>303</v>
      </c>
      <c r="H2604">
        <v>59</v>
      </c>
      <c r="I2604" s="30">
        <v>2.4421296296296296E-3</v>
      </c>
      <c r="J2604">
        <v>3</v>
      </c>
    </row>
    <row r="2605" spans="1:10" x14ac:dyDescent="0.35">
      <c r="A2605" t="s">
        <v>2959</v>
      </c>
      <c r="B2605" t="s">
        <v>319</v>
      </c>
      <c r="C2605" t="s">
        <v>2950</v>
      </c>
      <c r="D2605" s="30">
        <v>0.43099537037037039</v>
      </c>
      <c r="E2605" t="s">
        <v>309</v>
      </c>
      <c r="F2605" t="s">
        <v>299</v>
      </c>
      <c r="G2605" t="s">
        <v>299</v>
      </c>
      <c r="H2605">
        <v>113</v>
      </c>
      <c r="I2605" s="30">
        <v>1.1342592592592593E-3</v>
      </c>
      <c r="J2605">
        <v>3</v>
      </c>
    </row>
    <row r="2606" spans="1:10" x14ac:dyDescent="0.35">
      <c r="A2606" t="s">
        <v>2960</v>
      </c>
      <c r="B2606" t="s">
        <v>296</v>
      </c>
      <c r="C2606" t="s">
        <v>2950</v>
      </c>
      <c r="D2606" s="30">
        <v>0.4670023148148148</v>
      </c>
      <c r="E2606" t="s">
        <v>298</v>
      </c>
      <c r="F2606" t="s">
        <v>299</v>
      </c>
      <c r="G2606" t="s">
        <v>299</v>
      </c>
      <c r="H2606">
        <v>69</v>
      </c>
      <c r="I2606" s="30">
        <v>1.2962962962962963E-3</v>
      </c>
      <c r="J2606">
        <v>2</v>
      </c>
    </row>
    <row r="2607" spans="1:10" x14ac:dyDescent="0.35">
      <c r="A2607" t="s">
        <v>2961</v>
      </c>
      <c r="B2607" t="s">
        <v>296</v>
      </c>
      <c r="C2607" t="s">
        <v>2950</v>
      </c>
      <c r="D2607" s="30">
        <v>0.4670023148148148</v>
      </c>
      <c r="E2607" t="s">
        <v>302</v>
      </c>
      <c r="F2607" t="s">
        <v>299</v>
      </c>
      <c r="G2607" t="s">
        <v>299</v>
      </c>
      <c r="H2607">
        <v>69</v>
      </c>
      <c r="I2607" s="30">
        <v>1.2847222222222223E-3</v>
      </c>
      <c r="J2607">
        <v>2</v>
      </c>
    </row>
    <row r="2608" spans="1:10" x14ac:dyDescent="0.35">
      <c r="A2608" t="s">
        <v>2962</v>
      </c>
      <c r="B2608" t="s">
        <v>301</v>
      </c>
      <c r="C2608" t="s">
        <v>2950</v>
      </c>
      <c r="D2608" s="30">
        <v>0.48200231481481481</v>
      </c>
      <c r="E2608" t="s">
        <v>302</v>
      </c>
      <c r="F2608" t="s">
        <v>299</v>
      </c>
      <c r="G2608" t="s">
        <v>303</v>
      </c>
      <c r="H2608">
        <v>11</v>
      </c>
      <c r="I2608" s="30">
        <v>3.5532407407407409E-3</v>
      </c>
      <c r="J2608">
        <v>4</v>
      </c>
    </row>
    <row r="2609" spans="1:10" x14ac:dyDescent="0.35">
      <c r="A2609" t="s">
        <v>2963</v>
      </c>
      <c r="B2609" t="s">
        <v>332</v>
      </c>
      <c r="C2609" t="s">
        <v>2950</v>
      </c>
      <c r="D2609" s="30">
        <v>0.48200231481481481</v>
      </c>
      <c r="E2609" t="s">
        <v>298</v>
      </c>
      <c r="F2609" t="s">
        <v>299</v>
      </c>
      <c r="G2609" t="s">
        <v>299</v>
      </c>
      <c r="H2609">
        <v>75</v>
      </c>
      <c r="I2609" s="30">
        <v>2.9050925925925928E-3</v>
      </c>
      <c r="J2609">
        <v>2</v>
      </c>
    </row>
    <row r="2610" spans="1:10" x14ac:dyDescent="0.35">
      <c r="A2610" t="s">
        <v>2964</v>
      </c>
      <c r="B2610" t="s">
        <v>316</v>
      </c>
      <c r="C2610" t="s">
        <v>2950</v>
      </c>
      <c r="D2610" s="30">
        <v>0.48700231481481482</v>
      </c>
      <c r="E2610" t="s">
        <v>302</v>
      </c>
      <c r="F2610" t="s">
        <v>299</v>
      </c>
      <c r="G2610" t="s">
        <v>303</v>
      </c>
      <c r="H2610">
        <v>24</v>
      </c>
      <c r="I2610" s="30">
        <v>1.7592592592592592E-3</v>
      </c>
      <c r="J2610">
        <v>5</v>
      </c>
    </row>
    <row r="2611" spans="1:10" x14ac:dyDescent="0.35">
      <c r="A2611" t="s">
        <v>2965</v>
      </c>
      <c r="B2611" t="s">
        <v>301</v>
      </c>
      <c r="C2611" t="s">
        <v>2950</v>
      </c>
      <c r="D2611" s="30">
        <v>0.48700231481481482</v>
      </c>
      <c r="E2611" t="s">
        <v>314</v>
      </c>
      <c r="F2611" t="s">
        <v>299</v>
      </c>
      <c r="G2611" t="s">
        <v>299</v>
      </c>
      <c r="H2611">
        <v>124</v>
      </c>
      <c r="I2611" s="30">
        <v>4.2592592592592595E-3</v>
      </c>
      <c r="J2611">
        <v>3</v>
      </c>
    </row>
    <row r="2612" spans="1:10" x14ac:dyDescent="0.35">
      <c r="A2612" t="s">
        <v>2966</v>
      </c>
      <c r="B2612" t="s">
        <v>307</v>
      </c>
      <c r="C2612" t="s">
        <v>2950</v>
      </c>
      <c r="D2612" s="30">
        <v>0.49</v>
      </c>
      <c r="E2612" t="s">
        <v>314</v>
      </c>
      <c r="F2612" t="s">
        <v>299</v>
      </c>
      <c r="G2612" t="s">
        <v>299</v>
      </c>
      <c r="H2612">
        <v>32</v>
      </c>
      <c r="I2612" s="30">
        <v>1.7824074074074075E-3</v>
      </c>
      <c r="J2612">
        <v>5</v>
      </c>
    </row>
    <row r="2613" spans="1:10" x14ac:dyDescent="0.35">
      <c r="A2613" t="s">
        <v>2967</v>
      </c>
      <c r="B2613" t="s">
        <v>305</v>
      </c>
      <c r="C2613" t="s">
        <v>2950</v>
      </c>
      <c r="D2613" s="30">
        <v>0.49</v>
      </c>
      <c r="E2613" t="s">
        <v>314</v>
      </c>
      <c r="F2613" t="s">
        <v>299</v>
      </c>
      <c r="G2613" t="s">
        <v>299</v>
      </c>
      <c r="H2613">
        <v>105</v>
      </c>
      <c r="I2613" s="30">
        <v>4.5601851851851853E-3</v>
      </c>
      <c r="J2613">
        <v>5</v>
      </c>
    </row>
    <row r="2614" spans="1:10" x14ac:dyDescent="0.35">
      <c r="A2614" t="s">
        <v>2968</v>
      </c>
      <c r="B2614" t="s">
        <v>301</v>
      </c>
      <c r="C2614" t="s">
        <v>2950</v>
      </c>
      <c r="D2614" s="30">
        <v>0.49200231481481482</v>
      </c>
      <c r="E2614" t="s">
        <v>302</v>
      </c>
      <c r="F2614" t="s">
        <v>303</v>
      </c>
      <c r="G2614" t="s">
        <v>303</v>
      </c>
    </row>
    <row r="2615" spans="1:10" x14ac:dyDescent="0.35">
      <c r="A2615" t="s">
        <v>2969</v>
      </c>
      <c r="B2615" t="s">
        <v>316</v>
      </c>
      <c r="C2615" t="s">
        <v>2950</v>
      </c>
      <c r="D2615" s="30">
        <v>0.49200231481481482</v>
      </c>
      <c r="E2615" t="s">
        <v>309</v>
      </c>
      <c r="F2615" t="s">
        <v>299</v>
      </c>
      <c r="G2615" t="s">
        <v>299</v>
      </c>
      <c r="H2615">
        <v>94</v>
      </c>
      <c r="I2615" s="30">
        <v>7.291666666666667E-4</v>
      </c>
      <c r="J2615">
        <v>4</v>
      </c>
    </row>
    <row r="2616" spans="1:10" x14ac:dyDescent="0.35">
      <c r="A2616" t="s">
        <v>2970</v>
      </c>
      <c r="B2616" t="s">
        <v>319</v>
      </c>
      <c r="C2616" t="s">
        <v>2950</v>
      </c>
      <c r="D2616" s="30">
        <v>0.505</v>
      </c>
      <c r="E2616" t="s">
        <v>298</v>
      </c>
      <c r="F2616" t="s">
        <v>299</v>
      </c>
      <c r="G2616" t="s">
        <v>299</v>
      </c>
      <c r="H2616">
        <v>107</v>
      </c>
      <c r="I2616" s="30">
        <v>1.5740740740740741E-3</v>
      </c>
      <c r="J2616">
        <v>4</v>
      </c>
    </row>
    <row r="2617" spans="1:10" x14ac:dyDescent="0.35">
      <c r="A2617" t="s">
        <v>2971</v>
      </c>
      <c r="B2617" t="s">
        <v>296</v>
      </c>
      <c r="C2617" t="s">
        <v>2950</v>
      </c>
      <c r="D2617" s="30">
        <v>0.505</v>
      </c>
      <c r="E2617" t="s">
        <v>314</v>
      </c>
      <c r="F2617" t="s">
        <v>299</v>
      </c>
      <c r="G2617" t="s">
        <v>299</v>
      </c>
      <c r="H2617">
        <v>79</v>
      </c>
      <c r="I2617" s="30">
        <v>3.8541666666666668E-3</v>
      </c>
      <c r="J2617">
        <v>5</v>
      </c>
    </row>
    <row r="2618" spans="1:10" x14ac:dyDescent="0.35">
      <c r="A2618" t="s">
        <v>2972</v>
      </c>
      <c r="B2618" t="s">
        <v>332</v>
      </c>
      <c r="C2618" t="s">
        <v>2950</v>
      </c>
      <c r="D2618" s="30">
        <v>0.51500000000000001</v>
      </c>
      <c r="E2618" t="s">
        <v>298</v>
      </c>
      <c r="F2618" t="s">
        <v>303</v>
      </c>
      <c r="G2618" t="s">
        <v>303</v>
      </c>
    </row>
    <row r="2619" spans="1:10" x14ac:dyDescent="0.35">
      <c r="A2619" t="s">
        <v>2973</v>
      </c>
      <c r="B2619" t="s">
        <v>301</v>
      </c>
      <c r="C2619" t="s">
        <v>2950</v>
      </c>
      <c r="D2619" s="30">
        <v>0.51500000000000001</v>
      </c>
      <c r="E2619" t="s">
        <v>314</v>
      </c>
      <c r="F2619" t="s">
        <v>299</v>
      </c>
      <c r="G2619" t="s">
        <v>299</v>
      </c>
      <c r="H2619">
        <v>59</v>
      </c>
      <c r="I2619" s="30">
        <v>1.4467592592592592E-3</v>
      </c>
      <c r="J2619">
        <v>4</v>
      </c>
    </row>
    <row r="2620" spans="1:10" x14ac:dyDescent="0.35">
      <c r="A2620" t="s">
        <v>2974</v>
      </c>
      <c r="B2620" t="s">
        <v>332</v>
      </c>
      <c r="C2620" t="s">
        <v>2950</v>
      </c>
      <c r="D2620" s="30">
        <v>0.52700231481481485</v>
      </c>
      <c r="E2620" t="s">
        <v>302</v>
      </c>
      <c r="F2620" t="s">
        <v>299</v>
      </c>
      <c r="G2620" t="s">
        <v>303</v>
      </c>
      <c r="H2620">
        <v>117</v>
      </c>
      <c r="I2620" s="30">
        <v>3.4027777777777776E-3</v>
      </c>
      <c r="J2620">
        <v>3</v>
      </c>
    </row>
    <row r="2621" spans="1:10" x14ac:dyDescent="0.35">
      <c r="A2621" t="s">
        <v>2975</v>
      </c>
      <c r="B2621" t="s">
        <v>323</v>
      </c>
      <c r="C2621" t="s">
        <v>2950</v>
      </c>
      <c r="D2621" s="30">
        <v>0.52700231481481485</v>
      </c>
      <c r="E2621" t="s">
        <v>317</v>
      </c>
      <c r="F2621" t="s">
        <v>299</v>
      </c>
      <c r="G2621" t="s">
        <v>299</v>
      </c>
      <c r="H2621">
        <v>37</v>
      </c>
      <c r="I2621" s="30">
        <v>1.2847222222222223E-3</v>
      </c>
      <c r="J2621">
        <v>3</v>
      </c>
    </row>
    <row r="2622" spans="1:10" x14ac:dyDescent="0.35">
      <c r="A2622" t="s">
        <v>2976</v>
      </c>
      <c r="B2622" t="s">
        <v>332</v>
      </c>
      <c r="C2622" t="s">
        <v>2950</v>
      </c>
      <c r="D2622" s="30">
        <v>0.54200231481481487</v>
      </c>
      <c r="E2622" t="s">
        <v>314</v>
      </c>
      <c r="F2622" t="s">
        <v>299</v>
      </c>
      <c r="G2622" t="s">
        <v>299</v>
      </c>
      <c r="H2622">
        <v>94</v>
      </c>
      <c r="I2622" s="30">
        <v>3.7037037037037038E-3</v>
      </c>
      <c r="J2622">
        <v>4</v>
      </c>
    </row>
    <row r="2623" spans="1:10" x14ac:dyDescent="0.35">
      <c r="A2623" t="s">
        <v>2977</v>
      </c>
      <c r="B2623" t="s">
        <v>301</v>
      </c>
      <c r="C2623" t="s">
        <v>2950</v>
      </c>
      <c r="D2623" s="30">
        <v>0.54200231481481487</v>
      </c>
      <c r="E2623" t="s">
        <v>302</v>
      </c>
      <c r="F2623" t="s">
        <v>299</v>
      </c>
      <c r="G2623" t="s">
        <v>299</v>
      </c>
      <c r="H2623">
        <v>120</v>
      </c>
      <c r="I2623" s="30">
        <v>1.9097222222222222E-3</v>
      </c>
      <c r="J2623">
        <v>1</v>
      </c>
    </row>
    <row r="2624" spans="1:10" x14ac:dyDescent="0.35">
      <c r="A2624" t="s">
        <v>2978</v>
      </c>
      <c r="B2624" t="s">
        <v>316</v>
      </c>
      <c r="C2624" t="s">
        <v>2950</v>
      </c>
      <c r="D2624" s="30">
        <v>0.56000000000000005</v>
      </c>
      <c r="E2624" t="s">
        <v>298</v>
      </c>
      <c r="F2624" t="s">
        <v>303</v>
      </c>
      <c r="G2624" t="s">
        <v>303</v>
      </c>
    </row>
    <row r="2625" spans="1:10" x14ac:dyDescent="0.35">
      <c r="A2625" t="s">
        <v>2979</v>
      </c>
      <c r="B2625" t="s">
        <v>323</v>
      </c>
      <c r="C2625" t="s">
        <v>2950</v>
      </c>
      <c r="D2625" s="30">
        <v>0.56000000000000005</v>
      </c>
      <c r="E2625" t="s">
        <v>317</v>
      </c>
      <c r="F2625" t="s">
        <v>299</v>
      </c>
      <c r="G2625" t="s">
        <v>299</v>
      </c>
      <c r="H2625">
        <v>50</v>
      </c>
      <c r="I2625" s="30">
        <v>4.7106481481481478E-3</v>
      </c>
      <c r="J2625">
        <v>2</v>
      </c>
    </row>
    <row r="2626" spans="1:10" x14ac:dyDescent="0.35">
      <c r="A2626" t="s">
        <v>2980</v>
      </c>
      <c r="B2626" t="s">
        <v>301</v>
      </c>
      <c r="C2626" t="s">
        <v>2950</v>
      </c>
      <c r="D2626" s="30">
        <v>0.56900462962962961</v>
      </c>
      <c r="E2626" t="s">
        <v>309</v>
      </c>
      <c r="F2626" t="s">
        <v>299</v>
      </c>
      <c r="G2626" t="s">
        <v>299</v>
      </c>
      <c r="H2626">
        <v>47</v>
      </c>
      <c r="I2626" s="30">
        <v>1.712962962962963E-3</v>
      </c>
      <c r="J2626">
        <v>5</v>
      </c>
    </row>
    <row r="2627" spans="1:10" x14ac:dyDescent="0.35">
      <c r="A2627" t="s">
        <v>2981</v>
      </c>
      <c r="B2627" t="s">
        <v>305</v>
      </c>
      <c r="C2627" t="s">
        <v>2950</v>
      </c>
      <c r="D2627" s="30">
        <v>0.56900462962962961</v>
      </c>
      <c r="E2627" t="s">
        <v>317</v>
      </c>
      <c r="F2627" t="s">
        <v>303</v>
      </c>
      <c r="G2627" t="s">
        <v>303</v>
      </c>
    </row>
    <row r="2628" spans="1:10" x14ac:dyDescent="0.35">
      <c r="A2628" t="s">
        <v>2982</v>
      </c>
      <c r="B2628" t="s">
        <v>332</v>
      </c>
      <c r="C2628" t="s">
        <v>2950</v>
      </c>
      <c r="D2628" s="30">
        <v>0.5709953703703704</v>
      </c>
      <c r="E2628" t="s">
        <v>314</v>
      </c>
      <c r="F2628" t="s">
        <v>299</v>
      </c>
      <c r="G2628" t="s">
        <v>299</v>
      </c>
      <c r="H2628">
        <v>118</v>
      </c>
      <c r="I2628" s="30">
        <v>2.0023148148148148E-3</v>
      </c>
      <c r="J2628">
        <v>5</v>
      </c>
    </row>
    <row r="2629" spans="1:10" x14ac:dyDescent="0.35">
      <c r="A2629" t="s">
        <v>2983</v>
      </c>
      <c r="B2629" t="s">
        <v>301</v>
      </c>
      <c r="C2629" t="s">
        <v>2950</v>
      </c>
      <c r="D2629" s="30">
        <v>0.5709953703703704</v>
      </c>
      <c r="E2629" t="s">
        <v>314</v>
      </c>
      <c r="F2629" t="s">
        <v>303</v>
      </c>
      <c r="G2629" t="s">
        <v>303</v>
      </c>
    </row>
    <row r="2630" spans="1:10" x14ac:dyDescent="0.35">
      <c r="A2630" t="s">
        <v>2984</v>
      </c>
      <c r="B2630" t="s">
        <v>307</v>
      </c>
      <c r="C2630" t="s">
        <v>2950</v>
      </c>
      <c r="D2630" s="30">
        <v>0.60299768518518515</v>
      </c>
      <c r="E2630" t="s">
        <v>302</v>
      </c>
      <c r="F2630" t="s">
        <v>303</v>
      </c>
      <c r="G2630" t="s">
        <v>303</v>
      </c>
    </row>
    <row r="2631" spans="1:10" x14ac:dyDescent="0.35">
      <c r="A2631" t="s">
        <v>2985</v>
      </c>
      <c r="B2631" t="s">
        <v>316</v>
      </c>
      <c r="C2631" t="s">
        <v>2950</v>
      </c>
      <c r="D2631" s="30">
        <v>0.60299768518518515</v>
      </c>
      <c r="E2631" t="s">
        <v>302</v>
      </c>
      <c r="F2631" t="s">
        <v>299</v>
      </c>
      <c r="G2631" t="s">
        <v>299</v>
      </c>
      <c r="H2631">
        <v>14</v>
      </c>
      <c r="I2631" s="30">
        <v>8.4490740740740739E-4</v>
      </c>
      <c r="J2631">
        <v>5</v>
      </c>
    </row>
    <row r="2632" spans="1:10" x14ac:dyDescent="0.35">
      <c r="A2632" t="s">
        <v>2986</v>
      </c>
      <c r="B2632" t="s">
        <v>332</v>
      </c>
      <c r="C2632" t="s">
        <v>2950</v>
      </c>
      <c r="D2632" s="30">
        <v>0.60400462962962964</v>
      </c>
      <c r="E2632" t="s">
        <v>302</v>
      </c>
      <c r="F2632" t="s">
        <v>299</v>
      </c>
      <c r="G2632" t="s">
        <v>299</v>
      </c>
      <c r="H2632">
        <v>88</v>
      </c>
      <c r="I2632" s="30">
        <v>7.9861111111111116E-4</v>
      </c>
      <c r="J2632">
        <v>3</v>
      </c>
    </row>
    <row r="2633" spans="1:10" x14ac:dyDescent="0.35">
      <c r="A2633" t="s">
        <v>2987</v>
      </c>
      <c r="B2633" t="s">
        <v>319</v>
      </c>
      <c r="C2633" t="s">
        <v>2950</v>
      </c>
      <c r="D2633" s="30">
        <v>0.60400462962962964</v>
      </c>
      <c r="E2633" t="s">
        <v>317</v>
      </c>
      <c r="F2633" t="s">
        <v>299</v>
      </c>
      <c r="G2633" t="s">
        <v>299</v>
      </c>
      <c r="H2633">
        <v>124</v>
      </c>
      <c r="I2633" s="30">
        <v>6.018518518518519E-4</v>
      </c>
      <c r="J2633">
        <v>4</v>
      </c>
    </row>
    <row r="2634" spans="1:10" x14ac:dyDescent="0.35">
      <c r="A2634" t="s">
        <v>2988</v>
      </c>
      <c r="B2634" t="s">
        <v>296</v>
      </c>
      <c r="C2634" t="s">
        <v>2950</v>
      </c>
      <c r="D2634" s="30">
        <v>0.61400462962962965</v>
      </c>
      <c r="E2634" t="s">
        <v>309</v>
      </c>
      <c r="F2634" t="s">
        <v>299</v>
      </c>
      <c r="G2634" t="s">
        <v>299</v>
      </c>
      <c r="H2634">
        <v>18</v>
      </c>
      <c r="I2634" s="30">
        <v>5.5555555555555556E-4</v>
      </c>
      <c r="J2634">
        <v>5</v>
      </c>
    </row>
    <row r="2635" spans="1:10" x14ac:dyDescent="0.35">
      <c r="A2635" t="s">
        <v>2989</v>
      </c>
      <c r="B2635" t="s">
        <v>332</v>
      </c>
      <c r="C2635" t="s">
        <v>2950</v>
      </c>
      <c r="D2635" s="30">
        <v>0.61400462962962965</v>
      </c>
      <c r="E2635" t="s">
        <v>314</v>
      </c>
      <c r="F2635" t="s">
        <v>299</v>
      </c>
      <c r="G2635" t="s">
        <v>299</v>
      </c>
      <c r="H2635">
        <v>22</v>
      </c>
      <c r="I2635" s="30">
        <v>1.4467592592592592E-3</v>
      </c>
      <c r="J2635">
        <v>3</v>
      </c>
    </row>
    <row r="2636" spans="1:10" x14ac:dyDescent="0.35">
      <c r="A2636" t="s">
        <v>2990</v>
      </c>
      <c r="B2636" t="s">
        <v>316</v>
      </c>
      <c r="C2636" t="s">
        <v>2950</v>
      </c>
      <c r="D2636" s="30">
        <v>0.61900462962962965</v>
      </c>
      <c r="E2636" t="s">
        <v>302</v>
      </c>
      <c r="F2636" t="s">
        <v>303</v>
      </c>
      <c r="G2636" t="s">
        <v>303</v>
      </c>
    </row>
    <row r="2637" spans="1:10" x14ac:dyDescent="0.35">
      <c r="A2637" t="s">
        <v>2991</v>
      </c>
      <c r="B2637" t="s">
        <v>301</v>
      </c>
      <c r="C2637" t="s">
        <v>2950</v>
      </c>
      <c r="D2637" s="30">
        <v>0.61900462962962965</v>
      </c>
      <c r="E2637" t="s">
        <v>317</v>
      </c>
      <c r="F2637" t="s">
        <v>299</v>
      </c>
      <c r="G2637" t="s">
        <v>299</v>
      </c>
      <c r="H2637">
        <v>94</v>
      </c>
      <c r="I2637" s="30">
        <v>4.3750000000000004E-3</v>
      </c>
      <c r="J2637">
        <v>5</v>
      </c>
    </row>
    <row r="2638" spans="1:10" x14ac:dyDescent="0.35">
      <c r="A2638" t="s">
        <v>2992</v>
      </c>
      <c r="B2638" t="s">
        <v>301</v>
      </c>
      <c r="C2638" t="s">
        <v>2950</v>
      </c>
      <c r="D2638" s="30">
        <v>0.62299768518518517</v>
      </c>
      <c r="E2638" t="s">
        <v>302</v>
      </c>
      <c r="F2638" t="s">
        <v>299</v>
      </c>
      <c r="G2638" t="s">
        <v>303</v>
      </c>
      <c r="H2638">
        <v>54</v>
      </c>
      <c r="I2638" s="30">
        <v>2.5000000000000001E-3</v>
      </c>
      <c r="J2638">
        <v>3</v>
      </c>
    </row>
    <row r="2639" spans="1:10" x14ac:dyDescent="0.35">
      <c r="A2639" t="s">
        <v>2993</v>
      </c>
      <c r="B2639" t="s">
        <v>307</v>
      </c>
      <c r="C2639" t="s">
        <v>2950</v>
      </c>
      <c r="D2639" s="30">
        <v>0.62299768518518517</v>
      </c>
      <c r="E2639" t="s">
        <v>298</v>
      </c>
      <c r="F2639" t="s">
        <v>299</v>
      </c>
      <c r="G2639" t="s">
        <v>303</v>
      </c>
      <c r="H2639">
        <v>44</v>
      </c>
      <c r="I2639" s="30">
        <v>2.2800925925925927E-3</v>
      </c>
      <c r="J2639">
        <v>5</v>
      </c>
    </row>
    <row r="2640" spans="1:10" x14ac:dyDescent="0.35">
      <c r="A2640" t="s">
        <v>2994</v>
      </c>
      <c r="B2640" t="s">
        <v>307</v>
      </c>
      <c r="C2640" t="s">
        <v>2950</v>
      </c>
      <c r="D2640" s="30">
        <v>0.65700231481481486</v>
      </c>
      <c r="E2640" t="s">
        <v>314</v>
      </c>
      <c r="F2640" t="s">
        <v>299</v>
      </c>
      <c r="G2640" t="s">
        <v>299</v>
      </c>
      <c r="H2640">
        <v>28</v>
      </c>
      <c r="I2640" s="30">
        <v>3.0439814814814813E-3</v>
      </c>
      <c r="J2640">
        <v>3</v>
      </c>
    </row>
    <row r="2641" spans="1:10" x14ac:dyDescent="0.35">
      <c r="A2641" t="s">
        <v>2995</v>
      </c>
      <c r="B2641" t="s">
        <v>316</v>
      </c>
      <c r="C2641" t="s">
        <v>2950</v>
      </c>
      <c r="D2641" s="30">
        <v>0.65700231481481486</v>
      </c>
      <c r="E2641" t="s">
        <v>309</v>
      </c>
      <c r="F2641" t="s">
        <v>299</v>
      </c>
      <c r="G2641" t="s">
        <v>299</v>
      </c>
      <c r="H2641">
        <v>103</v>
      </c>
      <c r="I2641" s="30">
        <v>2.2222222222222222E-3</v>
      </c>
      <c r="J2641">
        <v>3</v>
      </c>
    </row>
    <row r="2642" spans="1:10" x14ac:dyDescent="0.35">
      <c r="A2642" t="s">
        <v>2996</v>
      </c>
      <c r="B2642" t="s">
        <v>319</v>
      </c>
      <c r="C2642" t="s">
        <v>2950</v>
      </c>
      <c r="D2642" s="30">
        <v>0.6579976851851852</v>
      </c>
      <c r="E2642" t="s">
        <v>302</v>
      </c>
      <c r="F2642" t="s">
        <v>299</v>
      </c>
      <c r="G2642" t="s">
        <v>299</v>
      </c>
      <c r="H2642">
        <v>25</v>
      </c>
      <c r="I2642" s="30">
        <v>5.4398148148148144E-4</v>
      </c>
      <c r="J2642">
        <v>4</v>
      </c>
    </row>
    <row r="2643" spans="1:10" x14ac:dyDescent="0.35">
      <c r="A2643" t="s">
        <v>2997</v>
      </c>
      <c r="B2643" t="s">
        <v>301</v>
      </c>
      <c r="C2643" t="s">
        <v>2950</v>
      </c>
      <c r="D2643" s="30">
        <v>0.6579976851851852</v>
      </c>
      <c r="E2643" t="s">
        <v>317</v>
      </c>
      <c r="F2643" t="s">
        <v>303</v>
      </c>
      <c r="G2643" t="s">
        <v>303</v>
      </c>
    </row>
    <row r="2644" spans="1:10" x14ac:dyDescent="0.35">
      <c r="A2644" t="s">
        <v>2998</v>
      </c>
      <c r="B2644" t="s">
        <v>316</v>
      </c>
      <c r="C2644" t="s">
        <v>2950</v>
      </c>
      <c r="D2644" s="30">
        <v>0.66799768518518521</v>
      </c>
      <c r="E2644" t="s">
        <v>317</v>
      </c>
      <c r="F2644" t="s">
        <v>299</v>
      </c>
      <c r="G2644" t="s">
        <v>299</v>
      </c>
      <c r="H2644">
        <v>84</v>
      </c>
      <c r="I2644" s="30">
        <v>2.8935185185185184E-3</v>
      </c>
      <c r="J2644">
        <v>3</v>
      </c>
    </row>
    <row r="2645" spans="1:10" x14ac:dyDescent="0.35">
      <c r="A2645" t="s">
        <v>2999</v>
      </c>
      <c r="B2645" t="s">
        <v>332</v>
      </c>
      <c r="C2645" t="s">
        <v>2950</v>
      </c>
      <c r="D2645" s="30">
        <v>0.66799768518518521</v>
      </c>
      <c r="E2645" t="s">
        <v>317</v>
      </c>
      <c r="F2645" t="s">
        <v>299</v>
      </c>
      <c r="G2645" t="s">
        <v>299</v>
      </c>
      <c r="H2645">
        <v>36</v>
      </c>
      <c r="I2645" s="30">
        <v>2.7430555555555554E-3</v>
      </c>
      <c r="J2645">
        <v>4</v>
      </c>
    </row>
    <row r="2646" spans="1:10" x14ac:dyDescent="0.35">
      <c r="A2646" t="s">
        <v>3000</v>
      </c>
      <c r="B2646" t="s">
        <v>301</v>
      </c>
      <c r="C2646" t="s">
        <v>2950</v>
      </c>
      <c r="D2646" s="30">
        <v>0.71599537037037042</v>
      </c>
      <c r="E2646" t="s">
        <v>309</v>
      </c>
      <c r="F2646" t="s">
        <v>303</v>
      </c>
      <c r="G2646" t="s">
        <v>303</v>
      </c>
    </row>
    <row r="2647" spans="1:10" x14ac:dyDescent="0.35">
      <c r="A2647" t="s">
        <v>3001</v>
      </c>
      <c r="B2647" t="s">
        <v>305</v>
      </c>
      <c r="C2647" t="s">
        <v>2950</v>
      </c>
      <c r="D2647" s="30">
        <v>0.71599537037037042</v>
      </c>
      <c r="E2647" t="s">
        <v>309</v>
      </c>
      <c r="F2647" t="s">
        <v>299</v>
      </c>
      <c r="G2647" t="s">
        <v>299</v>
      </c>
      <c r="H2647">
        <v>42</v>
      </c>
      <c r="I2647" s="30">
        <v>2.5578703703703705E-3</v>
      </c>
      <c r="J2647">
        <v>4</v>
      </c>
    </row>
    <row r="2648" spans="1:10" x14ac:dyDescent="0.35">
      <c r="A2648" t="s">
        <v>3002</v>
      </c>
      <c r="B2648" t="s">
        <v>332</v>
      </c>
      <c r="C2648" t="s">
        <v>2950</v>
      </c>
      <c r="D2648" s="30">
        <v>0.72099537037037043</v>
      </c>
      <c r="E2648" t="s">
        <v>317</v>
      </c>
      <c r="F2648" t="s">
        <v>299</v>
      </c>
      <c r="G2648" t="s">
        <v>299</v>
      </c>
      <c r="H2648">
        <v>124</v>
      </c>
      <c r="I2648" s="30">
        <v>2.673611111111111E-3</v>
      </c>
      <c r="J2648">
        <v>3</v>
      </c>
    </row>
    <row r="2649" spans="1:10" x14ac:dyDescent="0.35">
      <c r="A2649" t="s">
        <v>3003</v>
      </c>
      <c r="B2649" t="s">
        <v>305</v>
      </c>
      <c r="C2649" t="s">
        <v>2950</v>
      </c>
      <c r="D2649" s="30">
        <v>0.72099537037037043</v>
      </c>
      <c r="E2649" t="s">
        <v>302</v>
      </c>
      <c r="F2649" t="s">
        <v>299</v>
      </c>
      <c r="G2649" t="s">
        <v>299</v>
      </c>
      <c r="H2649">
        <v>99</v>
      </c>
      <c r="I2649" s="30">
        <v>2.5462962962962965E-3</v>
      </c>
      <c r="J2649">
        <v>5</v>
      </c>
    </row>
    <row r="2650" spans="1:10" x14ac:dyDescent="0.35">
      <c r="A2650" t="s">
        <v>3004</v>
      </c>
      <c r="B2650" t="s">
        <v>296</v>
      </c>
      <c r="C2650" t="s">
        <v>2950</v>
      </c>
      <c r="D2650" s="30">
        <v>0.72200231481481481</v>
      </c>
      <c r="E2650" t="s">
        <v>317</v>
      </c>
      <c r="F2650" t="s">
        <v>299</v>
      </c>
      <c r="G2650" t="s">
        <v>299</v>
      </c>
      <c r="H2650">
        <v>124</v>
      </c>
      <c r="I2650" s="30">
        <v>3.0439814814814813E-3</v>
      </c>
      <c r="J2650">
        <v>5</v>
      </c>
    </row>
    <row r="2651" spans="1:10" x14ac:dyDescent="0.35">
      <c r="A2651" t="s">
        <v>3005</v>
      </c>
      <c r="B2651" t="s">
        <v>307</v>
      </c>
      <c r="C2651" t="s">
        <v>2950</v>
      </c>
      <c r="D2651" s="30">
        <v>0.72200231481481481</v>
      </c>
      <c r="E2651" t="s">
        <v>314</v>
      </c>
      <c r="F2651" t="s">
        <v>299</v>
      </c>
      <c r="G2651" t="s">
        <v>299</v>
      </c>
      <c r="H2651">
        <v>55</v>
      </c>
      <c r="I2651" s="30">
        <v>4.4560185185185189E-3</v>
      </c>
      <c r="J2651">
        <v>5</v>
      </c>
    </row>
    <row r="2652" spans="1:10" x14ac:dyDescent="0.35">
      <c r="A2652" t="s">
        <v>3006</v>
      </c>
      <c r="B2652" t="s">
        <v>332</v>
      </c>
      <c r="C2652" t="s">
        <v>2950</v>
      </c>
      <c r="D2652" s="30">
        <v>0.74</v>
      </c>
      <c r="E2652" t="s">
        <v>314</v>
      </c>
      <c r="F2652" t="s">
        <v>303</v>
      </c>
      <c r="G2652" t="s">
        <v>303</v>
      </c>
    </row>
    <row r="2653" spans="1:10" x14ac:dyDescent="0.35">
      <c r="A2653" t="s">
        <v>3007</v>
      </c>
      <c r="B2653" t="s">
        <v>316</v>
      </c>
      <c r="C2653" t="s">
        <v>2950</v>
      </c>
      <c r="D2653" s="30">
        <v>0.74</v>
      </c>
      <c r="E2653" t="s">
        <v>309</v>
      </c>
      <c r="F2653" t="s">
        <v>303</v>
      </c>
      <c r="G2653" t="s">
        <v>303</v>
      </c>
    </row>
    <row r="2654" spans="1:10" x14ac:dyDescent="0.35">
      <c r="A2654" t="s">
        <v>3008</v>
      </c>
      <c r="B2654" t="s">
        <v>307</v>
      </c>
      <c r="C2654" t="s">
        <v>3009</v>
      </c>
      <c r="D2654" s="30">
        <v>0.38</v>
      </c>
      <c r="E2654" t="s">
        <v>314</v>
      </c>
      <c r="F2654" t="s">
        <v>299</v>
      </c>
      <c r="G2654" t="s">
        <v>299</v>
      </c>
      <c r="H2654">
        <v>64</v>
      </c>
      <c r="I2654" s="30">
        <v>3.5416666666666665E-3</v>
      </c>
      <c r="J2654">
        <v>2</v>
      </c>
    </row>
    <row r="2655" spans="1:10" x14ac:dyDescent="0.35">
      <c r="A2655" t="s">
        <v>3010</v>
      </c>
      <c r="B2655" t="s">
        <v>296</v>
      </c>
      <c r="C2655" t="s">
        <v>3009</v>
      </c>
      <c r="D2655" s="30">
        <v>0.38</v>
      </c>
      <c r="E2655" t="s">
        <v>302</v>
      </c>
      <c r="F2655" t="s">
        <v>299</v>
      </c>
      <c r="G2655" t="s">
        <v>299</v>
      </c>
      <c r="H2655">
        <v>82</v>
      </c>
      <c r="I2655" s="30">
        <v>3.4027777777777776E-3</v>
      </c>
      <c r="J2655">
        <v>2</v>
      </c>
    </row>
    <row r="2656" spans="1:10" x14ac:dyDescent="0.35">
      <c r="A2656" t="s">
        <v>3011</v>
      </c>
      <c r="B2656" t="s">
        <v>296</v>
      </c>
      <c r="C2656" t="s">
        <v>3009</v>
      </c>
      <c r="D2656" s="30">
        <v>0.42</v>
      </c>
      <c r="E2656" t="s">
        <v>317</v>
      </c>
      <c r="F2656" t="s">
        <v>299</v>
      </c>
      <c r="G2656" t="s">
        <v>299</v>
      </c>
      <c r="H2656">
        <v>50</v>
      </c>
      <c r="I2656" s="30">
        <v>2.3032407407407407E-3</v>
      </c>
      <c r="J2656">
        <v>4</v>
      </c>
    </row>
    <row r="2657" spans="1:10" x14ac:dyDescent="0.35">
      <c r="A2657" t="s">
        <v>3012</v>
      </c>
      <c r="B2657" t="s">
        <v>305</v>
      </c>
      <c r="C2657" t="s">
        <v>3009</v>
      </c>
      <c r="D2657" s="30">
        <v>0.42</v>
      </c>
      <c r="E2657" t="s">
        <v>298</v>
      </c>
      <c r="F2657" t="s">
        <v>299</v>
      </c>
      <c r="G2657" t="s">
        <v>299</v>
      </c>
      <c r="H2657">
        <v>100</v>
      </c>
      <c r="I2657" s="30">
        <v>2.5694444444444445E-3</v>
      </c>
      <c r="J2657">
        <v>4</v>
      </c>
    </row>
    <row r="2658" spans="1:10" x14ac:dyDescent="0.35">
      <c r="A2658" t="s">
        <v>3013</v>
      </c>
      <c r="B2658" t="s">
        <v>316</v>
      </c>
      <c r="C2658" t="s">
        <v>3009</v>
      </c>
      <c r="D2658" s="30">
        <v>0.43299768518518517</v>
      </c>
      <c r="E2658" t="s">
        <v>314</v>
      </c>
      <c r="F2658" t="s">
        <v>299</v>
      </c>
      <c r="G2658" t="s">
        <v>299</v>
      </c>
      <c r="H2658">
        <v>26</v>
      </c>
      <c r="I2658" s="30">
        <v>4.7916666666666663E-3</v>
      </c>
      <c r="J2658">
        <v>3</v>
      </c>
    </row>
    <row r="2659" spans="1:10" x14ac:dyDescent="0.35">
      <c r="A2659" t="s">
        <v>3014</v>
      </c>
      <c r="B2659" t="s">
        <v>332</v>
      </c>
      <c r="C2659" t="s">
        <v>3009</v>
      </c>
      <c r="D2659" s="30">
        <v>0.43299768518518517</v>
      </c>
      <c r="E2659" t="s">
        <v>309</v>
      </c>
      <c r="F2659" t="s">
        <v>299</v>
      </c>
      <c r="G2659" t="s">
        <v>299</v>
      </c>
      <c r="H2659">
        <v>75</v>
      </c>
      <c r="I2659" s="30">
        <v>2.9398148148148148E-3</v>
      </c>
      <c r="J2659">
        <v>2</v>
      </c>
    </row>
    <row r="2660" spans="1:10" x14ac:dyDescent="0.35">
      <c r="A2660" t="s">
        <v>3015</v>
      </c>
      <c r="B2660" t="s">
        <v>307</v>
      </c>
      <c r="C2660" t="s">
        <v>3009</v>
      </c>
      <c r="D2660" s="30">
        <v>0.43799768518518517</v>
      </c>
      <c r="E2660" t="s">
        <v>302</v>
      </c>
      <c r="F2660" t="s">
        <v>299</v>
      </c>
      <c r="G2660" t="s">
        <v>299</v>
      </c>
      <c r="H2660">
        <v>26</v>
      </c>
      <c r="I2660" s="30">
        <v>4.4907407407407405E-3</v>
      </c>
      <c r="J2660">
        <v>3</v>
      </c>
    </row>
    <row r="2661" spans="1:10" x14ac:dyDescent="0.35">
      <c r="A2661" t="s">
        <v>3016</v>
      </c>
      <c r="B2661" t="s">
        <v>332</v>
      </c>
      <c r="C2661" t="s">
        <v>3009</v>
      </c>
      <c r="D2661" s="30">
        <v>0.43799768518518517</v>
      </c>
      <c r="E2661" t="s">
        <v>309</v>
      </c>
      <c r="F2661" t="s">
        <v>299</v>
      </c>
      <c r="G2661" t="s">
        <v>299</v>
      </c>
      <c r="H2661">
        <v>21</v>
      </c>
      <c r="I2661" s="30">
        <v>3.5648148148148149E-3</v>
      </c>
      <c r="J2661">
        <v>3</v>
      </c>
    </row>
    <row r="2662" spans="1:10" x14ac:dyDescent="0.35">
      <c r="A2662" t="s">
        <v>3017</v>
      </c>
      <c r="B2662" t="s">
        <v>305</v>
      </c>
      <c r="C2662" t="s">
        <v>3009</v>
      </c>
      <c r="D2662" s="30">
        <v>0.43799768518518517</v>
      </c>
      <c r="E2662" t="s">
        <v>314</v>
      </c>
      <c r="F2662" t="s">
        <v>299</v>
      </c>
      <c r="G2662" t="s">
        <v>299</v>
      </c>
      <c r="H2662">
        <v>53</v>
      </c>
      <c r="I2662" s="30">
        <v>3.5879629629629629E-4</v>
      </c>
      <c r="J2662">
        <v>1</v>
      </c>
    </row>
    <row r="2663" spans="1:10" x14ac:dyDescent="0.35">
      <c r="A2663" t="s">
        <v>3018</v>
      </c>
      <c r="B2663" t="s">
        <v>307</v>
      </c>
      <c r="C2663" t="s">
        <v>3009</v>
      </c>
      <c r="D2663" s="30">
        <v>0.43799768518518517</v>
      </c>
      <c r="E2663" t="s">
        <v>317</v>
      </c>
      <c r="F2663" t="s">
        <v>299</v>
      </c>
      <c r="G2663" t="s">
        <v>299</v>
      </c>
      <c r="H2663">
        <v>109</v>
      </c>
      <c r="I2663" s="30">
        <v>1.8171296296296297E-3</v>
      </c>
      <c r="J2663">
        <v>3</v>
      </c>
    </row>
    <row r="2664" spans="1:10" x14ac:dyDescent="0.35">
      <c r="A2664" t="s">
        <v>3019</v>
      </c>
      <c r="B2664" t="s">
        <v>301</v>
      </c>
      <c r="C2664" t="s">
        <v>3009</v>
      </c>
      <c r="D2664" s="30">
        <v>0.46299768518518519</v>
      </c>
      <c r="E2664" t="s">
        <v>317</v>
      </c>
      <c r="F2664" t="s">
        <v>299</v>
      </c>
      <c r="G2664" t="s">
        <v>299</v>
      </c>
      <c r="H2664">
        <v>108</v>
      </c>
      <c r="I2664" s="30">
        <v>4.2129629629629626E-3</v>
      </c>
      <c r="J2664">
        <v>3</v>
      </c>
    </row>
    <row r="2665" spans="1:10" x14ac:dyDescent="0.35">
      <c r="A2665" t="s">
        <v>3020</v>
      </c>
      <c r="B2665" t="s">
        <v>305</v>
      </c>
      <c r="C2665" t="s">
        <v>3009</v>
      </c>
      <c r="D2665" s="30">
        <v>0.46299768518518519</v>
      </c>
      <c r="E2665" t="s">
        <v>298</v>
      </c>
      <c r="F2665" t="s">
        <v>299</v>
      </c>
      <c r="G2665" t="s">
        <v>299</v>
      </c>
      <c r="H2665">
        <v>58</v>
      </c>
      <c r="I2665" s="30">
        <v>3.6574074074074074E-3</v>
      </c>
      <c r="J2665">
        <v>5</v>
      </c>
    </row>
    <row r="2666" spans="1:10" x14ac:dyDescent="0.35">
      <c r="A2666" t="s">
        <v>3021</v>
      </c>
      <c r="B2666" t="s">
        <v>305</v>
      </c>
      <c r="C2666" t="s">
        <v>3009</v>
      </c>
      <c r="D2666" s="30">
        <v>0.4670023148148148</v>
      </c>
      <c r="E2666" t="s">
        <v>309</v>
      </c>
      <c r="F2666" t="s">
        <v>299</v>
      </c>
      <c r="G2666" t="s">
        <v>299</v>
      </c>
      <c r="H2666">
        <v>14</v>
      </c>
      <c r="I2666" s="30">
        <v>4.0625000000000001E-3</v>
      </c>
      <c r="J2666">
        <v>5</v>
      </c>
    </row>
    <row r="2667" spans="1:10" x14ac:dyDescent="0.35">
      <c r="A2667" t="s">
        <v>3022</v>
      </c>
      <c r="B2667" t="s">
        <v>323</v>
      </c>
      <c r="C2667" t="s">
        <v>3009</v>
      </c>
      <c r="D2667" s="30">
        <v>0.4670023148148148</v>
      </c>
      <c r="E2667" t="s">
        <v>298</v>
      </c>
      <c r="F2667" t="s">
        <v>299</v>
      </c>
      <c r="G2667" t="s">
        <v>299</v>
      </c>
      <c r="H2667">
        <v>74</v>
      </c>
      <c r="I2667" s="30">
        <v>3.8310185185185183E-3</v>
      </c>
      <c r="J2667">
        <v>4</v>
      </c>
    </row>
    <row r="2668" spans="1:10" x14ac:dyDescent="0.35">
      <c r="A2668" t="s">
        <v>3023</v>
      </c>
      <c r="B2668" t="s">
        <v>316</v>
      </c>
      <c r="C2668" t="s">
        <v>3009</v>
      </c>
      <c r="D2668" s="30">
        <v>0.47099537037037037</v>
      </c>
      <c r="E2668" t="s">
        <v>298</v>
      </c>
      <c r="F2668" t="s">
        <v>303</v>
      </c>
      <c r="G2668" t="s">
        <v>303</v>
      </c>
    </row>
    <row r="2669" spans="1:10" x14ac:dyDescent="0.35">
      <c r="A2669" t="s">
        <v>3024</v>
      </c>
      <c r="B2669" t="s">
        <v>316</v>
      </c>
      <c r="C2669" t="s">
        <v>3009</v>
      </c>
      <c r="D2669" s="30">
        <v>0.47099537037037037</v>
      </c>
      <c r="E2669" t="s">
        <v>317</v>
      </c>
      <c r="F2669" t="s">
        <v>299</v>
      </c>
      <c r="G2669" t="s">
        <v>299</v>
      </c>
      <c r="H2669">
        <v>54</v>
      </c>
      <c r="I2669" s="30">
        <v>1.9212962962962964E-3</v>
      </c>
      <c r="J2669">
        <v>5</v>
      </c>
    </row>
    <row r="2670" spans="1:10" x14ac:dyDescent="0.35">
      <c r="A2670" t="s">
        <v>3025</v>
      </c>
      <c r="B2670" t="s">
        <v>307</v>
      </c>
      <c r="C2670" t="s">
        <v>3009</v>
      </c>
      <c r="D2670" s="30">
        <v>0.47700231481481481</v>
      </c>
      <c r="E2670" t="s">
        <v>317</v>
      </c>
      <c r="F2670" t="s">
        <v>299</v>
      </c>
      <c r="G2670" t="s">
        <v>299</v>
      </c>
      <c r="H2670">
        <v>18</v>
      </c>
      <c r="I2670" s="30">
        <v>2.5810185185185185E-3</v>
      </c>
      <c r="J2670">
        <v>4</v>
      </c>
    </row>
    <row r="2671" spans="1:10" x14ac:dyDescent="0.35">
      <c r="A2671" t="s">
        <v>3026</v>
      </c>
      <c r="B2671" t="s">
        <v>319</v>
      </c>
      <c r="C2671" t="s">
        <v>3009</v>
      </c>
      <c r="D2671" s="30">
        <v>0.47700231481481481</v>
      </c>
      <c r="E2671" t="s">
        <v>309</v>
      </c>
      <c r="F2671" t="s">
        <v>299</v>
      </c>
      <c r="G2671" t="s">
        <v>299</v>
      </c>
      <c r="H2671">
        <v>39</v>
      </c>
      <c r="I2671" s="30">
        <v>4.31712962962963E-3</v>
      </c>
      <c r="J2671">
        <v>3</v>
      </c>
    </row>
    <row r="2672" spans="1:10" x14ac:dyDescent="0.35">
      <c r="A2672" t="s">
        <v>3027</v>
      </c>
      <c r="B2672" t="s">
        <v>323</v>
      </c>
      <c r="C2672" t="s">
        <v>3009</v>
      </c>
      <c r="D2672" s="30">
        <v>0.50700231481481484</v>
      </c>
      <c r="E2672" t="s">
        <v>309</v>
      </c>
      <c r="F2672" t="s">
        <v>299</v>
      </c>
      <c r="G2672" t="s">
        <v>299</v>
      </c>
      <c r="H2672">
        <v>31</v>
      </c>
      <c r="I2672" s="30">
        <v>2.2800925925925927E-3</v>
      </c>
      <c r="J2672">
        <v>1</v>
      </c>
    </row>
    <row r="2673" spans="1:10" x14ac:dyDescent="0.35">
      <c r="A2673" t="s">
        <v>3028</v>
      </c>
      <c r="B2673" t="s">
        <v>296</v>
      </c>
      <c r="C2673" t="s">
        <v>3009</v>
      </c>
      <c r="D2673" s="30">
        <v>0.50700231481481484</v>
      </c>
      <c r="E2673" t="s">
        <v>302</v>
      </c>
      <c r="F2673" t="s">
        <v>299</v>
      </c>
      <c r="G2673" t="s">
        <v>299</v>
      </c>
      <c r="H2673">
        <v>118</v>
      </c>
      <c r="I2673" s="30">
        <v>3.472222222222222E-3</v>
      </c>
      <c r="J2673">
        <v>3</v>
      </c>
    </row>
    <row r="2674" spans="1:10" x14ac:dyDescent="0.35">
      <c r="A2674" t="s">
        <v>3029</v>
      </c>
      <c r="B2674" t="s">
        <v>296</v>
      </c>
      <c r="C2674" t="s">
        <v>3009</v>
      </c>
      <c r="D2674" s="30">
        <v>0.53500000000000003</v>
      </c>
      <c r="E2674" t="s">
        <v>309</v>
      </c>
      <c r="F2674" t="s">
        <v>303</v>
      </c>
      <c r="G2674" t="s">
        <v>303</v>
      </c>
    </row>
    <row r="2675" spans="1:10" x14ac:dyDescent="0.35">
      <c r="A2675" t="s">
        <v>3030</v>
      </c>
      <c r="B2675" t="s">
        <v>319</v>
      </c>
      <c r="C2675" t="s">
        <v>3009</v>
      </c>
      <c r="D2675" s="30">
        <v>0.53500000000000003</v>
      </c>
      <c r="E2675" t="s">
        <v>298</v>
      </c>
      <c r="F2675" t="s">
        <v>299</v>
      </c>
      <c r="G2675" t="s">
        <v>299</v>
      </c>
      <c r="H2675">
        <v>118</v>
      </c>
      <c r="I2675" s="30">
        <v>4.1435185185185186E-3</v>
      </c>
      <c r="J2675">
        <v>3</v>
      </c>
    </row>
    <row r="2676" spans="1:10" x14ac:dyDescent="0.35">
      <c r="A2676" t="s">
        <v>3031</v>
      </c>
      <c r="B2676" t="s">
        <v>316</v>
      </c>
      <c r="C2676" t="s">
        <v>3009</v>
      </c>
      <c r="D2676" s="30">
        <v>0.54400462962962959</v>
      </c>
      <c r="E2676" t="s">
        <v>309</v>
      </c>
      <c r="F2676" t="s">
        <v>299</v>
      </c>
      <c r="G2676" t="s">
        <v>299</v>
      </c>
      <c r="H2676">
        <v>69</v>
      </c>
      <c r="I2676" s="30">
        <v>2.5115740740740741E-3</v>
      </c>
      <c r="J2676">
        <v>4</v>
      </c>
    </row>
    <row r="2677" spans="1:10" x14ac:dyDescent="0.35">
      <c r="A2677" t="s">
        <v>3032</v>
      </c>
      <c r="B2677" t="s">
        <v>307</v>
      </c>
      <c r="C2677" t="s">
        <v>3009</v>
      </c>
      <c r="D2677" s="30">
        <v>0.54400462962962959</v>
      </c>
      <c r="E2677" t="s">
        <v>309</v>
      </c>
      <c r="F2677" t="s">
        <v>299</v>
      </c>
      <c r="G2677" t="s">
        <v>299</v>
      </c>
      <c r="H2677">
        <v>125</v>
      </c>
      <c r="I2677" s="30">
        <v>4.409722222222222E-3</v>
      </c>
      <c r="J2677">
        <v>5</v>
      </c>
    </row>
    <row r="2678" spans="1:10" x14ac:dyDescent="0.35">
      <c r="A2678" t="s">
        <v>3033</v>
      </c>
      <c r="B2678" t="s">
        <v>332</v>
      </c>
      <c r="C2678" t="s">
        <v>3009</v>
      </c>
      <c r="D2678" s="30">
        <v>0.60200231481481481</v>
      </c>
      <c r="E2678" t="s">
        <v>317</v>
      </c>
      <c r="F2678" t="s">
        <v>299</v>
      </c>
      <c r="G2678" t="s">
        <v>303</v>
      </c>
      <c r="H2678">
        <v>47</v>
      </c>
      <c r="I2678" s="30">
        <v>1.8634259259259259E-3</v>
      </c>
      <c r="J2678">
        <v>3</v>
      </c>
    </row>
    <row r="2679" spans="1:10" x14ac:dyDescent="0.35">
      <c r="A2679" t="s">
        <v>3034</v>
      </c>
      <c r="B2679" t="s">
        <v>319</v>
      </c>
      <c r="C2679" t="s">
        <v>3009</v>
      </c>
      <c r="D2679" s="30">
        <v>0.60200231481481481</v>
      </c>
      <c r="E2679" t="s">
        <v>309</v>
      </c>
      <c r="F2679" t="s">
        <v>299</v>
      </c>
      <c r="G2679" t="s">
        <v>299</v>
      </c>
      <c r="H2679">
        <v>53</v>
      </c>
      <c r="I2679" s="30">
        <v>7.407407407407407E-4</v>
      </c>
      <c r="J2679">
        <v>1</v>
      </c>
    </row>
    <row r="2680" spans="1:10" x14ac:dyDescent="0.35">
      <c r="A2680" t="s">
        <v>3035</v>
      </c>
      <c r="B2680" t="s">
        <v>296</v>
      </c>
      <c r="C2680" t="s">
        <v>3009</v>
      </c>
      <c r="D2680" s="30">
        <v>0.61700231481481482</v>
      </c>
      <c r="E2680" t="s">
        <v>317</v>
      </c>
      <c r="F2680" t="s">
        <v>299</v>
      </c>
      <c r="G2680" t="s">
        <v>303</v>
      </c>
      <c r="H2680">
        <v>55</v>
      </c>
      <c r="I2680" s="30">
        <v>3.2060185185185186E-3</v>
      </c>
      <c r="J2680">
        <v>2</v>
      </c>
    </row>
    <row r="2681" spans="1:10" x14ac:dyDescent="0.35">
      <c r="A2681" t="s">
        <v>3036</v>
      </c>
      <c r="B2681" t="s">
        <v>323</v>
      </c>
      <c r="C2681" t="s">
        <v>3009</v>
      </c>
      <c r="D2681" s="30">
        <v>0.61700231481481482</v>
      </c>
      <c r="E2681" t="s">
        <v>314</v>
      </c>
      <c r="F2681" t="s">
        <v>299</v>
      </c>
      <c r="G2681" t="s">
        <v>299</v>
      </c>
      <c r="H2681">
        <v>91</v>
      </c>
      <c r="I2681" s="30">
        <v>3.8194444444444443E-3</v>
      </c>
      <c r="J2681">
        <v>2</v>
      </c>
    </row>
    <row r="2682" spans="1:10" x14ac:dyDescent="0.35">
      <c r="A2682" t="s">
        <v>3037</v>
      </c>
      <c r="B2682" t="s">
        <v>319</v>
      </c>
      <c r="C2682" t="s">
        <v>3009</v>
      </c>
      <c r="D2682" s="30">
        <v>0.62099537037037034</v>
      </c>
      <c r="E2682" t="s">
        <v>302</v>
      </c>
      <c r="F2682" t="s">
        <v>299</v>
      </c>
      <c r="G2682" t="s">
        <v>299</v>
      </c>
      <c r="H2682">
        <v>37</v>
      </c>
      <c r="I2682" s="30">
        <v>3.7384259259259259E-3</v>
      </c>
      <c r="J2682">
        <v>3</v>
      </c>
    </row>
    <row r="2683" spans="1:10" x14ac:dyDescent="0.35">
      <c r="A2683" t="s">
        <v>3038</v>
      </c>
      <c r="B2683" t="s">
        <v>316</v>
      </c>
      <c r="C2683" t="s">
        <v>3009</v>
      </c>
      <c r="D2683" s="30">
        <v>0.62099537037037034</v>
      </c>
      <c r="E2683" t="s">
        <v>314</v>
      </c>
      <c r="F2683" t="s">
        <v>299</v>
      </c>
      <c r="G2683" t="s">
        <v>299</v>
      </c>
      <c r="H2683">
        <v>118</v>
      </c>
      <c r="I2683" s="30">
        <v>3.3912037037037036E-3</v>
      </c>
      <c r="J2683">
        <v>4</v>
      </c>
    </row>
    <row r="2684" spans="1:10" x14ac:dyDescent="0.35">
      <c r="A2684" t="s">
        <v>3039</v>
      </c>
      <c r="B2684" t="s">
        <v>332</v>
      </c>
      <c r="C2684" t="s">
        <v>3009</v>
      </c>
      <c r="D2684" s="30">
        <v>0.63</v>
      </c>
      <c r="E2684" t="s">
        <v>302</v>
      </c>
      <c r="F2684" t="s">
        <v>299</v>
      </c>
      <c r="G2684" t="s">
        <v>299</v>
      </c>
      <c r="H2684">
        <v>37</v>
      </c>
      <c r="I2684" s="30">
        <v>3.8888888888888888E-3</v>
      </c>
      <c r="J2684">
        <v>5</v>
      </c>
    </row>
    <row r="2685" spans="1:10" x14ac:dyDescent="0.35">
      <c r="A2685" t="s">
        <v>3040</v>
      </c>
      <c r="B2685" t="s">
        <v>301</v>
      </c>
      <c r="C2685" t="s">
        <v>3009</v>
      </c>
      <c r="D2685" s="30">
        <v>0.63</v>
      </c>
      <c r="E2685" t="s">
        <v>314</v>
      </c>
      <c r="F2685" t="s">
        <v>299</v>
      </c>
      <c r="G2685" t="s">
        <v>299</v>
      </c>
      <c r="H2685">
        <v>124</v>
      </c>
      <c r="I2685" s="30">
        <v>2.8240740740740739E-3</v>
      </c>
      <c r="J2685">
        <v>4</v>
      </c>
    </row>
    <row r="2686" spans="1:10" x14ac:dyDescent="0.35">
      <c r="A2686" t="s">
        <v>3041</v>
      </c>
      <c r="B2686" t="s">
        <v>307</v>
      </c>
      <c r="C2686" t="s">
        <v>3009</v>
      </c>
      <c r="D2686" s="30">
        <v>0.63900462962962967</v>
      </c>
      <c r="E2686" t="s">
        <v>302</v>
      </c>
      <c r="F2686" t="s">
        <v>299</v>
      </c>
      <c r="G2686" t="s">
        <v>299</v>
      </c>
      <c r="H2686">
        <v>105</v>
      </c>
      <c r="I2686" s="30">
        <v>1.0995370370370371E-3</v>
      </c>
      <c r="J2686">
        <v>4</v>
      </c>
    </row>
    <row r="2687" spans="1:10" x14ac:dyDescent="0.35">
      <c r="A2687" t="s">
        <v>3042</v>
      </c>
      <c r="B2687" t="s">
        <v>296</v>
      </c>
      <c r="C2687" t="s">
        <v>3009</v>
      </c>
      <c r="D2687" s="30">
        <v>0.63900462962962967</v>
      </c>
      <c r="E2687" t="s">
        <v>314</v>
      </c>
      <c r="F2687" t="s">
        <v>303</v>
      </c>
      <c r="G2687" t="s">
        <v>303</v>
      </c>
    </row>
    <row r="2688" spans="1:10" x14ac:dyDescent="0.35">
      <c r="A2688" t="s">
        <v>3043</v>
      </c>
      <c r="B2688" t="s">
        <v>307</v>
      </c>
      <c r="C2688" t="s">
        <v>3009</v>
      </c>
      <c r="D2688" s="30">
        <v>0.64900462962962968</v>
      </c>
      <c r="E2688" t="s">
        <v>302</v>
      </c>
      <c r="F2688" t="s">
        <v>299</v>
      </c>
      <c r="G2688" t="s">
        <v>299</v>
      </c>
      <c r="H2688">
        <v>36</v>
      </c>
      <c r="I2688" s="30">
        <v>2.3958333333333331E-3</v>
      </c>
      <c r="J2688">
        <v>1</v>
      </c>
    </row>
    <row r="2689" spans="1:10" x14ac:dyDescent="0.35">
      <c r="A2689" t="s">
        <v>3044</v>
      </c>
      <c r="B2689" t="s">
        <v>323</v>
      </c>
      <c r="C2689" t="s">
        <v>3009</v>
      </c>
      <c r="D2689" s="30">
        <v>0.64900462962962968</v>
      </c>
      <c r="E2689" t="s">
        <v>317</v>
      </c>
      <c r="F2689" t="s">
        <v>299</v>
      </c>
      <c r="G2689" t="s">
        <v>299</v>
      </c>
      <c r="H2689">
        <v>87</v>
      </c>
      <c r="I2689" s="30">
        <v>4.7685185185185183E-3</v>
      </c>
      <c r="J2689">
        <v>4</v>
      </c>
    </row>
    <row r="2690" spans="1:10" x14ac:dyDescent="0.35">
      <c r="A2690" t="s">
        <v>3045</v>
      </c>
      <c r="B2690" t="s">
        <v>301</v>
      </c>
      <c r="C2690" t="s">
        <v>3009</v>
      </c>
      <c r="D2690" s="30">
        <v>0.67</v>
      </c>
      <c r="E2690" t="s">
        <v>302</v>
      </c>
      <c r="F2690" t="s">
        <v>299</v>
      </c>
      <c r="G2690" t="s">
        <v>299</v>
      </c>
      <c r="H2690">
        <v>98</v>
      </c>
      <c r="I2690" s="30">
        <v>3.4953703703703705E-3</v>
      </c>
      <c r="J2690">
        <v>4</v>
      </c>
    </row>
    <row r="2691" spans="1:10" x14ac:dyDescent="0.35">
      <c r="A2691" t="s">
        <v>3046</v>
      </c>
      <c r="B2691" t="s">
        <v>332</v>
      </c>
      <c r="C2691" t="s">
        <v>3009</v>
      </c>
      <c r="D2691" s="30">
        <v>0.67</v>
      </c>
      <c r="E2691" t="s">
        <v>314</v>
      </c>
      <c r="F2691" t="s">
        <v>303</v>
      </c>
      <c r="G2691" t="s">
        <v>303</v>
      </c>
    </row>
    <row r="2692" spans="1:10" x14ac:dyDescent="0.35">
      <c r="A2692" t="s">
        <v>3047</v>
      </c>
      <c r="B2692" t="s">
        <v>319</v>
      </c>
      <c r="C2692" t="s">
        <v>3009</v>
      </c>
      <c r="D2692" s="30">
        <v>0.67700231481481477</v>
      </c>
      <c r="E2692" t="s">
        <v>309</v>
      </c>
      <c r="F2692" t="s">
        <v>299</v>
      </c>
      <c r="G2692" t="s">
        <v>299</v>
      </c>
      <c r="H2692">
        <v>37</v>
      </c>
      <c r="I2692" s="30">
        <v>1.9791666666666668E-3</v>
      </c>
      <c r="J2692">
        <v>3</v>
      </c>
    </row>
    <row r="2693" spans="1:10" x14ac:dyDescent="0.35">
      <c r="A2693" t="s">
        <v>3048</v>
      </c>
      <c r="B2693" t="s">
        <v>316</v>
      </c>
      <c r="C2693" t="s">
        <v>3009</v>
      </c>
      <c r="D2693" s="30">
        <v>0.67700231481481477</v>
      </c>
      <c r="E2693" t="s">
        <v>317</v>
      </c>
      <c r="F2693" t="s">
        <v>299</v>
      </c>
      <c r="G2693" t="s">
        <v>299</v>
      </c>
      <c r="H2693">
        <v>65</v>
      </c>
      <c r="I2693" s="30">
        <v>3.3333333333333335E-3</v>
      </c>
      <c r="J2693">
        <v>1</v>
      </c>
    </row>
    <row r="2694" spans="1:10" x14ac:dyDescent="0.35">
      <c r="A2694" t="s">
        <v>3049</v>
      </c>
      <c r="B2694" t="s">
        <v>296</v>
      </c>
      <c r="C2694" t="s">
        <v>3009</v>
      </c>
      <c r="D2694" s="30">
        <v>0.6840046296296296</v>
      </c>
      <c r="E2694" t="s">
        <v>298</v>
      </c>
      <c r="F2694" t="s">
        <v>299</v>
      </c>
      <c r="G2694" t="s">
        <v>299</v>
      </c>
      <c r="H2694">
        <v>117</v>
      </c>
      <c r="I2694" s="30">
        <v>4.4791666666666669E-3</v>
      </c>
      <c r="J2694">
        <v>3</v>
      </c>
    </row>
    <row r="2695" spans="1:10" x14ac:dyDescent="0.35">
      <c r="A2695" t="s">
        <v>3050</v>
      </c>
      <c r="B2695" t="s">
        <v>332</v>
      </c>
      <c r="C2695" t="s">
        <v>3009</v>
      </c>
      <c r="D2695" s="30">
        <v>0.6840046296296296</v>
      </c>
      <c r="E2695" t="s">
        <v>317</v>
      </c>
      <c r="F2695" t="s">
        <v>299</v>
      </c>
      <c r="G2695" t="s">
        <v>299</v>
      </c>
      <c r="H2695">
        <v>70</v>
      </c>
      <c r="I2695" s="30">
        <v>1.1805555555555556E-3</v>
      </c>
      <c r="J2695">
        <v>4</v>
      </c>
    </row>
    <row r="2696" spans="1:10" x14ac:dyDescent="0.35">
      <c r="A2696" t="s">
        <v>3051</v>
      </c>
      <c r="B2696" t="s">
        <v>307</v>
      </c>
      <c r="C2696" t="s">
        <v>3009</v>
      </c>
      <c r="D2696" s="30">
        <v>0.68700231481481477</v>
      </c>
      <c r="E2696" t="s">
        <v>317</v>
      </c>
      <c r="F2696" t="s">
        <v>303</v>
      </c>
      <c r="G2696" t="s">
        <v>303</v>
      </c>
    </row>
    <row r="2697" spans="1:10" x14ac:dyDescent="0.35">
      <c r="A2697" t="s">
        <v>3052</v>
      </c>
      <c r="B2697" t="s">
        <v>301</v>
      </c>
      <c r="C2697" t="s">
        <v>3009</v>
      </c>
      <c r="D2697" s="30">
        <v>0.68700231481481477</v>
      </c>
      <c r="E2697" t="s">
        <v>317</v>
      </c>
      <c r="F2697" t="s">
        <v>299</v>
      </c>
      <c r="G2697" t="s">
        <v>299</v>
      </c>
      <c r="H2697">
        <v>30</v>
      </c>
      <c r="I2697" s="30">
        <v>3.8541666666666668E-3</v>
      </c>
      <c r="J2697">
        <v>3</v>
      </c>
    </row>
    <row r="2698" spans="1:10" x14ac:dyDescent="0.35">
      <c r="A2698" t="s">
        <v>3053</v>
      </c>
      <c r="B2698" t="s">
        <v>301</v>
      </c>
      <c r="C2698" t="s">
        <v>3009</v>
      </c>
      <c r="D2698" s="30">
        <v>0.68900462962962961</v>
      </c>
      <c r="E2698" t="s">
        <v>302</v>
      </c>
      <c r="F2698" t="s">
        <v>303</v>
      </c>
      <c r="G2698" t="s">
        <v>303</v>
      </c>
    </row>
    <row r="2699" spans="1:10" x14ac:dyDescent="0.35">
      <c r="A2699" t="s">
        <v>3054</v>
      </c>
      <c r="B2699" t="s">
        <v>316</v>
      </c>
      <c r="C2699" t="s">
        <v>3009</v>
      </c>
      <c r="D2699" s="30">
        <v>0.68900462962962961</v>
      </c>
      <c r="E2699" t="s">
        <v>302</v>
      </c>
      <c r="F2699" t="s">
        <v>299</v>
      </c>
      <c r="G2699" t="s">
        <v>303</v>
      </c>
      <c r="H2699">
        <v>53</v>
      </c>
      <c r="I2699" s="30">
        <v>3.2291666666666666E-3</v>
      </c>
      <c r="J2699">
        <v>3</v>
      </c>
    </row>
    <row r="2700" spans="1:10" x14ac:dyDescent="0.35">
      <c r="A2700" t="s">
        <v>3055</v>
      </c>
      <c r="B2700" t="s">
        <v>301</v>
      </c>
      <c r="C2700" t="s">
        <v>3009</v>
      </c>
      <c r="D2700" s="30">
        <v>0.7170023148148148</v>
      </c>
      <c r="E2700" t="s">
        <v>317</v>
      </c>
      <c r="F2700" t="s">
        <v>299</v>
      </c>
      <c r="G2700" t="s">
        <v>299</v>
      </c>
      <c r="H2700">
        <v>69</v>
      </c>
      <c r="I2700" s="30">
        <v>3.5995370370370369E-3</v>
      </c>
      <c r="J2700">
        <v>4</v>
      </c>
    </row>
    <row r="2701" spans="1:10" x14ac:dyDescent="0.35">
      <c r="A2701" t="s">
        <v>3056</v>
      </c>
      <c r="B2701" t="s">
        <v>305</v>
      </c>
      <c r="C2701" t="s">
        <v>3009</v>
      </c>
      <c r="D2701" s="30">
        <v>0.7170023148148148</v>
      </c>
      <c r="E2701" t="s">
        <v>298</v>
      </c>
      <c r="F2701" t="s">
        <v>299</v>
      </c>
      <c r="G2701" t="s">
        <v>299</v>
      </c>
      <c r="H2701">
        <v>109</v>
      </c>
      <c r="I2701" s="30">
        <v>2.8935185185185184E-3</v>
      </c>
      <c r="J2701">
        <v>1</v>
      </c>
    </row>
    <row r="2702" spans="1:10" x14ac:dyDescent="0.35">
      <c r="A2702" t="s">
        <v>3057</v>
      </c>
      <c r="B2702" t="s">
        <v>332</v>
      </c>
      <c r="C2702" t="s">
        <v>3009</v>
      </c>
      <c r="D2702" s="30">
        <v>0.72799768518518515</v>
      </c>
      <c r="E2702" t="s">
        <v>302</v>
      </c>
      <c r="F2702" t="s">
        <v>299</v>
      </c>
      <c r="G2702" t="s">
        <v>299</v>
      </c>
      <c r="H2702">
        <v>17</v>
      </c>
      <c r="I2702" s="30">
        <v>4.861111111111111E-4</v>
      </c>
      <c r="J2702">
        <v>5</v>
      </c>
    </row>
    <row r="2703" spans="1:10" x14ac:dyDescent="0.35">
      <c r="A2703" t="s">
        <v>3058</v>
      </c>
      <c r="B2703" t="s">
        <v>323</v>
      </c>
      <c r="C2703" t="s">
        <v>3009</v>
      </c>
      <c r="D2703" s="30">
        <v>0.72799768518518515</v>
      </c>
      <c r="E2703" t="s">
        <v>317</v>
      </c>
      <c r="F2703" t="s">
        <v>299</v>
      </c>
      <c r="G2703" t="s">
        <v>299</v>
      </c>
      <c r="H2703">
        <v>109</v>
      </c>
      <c r="I2703" s="30">
        <v>3.3796296296296296E-3</v>
      </c>
      <c r="J2703">
        <v>4</v>
      </c>
    </row>
    <row r="2704" spans="1:10" x14ac:dyDescent="0.35">
      <c r="A2704" t="s">
        <v>3059</v>
      </c>
      <c r="B2704" t="s">
        <v>307</v>
      </c>
      <c r="C2704" t="s">
        <v>3009</v>
      </c>
      <c r="D2704" s="30">
        <v>0.73</v>
      </c>
      <c r="E2704" t="s">
        <v>298</v>
      </c>
      <c r="F2704" t="s">
        <v>299</v>
      </c>
      <c r="G2704" t="s">
        <v>299</v>
      </c>
      <c r="H2704">
        <v>50</v>
      </c>
      <c r="I2704" s="30">
        <v>4.0046296296296297E-3</v>
      </c>
      <c r="J2704">
        <v>5</v>
      </c>
    </row>
    <row r="2705" spans="1:10" x14ac:dyDescent="0.35">
      <c r="A2705" t="s">
        <v>3060</v>
      </c>
      <c r="B2705" t="s">
        <v>301</v>
      </c>
      <c r="C2705" t="s">
        <v>3009</v>
      </c>
      <c r="D2705" s="30">
        <v>0.73</v>
      </c>
      <c r="E2705" t="s">
        <v>314</v>
      </c>
      <c r="F2705" t="s">
        <v>299</v>
      </c>
      <c r="G2705" t="s">
        <v>303</v>
      </c>
      <c r="H2705">
        <v>22</v>
      </c>
      <c r="I2705" s="30">
        <v>2.4421296296296296E-3</v>
      </c>
      <c r="J2705">
        <v>3</v>
      </c>
    </row>
    <row r="2706" spans="1:10" x14ac:dyDescent="0.35">
      <c r="A2706" t="s">
        <v>3061</v>
      </c>
      <c r="B2706" t="s">
        <v>296</v>
      </c>
      <c r="C2706" t="s">
        <v>3009</v>
      </c>
      <c r="D2706" s="30">
        <v>0.74</v>
      </c>
      <c r="E2706" t="s">
        <v>298</v>
      </c>
      <c r="F2706" t="s">
        <v>299</v>
      </c>
      <c r="G2706" t="s">
        <v>299</v>
      </c>
      <c r="H2706">
        <v>100</v>
      </c>
      <c r="I2706" s="30">
        <v>1.7939814814814815E-3</v>
      </c>
      <c r="J2706">
        <v>4</v>
      </c>
    </row>
    <row r="2707" spans="1:10" x14ac:dyDescent="0.35">
      <c r="A2707" t="s">
        <v>3062</v>
      </c>
      <c r="B2707" t="s">
        <v>305</v>
      </c>
      <c r="C2707" t="s">
        <v>3009</v>
      </c>
      <c r="D2707" s="30">
        <v>0.74</v>
      </c>
      <c r="E2707" t="s">
        <v>317</v>
      </c>
      <c r="F2707" t="s">
        <v>299</v>
      </c>
      <c r="G2707" t="s">
        <v>299</v>
      </c>
      <c r="H2707">
        <v>101</v>
      </c>
      <c r="I2707" s="30">
        <v>3.6458333333333334E-3</v>
      </c>
      <c r="J2707">
        <v>3</v>
      </c>
    </row>
    <row r="2708" spans="1:10" x14ac:dyDescent="0.35">
      <c r="A2708" t="s">
        <v>3063</v>
      </c>
      <c r="B2708" t="s">
        <v>301</v>
      </c>
      <c r="C2708" t="s">
        <v>3009</v>
      </c>
      <c r="D2708" s="30">
        <v>0.745</v>
      </c>
      <c r="E2708" t="s">
        <v>309</v>
      </c>
      <c r="F2708" t="s">
        <v>299</v>
      </c>
      <c r="G2708" t="s">
        <v>299</v>
      </c>
      <c r="H2708">
        <v>15</v>
      </c>
      <c r="I2708" s="30">
        <v>1.9560185185185184E-3</v>
      </c>
      <c r="J2708">
        <v>3</v>
      </c>
    </row>
    <row r="2709" spans="1:10" x14ac:dyDescent="0.35">
      <c r="A2709" t="s">
        <v>3064</v>
      </c>
      <c r="B2709" t="s">
        <v>296</v>
      </c>
      <c r="C2709" t="s">
        <v>3009</v>
      </c>
      <c r="D2709" s="30">
        <v>0.745</v>
      </c>
      <c r="E2709" t="s">
        <v>298</v>
      </c>
      <c r="F2709" t="s">
        <v>299</v>
      </c>
      <c r="G2709" t="s">
        <v>299</v>
      </c>
      <c r="H2709">
        <v>59</v>
      </c>
      <c r="I2709" s="30">
        <v>3.1134259259259257E-3</v>
      </c>
      <c r="J2709">
        <v>5</v>
      </c>
    </row>
    <row r="2710" spans="1:10" x14ac:dyDescent="0.35">
      <c r="A2710" t="s">
        <v>3065</v>
      </c>
      <c r="B2710" t="s">
        <v>305</v>
      </c>
      <c r="C2710" t="s">
        <v>3066</v>
      </c>
      <c r="D2710" s="30">
        <v>0.3759953703703704</v>
      </c>
      <c r="E2710" t="s">
        <v>298</v>
      </c>
      <c r="F2710" t="s">
        <v>299</v>
      </c>
      <c r="G2710" t="s">
        <v>299</v>
      </c>
      <c r="H2710">
        <v>93</v>
      </c>
      <c r="I2710" s="30">
        <v>2.2569444444444442E-3</v>
      </c>
      <c r="J2710">
        <v>3</v>
      </c>
    </row>
    <row r="2711" spans="1:10" x14ac:dyDescent="0.35">
      <c r="A2711" t="s">
        <v>3067</v>
      </c>
      <c r="B2711" t="s">
        <v>301</v>
      </c>
      <c r="C2711" t="s">
        <v>3066</v>
      </c>
      <c r="D2711" s="30">
        <v>0.3759953703703704</v>
      </c>
      <c r="E2711" t="s">
        <v>309</v>
      </c>
      <c r="F2711" t="s">
        <v>299</v>
      </c>
      <c r="G2711" t="s">
        <v>299</v>
      </c>
      <c r="H2711">
        <v>81</v>
      </c>
      <c r="I2711" s="30">
        <v>4.4560185185185189E-3</v>
      </c>
      <c r="J2711">
        <v>4</v>
      </c>
    </row>
    <row r="2712" spans="1:10" x14ac:dyDescent="0.35">
      <c r="A2712" t="s">
        <v>3068</v>
      </c>
      <c r="B2712" t="s">
        <v>316</v>
      </c>
      <c r="C2712" t="s">
        <v>3066</v>
      </c>
      <c r="D2712" s="30">
        <v>0.38700231481481484</v>
      </c>
      <c r="E2712" t="s">
        <v>314</v>
      </c>
      <c r="F2712" t="s">
        <v>299</v>
      </c>
      <c r="G2712" t="s">
        <v>299</v>
      </c>
      <c r="H2712">
        <v>20</v>
      </c>
      <c r="I2712" s="30">
        <v>1.5162037037037036E-3</v>
      </c>
      <c r="J2712">
        <v>1</v>
      </c>
    </row>
    <row r="2713" spans="1:10" x14ac:dyDescent="0.35">
      <c r="A2713" t="s">
        <v>3069</v>
      </c>
      <c r="B2713" t="s">
        <v>307</v>
      </c>
      <c r="C2713" t="s">
        <v>3066</v>
      </c>
      <c r="D2713" s="30">
        <v>0.38700231481481484</v>
      </c>
      <c r="E2713" t="s">
        <v>298</v>
      </c>
      <c r="F2713" t="s">
        <v>299</v>
      </c>
      <c r="G2713" t="s">
        <v>299</v>
      </c>
      <c r="H2713">
        <v>47</v>
      </c>
      <c r="I2713" s="30">
        <v>4.0509259259259258E-4</v>
      </c>
      <c r="J2713">
        <v>3</v>
      </c>
    </row>
    <row r="2714" spans="1:10" x14ac:dyDescent="0.35">
      <c r="A2714" t="s">
        <v>3070</v>
      </c>
      <c r="B2714" t="s">
        <v>296</v>
      </c>
      <c r="C2714" t="s">
        <v>3066</v>
      </c>
      <c r="D2714" s="30">
        <v>0.39099537037037035</v>
      </c>
      <c r="E2714" t="s">
        <v>314</v>
      </c>
      <c r="F2714" t="s">
        <v>299</v>
      </c>
      <c r="G2714" t="s">
        <v>303</v>
      </c>
      <c r="H2714">
        <v>17</v>
      </c>
      <c r="I2714" s="30">
        <v>2.1064814814814813E-3</v>
      </c>
      <c r="J2714">
        <v>1</v>
      </c>
    </row>
    <row r="2715" spans="1:10" x14ac:dyDescent="0.35">
      <c r="A2715" t="s">
        <v>3071</v>
      </c>
      <c r="B2715" t="s">
        <v>305</v>
      </c>
      <c r="C2715" t="s">
        <v>3066</v>
      </c>
      <c r="D2715" s="30">
        <v>0.39099537037037035</v>
      </c>
      <c r="E2715" t="s">
        <v>309</v>
      </c>
      <c r="F2715" t="s">
        <v>299</v>
      </c>
      <c r="G2715" t="s">
        <v>303</v>
      </c>
      <c r="H2715">
        <v>15</v>
      </c>
      <c r="I2715" s="30">
        <v>7.407407407407407E-4</v>
      </c>
      <c r="J2715">
        <v>3</v>
      </c>
    </row>
    <row r="2716" spans="1:10" x14ac:dyDescent="0.35">
      <c r="A2716" t="s">
        <v>3072</v>
      </c>
      <c r="B2716" t="s">
        <v>296</v>
      </c>
      <c r="C2716" t="s">
        <v>3066</v>
      </c>
      <c r="D2716" s="30">
        <v>0.39900462962962963</v>
      </c>
      <c r="E2716" t="s">
        <v>302</v>
      </c>
      <c r="F2716" t="s">
        <v>299</v>
      </c>
      <c r="G2716" t="s">
        <v>299</v>
      </c>
      <c r="H2716">
        <v>94</v>
      </c>
      <c r="I2716" s="30">
        <v>4.2824074074074075E-3</v>
      </c>
      <c r="J2716">
        <v>5</v>
      </c>
    </row>
    <row r="2717" spans="1:10" x14ac:dyDescent="0.35">
      <c r="A2717" t="s">
        <v>3073</v>
      </c>
      <c r="B2717" t="s">
        <v>323</v>
      </c>
      <c r="C2717" t="s">
        <v>3066</v>
      </c>
      <c r="D2717" s="30">
        <v>0.39900462962962963</v>
      </c>
      <c r="E2717" t="s">
        <v>302</v>
      </c>
      <c r="F2717" t="s">
        <v>299</v>
      </c>
      <c r="G2717" t="s">
        <v>299</v>
      </c>
      <c r="H2717">
        <v>10</v>
      </c>
      <c r="I2717" s="30">
        <v>1.5625000000000001E-3</v>
      </c>
      <c r="J2717">
        <v>5</v>
      </c>
    </row>
    <row r="2718" spans="1:10" x14ac:dyDescent="0.35">
      <c r="A2718" t="s">
        <v>3074</v>
      </c>
      <c r="B2718" t="s">
        <v>319</v>
      </c>
      <c r="C2718" t="s">
        <v>3066</v>
      </c>
      <c r="D2718" s="30">
        <v>0.41200231481481481</v>
      </c>
      <c r="E2718" t="s">
        <v>314</v>
      </c>
      <c r="F2718" t="s">
        <v>299</v>
      </c>
      <c r="G2718" t="s">
        <v>299</v>
      </c>
      <c r="H2718">
        <v>96</v>
      </c>
      <c r="I2718" s="30">
        <v>2.9166666666666668E-3</v>
      </c>
      <c r="J2718">
        <v>3</v>
      </c>
    </row>
    <row r="2719" spans="1:10" x14ac:dyDescent="0.35">
      <c r="A2719" t="s">
        <v>3075</v>
      </c>
      <c r="B2719" t="s">
        <v>319</v>
      </c>
      <c r="C2719" t="s">
        <v>3066</v>
      </c>
      <c r="D2719" s="30">
        <v>0.41200231481481481</v>
      </c>
      <c r="E2719" t="s">
        <v>314</v>
      </c>
      <c r="F2719" t="s">
        <v>299</v>
      </c>
      <c r="G2719" t="s">
        <v>299</v>
      </c>
      <c r="H2719">
        <v>32</v>
      </c>
      <c r="I2719" s="30">
        <v>1.1689814814814816E-3</v>
      </c>
      <c r="J2719">
        <v>4</v>
      </c>
    </row>
    <row r="2720" spans="1:10" x14ac:dyDescent="0.35">
      <c r="A2720" t="s">
        <v>3076</v>
      </c>
      <c r="B2720" t="s">
        <v>301</v>
      </c>
      <c r="C2720" t="s">
        <v>3066</v>
      </c>
      <c r="D2720" s="30">
        <v>0.41599537037037038</v>
      </c>
      <c r="E2720" t="s">
        <v>317</v>
      </c>
      <c r="F2720" t="s">
        <v>299</v>
      </c>
      <c r="G2720" t="s">
        <v>299</v>
      </c>
      <c r="H2720">
        <v>36</v>
      </c>
      <c r="I2720" s="30">
        <v>3.4953703703703705E-3</v>
      </c>
      <c r="J2720">
        <v>1</v>
      </c>
    </row>
    <row r="2721" spans="1:10" x14ac:dyDescent="0.35">
      <c r="A2721" t="s">
        <v>3077</v>
      </c>
      <c r="B2721" t="s">
        <v>323</v>
      </c>
      <c r="C2721" t="s">
        <v>3066</v>
      </c>
      <c r="D2721" s="30">
        <v>0.41599537037037038</v>
      </c>
      <c r="E2721" t="s">
        <v>317</v>
      </c>
      <c r="F2721" t="s">
        <v>299</v>
      </c>
      <c r="G2721" t="s">
        <v>299</v>
      </c>
      <c r="H2721">
        <v>50</v>
      </c>
      <c r="I2721" s="30">
        <v>1.1805555555555556E-3</v>
      </c>
      <c r="J2721">
        <v>5</v>
      </c>
    </row>
    <row r="2722" spans="1:10" x14ac:dyDescent="0.35">
      <c r="A2722" t="s">
        <v>3078</v>
      </c>
      <c r="B2722" t="s">
        <v>305</v>
      </c>
      <c r="C2722" t="s">
        <v>3066</v>
      </c>
      <c r="D2722" s="30">
        <v>0.41900462962962964</v>
      </c>
      <c r="E2722" t="s">
        <v>309</v>
      </c>
      <c r="F2722" t="s">
        <v>303</v>
      </c>
      <c r="G2722" t="s">
        <v>303</v>
      </c>
    </row>
    <row r="2723" spans="1:10" x14ac:dyDescent="0.35">
      <c r="A2723" t="s">
        <v>3079</v>
      </c>
      <c r="B2723" t="s">
        <v>323</v>
      </c>
      <c r="C2723" t="s">
        <v>3066</v>
      </c>
      <c r="D2723" s="30">
        <v>0.41900462962962964</v>
      </c>
      <c r="E2723" t="s">
        <v>309</v>
      </c>
      <c r="F2723" t="s">
        <v>299</v>
      </c>
      <c r="G2723" t="s">
        <v>299</v>
      </c>
      <c r="H2723">
        <v>89</v>
      </c>
      <c r="I2723" s="30">
        <v>3.8194444444444452E-4</v>
      </c>
      <c r="J2723">
        <v>2</v>
      </c>
    </row>
    <row r="2724" spans="1:10" x14ac:dyDescent="0.35">
      <c r="A2724" t="s">
        <v>3080</v>
      </c>
      <c r="B2724" t="s">
        <v>296</v>
      </c>
      <c r="C2724" t="s">
        <v>3066</v>
      </c>
      <c r="D2724" s="30">
        <v>0.44200231481481483</v>
      </c>
      <c r="E2724" t="s">
        <v>298</v>
      </c>
      <c r="F2724" t="s">
        <v>303</v>
      </c>
      <c r="G2724" t="s">
        <v>303</v>
      </c>
    </row>
    <row r="2725" spans="1:10" x14ac:dyDescent="0.35">
      <c r="A2725" t="s">
        <v>3081</v>
      </c>
      <c r="B2725" t="s">
        <v>319</v>
      </c>
      <c r="C2725" t="s">
        <v>3066</v>
      </c>
      <c r="D2725" s="30">
        <v>0.44200231481481483</v>
      </c>
      <c r="E2725" t="s">
        <v>314</v>
      </c>
      <c r="F2725" t="s">
        <v>299</v>
      </c>
      <c r="G2725" t="s">
        <v>299</v>
      </c>
      <c r="H2725">
        <v>114</v>
      </c>
      <c r="I2725" s="30">
        <v>4.0162037037037041E-3</v>
      </c>
      <c r="J2725">
        <v>5</v>
      </c>
    </row>
    <row r="2726" spans="1:10" x14ac:dyDescent="0.35">
      <c r="A2726" t="s">
        <v>3082</v>
      </c>
      <c r="B2726" t="s">
        <v>323</v>
      </c>
      <c r="C2726" t="s">
        <v>3066</v>
      </c>
      <c r="D2726" s="30">
        <v>0.44700231481481484</v>
      </c>
      <c r="E2726" t="s">
        <v>317</v>
      </c>
      <c r="F2726" t="s">
        <v>299</v>
      </c>
      <c r="G2726" t="s">
        <v>299</v>
      </c>
      <c r="H2726">
        <v>44</v>
      </c>
      <c r="I2726" s="30">
        <v>4.5254629629629629E-3</v>
      </c>
      <c r="J2726">
        <v>5</v>
      </c>
    </row>
    <row r="2727" spans="1:10" x14ac:dyDescent="0.35">
      <c r="A2727" t="s">
        <v>3083</v>
      </c>
      <c r="B2727" t="s">
        <v>319</v>
      </c>
      <c r="C2727" t="s">
        <v>3066</v>
      </c>
      <c r="D2727" s="30">
        <v>0.44700231481481484</v>
      </c>
      <c r="E2727" t="s">
        <v>314</v>
      </c>
      <c r="F2727" t="s">
        <v>299</v>
      </c>
      <c r="G2727" t="s">
        <v>299</v>
      </c>
      <c r="H2727">
        <v>100</v>
      </c>
      <c r="I2727" s="30">
        <v>4.2361111111111115E-3</v>
      </c>
      <c r="J2727">
        <v>5</v>
      </c>
    </row>
    <row r="2728" spans="1:10" x14ac:dyDescent="0.35">
      <c r="A2728" t="s">
        <v>3084</v>
      </c>
      <c r="B2728" t="s">
        <v>316</v>
      </c>
      <c r="C2728" t="s">
        <v>3066</v>
      </c>
      <c r="D2728" s="30">
        <v>0.47499999999999998</v>
      </c>
      <c r="E2728" t="s">
        <v>309</v>
      </c>
      <c r="F2728" t="s">
        <v>303</v>
      </c>
      <c r="G2728" t="s">
        <v>303</v>
      </c>
    </row>
    <row r="2729" spans="1:10" x14ac:dyDescent="0.35">
      <c r="A2729" t="s">
        <v>3085</v>
      </c>
      <c r="B2729" t="s">
        <v>316</v>
      </c>
      <c r="C2729" t="s">
        <v>3066</v>
      </c>
      <c r="D2729" s="30">
        <v>0.47499999999999998</v>
      </c>
      <c r="E2729" t="s">
        <v>298</v>
      </c>
      <c r="F2729" t="s">
        <v>299</v>
      </c>
      <c r="G2729" t="s">
        <v>299</v>
      </c>
      <c r="H2729">
        <v>70</v>
      </c>
      <c r="I2729" s="30">
        <v>5.6712962962962967E-4</v>
      </c>
      <c r="J2729">
        <v>4</v>
      </c>
    </row>
    <row r="2730" spans="1:10" x14ac:dyDescent="0.35">
      <c r="A2730" t="s">
        <v>3086</v>
      </c>
      <c r="B2730" t="s">
        <v>323</v>
      </c>
      <c r="C2730" t="s">
        <v>3066</v>
      </c>
      <c r="D2730" s="30">
        <v>0.47499999999999998</v>
      </c>
      <c r="E2730" t="s">
        <v>298</v>
      </c>
      <c r="F2730" t="s">
        <v>299</v>
      </c>
      <c r="G2730" t="s">
        <v>299</v>
      </c>
      <c r="H2730">
        <v>16</v>
      </c>
      <c r="I2730" s="30">
        <v>2.8124999999999999E-3</v>
      </c>
      <c r="J2730">
        <v>4</v>
      </c>
    </row>
    <row r="2731" spans="1:10" x14ac:dyDescent="0.35">
      <c r="A2731" t="s">
        <v>3087</v>
      </c>
      <c r="B2731" t="s">
        <v>301</v>
      </c>
      <c r="C2731" t="s">
        <v>3066</v>
      </c>
      <c r="D2731" s="30">
        <v>0.47499999999999998</v>
      </c>
      <c r="E2731" t="s">
        <v>314</v>
      </c>
      <c r="F2731" t="s">
        <v>299</v>
      </c>
      <c r="G2731" t="s">
        <v>299</v>
      </c>
      <c r="H2731">
        <v>49</v>
      </c>
      <c r="I2731" s="30">
        <v>7.407407407407407E-4</v>
      </c>
      <c r="J2731">
        <v>4</v>
      </c>
    </row>
    <row r="2732" spans="1:10" x14ac:dyDescent="0.35">
      <c r="A2732" t="s">
        <v>3088</v>
      </c>
      <c r="B2732" t="s">
        <v>319</v>
      </c>
      <c r="C2732" t="s">
        <v>3066</v>
      </c>
      <c r="D2732" s="30">
        <v>0.47799768518518521</v>
      </c>
      <c r="E2732" t="s">
        <v>317</v>
      </c>
      <c r="F2732" t="s">
        <v>299</v>
      </c>
      <c r="G2732" t="s">
        <v>299</v>
      </c>
      <c r="H2732">
        <v>96</v>
      </c>
      <c r="I2732" s="30">
        <v>4.0277777777777777E-3</v>
      </c>
      <c r="J2732">
        <v>4</v>
      </c>
    </row>
    <row r="2733" spans="1:10" x14ac:dyDescent="0.35">
      <c r="A2733" t="s">
        <v>3089</v>
      </c>
      <c r="B2733" t="s">
        <v>307</v>
      </c>
      <c r="C2733" t="s">
        <v>3066</v>
      </c>
      <c r="D2733" s="30">
        <v>0.47799768518518521</v>
      </c>
      <c r="E2733" t="s">
        <v>314</v>
      </c>
      <c r="F2733" t="s">
        <v>299</v>
      </c>
      <c r="G2733" t="s">
        <v>299</v>
      </c>
      <c r="H2733">
        <v>85</v>
      </c>
      <c r="I2733" s="30">
        <v>3.8888888888888888E-3</v>
      </c>
      <c r="J2733">
        <v>4</v>
      </c>
    </row>
    <row r="2734" spans="1:10" x14ac:dyDescent="0.35">
      <c r="A2734" t="s">
        <v>3090</v>
      </c>
      <c r="B2734" t="s">
        <v>323</v>
      </c>
      <c r="C2734" t="s">
        <v>3066</v>
      </c>
      <c r="D2734" s="30">
        <v>0.48799768518518516</v>
      </c>
      <c r="E2734" t="s">
        <v>298</v>
      </c>
      <c r="F2734" t="s">
        <v>299</v>
      </c>
      <c r="G2734" t="s">
        <v>299</v>
      </c>
      <c r="H2734">
        <v>65</v>
      </c>
      <c r="I2734" s="30">
        <v>3.8078703703703703E-3</v>
      </c>
      <c r="J2734">
        <v>2</v>
      </c>
    </row>
    <row r="2735" spans="1:10" x14ac:dyDescent="0.35">
      <c r="A2735" t="s">
        <v>3091</v>
      </c>
      <c r="B2735" t="s">
        <v>323</v>
      </c>
      <c r="C2735" t="s">
        <v>3066</v>
      </c>
      <c r="D2735" s="30">
        <v>0.48799768518518516</v>
      </c>
      <c r="E2735" t="s">
        <v>309</v>
      </c>
      <c r="F2735" t="s">
        <v>299</v>
      </c>
      <c r="G2735" t="s">
        <v>299</v>
      </c>
      <c r="H2735">
        <v>67</v>
      </c>
      <c r="I2735" s="30">
        <v>3.4722222222222218E-4</v>
      </c>
      <c r="J2735">
        <v>4</v>
      </c>
    </row>
    <row r="2736" spans="1:10" x14ac:dyDescent="0.35">
      <c r="A2736" t="s">
        <v>3092</v>
      </c>
      <c r="B2736" t="s">
        <v>307</v>
      </c>
      <c r="C2736" t="s">
        <v>3066</v>
      </c>
      <c r="D2736" s="30">
        <v>0.50400462962962966</v>
      </c>
      <c r="E2736" t="s">
        <v>309</v>
      </c>
      <c r="F2736" t="s">
        <v>299</v>
      </c>
      <c r="G2736" t="s">
        <v>299</v>
      </c>
      <c r="H2736">
        <v>50</v>
      </c>
      <c r="I2736" s="30">
        <v>7.9861111111111116E-4</v>
      </c>
      <c r="J2736">
        <v>4</v>
      </c>
    </row>
    <row r="2737" spans="1:10" x14ac:dyDescent="0.35">
      <c r="A2737" t="s">
        <v>3093</v>
      </c>
      <c r="B2737" t="s">
        <v>301</v>
      </c>
      <c r="C2737" t="s">
        <v>3066</v>
      </c>
      <c r="D2737" s="30">
        <v>0.50400462962962966</v>
      </c>
      <c r="E2737" t="s">
        <v>317</v>
      </c>
      <c r="F2737" t="s">
        <v>303</v>
      </c>
      <c r="G2737" t="s">
        <v>303</v>
      </c>
    </row>
    <row r="2738" spans="1:10" x14ac:dyDescent="0.35">
      <c r="A2738" t="s">
        <v>3094</v>
      </c>
      <c r="B2738" t="s">
        <v>296</v>
      </c>
      <c r="C2738" t="s">
        <v>3066</v>
      </c>
      <c r="D2738" s="30">
        <v>0.50700231481481484</v>
      </c>
      <c r="E2738" t="s">
        <v>298</v>
      </c>
      <c r="F2738" t="s">
        <v>299</v>
      </c>
      <c r="G2738" t="s">
        <v>299</v>
      </c>
      <c r="H2738">
        <v>79</v>
      </c>
      <c r="I2738" s="30">
        <v>2.3379629629629631E-3</v>
      </c>
      <c r="J2738">
        <v>3</v>
      </c>
    </row>
    <row r="2739" spans="1:10" x14ac:dyDescent="0.35">
      <c r="A2739" t="s">
        <v>3095</v>
      </c>
      <c r="B2739" t="s">
        <v>307</v>
      </c>
      <c r="C2739" t="s">
        <v>3066</v>
      </c>
      <c r="D2739" s="30">
        <v>0.50700231481481484</v>
      </c>
      <c r="E2739" t="s">
        <v>302</v>
      </c>
      <c r="F2739" t="s">
        <v>299</v>
      </c>
      <c r="G2739" t="s">
        <v>299</v>
      </c>
      <c r="H2739">
        <v>107</v>
      </c>
      <c r="I2739" s="30">
        <v>2.6967592592592594E-3</v>
      </c>
      <c r="J2739">
        <v>4</v>
      </c>
    </row>
    <row r="2740" spans="1:10" x14ac:dyDescent="0.35">
      <c r="A2740" t="s">
        <v>3096</v>
      </c>
      <c r="B2740" t="s">
        <v>323</v>
      </c>
      <c r="C2740" t="s">
        <v>3066</v>
      </c>
      <c r="D2740" s="30">
        <v>0.50799768518518518</v>
      </c>
      <c r="E2740" t="s">
        <v>298</v>
      </c>
      <c r="F2740" t="s">
        <v>299</v>
      </c>
      <c r="G2740" t="s">
        <v>303</v>
      </c>
      <c r="H2740">
        <v>52</v>
      </c>
      <c r="I2740" s="30">
        <v>3.3564814814814816E-3</v>
      </c>
      <c r="J2740">
        <v>1</v>
      </c>
    </row>
    <row r="2741" spans="1:10" x14ac:dyDescent="0.35">
      <c r="A2741" t="s">
        <v>3097</v>
      </c>
      <c r="B2741" t="s">
        <v>316</v>
      </c>
      <c r="C2741" t="s">
        <v>3066</v>
      </c>
      <c r="D2741" s="30">
        <v>0.50799768518518518</v>
      </c>
      <c r="E2741" t="s">
        <v>317</v>
      </c>
      <c r="F2741" t="s">
        <v>299</v>
      </c>
      <c r="G2741" t="s">
        <v>303</v>
      </c>
      <c r="H2741">
        <v>104</v>
      </c>
      <c r="I2741" s="30">
        <v>4.4560185185185189E-3</v>
      </c>
      <c r="J2741">
        <v>1</v>
      </c>
    </row>
    <row r="2742" spans="1:10" x14ac:dyDescent="0.35">
      <c r="A2742" t="s">
        <v>3098</v>
      </c>
      <c r="B2742" t="s">
        <v>319</v>
      </c>
      <c r="C2742" t="s">
        <v>3066</v>
      </c>
      <c r="D2742" s="30">
        <v>0.51200231481481484</v>
      </c>
      <c r="E2742" t="s">
        <v>314</v>
      </c>
      <c r="F2742" t="s">
        <v>303</v>
      </c>
      <c r="G2742" t="s">
        <v>303</v>
      </c>
    </row>
    <row r="2743" spans="1:10" x14ac:dyDescent="0.35">
      <c r="A2743" t="s">
        <v>3099</v>
      </c>
      <c r="B2743" t="s">
        <v>316</v>
      </c>
      <c r="C2743" t="s">
        <v>3066</v>
      </c>
      <c r="D2743" s="30">
        <v>0.51200231481481484</v>
      </c>
      <c r="E2743" t="s">
        <v>298</v>
      </c>
      <c r="F2743" t="s">
        <v>299</v>
      </c>
      <c r="G2743" t="s">
        <v>299</v>
      </c>
      <c r="H2743">
        <v>63</v>
      </c>
      <c r="I2743" s="30">
        <v>6.2500000000000001E-4</v>
      </c>
      <c r="J2743">
        <v>1</v>
      </c>
    </row>
    <row r="2744" spans="1:10" x14ac:dyDescent="0.35">
      <c r="A2744" t="s">
        <v>3100</v>
      </c>
      <c r="B2744" t="s">
        <v>301</v>
      </c>
      <c r="C2744" t="s">
        <v>3066</v>
      </c>
      <c r="D2744" s="30">
        <v>0.54400462962962959</v>
      </c>
      <c r="E2744" t="s">
        <v>302</v>
      </c>
      <c r="F2744" t="s">
        <v>299</v>
      </c>
      <c r="G2744" t="s">
        <v>299</v>
      </c>
      <c r="H2744">
        <v>79</v>
      </c>
      <c r="I2744" s="30">
        <v>2.673611111111111E-3</v>
      </c>
      <c r="J2744">
        <v>4</v>
      </c>
    </row>
    <row r="2745" spans="1:10" x14ac:dyDescent="0.35">
      <c r="A2745" t="s">
        <v>3101</v>
      </c>
      <c r="B2745" t="s">
        <v>307</v>
      </c>
      <c r="C2745" t="s">
        <v>3066</v>
      </c>
      <c r="D2745" s="30">
        <v>0.54400462962962959</v>
      </c>
      <c r="E2745" t="s">
        <v>317</v>
      </c>
      <c r="F2745" t="s">
        <v>299</v>
      </c>
      <c r="G2745" t="s">
        <v>303</v>
      </c>
      <c r="H2745">
        <v>21</v>
      </c>
      <c r="I2745" s="30">
        <v>4.5254629629629629E-3</v>
      </c>
      <c r="J2745">
        <v>3</v>
      </c>
    </row>
    <row r="2746" spans="1:10" x14ac:dyDescent="0.35">
      <c r="A2746" t="s">
        <v>3102</v>
      </c>
      <c r="B2746" t="s">
        <v>301</v>
      </c>
      <c r="C2746" t="s">
        <v>3066</v>
      </c>
      <c r="D2746" s="30">
        <v>0.5590046296296296</v>
      </c>
      <c r="E2746" t="s">
        <v>302</v>
      </c>
      <c r="F2746" t="s">
        <v>299</v>
      </c>
      <c r="G2746" t="s">
        <v>299</v>
      </c>
      <c r="H2746">
        <v>93</v>
      </c>
      <c r="I2746" s="30">
        <v>3.8888888888888888E-3</v>
      </c>
      <c r="J2746">
        <v>3</v>
      </c>
    </row>
    <row r="2747" spans="1:10" x14ac:dyDescent="0.35">
      <c r="A2747" t="s">
        <v>3103</v>
      </c>
      <c r="B2747" t="s">
        <v>319</v>
      </c>
      <c r="C2747" t="s">
        <v>3066</v>
      </c>
      <c r="D2747" s="30">
        <v>0.5590046296296296</v>
      </c>
      <c r="E2747" t="s">
        <v>317</v>
      </c>
      <c r="F2747" t="s">
        <v>299</v>
      </c>
      <c r="G2747" t="s">
        <v>299</v>
      </c>
      <c r="H2747">
        <v>72</v>
      </c>
      <c r="I2747" s="30">
        <v>1.9907407407407408E-3</v>
      </c>
      <c r="J2747">
        <v>4</v>
      </c>
    </row>
    <row r="2748" spans="1:10" x14ac:dyDescent="0.35">
      <c r="A2748" t="s">
        <v>3104</v>
      </c>
      <c r="B2748" t="s">
        <v>307</v>
      </c>
      <c r="C2748" t="s">
        <v>3066</v>
      </c>
      <c r="D2748" s="30">
        <v>0.56700231481481478</v>
      </c>
      <c r="E2748" t="s">
        <v>314</v>
      </c>
      <c r="F2748" t="s">
        <v>299</v>
      </c>
      <c r="G2748" t="s">
        <v>299</v>
      </c>
      <c r="H2748">
        <v>84</v>
      </c>
      <c r="I2748" s="30">
        <v>3.1481481481481482E-3</v>
      </c>
      <c r="J2748">
        <v>3</v>
      </c>
    </row>
    <row r="2749" spans="1:10" x14ac:dyDescent="0.35">
      <c r="A2749" t="s">
        <v>3105</v>
      </c>
      <c r="B2749" t="s">
        <v>305</v>
      </c>
      <c r="C2749" t="s">
        <v>3066</v>
      </c>
      <c r="D2749" s="30">
        <v>0.56700231481481478</v>
      </c>
      <c r="E2749" t="s">
        <v>314</v>
      </c>
      <c r="F2749" t="s">
        <v>303</v>
      </c>
      <c r="G2749" t="s">
        <v>303</v>
      </c>
    </row>
    <row r="2750" spans="1:10" x14ac:dyDescent="0.35">
      <c r="A2750" t="s">
        <v>3106</v>
      </c>
      <c r="B2750" t="s">
        <v>316</v>
      </c>
      <c r="C2750" t="s">
        <v>3066</v>
      </c>
      <c r="D2750" s="30">
        <v>0.59700231481481481</v>
      </c>
      <c r="E2750" t="s">
        <v>314</v>
      </c>
      <c r="F2750" t="s">
        <v>299</v>
      </c>
      <c r="G2750" t="s">
        <v>299</v>
      </c>
      <c r="H2750">
        <v>45</v>
      </c>
      <c r="I2750" s="30">
        <v>1.4351851851851852E-3</v>
      </c>
      <c r="J2750">
        <v>3</v>
      </c>
    </row>
    <row r="2751" spans="1:10" x14ac:dyDescent="0.35">
      <c r="A2751" t="s">
        <v>3107</v>
      </c>
      <c r="B2751" t="s">
        <v>305</v>
      </c>
      <c r="C2751" t="s">
        <v>3066</v>
      </c>
      <c r="D2751" s="30">
        <v>0.59700231481481481</v>
      </c>
      <c r="E2751" t="s">
        <v>317</v>
      </c>
      <c r="F2751" t="s">
        <v>303</v>
      </c>
      <c r="G2751" t="s">
        <v>303</v>
      </c>
    </row>
    <row r="2752" spans="1:10" x14ac:dyDescent="0.35">
      <c r="A2752" t="s">
        <v>3108</v>
      </c>
      <c r="B2752" t="s">
        <v>332</v>
      </c>
      <c r="C2752" t="s">
        <v>3066</v>
      </c>
      <c r="D2752" s="30">
        <v>0.60400462962962964</v>
      </c>
      <c r="E2752" t="s">
        <v>317</v>
      </c>
      <c r="F2752" t="s">
        <v>299</v>
      </c>
      <c r="G2752" t="s">
        <v>303</v>
      </c>
      <c r="H2752">
        <v>49</v>
      </c>
      <c r="I2752" s="30">
        <v>9.3749999999999997E-4</v>
      </c>
      <c r="J2752">
        <v>4</v>
      </c>
    </row>
    <row r="2753" spans="1:10" x14ac:dyDescent="0.35">
      <c r="A2753" t="s">
        <v>3109</v>
      </c>
      <c r="B2753" t="s">
        <v>301</v>
      </c>
      <c r="C2753" t="s">
        <v>3066</v>
      </c>
      <c r="D2753" s="30">
        <v>0.60400462962962964</v>
      </c>
      <c r="E2753" t="s">
        <v>314</v>
      </c>
      <c r="F2753" t="s">
        <v>299</v>
      </c>
      <c r="G2753" t="s">
        <v>299</v>
      </c>
      <c r="H2753">
        <v>110</v>
      </c>
      <c r="I2753" s="30">
        <v>4.2361111111111115E-3</v>
      </c>
      <c r="J2753">
        <v>4</v>
      </c>
    </row>
    <row r="2754" spans="1:10" x14ac:dyDescent="0.35">
      <c r="A2754" t="s">
        <v>3110</v>
      </c>
      <c r="B2754" t="s">
        <v>296</v>
      </c>
      <c r="C2754" t="s">
        <v>3066</v>
      </c>
      <c r="D2754" s="30">
        <v>0.60599537037037032</v>
      </c>
      <c r="E2754" t="s">
        <v>302</v>
      </c>
      <c r="F2754" t="s">
        <v>299</v>
      </c>
      <c r="G2754" t="s">
        <v>303</v>
      </c>
      <c r="H2754">
        <v>58</v>
      </c>
      <c r="I2754" s="30">
        <v>1.5393518518518519E-3</v>
      </c>
      <c r="J2754">
        <v>3</v>
      </c>
    </row>
    <row r="2755" spans="1:10" x14ac:dyDescent="0.35">
      <c r="A2755" t="s">
        <v>3111</v>
      </c>
      <c r="B2755" t="s">
        <v>319</v>
      </c>
      <c r="C2755" t="s">
        <v>3066</v>
      </c>
      <c r="D2755" s="30">
        <v>0.60599537037037032</v>
      </c>
      <c r="E2755" t="s">
        <v>298</v>
      </c>
      <c r="F2755" t="s">
        <v>299</v>
      </c>
      <c r="G2755" t="s">
        <v>299</v>
      </c>
      <c r="H2755">
        <v>35</v>
      </c>
      <c r="I2755" s="30">
        <v>4.31712962962963E-3</v>
      </c>
      <c r="J2755">
        <v>4</v>
      </c>
    </row>
    <row r="2756" spans="1:10" x14ac:dyDescent="0.35">
      <c r="A2756" t="s">
        <v>3112</v>
      </c>
      <c r="B2756" t="s">
        <v>332</v>
      </c>
      <c r="C2756" t="s">
        <v>3066</v>
      </c>
      <c r="D2756" s="30">
        <v>0.62700231481481483</v>
      </c>
      <c r="E2756" t="s">
        <v>309</v>
      </c>
      <c r="F2756" t="s">
        <v>299</v>
      </c>
      <c r="G2756" t="s">
        <v>299</v>
      </c>
      <c r="H2756">
        <v>105</v>
      </c>
      <c r="I2756" s="30">
        <v>8.1018518518518516E-4</v>
      </c>
      <c r="J2756">
        <v>4</v>
      </c>
    </row>
    <row r="2757" spans="1:10" x14ac:dyDescent="0.35">
      <c r="A2757" t="s">
        <v>3113</v>
      </c>
      <c r="B2757" t="s">
        <v>296</v>
      </c>
      <c r="C2757" t="s">
        <v>3066</v>
      </c>
      <c r="D2757" s="30">
        <v>0.62700231481481483</v>
      </c>
      <c r="E2757" t="s">
        <v>309</v>
      </c>
      <c r="F2757" t="s">
        <v>299</v>
      </c>
      <c r="G2757" t="s">
        <v>299</v>
      </c>
      <c r="H2757">
        <v>99</v>
      </c>
      <c r="I2757" s="30">
        <v>1.5277777777777779E-3</v>
      </c>
      <c r="J2757">
        <v>3</v>
      </c>
    </row>
    <row r="2758" spans="1:10" x14ac:dyDescent="0.35">
      <c r="A2758" t="s">
        <v>3114</v>
      </c>
      <c r="B2758" t="s">
        <v>319</v>
      </c>
      <c r="C2758" t="s">
        <v>3066</v>
      </c>
      <c r="D2758" s="30">
        <v>0.63200231481481484</v>
      </c>
      <c r="E2758" t="s">
        <v>298</v>
      </c>
      <c r="F2758" t="s">
        <v>299</v>
      </c>
      <c r="G2758" t="s">
        <v>299</v>
      </c>
      <c r="H2758">
        <v>53</v>
      </c>
      <c r="I2758" s="30">
        <v>2.8009259259259259E-3</v>
      </c>
      <c r="J2758">
        <v>2</v>
      </c>
    </row>
    <row r="2759" spans="1:10" x14ac:dyDescent="0.35">
      <c r="A2759" t="s">
        <v>3115</v>
      </c>
      <c r="B2759" t="s">
        <v>307</v>
      </c>
      <c r="C2759" t="s">
        <v>3066</v>
      </c>
      <c r="D2759" s="30">
        <v>0.63200231481481484</v>
      </c>
      <c r="E2759" t="s">
        <v>298</v>
      </c>
      <c r="F2759" t="s">
        <v>299</v>
      </c>
      <c r="G2759" t="s">
        <v>303</v>
      </c>
      <c r="H2759">
        <v>50</v>
      </c>
      <c r="I2759" s="30">
        <v>4.6527777777777774E-3</v>
      </c>
      <c r="J2759">
        <v>4</v>
      </c>
    </row>
    <row r="2760" spans="1:10" x14ac:dyDescent="0.35">
      <c r="A2760" t="s">
        <v>3116</v>
      </c>
      <c r="B2760" t="s">
        <v>316</v>
      </c>
      <c r="C2760" t="s">
        <v>3066</v>
      </c>
      <c r="D2760" s="30">
        <v>0.65700231481481486</v>
      </c>
      <c r="E2760" t="s">
        <v>298</v>
      </c>
      <c r="F2760" t="s">
        <v>299</v>
      </c>
      <c r="G2760" t="s">
        <v>299</v>
      </c>
      <c r="H2760">
        <v>114</v>
      </c>
      <c r="I2760" s="30">
        <v>1.7592592592592592E-3</v>
      </c>
      <c r="J2760">
        <v>4</v>
      </c>
    </row>
    <row r="2761" spans="1:10" x14ac:dyDescent="0.35">
      <c r="A2761" t="s">
        <v>3117</v>
      </c>
      <c r="B2761" t="s">
        <v>305</v>
      </c>
      <c r="C2761" t="s">
        <v>3066</v>
      </c>
      <c r="D2761" s="30">
        <v>0.65700231481481486</v>
      </c>
      <c r="E2761" t="s">
        <v>302</v>
      </c>
      <c r="F2761" t="s">
        <v>303</v>
      </c>
      <c r="G2761" t="s">
        <v>303</v>
      </c>
    </row>
    <row r="2762" spans="1:10" x14ac:dyDescent="0.35">
      <c r="A2762" t="s">
        <v>3118</v>
      </c>
      <c r="B2762" t="s">
        <v>296</v>
      </c>
      <c r="C2762" t="s">
        <v>3066</v>
      </c>
      <c r="D2762" s="30">
        <v>0.67099537037037038</v>
      </c>
      <c r="E2762" t="s">
        <v>309</v>
      </c>
      <c r="F2762" t="s">
        <v>303</v>
      </c>
      <c r="G2762" t="s">
        <v>303</v>
      </c>
    </row>
    <row r="2763" spans="1:10" x14ac:dyDescent="0.35">
      <c r="A2763" t="s">
        <v>3119</v>
      </c>
      <c r="B2763" t="s">
        <v>332</v>
      </c>
      <c r="C2763" t="s">
        <v>3066</v>
      </c>
      <c r="D2763" s="30">
        <v>0.67099537037037038</v>
      </c>
      <c r="E2763" t="s">
        <v>309</v>
      </c>
      <c r="F2763" t="s">
        <v>299</v>
      </c>
      <c r="G2763" t="s">
        <v>299</v>
      </c>
      <c r="H2763">
        <v>87</v>
      </c>
      <c r="I2763" s="30">
        <v>1.736111111111111E-3</v>
      </c>
      <c r="J2763">
        <v>4</v>
      </c>
    </row>
    <row r="2764" spans="1:10" x14ac:dyDescent="0.35">
      <c r="A2764" t="s">
        <v>3120</v>
      </c>
      <c r="B2764" t="s">
        <v>316</v>
      </c>
      <c r="C2764" t="s">
        <v>3066</v>
      </c>
      <c r="D2764" s="30">
        <v>0.67700231481481477</v>
      </c>
      <c r="E2764" t="s">
        <v>309</v>
      </c>
      <c r="F2764" t="s">
        <v>299</v>
      </c>
      <c r="G2764" t="s">
        <v>303</v>
      </c>
      <c r="H2764">
        <v>55</v>
      </c>
      <c r="I2764" s="30">
        <v>7.7546296296296293E-4</v>
      </c>
      <c r="J2764">
        <v>5</v>
      </c>
    </row>
    <row r="2765" spans="1:10" x14ac:dyDescent="0.35">
      <c r="A2765" t="s">
        <v>3121</v>
      </c>
      <c r="B2765" t="s">
        <v>323</v>
      </c>
      <c r="C2765" t="s">
        <v>3066</v>
      </c>
      <c r="D2765" s="30">
        <v>0.67700231481481477</v>
      </c>
      <c r="E2765" t="s">
        <v>314</v>
      </c>
      <c r="F2765" t="s">
        <v>299</v>
      </c>
      <c r="G2765" t="s">
        <v>299</v>
      </c>
      <c r="H2765">
        <v>97</v>
      </c>
      <c r="I2765" s="30">
        <v>4.0972222222222226E-3</v>
      </c>
      <c r="J2765">
        <v>4</v>
      </c>
    </row>
    <row r="2766" spans="1:10" x14ac:dyDescent="0.35">
      <c r="A2766" t="s">
        <v>3122</v>
      </c>
      <c r="B2766" t="s">
        <v>323</v>
      </c>
      <c r="C2766" t="s">
        <v>3066</v>
      </c>
      <c r="D2766" s="30">
        <v>0.68599537037037039</v>
      </c>
      <c r="E2766" t="s">
        <v>309</v>
      </c>
      <c r="F2766" t="s">
        <v>299</v>
      </c>
      <c r="G2766" t="s">
        <v>303</v>
      </c>
      <c r="H2766">
        <v>12</v>
      </c>
      <c r="I2766" s="30">
        <v>3.1018518518518517E-3</v>
      </c>
      <c r="J2766">
        <v>3</v>
      </c>
    </row>
    <row r="2767" spans="1:10" x14ac:dyDescent="0.35">
      <c r="A2767" t="s">
        <v>3123</v>
      </c>
      <c r="B2767" t="s">
        <v>307</v>
      </c>
      <c r="C2767" t="s">
        <v>3066</v>
      </c>
      <c r="D2767" s="30">
        <v>0.68599537037037039</v>
      </c>
      <c r="E2767" t="s">
        <v>317</v>
      </c>
      <c r="F2767" t="s">
        <v>303</v>
      </c>
      <c r="G2767" t="s">
        <v>303</v>
      </c>
    </row>
    <row r="2768" spans="1:10" x14ac:dyDescent="0.35">
      <c r="A2768" t="s">
        <v>3124</v>
      </c>
      <c r="B2768" t="s">
        <v>305</v>
      </c>
      <c r="C2768" t="s">
        <v>3066</v>
      </c>
      <c r="D2768" s="30">
        <v>0.69200231481481478</v>
      </c>
      <c r="E2768" t="s">
        <v>314</v>
      </c>
      <c r="F2768" t="s">
        <v>299</v>
      </c>
      <c r="G2768" t="s">
        <v>299</v>
      </c>
      <c r="H2768">
        <v>79</v>
      </c>
      <c r="I2768" s="30">
        <v>2.0949074074074073E-3</v>
      </c>
      <c r="J2768">
        <v>5</v>
      </c>
    </row>
    <row r="2769" spans="1:10" x14ac:dyDescent="0.35">
      <c r="A2769" t="s">
        <v>3125</v>
      </c>
      <c r="B2769" t="s">
        <v>323</v>
      </c>
      <c r="C2769" t="s">
        <v>3066</v>
      </c>
      <c r="D2769" s="30">
        <v>0.69200231481481478</v>
      </c>
      <c r="E2769" t="s">
        <v>302</v>
      </c>
      <c r="F2769" t="s">
        <v>299</v>
      </c>
      <c r="G2769" t="s">
        <v>299</v>
      </c>
      <c r="H2769">
        <v>11</v>
      </c>
      <c r="I2769" s="30">
        <v>4.43287037037037E-3</v>
      </c>
      <c r="J2769">
        <v>3</v>
      </c>
    </row>
    <row r="2770" spans="1:10" x14ac:dyDescent="0.35">
      <c r="A2770" t="s">
        <v>3126</v>
      </c>
      <c r="B2770" t="s">
        <v>305</v>
      </c>
      <c r="C2770" t="s">
        <v>3066</v>
      </c>
      <c r="D2770" s="30">
        <v>0.71599537037037042</v>
      </c>
      <c r="E2770" t="s">
        <v>309</v>
      </c>
      <c r="F2770" t="s">
        <v>299</v>
      </c>
      <c r="G2770" t="s">
        <v>303</v>
      </c>
      <c r="H2770">
        <v>69</v>
      </c>
      <c r="I2770" s="30">
        <v>4.5138888888888892E-4</v>
      </c>
      <c r="J2770">
        <v>4</v>
      </c>
    </row>
    <row r="2771" spans="1:10" x14ac:dyDescent="0.35">
      <c r="A2771" t="s">
        <v>3127</v>
      </c>
      <c r="B2771" t="s">
        <v>316</v>
      </c>
      <c r="C2771" t="s">
        <v>3066</v>
      </c>
      <c r="D2771" s="30">
        <v>0.71599537037037042</v>
      </c>
      <c r="E2771" t="s">
        <v>314</v>
      </c>
      <c r="F2771" t="s">
        <v>303</v>
      </c>
      <c r="G2771" t="s">
        <v>303</v>
      </c>
    </row>
    <row r="2772" spans="1:10" x14ac:dyDescent="0.35">
      <c r="A2772" t="s">
        <v>3128</v>
      </c>
      <c r="B2772" t="s">
        <v>323</v>
      </c>
      <c r="C2772" t="s">
        <v>3066</v>
      </c>
      <c r="D2772" s="30">
        <v>0.7170023148148148</v>
      </c>
      <c r="E2772" t="s">
        <v>302</v>
      </c>
      <c r="F2772" t="s">
        <v>303</v>
      </c>
      <c r="G2772" t="s">
        <v>303</v>
      </c>
    </row>
    <row r="2773" spans="1:10" x14ac:dyDescent="0.35">
      <c r="A2773" t="s">
        <v>3129</v>
      </c>
      <c r="B2773" t="s">
        <v>316</v>
      </c>
      <c r="C2773" t="s">
        <v>3066</v>
      </c>
      <c r="D2773" s="30">
        <v>0.7170023148148148</v>
      </c>
      <c r="E2773" t="s">
        <v>314</v>
      </c>
      <c r="F2773" t="s">
        <v>299</v>
      </c>
      <c r="G2773" t="s">
        <v>299</v>
      </c>
      <c r="H2773">
        <v>123</v>
      </c>
      <c r="I2773" s="30">
        <v>1.25E-3</v>
      </c>
      <c r="J2773">
        <v>3</v>
      </c>
    </row>
    <row r="2774" spans="1:10" x14ac:dyDescent="0.35">
      <c r="A2774" t="s">
        <v>3130</v>
      </c>
      <c r="B2774" t="s">
        <v>319</v>
      </c>
      <c r="C2774" t="s">
        <v>3066</v>
      </c>
      <c r="D2774" s="30">
        <v>0.73900462962962965</v>
      </c>
      <c r="E2774" t="s">
        <v>314</v>
      </c>
      <c r="F2774" t="s">
        <v>303</v>
      </c>
      <c r="G2774" t="s">
        <v>303</v>
      </c>
    </row>
    <row r="2775" spans="1:10" x14ac:dyDescent="0.35">
      <c r="A2775" t="s">
        <v>3131</v>
      </c>
      <c r="B2775" t="s">
        <v>323</v>
      </c>
      <c r="C2775" t="s">
        <v>3066</v>
      </c>
      <c r="D2775" s="30">
        <v>0.73900462962962965</v>
      </c>
      <c r="E2775" t="s">
        <v>314</v>
      </c>
      <c r="F2775" t="s">
        <v>299</v>
      </c>
      <c r="G2775" t="s">
        <v>303</v>
      </c>
      <c r="H2775">
        <v>48</v>
      </c>
      <c r="I2775" s="30">
        <v>2.476851851851852E-3</v>
      </c>
      <c r="J2775">
        <v>4</v>
      </c>
    </row>
    <row r="2776" spans="1:10" x14ac:dyDescent="0.35">
      <c r="A2776" t="s">
        <v>3132</v>
      </c>
      <c r="B2776" t="s">
        <v>319</v>
      </c>
      <c r="C2776" t="s">
        <v>3066</v>
      </c>
      <c r="D2776" s="30">
        <v>0.74599537037037034</v>
      </c>
      <c r="E2776" t="s">
        <v>298</v>
      </c>
      <c r="F2776" t="s">
        <v>299</v>
      </c>
      <c r="G2776" t="s">
        <v>299</v>
      </c>
      <c r="H2776">
        <v>78</v>
      </c>
      <c r="I2776" s="30">
        <v>4.8263888888888887E-3</v>
      </c>
      <c r="J2776">
        <v>3</v>
      </c>
    </row>
    <row r="2777" spans="1:10" x14ac:dyDescent="0.35">
      <c r="A2777" t="s">
        <v>3133</v>
      </c>
      <c r="B2777" t="s">
        <v>319</v>
      </c>
      <c r="C2777" t="s">
        <v>3066</v>
      </c>
      <c r="D2777" s="30">
        <v>0.74599537037037034</v>
      </c>
      <c r="E2777" t="s">
        <v>302</v>
      </c>
      <c r="F2777" t="s">
        <v>299</v>
      </c>
      <c r="G2777" t="s">
        <v>299</v>
      </c>
      <c r="H2777">
        <v>109</v>
      </c>
      <c r="I2777" s="30">
        <v>2.8240740740740739E-3</v>
      </c>
      <c r="J2777">
        <v>3</v>
      </c>
    </row>
    <row r="2778" spans="1:10" x14ac:dyDescent="0.35">
      <c r="A2778" t="s">
        <v>3134</v>
      </c>
      <c r="B2778" t="s">
        <v>332</v>
      </c>
      <c r="C2778" t="s">
        <v>3135</v>
      </c>
      <c r="D2778" s="30">
        <v>0.39099537037037035</v>
      </c>
      <c r="E2778" t="s">
        <v>302</v>
      </c>
      <c r="F2778" t="s">
        <v>299</v>
      </c>
      <c r="G2778" t="s">
        <v>303</v>
      </c>
      <c r="H2778">
        <v>61</v>
      </c>
      <c r="I2778" s="30">
        <v>4.0972222222222226E-3</v>
      </c>
      <c r="J2778">
        <v>5</v>
      </c>
    </row>
    <row r="2779" spans="1:10" x14ac:dyDescent="0.35">
      <c r="A2779" t="s">
        <v>3136</v>
      </c>
      <c r="B2779" t="s">
        <v>307</v>
      </c>
      <c r="C2779" t="s">
        <v>3135</v>
      </c>
      <c r="D2779" s="30">
        <v>0.39099537037037035</v>
      </c>
      <c r="E2779" t="s">
        <v>309</v>
      </c>
      <c r="F2779" t="s">
        <v>299</v>
      </c>
      <c r="G2779" t="s">
        <v>299</v>
      </c>
      <c r="H2779">
        <v>86</v>
      </c>
      <c r="I2779" s="30">
        <v>1.1226851851851851E-3</v>
      </c>
      <c r="J2779">
        <v>2</v>
      </c>
    </row>
    <row r="2780" spans="1:10" x14ac:dyDescent="0.35">
      <c r="A2780" t="s">
        <v>3137</v>
      </c>
      <c r="B2780" t="s">
        <v>307</v>
      </c>
      <c r="C2780" t="s">
        <v>3135</v>
      </c>
      <c r="D2780" s="30">
        <v>0.40500000000000003</v>
      </c>
      <c r="E2780" t="s">
        <v>314</v>
      </c>
      <c r="F2780" t="s">
        <v>299</v>
      </c>
      <c r="G2780" t="s">
        <v>299</v>
      </c>
      <c r="H2780">
        <v>74</v>
      </c>
      <c r="I2780" s="30">
        <v>4.7685185185185183E-3</v>
      </c>
      <c r="J2780">
        <v>4</v>
      </c>
    </row>
    <row r="2781" spans="1:10" x14ac:dyDescent="0.35">
      <c r="A2781" t="s">
        <v>3138</v>
      </c>
      <c r="B2781" t="s">
        <v>296</v>
      </c>
      <c r="C2781" t="s">
        <v>3135</v>
      </c>
      <c r="D2781" s="30">
        <v>0.40500000000000003</v>
      </c>
      <c r="E2781" t="s">
        <v>309</v>
      </c>
      <c r="F2781" t="s">
        <v>299</v>
      </c>
      <c r="G2781" t="s">
        <v>299</v>
      </c>
      <c r="H2781">
        <v>125</v>
      </c>
      <c r="I2781" s="30">
        <v>3.3912037037037036E-3</v>
      </c>
      <c r="J2781">
        <v>3</v>
      </c>
    </row>
    <row r="2782" spans="1:10" x14ac:dyDescent="0.35">
      <c r="A2782" t="s">
        <v>3139</v>
      </c>
      <c r="B2782" t="s">
        <v>301</v>
      </c>
      <c r="C2782" t="s">
        <v>3135</v>
      </c>
      <c r="D2782" s="30">
        <v>0.41700231481481481</v>
      </c>
      <c r="E2782" t="s">
        <v>298</v>
      </c>
      <c r="F2782" t="s">
        <v>299</v>
      </c>
      <c r="G2782" t="s">
        <v>303</v>
      </c>
      <c r="H2782">
        <v>64</v>
      </c>
      <c r="I2782" s="30">
        <v>4.2708333333333331E-3</v>
      </c>
      <c r="J2782">
        <v>2</v>
      </c>
    </row>
    <row r="2783" spans="1:10" x14ac:dyDescent="0.35">
      <c r="A2783" t="s">
        <v>3140</v>
      </c>
      <c r="B2783" t="s">
        <v>319</v>
      </c>
      <c r="C2783" t="s">
        <v>3135</v>
      </c>
      <c r="D2783" s="30">
        <v>0.41700231481481481</v>
      </c>
      <c r="E2783" t="s">
        <v>317</v>
      </c>
      <c r="F2783" t="s">
        <v>299</v>
      </c>
      <c r="G2783" t="s">
        <v>299</v>
      </c>
      <c r="H2783">
        <v>63</v>
      </c>
      <c r="I2783" s="30">
        <v>1.4583333333333334E-3</v>
      </c>
      <c r="J2783">
        <v>3</v>
      </c>
    </row>
    <row r="2784" spans="1:10" x14ac:dyDescent="0.35">
      <c r="A2784" t="s">
        <v>3141</v>
      </c>
      <c r="B2784" t="s">
        <v>307</v>
      </c>
      <c r="C2784" t="s">
        <v>3135</v>
      </c>
      <c r="D2784" s="30">
        <v>0.42599537037037039</v>
      </c>
      <c r="E2784" t="s">
        <v>314</v>
      </c>
      <c r="F2784" t="s">
        <v>299</v>
      </c>
      <c r="G2784" t="s">
        <v>299</v>
      </c>
      <c r="H2784">
        <v>46</v>
      </c>
      <c r="I2784" s="30">
        <v>4.5833333333333334E-3</v>
      </c>
      <c r="J2784">
        <v>4</v>
      </c>
    </row>
    <row r="2785" spans="1:10" x14ac:dyDescent="0.35">
      <c r="A2785" t="s">
        <v>3142</v>
      </c>
      <c r="B2785" t="s">
        <v>307</v>
      </c>
      <c r="C2785" t="s">
        <v>3135</v>
      </c>
      <c r="D2785" s="30">
        <v>0.42599537037037039</v>
      </c>
      <c r="E2785" t="s">
        <v>314</v>
      </c>
      <c r="F2785" t="s">
        <v>299</v>
      </c>
      <c r="G2785" t="s">
        <v>299</v>
      </c>
      <c r="H2785">
        <v>63</v>
      </c>
      <c r="I2785" s="30">
        <v>2.9513888888888888E-3</v>
      </c>
      <c r="J2785">
        <v>3</v>
      </c>
    </row>
    <row r="2786" spans="1:10" x14ac:dyDescent="0.35">
      <c r="A2786" t="s">
        <v>3143</v>
      </c>
      <c r="B2786" t="s">
        <v>319</v>
      </c>
      <c r="C2786" t="s">
        <v>3135</v>
      </c>
      <c r="D2786" s="30">
        <v>0.42799768518518516</v>
      </c>
      <c r="E2786" t="s">
        <v>298</v>
      </c>
      <c r="F2786" t="s">
        <v>299</v>
      </c>
      <c r="G2786" t="s">
        <v>299</v>
      </c>
      <c r="H2786">
        <v>96</v>
      </c>
      <c r="I2786" s="30">
        <v>5.4398148148148144E-4</v>
      </c>
      <c r="J2786">
        <v>4</v>
      </c>
    </row>
    <row r="2787" spans="1:10" x14ac:dyDescent="0.35">
      <c r="A2787" t="s">
        <v>3144</v>
      </c>
      <c r="B2787" t="s">
        <v>332</v>
      </c>
      <c r="C2787" t="s">
        <v>3135</v>
      </c>
      <c r="D2787" s="30">
        <v>0.42799768518518516</v>
      </c>
      <c r="E2787" t="s">
        <v>317</v>
      </c>
      <c r="F2787" t="s">
        <v>299</v>
      </c>
      <c r="G2787" t="s">
        <v>299</v>
      </c>
      <c r="H2787">
        <v>37</v>
      </c>
      <c r="I2787" s="30">
        <v>3.0671296296296297E-3</v>
      </c>
      <c r="J2787">
        <v>3</v>
      </c>
    </row>
    <row r="2788" spans="1:10" x14ac:dyDescent="0.35">
      <c r="A2788" t="s">
        <v>3145</v>
      </c>
      <c r="B2788" t="s">
        <v>332</v>
      </c>
      <c r="C2788" t="s">
        <v>3135</v>
      </c>
      <c r="D2788" s="30">
        <v>0.44</v>
      </c>
      <c r="E2788" t="s">
        <v>298</v>
      </c>
      <c r="F2788" t="s">
        <v>299</v>
      </c>
      <c r="G2788" t="s">
        <v>299</v>
      </c>
      <c r="H2788">
        <v>73</v>
      </c>
      <c r="I2788" s="30">
        <v>2.3611111111111111E-3</v>
      </c>
      <c r="J2788">
        <v>4</v>
      </c>
    </row>
    <row r="2789" spans="1:10" x14ac:dyDescent="0.35">
      <c r="A2789" t="s">
        <v>3146</v>
      </c>
      <c r="B2789" t="s">
        <v>296</v>
      </c>
      <c r="C2789" t="s">
        <v>3135</v>
      </c>
      <c r="D2789" s="30">
        <v>0.44</v>
      </c>
      <c r="E2789" t="s">
        <v>309</v>
      </c>
      <c r="F2789" t="s">
        <v>299</v>
      </c>
      <c r="G2789" t="s">
        <v>299</v>
      </c>
      <c r="H2789">
        <v>111</v>
      </c>
      <c r="I2789" s="30">
        <v>1.5972222222222223E-3</v>
      </c>
      <c r="J2789">
        <v>4</v>
      </c>
    </row>
    <row r="2790" spans="1:10" x14ac:dyDescent="0.35">
      <c r="A2790" t="s">
        <v>3147</v>
      </c>
      <c r="B2790" t="s">
        <v>319</v>
      </c>
      <c r="C2790" t="s">
        <v>3135</v>
      </c>
      <c r="D2790" s="30">
        <v>0.44299768518518517</v>
      </c>
      <c r="E2790" t="s">
        <v>309</v>
      </c>
      <c r="F2790" t="s">
        <v>303</v>
      </c>
      <c r="G2790" t="s">
        <v>303</v>
      </c>
    </row>
    <row r="2791" spans="1:10" x14ac:dyDescent="0.35">
      <c r="A2791" t="s">
        <v>3148</v>
      </c>
      <c r="B2791" t="s">
        <v>319</v>
      </c>
      <c r="C2791" t="s">
        <v>3135</v>
      </c>
      <c r="D2791" s="30">
        <v>0.44299768518518517</v>
      </c>
      <c r="E2791" t="s">
        <v>317</v>
      </c>
      <c r="F2791" t="s">
        <v>299</v>
      </c>
      <c r="G2791" t="s">
        <v>299</v>
      </c>
      <c r="H2791">
        <v>79</v>
      </c>
      <c r="I2791" s="30">
        <v>2.1759259259259258E-3</v>
      </c>
      <c r="J2791">
        <v>2</v>
      </c>
    </row>
    <row r="2792" spans="1:10" x14ac:dyDescent="0.35">
      <c r="A2792" t="s">
        <v>3149</v>
      </c>
      <c r="B2792" t="s">
        <v>307</v>
      </c>
      <c r="C2792" t="s">
        <v>3135</v>
      </c>
      <c r="D2792" s="30">
        <v>0.45599537037037036</v>
      </c>
      <c r="E2792" t="s">
        <v>314</v>
      </c>
      <c r="F2792" t="s">
        <v>303</v>
      </c>
      <c r="G2792" t="s">
        <v>303</v>
      </c>
    </row>
    <row r="2793" spans="1:10" x14ac:dyDescent="0.35">
      <c r="A2793" t="s">
        <v>3150</v>
      </c>
      <c r="B2793" t="s">
        <v>332</v>
      </c>
      <c r="C2793" t="s">
        <v>3135</v>
      </c>
      <c r="D2793" s="30">
        <v>0.45599537037037036</v>
      </c>
      <c r="E2793" t="s">
        <v>314</v>
      </c>
      <c r="F2793" t="s">
        <v>299</v>
      </c>
      <c r="G2793" t="s">
        <v>303</v>
      </c>
      <c r="H2793">
        <v>32</v>
      </c>
      <c r="I2793" s="30">
        <v>3.8888888888888888E-3</v>
      </c>
      <c r="J2793">
        <v>3</v>
      </c>
    </row>
    <row r="2794" spans="1:10" x14ac:dyDescent="0.35">
      <c r="A2794" t="s">
        <v>3151</v>
      </c>
      <c r="B2794" t="s">
        <v>332</v>
      </c>
      <c r="C2794" t="s">
        <v>3135</v>
      </c>
      <c r="D2794" s="30">
        <v>0.47099537037037037</v>
      </c>
      <c r="E2794" t="s">
        <v>298</v>
      </c>
      <c r="F2794" t="s">
        <v>299</v>
      </c>
      <c r="G2794" t="s">
        <v>299</v>
      </c>
      <c r="H2794">
        <v>60</v>
      </c>
      <c r="I2794" s="30">
        <v>3.3564814814814816E-3</v>
      </c>
      <c r="J2794">
        <v>3</v>
      </c>
    </row>
    <row r="2795" spans="1:10" x14ac:dyDescent="0.35">
      <c r="A2795" t="s">
        <v>3152</v>
      </c>
      <c r="B2795" t="s">
        <v>332</v>
      </c>
      <c r="C2795" t="s">
        <v>3135</v>
      </c>
      <c r="D2795" s="30">
        <v>0.47099537037037037</v>
      </c>
      <c r="E2795" t="s">
        <v>309</v>
      </c>
      <c r="F2795" t="s">
        <v>299</v>
      </c>
      <c r="G2795" t="s">
        <v>299</v>
      </c>
      <c r="H2795">
        <v>25</v>
      </c>
      <c r="I2795" s="30">
        <v>3.8310185185185183E-3</v>
      </c>
      <c r="J2795">
        <v>3</v>
      </c>
    </row>
    <row r="2796" spans="1:10" x14ac:dyDescent="0.35">
      <c r="A2796" t="s">
        <v>3153</v>
      </c>
      <c r="B2796" t="s">
        <v>316</v>
      </c>
      <c r="C2796" t="s">
        <v>3135</v>
      </c>
      <c r="D2796" s="30">
        <v>0.47099537037037037</v>
      </c>
      <c r="E2796" t="s">
        <v>309</v>
      </c>
      <c r="F2796" t="s">
        <v>299</v>
      </c>
      <c r="G2796" t="s">
        <v>299</v>
      </c>
      <c r="H2796">
        <v>72</v>
      </c>
      <c r="I2796" s="30">
        <v>2.9050925925925928E-3</v>
      </c>
      <c r="J2796">
        <v>4</v>
      </c>
    </row>
    <row r="2797" spans="1:10" x14ac:dyDescent="0.35">
      <c r="A2797" t="s">
        <v>3154</v>
      </c>
      <c r="B2797" t="s">
        <v>332</v>
      </c>
      <c r="C2797" t="s">
        <v>3135</v>
      </c>
      <c r="D2797" s="30">
        <v>0.47099537037037037</v>
      </c>
      <c r="E2797" t="s">
        <v>302</v>
      </c>
      <c r="F2797" t="s">
        <v>299</v>
      </c>
      <c r="G2797" t="s">
        <v>299</v>
      </c>
      <c r="H2797">
        <v>82</v>
      </c>
      <c r="I2797" s="30">
        <v>7.7546296296296293E-4</v>
      </c>
      <c r="J2797">
        <v>3</v>
      </c>
    </row>
    <row r="2798" spans="1:10" x14ac:dyDescent="0.35">
      <c r="A2798" t="s">
        <v>3155</v>
      </c>
      <c r="B2798" t="s">
        <v>316</v>
      </c>
      <c r="C2798" t="s">
        <v>3135</v>
      </c>
      <c r="D2798" s="30">
        <v>0.47599537037037037</v>
      </c>
      <c r="E2798" t="s">
        <v>309</v>
      </c>
      <c r="F2798" t="s">
        <v>303</v>
      </c>
      <c r="G2798" t="s">
        <v>303</v>
      </c>
    </row>
    <row r="2799" spans="1:10" x14ac:dyDescent="0.35">
      <c r="A2799" t="s">
        <v>3156</v>
      </c>
      <c r="B2799" t="s">
        <v>296</v>
      </c>
      <c r="C2799" t="s">
        <v>3135</v>
      </c>
      <c r="D2799" s="30">
        <v>0.47599537037037037</v>
      </c>
      <c r="E2799" t="s">
        <v>314</v>
      </c>
      <c r="F2799" t="s">
        <v>299</v>
      </c>
      <c r="G2799" t="s">
        <v>299</v>
      </c>
      <c r="H2799">
        <v>104</v>
      </c>
      <c r="I2799" s="30">
        <v>4.6759259259259263E-3</v>
      </c>
      <c r="J2799">
        <v>4</v>
      </c>
    </row>
    <row r="2800" spans="1:10" x14ac:dyDescent="0.35">
      <c r="A2800" t="s">
        <v>3157</v>
      </c>
      <c r="B2800" t="s">
        <v>305</v>
      </c>
      <c r="C2800" t="s">
        <v>3135</v>
      </c>
      <c r="D2800" s="30">
        <v>0.48200231481481481</v>
      </c>
      <c r="E2800" t="s">
        <v>302</v>
      </c>
      <c r="F2800" t="s">
        <v>303</v>
      </c>
      <c r="G2800" t="s">
        <v>303</v>
      </c>
    </row>
    <row r="2801" spans="1:10" x14ac:dyDescent="0.35">
      <c r="A2801" t="s">
        <v>3158</v>
      </c>
      <c r="B2801" t="s">
        <v>301</v>
      </c>
      <c r="C2801" t="s">
        <v>3135</v>
      </c>
      <c r="D2801" s="30">
        <v>0.48200231481481481</v>
      </c>
      <c r="E2801" t="s">
        <v>302</v>
      </c>
      <c r="F2801" t="s">
        <v>299</v>
      </c>
      <c r="G2801" t="s">
        <v>299</v>
      </c>
      <c r="H2801">
        <v>102</v>
      </c>
      <c r="I2801" s="30">
        <v>1.6666666666666668E-3</v>
      </c>
      <c r="J2801">
        <v>5</v>
      </c>
    </row>
    <row r="2802" spans="1:10" x14ac:dyDescent="0.35">
      <c r="A2802" t="s">
        <v>3159</v>
      </c>
      <c r="B2802" t="s">
        <v>332</v>
      </c>
      <c r="C2802" t="s">
        <v>3135</v>
      </c>
      <c r="D2802" s="30">
        <v>0.48499999999999999</v>
      </c>
      <c r="E2802" t="s">
        <v>317</v>
      </c>
      <c r="F2802" t="s">
        <v>303</v>
      </c>
      <c r="G2802" t="s">
        <v>303</v>
      </c>
    </row>
    <row r="2803" spans="1:10" x14ac:dyDescent="0.35">
      <c r="A2803" t="s">
        <v>3160</v>
      </c>
      <c r="B2803" t="s">
        <v>332</v>
      </c>
      <c r="C2803" t="s">
        <v>3135</v>
      </c>
      <c r="D2803" s="30">
        <v>0.48499999999999999</v>
      </c>
      <c r="E2803" t="s">
        <v>302</v>
      </c>
      <c r="F2803" t="s">
        <v>303</v>
      </c>
      <c r="G2803" t="s">
        <v>303</v>
      </c>
    </row>
    <row r="2804" spans="1:10" x14ac:dyDescent="0.35">
      <c r="A2804" t="s">
        <v>3161</v>
      </c>
      <c r="B2804" t="s">
        <v>323</v>
      </c>
      <c r="C2804" t="s">
        <v>3135</v>
      </c>
      <c r="D2804" s="30">
        <v>0.54500000000000004</v>
      </c>
      <c r="E2804" t="s">
        <v>317</v>
      </c>
      <c r="F2804" t="s">
        <v>299</v>
      </c>
      <c r="G2804" t="s">
        <v>303</v>
      </c>
      <c r="H2804">
        <v>86</v>
      </c>
      <c r="I2804" s="30">
        <v>1.0995370370370371E-3</v>
      </c>
      <c r="J2804">
        <v>3</v>
      </c>
    </row>
    <row r="2805" spans="1:10" x14ac:dyDescent="0.35">
      <c r="A2805" t="s">
        <v>3162</v>
      </c>
      <c r="B2805" t="s">
        <v>301</v>
      </c>
      <c r="C2805" t="s">
        <v>3135</v>
      </c>
      <c r="D2805" s="30">
        <v>0.54500000000000004</v>
      </c>
      <c r="E2805" t="s">
        <v>302</v>
      </c>
      <c r="F2805" t="s">
        <v>299</v>
      </c>
      <c r="G2805" t="s">
        <v>299</v>
      </c>
      <c r="H2805">
        <v>93</v>
      </c>
      <c r="I2805" s="30">
        <v>4.2129629629629626E-3</v>
      </c>
      <c r="J2805">
        <v>2</v>
      </c>
    </row>
    <row r="2806" spans="1:10" x14ac:dyDescent="0.35">
      <c r="A2806" t="s">
        <v>3163</v>
      </c>
      <c r="B2806" t="s">
        <v>305</v>
      </c>
      <c r="C2806" t="s">
        <v>3135</v>
      </c>
      <c r="D2806" s="30">
        <v>0.56499999999999995</v>
      </c>
      <c r="E2806" t="s">
        <v>314</v>
      </c>
      <c r="F2806" t="s">
        <v>303</v>
      </c>
      <c r="G2806" t="s">
        <v>303</v>
      </c>
    </row>
    <row r="2807" spans="1:10" x14ac:dyDescent="0.35">
      <c r="A2807" t="s">
        <v>3164</v>
      </c>
      <c r="B2807" t="s">
        <v>316</v>
      </c>
      <c r="C2807" t="s">
        <v>3135</v>
      </c>
      <c r="D2807" s="30">
        <v>0.56499999999999995</v>
      </c>
      <c r="E2807" t="s">
        <v>317</v>
      </c>
      <c r="F2807" t="s">
        <v>303</v>
      </c>
      <c r="G2807" t="s">
        <v>303</v>
      </c>
    </row>
    <row r="2808" spans="1:10" x14ac:dyDescent="0.35">
      <c r="A2808" t="s">
        <v>3165</v>
      </c>
      <c r="B2808" t="s">
        <v>332</v>
      </c>
      <c r="C2808" t="s">
        <v>3135</v>
      </c>
      <c r="D2808" s="30">
        <v>0.56799768518518523</v>
      </c>
      <c r="E2808" t="s">
        <v>302</v>
      </c>
      <c r="F2808" t="s">
        <v>299</v>
      </c>
      <c r="G2808" t="s">
        <v>299</v>
      </c>
      <c r="H2808">
        <v>39</v>
      </c>
      <c r="I2808" s="30">
        <v>2.9282407407407408E-3</v>
      </c>
      <c r="J2808">
        <v>2</v>
      </c>
    </row>
    <row r="2809" spans="1:10" x14ac:dyDescent="0.35">
      <c r="A2809" t="s">
        <v>3166</v>
      </c>
      <c r="B2809" t="s">
        <v>305</v>
      </c>
      <c r="C2809" t="s">
        <v>3135</v>
      </c>
      <c r="D2809" s="30">
        <v>0.56799768518518523</v>
      </c>
      <c r="E2809" t="s">
        <v>314</v>
      </c>
      <c r="F2809" t="s">
        <v>299</v>
      </c>
      <c r="G2809" t="s">
        <v>299</v>
      </c>
      <c r="H2809">
        <v>119</v>
      </c>
      <c r="I2809" s="30">
        <v>5.3240740740740744E-4</v>
      </c>
      <c r="J2809">
        <v>4</v>
      </c>
    </row>
    <row r="2810" spans="1:10" x14ac:dyDescent="0.35">
      <c r="A2810" t="s">
        <v>3167</v>
      </c>
      <c r="B2810" t="s">
        <v>323</v>
      </c>
      <c r="C2810" t="s">
        <v>3135</v>
      </c>
      <c r="D2810" s="30">
        <v>0.57299768518518523</v>
      </c>
      <c r="E2810" t="s">
        <v>298</v>
      </c>
      <c r="F2810" t="s">
        <v>303</v>
      </c>
      <c r="G2810" t="s">
        <v>303</v>
      </c>
    </row>
    <row r="2811" spans="1:10" x14ac:dyDescent="0.35">
      <c r="A2811" t="s">
        <v>3168</v>
      </c>
      <c r="B2811" t="s">
        <v>305</v>
      </c>
      <c r="C2811" t="s">
        <v>3135</v>
      </c>
      <c r="D2811" s="30">
        <v>0.57299768518518523</v>
      </c>
      <c r="E2811" t="s">
        <v>302</v>
      </c>
      <c r="F2811" t="s">
        <v>299</v>
      </c>
      <c r="G2811" t="s">
        <v>299</v>
      </c>
      <c r="H2811">
        <v>71</v>
      </c>
      <c r="I2811" s="30">
        <v>4.861111111111111E-4</v>
      </c>
      <c r="J2811">
        <v>3</v>
      </c>
    </row>
    <row r="2812" spans="1:10" x14ac:dyDescent="0.35">
      <c r="A2812" t="s">
        <v>3169</v>
      </c>
      <c r="B2812" t="s">
        <v>319</v>
      </c>
      <c r="C2812" t="s">
        <v>3135</v>
      </c>
      <c r="D2812" s="30">
        <v>0.57499999999999996</v>
      </c>
      <c r="E2812" t="s">
        <v>317</v>
      </c>
      <c r="F2812" t="s">
        <v>299</v>
      </c>
      <c r="G2812" t="s">
        <v>299</v>
      </c>
      <c r="H2812">
        <v>111</v>
      </c>
      <c r="I2812" s="30">
        <v>4.7916666666666663E-3</v>
      </c>
      <c r="J2812">
        <v>1</v>
      </c>
    </row>
    <row r="2813" spans="1:10" x14ac:dyDescent="0.35">
      <c r="A2813" t="s">
        <v>3170</v>
      </c>
      <c r="B2813" t="s">
        <v>323</v>
      </c>
      <c r="C2813" t="s">
        <v>3135</v>
      </c>
      <c r="D2813" s="30">
        <v>0.57499999999999996</v>
      </c>
      <c r="E2813" t="s">
        <v>317</v>
      </c>
      <c r="F2813" t="s">
        <v>299</v>
      </c>
      <c r="G2813" t="s">
        <v>303</v>
      </c>
      <c r="H2813">
        <v>120</v>
      </c>
      <c r="I2813" s="30">
        <v>2.7777777777777779E-3</v>
      </c>
      <c r="J2813">
        <v>1</v>
      </c>
    </row>
    <row r="2814" spans="1:10" x14ac:dyDescent="0.35">
      <c r="A2814" t="s">
        <v>3171</v>
      </c>
      <c r="B2814" t="s">
        <v>319</v>
      </c>
      <c r="C2814" t="s">
        <v>3135</v>
      </c>
      <c r="D2814" s="30">
        <v>0.61599537037037033</v>
      </c>
      <c r="E2814" t="s">
        <v>302</v>
      </c>
      <c r="F2814" t="s">
        <v>303</v>
      </c>
      <c r="G2814" t="s">
        <v>303</v>
      </c>
    </row>
    <row r="2815" spans="1:10" x14ac:dyDescent="0.35">
      <c r="A2815" t="s">
        <v>3172</v>
      </c>
      <c r="B2815" t="s">
        <v>296</v>
      </c>
      <c r="C2815" t="s">
        <v>3135</v>
      </c>
      <c r="D2815" s="30">
        <v>0.61599537037037033</v>
      </c>
      <c r="E2815" t="s">
        <v>314</v>
      </c>
      <c r="F2815" t="s">
        <v>299</v>
      </c>
      <c r="G2815" t="s">
        <v>299</v>
      </c>
      <c r="H2815">
        <v>81</v>
      </c>
      <c r="I2815" s="30">
        <v>2.1064814814814813E-3</v>
      </c>
      <c r="J2815">
        <v>5</v>
      </c>
    </row>
    <row r="2816" spans="1:10" x14ac:dyDescent="0.35">
      <c r="A2816" t="s">
        <v>3173</v>
      </c>
      <c r="B2816" t="s">
        <v>316</v>
      </c>
      <c r="C2816" t="s">
        <v>3135</v>
      </c>
      <c r="D2816" s="30">
        <v>0.62</v>
      </c>
      <c r="E2816" t="s">
        <v>309</v>
      </c>
      <c r="F2816" t="s">
        <v>303</v>
      </c>
      <c r="G2816" t="s">
        <v>303</v>
      </c>
    </row>
    <row r="2817" spans="1:10" x14ac:dyDescent="0.35">
      <c r="A2817" t="s">
        <v>3174</v>
      </c>
      <c r="B2817" t="s">
        <v>323</v>
      </c>
      <c r="C2817" t="s">
        <v>3135</v>
      </c>
      <c r="D2817" s="30">
        <v>0.62</v>
      </c>
      <c r="E2817" t="s">
        <v>317</v>
      </c>
      <c r="F2817" t="s">
        <v>299</v>
      </c>
      <c r="G2817" t="s">
        <v>299</v>
      </c>
      <c r="H2817">
        <v>40</v>
      </c>
      <c r="I2817" s="30">
        <v>1.6550925925925926E-3</v>
      </c>
      <c r="J2817">
        <v>1</v>
      </c>
    </row>
    <row r="2818" spans="1:10" x14ac:dyDescent="0.35">
      <c r="A2818" t="s">
        <v>3175</v>
      </c>
      <c r="B2818" t="s">
        <v>332</v>
      </c>
      <c r="C2818" t="s">
        <v>3135</v>
      </c>
      <c r="D2818" s="30">
        <v>0.63599537037037035</v>
      </c>
      <c r="E2818" t="s">
        <v>314</v>
      </c>
      <c r="F2818" t="s">
        <v>299</v>
      </c>
      <c r="G2818" t="s">
        <v>299</v>
      </c>
      <c r="H2818">
        <v>114</v>
      </c>
      <c r="I2818" s="30">
        <v>2.0717592592592593E-3</v>
      </c>
      <c r="J2818">
        <v>5</v>
      </c>
    </row>
    <row r="2819" spans="1:10" x14ac:dyDescent="0.35">
      <c r="A2819" t="s">
        <v>3176</v>
      </c>
      <c r="B2819" t="s">
        <v>316</v>
      </c>
      <c r="C2819" t="s">
        <v>3135</v>
      </c>
      <c r="D2819" s="30">
        <v>0.63599537037037035</v>
      </c>
      <c r="E2819" t="s">
        <v>298</v>
      </c>
      <c r="F2819" t="s">
        <v>303</v>
      </c>
      <c r="G2819" t="s">
        <v>303</v>
      </c>
    </row>
    <row r="2820" spans="1:10" x14ac:dyDescent="0.35">
      <c r="A2820" t="s">
        <v>3177</v>
      </c>
      <c r="B2820" t="s">
        <v>316</v>
      </c>
      <c r="C2820" t="s">
        <v>3135</v>
      </c>
      <c r="D2820" s="30">
        <v>0.66700231481481487</v>
      </c>
      <c r="E2820" t="s">
        <v>309</v>
      </c>
      <c r="F2820" t="s">
        <v>303</v>
      </c>
      <c r="G2820" t="s">
        <v>303</v>
      </c>
    </row>
    <row r="2821" spans="1:10" x14ac:dyDescent="0.35">
      <c r="A2821" t="s">
        <v>3178</v>
      </c>
      <c r="B2821" t="s">
        <v>316</v>
      </c>
      <c r="C2821" t="s">
        <v>3135</v>
      </c>
      <c r="D2821" s="30">
        <v>0.66700231481481487</v>
      </c>
      <c r="E2821" t="s">
        <v>298</v>
      </c>
      <c r="F2821" t="s">
        <v>299</v>
      </c>
      <c r="G2821" t="s">
        <v>299</v>
      </c>
      <c r="H2821">
        <v>29</v>
      </c>
      <c r="I2821" s="30">
        <v>5.5555555555555556E-4</v>
      </c>
      <c r="J2821">
        <v>4</v>
      </c>
    </row>
    <row r="2822" spans="1:10" x14ac:dyDescent="0.35">
      <c r="A2822" t="s">
        <v>3179</v>
      </c>
      <c r="B2822" t="s">
        <v>316</v>
      </c>
      <c r="C2822" t="s">
        <v>3135</v>
      </c>
      <c r="D2822" s="30">
        <v>0.66900462962962959</v>
      </c>
      <c r="E2822" t="s">
        <v>302</v>
      </c>
      <c r="F2822" t="s">
        <v>299</v>
      </c>
      <c r="G2822" t="s">
        <v>299</v>
      </c>
      <c r="H2822">
        <v>56</v>
      </c>
      <c r="I2822" s="30">
        <v>4.5138888888888885E-3</v>
      </c>
      <c r="J2822">
        <v>3</v>
      </c>
    </row>
    <row r="2823" spans="1:10" x14ac:dyDescent="0.35">
      <c r="A2823" t="s">
        <v>3180</v>
      </c>
      <c r="B2823" t="s">
        <v>296</v>
      </c>
      <c r="C2823" t="s">
        <v>3135</v>
      </c>
      <c r="D2823" s="30">
        <v>0.66900462962962959</v>
      </c>
      <c r="E2823" t="s">
        <v>302</v>
      </c>
      <c r="F2823" t="s">
        <v>299</v>
      </c>
      <c r="G2823" t="s">
        <v>303</v>
      </c>
      <c r="H2823">
        <v>58</v>
      </c>
      <c r="I2823" s="30">
        <v>1.9097222222222222E-3</v>
      </c>
      <c r="J2823">
        <v>4</v>
      </c>
    </row>
    <row r="2824" spans="1:10" x14ac:dyDescent="0.35">
      <c r="A2824" t="s">
        <v>3181</v>
      </c>
      <c r="B2824" t="s">
        <v>323</v>
      </c>
      <c r="C2824" t="s">
        <v>3135</v>
      </c>
      <c r="D2824" s="30">
        <v>0.70700231481481479</v>
      </c>
      <c r="E2824" t="s">
        <v>302</v>
      </c>
      <c r="F2824" t="s">
        <v>299</v>
      </c>
      <c r="G2824" t="s">
        <v>299</v>
      </c>
      <c r="H2824">
        <v>68</v>
      </c>
      <c r="I2824" s="30">
        <v>2.1064814814814813E-3</v>
      </c>
      <c r="J2824">
        <v>5</v>
      </c>
    </row>
    <row r="2825" spans="1:10" x14ac:dyDescent="0.35">
      <c r="A2825" t="s">
        <v>3182</v>
      </c>
      <c r="B2825" t="s">
        <v>316</v>
      </c>
      <c r="C2825" t="s">
        <v>3135</v>
      </c>
      <c r="D2825" s="30">
        <v>0.70700231481481479</v>
      </c>
      <c r="E2825" t="s">
        <v>314</v>
      </c>
      <c r="F2825" t="s">
        <v>299</v>
      </c>
      <c r="G2825" t="s">
        <v>303</v>
      </c>
      <c r="H2825">
        <v>114</v>
      </c>
      <c r="I2825" s="30">
        <v>7.5231481481481482E-4</v>
      </c>
      <c r="J2825">
        <v>3</v>
      </c>
    </row>
    <row r="2826" spans="1:10" x14ac:dyDescent="0.35">
      <c r="A2826" t="s">
        <v>3183</v>
      </c>
      <c r="B2826" t="s">
        <v>307</v>
      </c>
      <c r="C2826" t="s">
        <v>3135</v>
      </c>
      <c r="D2826" s="30">
        <v>0.70799768518518513</v>
      </c>
      <c r="E2826" t="s">
        <v>302</v>
      </c>
      <c r="F2826" t="s">
        <v>299</v>
      </c>
      <c r="G2826" t="s">
        <v>299</v>
      </c>
      <c r="H2826">
        <v>11</v>
      </c>
      <c r="I2826" s="30">
        <v>2.1759259259259258E-3</v>
      </c>
      <c r="J2826">
        <v>3</v>
      </c>
    </row>
    <row r="2827" spans="1:10" x14ac:dyDescent="0.35">
      <c r="A2827" t="s">
        <v>3184</v>
      </c>
      <c r="B2827" t="s">
        <v>301</v>
      </c>
      <c r="C2827" t="s">
        <v>3135</v>
      </c>
      <c r="D2827" s="30">
        <v>0.70799768518518513</v>
      </c>
      <c r="E2827" t="s">
        <v>317</v>
      </c>
      <c r="F2827" t="s">
        <v>299</v>
      </c>
      <c r="G2827" t="s">
        <v>299</v>
      </c>
      <c r="H2827">
        <v>46</v>
      </c>
      <c r="I2827" s="30">
        <v>1.1921296296296296E-3</v>
      </c>
      <c r="J2827">
        <v>3</v>
      </c>
    </row>
    <row r="2828" spans="1:10" x14ac:dyDescent="0.35">
      <c r="A2828" t="s">
        <v>3185</v>
      </c>
      <c r="B2828" t="s">
        <v>316</v>
      </c>
      <c r="C2828" t="s">
        <v>3186</v>
      </c>
      <c r="D2828" s="30">
        <v>0.3759953703703704</v>
      </c>
      <c r="E2828" t="s">
        <v>314</v>
      </c>
      <c r="F2828" t="s">
        <v>299</v>
      </c>
      <c r="G2828" t="s">
        <v>299</v>
      </c>
      <c r="H2828">
        <v>78</v>
      </c>
      <c r="I2828" s="30">
        <v>4.6990740740740743E-3</v>
      </c>
      <c r="J2828">
        <v>4</v>
      </c>
    </row>
    <row r="2829" spans="1:10" x14ac:dyDescent="0.35">
      <c r="A2829" t="s">
        <v>3187</v>
      </c>
      <c r="B2829" t="s">
        <v>319</v>
      </c>
      <c r="C2829" t="s">
        <v>3186</v>
      </c>
      <c r="D2829" s="30">
        <v>0.3759953703703704</v>
      </c>
      <c r="E2829" t="s">
        <v>309</v>
      </c>
      <c r="F2829" t="s">
        <v>303</v>
      </c>
      <c r="G2829" t="s">
        <v>303</v>
      </c>
    </row>
    <row r="2830" spans="1:10" x14ac:dyDescent="0.35">
      <c r="A2830" t="s">
        <v>3188</v>
      </c>
      <c r="B2830" t="s">
        <v>319</v>
      </c>
      <c r="C2830" t="s">
        <v>3186</v>
      </c>
      <c r="D2830" s="30">
        <v>0.38700231481481484</v>
      </c>
      <c r="E2830" t="s">
        <v>314</v>
      </c>
      <c r="F2830" t="s">
        <v>299</v>
      </c>
      <c r="G2830" t="s">
        <v>299</v>
      </c>
      <c r="H2830">
        <v>53</v>
      </c>
      <c r="I2830" s="30">
        <v>3.4837962962962965E-3</v>
      </c>
      <c r="J2830">
        <v>3</v>
      </c>
    </row>
    <row r="2831" spans="1:10" x14ac:dyDescent="0.35">
      <c r="A2831" t="s">
        <v>3189</v>
      </c>
      <c r="B2831" t="s">
        <v>316</v>
      </c>
      <c r="C2831" t="s">
        <v>3186</v>
      </c>
      <c r="D2831" s="30">
        <v>0.38700231481481484</v>
      </c>
      <c r="E2831" t="s">
        <v>309</v>
      </c>
      <c r="F2831" t="s">
        <v>299</v>
      </c>
      <c r="G2831" t="s">
        <v>299</v>
      </c>
      <c r="H2831">
        <v>37</v>
      </c>
      <c r="I2831" s="30">
        <v>2.3263888888888887E-3</v>
      </c>
      <c r="J2831">
        <v>1</v>
      </c>
    </row>
    <row r="2832" spans="1:10" x14ac:dyDescent="0.35">
      <c r="A2832" t="s">
        <v>3190</v>
      </c>
      <c r="B2832" t="s">
        <v>296</v>
      </c>
      <c r="C2832" t="s">
        <v>3186</v>
      </c>
      <c r="D2832" s="30">
        <v>0.38799768518518518</v>
      </c>
      <c r="E2832" t="s">
        <v>317</v>
      </c>
      <c r="F2832" t="s">
        <v>299</v>
      </c>
      <c r="G2832" t="s">
        <v>299</v>
      </c>
      <c r="H2832">
        <v>111</v>
      </c>
      <c r="I2832" s="30">
        <v>2.5462962962962965E-3</v>
      </c>
      <c r="J2832">
        <v>4</v>
      </c>
    </row>
    <row r="2833" spans="1:10" x14ac:dyDescent="0.35">
      <c r="A2833" t="s">
        <v>3191</v>
      </c>
      <c r="B2833" t="s">
        <v>332</v>
      </c>
      <c r="C2833" t="s">
        <v>3186</v>
      </c>
      <c r="D2833" s="30">
        <v>0.38799768518518518</v>
      </c>
      <c r="E2833" t="s">
        <v>298</v>
      </c>
      <c r="F2833" t="s">
        <v>299</v>
      </c>
      <c r="G2833" t="s">
        <v>303</v>
      </c>
      <c r="H2833">
        <v>14</v>
      </c>
      <c r="I2833" s="30">
        <v>6.2500000000000001E-4</v>
      </c>
      <c r="J2833">
        <v>5</v>
      </c>
    </row>
    <row r="2834" spans="1:10" x14ac:dyDescent="0.35">
      <c r="A2834" t="s">
        <v>3192</v>
      </c>
      <c r="B2834" t="s">
        <v>296</v>
      </c>
      <c r="C2834" t="s">
        <v>3186</v>
      </c>
      <c r="D2834" s="30">
        <v>0.39299768518518519</v>
      </c>
      <c r="E2834" t="s">
        <v>317</v>
      </c>
      <c r="F2834" t="s">
        <v>299</v>
      </c>
      <c r="G2834" t="s">
        <v>299</v>
      </c>
      <c r="H2834">
        <v>82</v>
      </c>
      <c r="I2834" s="30">
        <v>1.9444444444444444E-3</v>
      </c>
      <c r="J2834">
        <v>3</v>
      </c>
    </row>
    <row r="2835" spans="1:10" x14ac:dyDescent="0.35">
      <c r="A2835" t="s">
        <v>3193</v>
      </c>
      <c r="B2835" t="s">
        <v>305</v>
      </c>
      <c r="C2835" t="s">
        <v>3186</v>
      </c>
      <c r="D2835" s="30">
        <v>0.39299768518518519</v>
      </c>
      <c r="E2835" t="s">
        <v>298</v>
      </c>
      <c r="F2835" t="s">
        <v>303</v>
      </c>
      <c r="G2835" t="s">
        <v>303</v>
      </c>
    </row>
    <row r="2836" spans="1:10" x14ac:dyDescent="0.35">
      <c r="A2836" t="s">
        <v>3194</v>
      </c>
      <c r="B2836" t="s">
        <v>332</v>
      </c>
      <c r="C2836" t="s">
        <v>3186</v>
      </c>
      <c r="D2836" s="30">
        <v>0.44900462962962961</v>
      </c>
      <c r="E2836" t="s">
        <v>309</v>
      </c>
      <c r="F2836" t="s">
        <v>303</v>
      </c>
      <c r="G2836" t="s">
        <v>303</v>
      </c>
    </row>
    <row r="2837" spans="1:10" x14ac:dyDescent="0.35">
      <c r="A2837" t="s">
        <v>3195</v>
      </c>
      <c r="B2837" t="s">
        <v>316</v>
      </c>
      <c r="C2837" t="s">
        <v>3186</v>
      </c>
      <c r="D2837" s="30">
        <v>0.44900462962962961</v>
      </c>
      <c r="E2837" t="s">
        <v>314</v>
      </c>
      <c r="F2837" t="s">
        <v>303</v>
      </c>
      <c r="G2837" t="s">
        <v>303</v>
      </c>
    </row>
    <row r="2838" spans="1:10" x14ac:dyDescent="0.35">
      <c r="A2838" t="s">
        <v>3196</v>
      </c>
      <c r="B2838" t="s">
        <v>305</v>
      </c>
      <c r="C2838" t="s">
        <v>3186</v>
      </c>
      <c r="D2838" s="30">
        <v>0.47400462962962964</v>
      </c>
      <c r="E2838" t="s">
        <v>298</v>
      </c>
      <c r="F2838" t="s">
        <v>299</v>
      </c>
      <c r="G2838" t="s">
        <v>299</v>
      </c>
      <c r="H2838">
        <v>69</v>
      </c>
      <c r="I2838" s="30">
        <v>3.4027777777777776E-3</v>
      </c>
      <c r="J2838">
        <v>3</v>
      </c>
    </row>
    <row r="2839" spans="1:10" x14ac:dyDescent="0.35">
      <c r="A2839" t="s">
        <v>3197</v>
      </c>
      <c r="B2839" t="s">
        <v>296</v>
      </c>
      <c r="C2839" t="s">
        <v>3186</v>
      </c>
      <c r="D2839" s="30">
        <v>0.47400462962962964</v>
      </c>
      <c r="E2839" t="s">
        <v>317</v>
      </c>
      <c r="F2839" t="s">
        <v>299</v>
      </c>
      <c r="G2839" t="s">
        <v>299</v>
      </c>
      <c r="H2839">
        <v>21</v>
      </c>
      <c r="I2839" s="30">
        <v>4.7916666666666663E-3</v>
      </c>
      <c r="J2839">
        <v>3</v>
      </c>
    </row>
    <row r="2840" spans="1:10" x14ac:dyDescent="0.35">
      <c r="A2840" t="s">
        <v>3198</v>
      </c>
      <c r="B2840" t="s">
        <v>301</v>
      </c>
      <c r="C2840" t="s">
        <v>3186</v>
      </c>
      <c r="D2840" s="30">
        <v>0.48799768518518516</v>
      </c>
      <c r="E2840" t="s">
        <v>309</v>
      </c>
      <c r="F2840" t="s">
        <v>299</v>
      </c>
      <c r="G2840" t="s">
        <v>299</v>
      </c>
      <c r="H2840">
        <v>113</v>
      </c>
      <c r="I2840" s="30">
        <v>4.7453703703703698E-4</v>
      </c>
      <c r="J2840">
        <v>2</v>
      </c>
    </row>
    <row r="2841" spans="1:10" x14ac:dyDescent="0.35">
      <c r="A2841" t="s">
        <v>3199</v>
      </c>
      <c r="B2841" t="s">
        <v>323</v>
      </c>
      <c r="C2841" t="s">
        <v>3186</v>
      </c>
      <c r="D2841" s="30">
        <v>0.48799768518518516</v>
      </c>
      <c r="E2841" t="s">
        <v>317</v>
      </c>
      <c r="F2841" t="s">
        <v>299</v>
      </c>
      <c r="G2841" t="s">
        <v>299</v>
      </c>
      <c r="H2841">
        <v>34</v>
      </c>
      <c r="I2841" s="30">
        <v>2.4421296296296296E-3</v>
      </c>
      <c r="J2841">
        <v>3</v>
      </c>
    </row>
    <row r="2842" spans="1:10" x14ac:dyDescent="0.35">
      <c r="A2842" t="s">
        <v>3200</v>
      </c>
      <c r="B2842" t="s">
        <v>316</v>
      </c>
      <c r="C2842" t="s">
        <v>3186</v>
      </c>
      <c r="D2842" s="30">
        <v>0.49599537037037039</v>
      </c>
      <c r="E2842" t="s">
        <v>309</v>
      </c>
      <c r="F2842" t="s">
        <v>299</v>
      </c>
      <c r="G2842" t="s">
        <v>303</v>
      </c>
      <c r="H2842">
        <v>26</v>
      </c>
      <c r="I2842" s="30">
        <v>4.6296296296296298E-4</v>
      </c>
      <c r="J2842">
        <v>3</v>
      </c>
    </row>
    <row r="2843" spans="1:10" x14ac:dyDescent="0.35">
      <c r="A2843" t="s">
        <v>3201</v>
      </c>
      <c r="B2843" t="s">
        <v>316</v>
      </c>
      <c r="C2843" t="s">
        <v>3186</v>
      </c>
      <c r="D2843" s="30">
        <v>0.49599537037037039</v>
      </c>
      <c r="E2843" t="s">
        <v>314</v>
      </c>
      <c r="F2843" t="s">
        <v>299</v>
      </c>
      <c r="G2843" t="s">
        <v>299</v>
      </c>
      <c r="H2843">
        <v>76</v>
      </c>
      <c r="I2843" s="30">
        <v>3.7037037037037038E-3</v>
      </c>
      <c r="J2843">
        <v>3</v>
      </c>
    </row>
    <row r="2844" spans="1:10" x14ac:dyDescent="0.35">
      <c r="A2844" t="s">
        <v>3202</v>
      </c>
      <c r="B2844" t="s">
        <v>296</v>
      </c>
      <c r="C2844" t="s">
        <v>3186</v>
      </c>
      <c r="D2844" s="30">
        <v>0.51099537037037035</v>
      </c>
      <c r="E2844" t="s">
        <v>314</v>
      </c>
      <c r="F2844" t="s">
        <v>303</v>
      </c>
      <c r="G2844" t="s">
        <v>303</v>
      </c>
    </row>
    <row r="2845" spans="1:10" x14ac:dyDescent="0.35">
      <c r="A2845" t="s">
        <v>3203</v>
      </c>
      <c r="B2845" t="s">
        <v>323</v>
      </c>
      <c r="C2845" t="s">
        <v>3186</v>
      </c>
      <c r="D2845" s="30">
        <v>0.51099537037037035</v>
      </c>
      <c r="E2845" t="s">
        <v>309</v>
      </c>
      <c r="F2845" t="s">
        <v>303</v>
      </c>
      <c r="G2845" t="s">
        <v>303</v>
      </c>
    </row>
    <row r="2846" spans="1:10" x14ac:dyDescent="0.35">
      <c r="A2846" t="s">
        <v>3204</v>
      </c>
      <c r="B2846" t="s">
        <v>316</v>
      </c>
      <c r="C2846" t="s">
        <v>3186</v>
      </c>
      <c r="D2846" s="30">
        <v>0.56200231481481477</v>
      </c>
      <c r="E2846" t="s">
        <v>302</v>
      </c>
      <c r="F2846" t="s">
        <v>299</v>
      </c>
      <c r="G2846" t="s">
        <v>299</v>
      </c>
      <c r="H2846">
        <v>63</v>
      </c>
      <c r="I2846" s="30">
        <v>2.627314814814815E-3</v>
      </c>
      <c r="J2846">
        <v>1</v>
      </c>
    </row>
    <row r="2847" spans="1:10" x14ac:dyDescent="0.35">
      <c r="A2847" t="s">
        <v>3205</v>
      </c>
      <c r="B2847" t="s">
        <v>305</v>
      </c>
      <c r="C2847" t="s">
        <v>3186</v>
      </c>
      <c r="D2847" s="30">
        <v>0.56200231481481477</v>
      </c>
      <c r="E2847" t="s">
        <v>314</v>
      </c>
      <c r="F2847" t="s">
        <v>299</v>
      </c>
      <c r="G2847" t="s">
        <v>299</v>
      </c>
      <c r="H2847">
        <v>80</v>
      </c>
      <c r="I2847" s="30">
        <v>2.8703703703703703E-3</v>
      </c>
      <c r="J2847">
        <v>3</v>
      </c>
    </row>
    <row r="2848" spans="1:10" x14ac:dyDescent="0.35">
      <c r="A2848" t="s">
        <v>3206</v>
      </c>
      <c r="B2848" t="s">
        <v>316</v>
      </c>
      <c r="C2848" t="s">
        <v>3186</v>
      </c>
      <c r="D2848" s="30">
        <v>0.56400462962962961</v>
      </c>
      <c r="E2848" t="s">
        <v>314</v>
      </c>
      <c r="F2848" t="s">
        <v>299</v>
      </c>
      <c r="G2848" t="s">
        <v>299</v>
      </c>
      <c r="H2848">
        <v>36</v>
      </c>
      <c r="I2848" s="30">
        <v>4.363425925925926E-3</v>
      </c>
      <c r="J2848">
        <v>1</v>
      </c>
    </row>
    <row r="2849" spans="1:10" x14ac:dyDescent="0.35">
      <c r="A2849" t="s">
        <v>3207</v>
      </c>
      <c r="B2849" t="s">
        <v>296</v>
      </c>
      <c r="C2849" t="s">
        <v>3186</v>
      </c>
      <c r="D2849" s="30">
        <v>0.56400462962962961</v>
      </c>
      <c r="E2849" t="s">
        <v>314</v>
      </c>
      <c r="F2849" t="s">
        <v>299</v>
      </c>
      <c r="G2849" t="s">
        <v>299</v>
      </c>
      <c r="H2849">
        <v>22</v>
      </c>
      <c r="I2849" s="30">
        <v>1.3310185185185185E-3</v>
      </c>
      <c r="J2849">
        <v>5</v>
      </c>
    </row>
    <row r="2850" spans="1:10" x14ac:dyDescent="0.35">
      <c r="A2850" t="s">
        <v>3208</v>
      </c>
      <c r="B2850" t="s">
        <v>305</v>
      </c>
      <c r="C2850" t="s">
        <v>3186</v>
      </c>
      <c r="D2850" s="30">
        <v>0.57299768518518523</v>
      </c>
      <c r="E2850" t="s">
        <v>317</v>
      </c>
      <c r="F2850" t="s">
        <v>299</v>
      </c>
      <c r="G2850" t="s">
        <v>299</v>
      </c>
      <c r="H2850">
        <v>80</v>
      </c>
      <c r="I2850" s="30">
        <v>3.0902777777777777E-3</v>
      </c>
      <c r="J2850">
        <v>2</v>
      </c>
    </row>
    <row r="2851" spans="1:10" x14ac:dyDescent="0.35">
      <c r="A2851" t="s">
        <v>3209</v>
      </c>
      <c r="B2851" t="s">
        <v>316</v>
      </c>
      <c r="C2851" t="s">
        <v>3186</v>
      </c>
      <c r="D2851" s="30">
        <v>0.57299768518518523</v>
      </c>
      <c r="E2851" t="s">
        <v>302</v>
      </c>
      <c r="F2851" t="s">
        <v>299</v>
      </c>
      <c r="G2851" t="s">
        <v>299</v>
      </c>
      <c r="H2851">
        <v>109</v>
      </c>
      <c r="I2851" s="30">
        <v>5.0925925925925921E-4</v>
      </c>
      <c r="J2851">
        <v>1</v>
      </c>
    </row>
    <row r="2852" spans="1:10" x14ac:dyDescent="0.35">
      <c r="A2852" t="s">
        <v>3210</v>
      </c>
      <c r="B2852" t="s">
        <v>305</v>
      </c>
      <c r="C2852" t="s">
        <v>3186</v>
      </c>
      <c r="D2852" s="30">
        <v>0.59900462962962964</v>
      </c>
      <c r="E2852" t="s">
        <v>302</v>
      </c>
      <c r="F2852" t="s">
        <v>299</v>
      </c>
      <c r="G2852" t="s">
        <v>299</v>
      </c>
      <c r="H2852">
        <v>80</v>
      </c>
      <c r="I2852" s="30">
        <v>3.9120370370370368E-3</v>
      </c>
      <c r="J2852">
        <v>3</v>
      </c>
    </row>
    <row r="2853" spans="1:10" x14ac:dyDescent="0.35">
      <c r="A2853" t="s">
        <v>3211</v>
      </c>
      <c r="B2853" t="s">
        <v>319</v>
      </c>
      <c r="C2853" t="s">
        <v>3186</v>
      </c>
      <c r="D2853" s="30">
        <v>0.59900462962962964</v>
      </c>
      <c r="E2853" t="s">
        <v>314</v>
      </c>
      <c r="F2853" t="s">
        <v>299</v>
      </c>
      <c r="G2853" t="s">
        <v>299</v>
      </c>
      <c r="H2853">
        <v>108</v>
      </c>
      <c r="I2853" s="30">
        <v>3.3217592592592591E-3</v>
      </c>
      <c r="J2853">
        <v>4</v>
      </c>
    </row>
    <row r="2854" spans="1:10" x14ac:dyDescent="0.35">
      <c r="A2854" t="s">
        <v>3212</v>
      </c>
      <c r="B2854" t="s">
        <v>301</v>
      </c>
      <c r="C2854" t="s">
        <v>3186</v>
      </c>
      <c r="D2854" s="30">
        <v>0.60200231481481481</v>
      </c>
      <c r="E2854" t="s">
        <v>298</v>
      </c>
      <c r="F2854" t="s">
        <v>299</v>
      </c>
      <c r="G2854" t="s">
        <v>299</v>
      </c>
      <c r="H2854">
        <v>10</v>
      </c>
      <c r="I2854" s="30">
        <v>3.9814814814814817E-3</v>
      </c>
      <c r="J2854">
        <v>4</v>
      </c>
    </row>
    <row r="2855" spans="1:10" x14ac:dyDescent="0.35">
      <c r="A2855" t="s">
        <v>3213</v>
      </c>
      <c r="B2855" t="s">
        <v>307</v>
      </c>
      <c r="C2855" t="s">
        <v>3186</v>
      </c>
      <c r="D2855" s="30">
        <v>0.60200231481481481</v>
      </c>
      <c r="E2855" t="s">
        <v>302</v>
      </c>
      <c r="F2855" t="s">
        <v>303</v>
      </c>
      <c r="G2855" t="s">
        <v>303</v>
      </c>
    </row>
    <row r="2856" spans="1:10" x14ac:dyDescent="0.35">
      <c r="A2856" t="s">
        <v>3214</v>
      </c>
      <c r="B2856" t="s">
        <v>323</v>
      </c>
      <c r="C2856" t="s">
        <v>3186</v>
      </c>
      <c r="D2856" s="30">
        <v>0.61499999999999999</v>
      </c>
      <c r="E2856" t="s">
        <v>302</v>
      </c>
      <c r="F2856" t="s">
        <v>299</v>
      </c>
      <c r="G2856" t="s">
        <v>299</v>
      </c>
      <c r="H2856">
        <v>115</v>
      </c>
      <c r="I2856" s="30">
        <v>1.8287037037037037E-3</v>
      </c>
      <c r="J2856">
        <v>3</v>
      </c>
    </row>
    <row r="2857" spans="1:10" x14ac:dyDescent="0.35">
      <c r="A2857" t="s">
        <v>3215</v>
      </c>
      <c r="B2857" t="s">
        <v>301</v>
      </c>
      <c r="C2857" t="s">
        <v>3186</v>
      </c>
      <c r="D2857" s="30">
        <v>0.61499999999999999</v>
      </c>
      <c r="E2857" t="s">
        <v>314</v>
      </c>
      <c r="F2857" t="s">
        <v>299</v>
      </c>
      <c r="G2857" t="s">
        <v>299</v>
      </c>
      <c r="H2857">
        <v>79</v>
      </c>
      <c r="I2857" s="30">
        <v>3.1365740740740742E-3</v>
      </c>
      <c r="J2857">
        <v>3</v>
      </c>
    </row>
    <row r="2858" spans="1:10" x14ac:dyDescent="0.35">
      <c r="A2858" t="s">
        <v>3216</v>
      </c>
      <c r="B2858" t="s">
        <v>305</v>
      </c>
      <c r="C2858" t="s">
        <v>3186</v>
      </c>
      <c r="D2858" s="30">
        <v>0.62</v>
      </c>
      <c r="E2858" t="s">
        <v>314</v>
      </c>
      <c r="F2858" t="s">
        <v>299</v>
      </c>
      <c r="G2858" t="s">
        <v>299</v>
      </c>
      <c r="H2858">
        <v>109</v>
      </c>
      <c r="I2858" s="30">
        <v>4.5138888888888892E-4</v>
      </c>
      <c r="J2858">
        <v>2</v>
      </c>
    </row>
    <row r="2859" spans="1:10" x14ac:dyDescent="0.35">
      <c r="A2859" t="s">
        <v>3217</v>
      </c>
      <c r="B2859" t="s">
        <v>316</v>
      </c>
      <c r="C2859" t="s">
        <v>3186</v>
      </c>
      <c r="D2859" s="30">
        <v>0.62</v>
      </c>
      <c r="E2859" t="s">
        <v>298</v>
      </c>
      <c r="F2859" t="s">
        <v>299</v>
      </c>
      <c r="G2859" t="s">
        <v>299</v>
      </c>
      <c r="H2859">
        <v>12</v>
      </c>
      <c r="I2859" s="30">
        <v>3.6458333333333334E-3</v>
      </c>
      <c r="J2859">
        <v>4</v>
      </c>
    </row>
    <row r="2860" spans="1:10" x14ac:dyDescent="0.35">
      <c r="A2860" t="s">
        <v>3218</v>
      </c>
      <c r="B2860" t="s">
        <v>319</v>
      </c>
      <c r="C2860" t="s">
        <v>3186</v>
      </c>
      <c r="D2860" s="30">
        <v>0.62700231481481483</v>
      </c>
      <c r="E2860" t="s">
        <v>317</v>
      </c>
      <c r="F2860" t="s">
        <v>299</v>
      </c>
      <c r="G2860" t="s">
        <v>299</v>
      </c>
      <c r="H2860">
        <v>87</v>
      </c>
      <c r="I2860" s="30">
        <v>1.5509259259259259E-3</v>
      </c>
      <c r="J2860">
        <v>3</v>
      </c>
    </row>
    <row r="2861" spans="1:10" x14ac:dyDescent="0.35">
      <c r="A2861" t="s">
        <v>3219</v>
      </c>
      <c r="B2861" t="s">
        <v>305</v>
      </c>
      <c r="C2861" t="s">
        <v>3186</v>
      </c>
      <c r="D2861" s="30">
        <v>0.62700231481481483</v>
      </c>
      <c r="E2861" t="s">
        <v>314</v>
      </c>
      <c r="F2861" t="s">
        <v>299</v>
      </c>
      <c r="G2861" t="s">
        <v>299</v>
      </c>
      <c r="H2861">
        <v>55</v>
      </c>
      <c r="I2861" s="30">
        <v>3.9351851851851848E-3</v>
      </c>
      <c r="J2861">
        <v>3</v>
      </c>
    </row>
    <row r="2862" spans="1:10" x14ac:dyDescent="0.35">
      <c r="A2862" t="s">
        <v>3220</v>
      </c>
      <c r="B2862" t="s">
        <v>319</v>
      </c>
      <c r="C2862" t="s">
        <v>3186</v>
      </c>
      <c r="D2862" s="30">
        <v>0.64799768518518519</v>
      </c>
      <c r="E2862" t="s">
        <v>309</v>
      </c>
      <c r="F2862" t="s">
        <v>299</v>
      </c>
      <c r="G2862" t="s">
        <v>299</v>
      </c>
      <c r="H2862">
        <v>109</v>
      </c>
      <c r="I2862" s="30">
        <v>3.8773148148148148E-3</v>
      </c>
      <c r="J2862">
        <v>4</v>
      </c>
    </row>
    <row r="2863" spans="1:10" x14ac:dyDescent="0.35">
      <c r="A2863" t="s">
        <v>3221</v>
      </c>
      <c r="B2863" t="s">
        <v>301</v>
      </c>
      <c r="C2863" t="s">
        <v>3186</v>
      </c>
      <c r="D2863" s="30">
        <v>0.64799768518518519</v>
      </c>
      <c r="E2863" t="s">
        <v>298</v>
      </c>
      <c r="F2863" t="s">
        <v>303</v>
      </c>
      <c r="G2863" t="s">
        <v>303</v>
      </c>
    </row>
    <row r="2864" spans="1:10" x14ac:dyDescent="0.35">
      <c r="A2864" t="s">
        <v>3222</v>
      </c>
      <c r="B2864" t="s">
        <v>296</v>
      </c>
      <c r="C2864" t="s">
        <v>3186</v>
      </c>
      <c r="D2864" s="30">
        <v>0.64799768518518519</v>
      </c>
      <c r="E2864" t="s">
        <v>309</v>
      </c>
      <c r="F2864" t="s">
        <v>303</v>
      </c>
      <c r="G2864" t="s">
        <v>303</v>
      </c>
    </row>
    <row r="2865" spans="1:10" x14ac:dyDescent="0.35">
      <c r="A2865" t="s">
        <v>3223</v>
      </c>
      <c r="B2865" t="s">
        <v>301</v>
      </c>
      <c r="C2865" t="s">
        <v>3186</v>
      </c>
      <c r="D2865" s="30">
        <v>0.64799768518518519</v>
      </c>
      <c r="E2865" t="s">
        <v>309</v>
      </c>
      <c r="F2865" t="s">
        <v>299</v>
      </c>
      <c r="G2865" t="s">
        <v>299</v>
      </c>
      <c r="H2865">
        <v>12</v>
      </c>
      <c r="I2865" s="30">
        <v>7.9861111111111116E-4</v>
      </c>
      <c r="J2865">
        <v>4</v>
      </c>
    </row>
    <row r="2866" spans="1:10" x14ac:dyDescent="0.35">
      <c r="A2866" t="s">
        <v>3224</v>
      </c>
      <c r="B2866" t="s">
        <v>323</v>
      </c>
      <c r="C2866" t="s">
        <v>3186</v>
      </c>
      <c r="D2866" s="30">
        <v>0.67</v>
      </c>
      <c r="E2866" t="s">
        <v>309</v>
      </c>
      <c r="F2866" t="s">
        <v>299</v>
      </c>
      <c r="G2866" t="s">
        <v>299</v>
      </c>
      <c r="H2866">
        <v>71</v>
      </c>
      <c r="I2866" s="30">
        <v>1.9791666666666668E-3</v>
      </c>
      <c r="J2866">
        <v>5</v>
      </c>
    </row>
    <row r="2867" spans="1:10" x14ac:dyDescent="0.35">
      <c r="A2867" t="s">
        <v>3225</v>
      </c>
      <c r="B2867" t="s">
        <v>332</v>
      </c>
      <c r="C2867" t="s">
        <v>3186</v>
      </c>
      <c r="D2867" s="30">
        <v>0.67</v>
      </c>
      <c r="E2867" t="s">
        <v>302</v>
      </c>
      <c r="F2867" t="s">
        <v>303</v>
      </c>
      <c r="G2867" t="s">
        <v>303</v>
      </c>
    </row>
    <row r="2868" spans="1:10" x14ac:dyDescent="0.35">
      <c r="A2868" t="s">
        <v>3226</v>
      </c>
      <c r="B2868" t="s">
        <v>305</v>
      </c>
      <c r="C2868" t="s">
        <v>3186</v>
      </c>
      <c r="D2868" s="30">
        <v>0.68500000000000005</v>
      </c>
      <c r="E2868" t="s">
        <v>317</v>
      </c>
      <c r="F2868" t="s">
        <v>299</v>
      </c>
      <c r="G2868" t="s">
        <v>303</v>
      </c>
      <c r="H2868">
        <v>104</v>
      </c>
      <c r="I2868" s="30">
        <v>4.5023148148148149E-3</v>
      </c>
      <c r="J2868">
        <v>4</v>
      </c>
    </row>
    <row r="2869" spans="1:10" x14ac:dyDescent="0.35">
      <c r="A2869" t="s">
        <v>3227</v>
      </c>
      <c r="B2869" t="s">
        <v>305</v>
      </c>
      <c r="C2869" t="s">
        <v>3186</v>
      </c>
      <c r="D2869" s="30">
        <v>0.68500000000000005</v>
      </c>
      <c r="E2869" t="s">
        <v>309</v>
      </c>
      <c r="F2869" t="s">
        <v>299</v>
      </c>
      <c r="G2869" t="s">
        <v>299</v>
      </c>
      <c r="H2869">
        <v>110</v>
      </c>
      <c r="I2869" s="30">
        <v>1.3078703703703703E-3</v>
      </c>
      <c r="J2869">
        <v>1</v>
      </c>
    </row>
    <row r="2870" spans="1:10" x14ac:dyDescent="0.35">
      <c r="A2870" t="s">
        <v>3228</v>
      </c>
      <c r="B2870" t="s">
        <v>323</v>
      </c>
      <c r="C2870" t="s">
        <v>3186</v>
      </c>
      <c r="D2870" s="30">
        <v>0.72299768518518515</v>
      </c>
      <c r="E2870" t="s">
        <v>317</v>
      </c>
      <c r="F2870" t="s">
        <v>299</v>
      </c>
      <c r="G2870" t="s">
        <v>299</v>
      </c>
      <c r="H2870">
        <v>108</v>
      </c>
      <c r="I2870" s="30">
        <v>1.8981481481481482E-3</v>
      </c>
      <c r="J2870">
        <v>1</v>
      </c>
    </row>
    <row r="2871" spans="1:10" x14ac:dyDescent="0.35">
      <c r="A2871" t="s">
        <v>3229</v>
      </c>
      <c r="B2871" t="s">
        <v>332</v>
      </c>
      <c r="C2871" t="s">
        <v>3186</v>
      </c>
      <c r="D2871" s="30">
        <v>0.72299768518518515</v>
      </c>
      <c r="E2871" t="s">
        <v>302</v>
      </c>
      <c r="F2871" t="s">
        <v>299</v>
      </c>
      <c r="G2871" t="s">
        <v>299</v>
      </c>
      <c r="H2871">
        <v>88</v>
      </c>
      <c r="I2871" s="30">
        <v>6.3657407407407413E-4</v>
      </c>
      <c r="J2871">
        <v>1</v>
      </c>
    </row>
    <row r="2872" spans="1:10" x14ac:dyDescent="0.35">
      <c r="A2872" t="s">
        <v>3230</v>
      </c>
      <c r="B2872" t="s">
        <v>305</v>
      </c>
      <c r="C2872" t="s">
        <v>3186</v>
      </c>
      <c r="D2872" s="30">
        <v>0.72900462962962964</v>
      </c>
      <c r="E2872" t="s">
        <v>298</v>
      </c>
      <c r="F2872" t="s">
        <v>303</v>
      </c>
      <c r="G2872" t="s">
        <v>303</v>
      </c>
    </row>
    <row r="2873" spans="1:10" x14ac:dyDescent="0.35">
      <c r="A2873" t="s">
        <v>3231</v>
      </c>
      <c r="B2873" t="s">
        <v>319</v>
      </c>
      <c r="C2873" t="s">
        <v>3186</v>
      </c>
      <c r="D2873" s="30">
        <v>0.72900462962962964</v>
      </c>
      <c r="E2873" t="s">
        <v>314</v>
      </c>
      <c r="F2873" t="s">
        <v>299</v>
      </c>
      <c r="G2873" t="s">
        <v>299</v>
      </c>
      <c r="H2873">
        <v>32</v>
      </c>
      <c r="I2873" s="30">
        <v>4.2592592592592595E-3</v>
      </c>
      <c r="J2873">
        <v>1</v>
      </c>
    </row>
    <row r="2874" spans="1:10" x14ac:dyDescent="0.35">
      <c r="A2874" t="s">
        <v>3232</v>
      </c>
      <c r="B2874" t="s">
        <v>296</v>
      </c>
      <c r="C2874" t="s">
        <v>3186</v>
      </c>
      <c r="D2874" s="30">
        <v>0.73499999999999999</v>
      </c>
      <c r="E2874" t="s">
        <v>298</v>
      </c>
      <c r="F2874" t="s">
        <v>299</v>
      </c>
      <c r="G2874" t="s">
        <v>299</v>
      </c>
      <c r="H2874">
        <v>37</v>
      </c>
      <c r="I2874" s="30">
        <v>4.31712962962963E-3</v>
      </c>
      <c r="J2874">
        <v>4</v>
      </c>
    </row>
    <row r="2875" spans="1:10" x14ac:dyDescent="0.35">
      <c r="A2875" t="s">
        <v>3233</v>
      </c>
      <c r="B2875" t="s">
        <v>307</v>
      </c>
      <c r="C2875" t="s">
        <v>3186</v>
      </c>
      <c r="D2875" s="30">
        <v>0.73499999999999999</v>
      </c>
      <c r="E2875" t="s">
        <v>309</v>
      </c>
      <c r="F2875" t="s">
        <v>299</v>
      </c>
      <c r="G2875" t="s">
        <v>299</v>
      </c>
      <c r="H2875">
        <v>58</v>
      </c>
      <c r="I2875" s="30">
        <v>2.3726851851851851E-3</v>
      </c>
      <c r="J2875">
        <v>5</v>
      </c>
    </row>
    <row r="2876" spans="1:10" x14ac:dyDescent="0.35">
      <c r="A2876" t="s">
        <v>3234</v>
      </c>
      <c r="B2876" t="s">
        <v>307</v>
      </c>
      <c r="C2876" t="s">
        <v>3235</v>
      </c>
      <c r="D2876" s="30">
        <v>0.39200231481481479</v>
      </c>
      <c r="E2876" t="s">
        <v>298</v>
      </c>
      <c r="F2876" t="s">
        <v>299</v>
      </c>
      <c r="G2876" t="s">
        <v>299</v>
      </c>
      <c r="H2876">
        <v>61</v>
      </c>
      <c r="I2876" s="30">
        <v>2.8472222222222223E-3</v>
      </c>
      <c r="J2876">
        <v>4</v>
      </c>
    </row>
    <row r="2877" spans="1:10" x14ac:dyDescent="0.35">
      <c r="A2877" t="s">
        <v>3236</v>
      </c>
      <c r="B2877" t="s">
        <v>316</v>
      </c>
      <c r="C2877" t="s">
        <v>3235</v>
      </c>
      <c r="D2877" s="30">
        <v>0.39200231481481479</v>
      </c>
      <c r="E2877" t="s">
        <v>298</v>
      </c>
      <c r="F2877" t="s">
        <v>299</v>
      </c>
      <c r="G2877" t="s">
        <v>299</v>
      </c>
      <c r="H2877">
        <v>39</v>
      </c>
      <c r="I2877" s="30">
        <v>1.2152777777777778E-3</v>
      </c>
      <c r="J2877">
        <v>1</v>
      </c>
    </row>
    <row r="2878" spans="1:10" x14ac:dyDescent="0.35">
      <c r="A2878" t="s">
        <v>3237</v>
      </c>
      <c r="B2878" t="s">
        <v>319</v>
      </c>
      <c r="C2878" t="s">
        <v>3235</v>
      </c>
      <c r="D2878" s="30">
        <v>0.39799768518518519</v>
      </c>
      <c r="E2878" t="s">
        <v>298</v>
      </c>
      <c r="F2878" t="s">
        <v>299</v>
      </c>
      <c r="G2878" t="s">
        <v>299</v>
      </c>
      <c r="H2878">
        <v>39</v>
      </c>
      <c r="I2878" s="30">
        <v>3.9467592592592592E-3</v>
      </c>
      <c r="J2878">
        <v>4</v>
      </c>
    </row>
    <row r="2879" spans="1:10" x14ac:dyDescent="0.35">
      <c r="A2879" t="s">
        <v>3238</v>
      </c>
      <c r="B2879" t="s">
        <v>296</v>
      </c>
      <c r="C2879" t="s">
        <v>3235</v>
      </c>
      <c r="D2879" s="30">
        <v>0.39799768518518519</v>
      </c>
      <c r="E2879" t="s">
        <v>317</v>
      </c>
      <c r="F2879" t="s">
        <v>299</v>
      </c>
      <c r="G2879" t="s">
        <v>299</v>
      </c>
      <c r="H2879">
        <v>53</v>
      </c>
      <c r="I2879" s="30">
        <v>1.238425925925926E-3</v>
      </c>
      <c r="J2879">
        <v>5</v>
      </c>
    </row>
    <row r="2880" spans="1:10" x14ac:dyDescent="0.35">
      <c r="A2880" t="s">
        <v>3239</v>
      </c>
      <c r="B2880" t="s">
        <v>319</v>
      </c>
      <c r="C2880" t="s">
        <v>3235</v>
      </c>
      <c r="D2880" s="30">
        <v>0.41799768518518521</v>
      </c>
      <c r="E2880" t="s">
        <v>298</v>
      </c>
      <c r="F2880" t="s">
        <v>303</v>
      </c>
      <c r="G2880" t="s">
        <v>303</v>
      </c>
    </row>
    <row r="2881" spans="1:10" x14ac:dyDescent="0.35">
      <c r="A2881" t="s">
        <v>3240</v>
      </c>
      <c r="B2881" t="s">
        <v>305</v>
      </c>
      <c r="C2881" t="s">
        <v>3235</v>
      </c>
      <c r="D2881" s="30">
        <v>0.41799768518518521</v>
      </c>
      <c r="E2881" t="s">
        <v>317</v>
      </c>
      <c r="F2881" t="s">
        <v>299</v>
      </c>
      <c r="G2881" t="s">
        <v>299</v>
      </c>
      <c r="H2881">
        <v>64</v>
      </c>
      <c r="I2881" s="30">
        <v>3.5995370370370369E-3</v>
      </c>
      <c r="J2881">
        <v>4</v>
      </c>
    </row>
    <row r="2882" spans="1:10" x14ac:dyDescent="0.35">
      <c r="A2882" t="s">
        <v>3241</v>
      </c>
      <c r="B2882" t="s">
        <v>319</v>
      </c>
      <c r="C2882" t="s">
        <v>3235</v>
      </c>
      <c r="D2882" s="30">
        <v>0.42400462962962965</v>
      </c>
      <c r="E2882" t="s">
        <v>302</v>
      </c>
      <c r="F2882" t="s">
        <v>299</v>
      </c>
      <c r="G2882" t="s">
        <v>299</v>
      </c>
      <c r="H2882">
        <v>77</v>
      </c>
      <c r="I2882" s="30">
        <v>2.5462962962962965E-3</v>
      </c>
      <c r="J2882">
        <v>3</v>
      </c>
    </row>
    <row r="2883" spans="1:10" x14ac:dyDescent="0.35">
      <c r="A2883" t="s">
        <v>3242</v>
      </c>
      <c r="B2883" t="s">
        <v>332</v>
      </c>
      <c r="C2883" t="s">
        <v>3235</v>
      </c>
      <c r="D2883" s="30">
        <v>0.42400462962962965</v>
      </c>
      <c r="E2883" t="s">
        <v>298</v>
      </c>
      <c r="F2883" t="s">
        <v>299</v>
      </c>
      <c r="G2883" t="s">
        <v>299</v>
      </c>
      <c r="H2883">
        <v>20</v>
      </c>
      <c r="I2883" s="30">
        <v>5.6712962962962967E-4</v>
      </c>
      <c r="J2883">
        <v>1</v>
      </c>
    </row>
    <row r="2884" spans="1:10" x14ac:dyDescent="0.35">
      <c r="A2884" t="s">
        <v>3243</v>
      </c>
      <c r="B2884" t="s">
        <v>323</v>
      </c>
      <c r="C2884" t="s">
        <v>3235</v>
      </c>
      <c r="D2884" s="30">
        <v>0.43400462962962966</v>
      </c>
      <c r="E2884" t="s">
        <v>298</v>
      </c>
      <c r="F2884" t="s">
        <v>303</v>
      </c>
      <c r="G2884" t="s">
        <v>303</v>
      </c>
    </row>
    <row r="2885" spans="1:10" x14ac:dyDescent="0.35">
      <c r="A2885" t="s">
        <v>3244</v>
      </c>
      <c r="B2885" t="s">
        <v>319</v>
      </c>
      <c r="C2885" t="s">
        <v>3235</v>
      </c>
      <c r="D2885" s="30">
        <v>0.43400462962962966</v>
      </c>
      <c r="E2885" t="s">
        <v>314</v>
      </c>
      <c r="F2885" t="s">
        <v>303</v>
      </c>
      <c r="G2885" t="s">
        <v>303</v>
      </c>
    </row>
    <row r="2886" spans="1:10" x14ac:dyDescent="0.35">
      <c r="A2886" t="s">
        <v>3245</v>
      </c>
      <c r="B2886" t="s">
        <v>332</v>
      </c>
      <c r="C2886" t="s">
        <v>3235</v>
      </c>
      <c r="D2886" s="30">
        <v>0.45200231481481479</v>
      </c>
      <c r="E2886" t="s">
        <v>314</v>
      </c>
      <c r="F2886" t="s">
        <v>299</v>
      </c>
      <c r="G2886" t="s">
        <v>299</v>
      </c>
      <c r="H2886">
        <v>26</v>
      </c>
      <c r="I2886" s="30">
        <v>4.31712962962963E-3</v>
      </c>
      <c r="J2886">
        <v>5</v>
      </c>
    </row>
    <row r="2887" spans="1:10" x14ac:dyDescent="0.35">
      <c r="A2887" t="s">
        <v>3246</v>
      </c>
      <c r="B2887" t="s">
        <v>296</v>
      </c>
      <c r="C2887" t="s">
        <v>3235</v>
      </c>
      <c r="D2887" s="30">
        <v>0.45200231481481479</v>
      </c>
      <c r="E2887" t="s">
        <v>302</v>
      </c>
      <c r="F2887" t="s">
        <v>299</v>
      </c>
      <c r="G2887" t="s">
        <v>299</v>
      </c>
      <c r="H2887">
        <v>33</v>
      </c>
      <c r="I2887" s="30">
        <v>3.460648148148148E-3</v>
      </c>
      <c r="J2887">
        <v>3</v>
      </c>
    </row>
    <row r="2888" spans="1:10" x14ac:dyDescent="0.35">
      <c r="A2888" t="s">
        <v>3247</v>
      </c>
      <c r="B2888" t="s">
        <v>316</v>
      </c>
      <c r="C2888" t="s">
        <v>3235</v>
      </c>
      <c r="D2888" s="30">
        <v>0.45900462962962962</v>
      </c>
      <c r="E2888" t="s">
        <v>314</v>
      </c>
      <c r="F2888" t="s">
        <v>303</v>
      </c>
      <c r="G2888" t="s">
        <v>303</v>
      </c>
    </row>
    <row r="2889" spans="1:10" x14ac:dyDescent="0.35">
      <c r="A2889" t="s">
        <v>3248</v>
      </c>
      <c r="B2889" t="s">
        <v>301</v>
      </c>
      <c r="C2889" t="s">
        <v>3235</v>
      </c>
      <c r="D2889" s="30">
        <v>0.45900462962962962</v>
      </c>
      <c r="E2889" t="s">
        <v>298</v>
      </c>
      <c r="F2889" t="s">
        <v>299</v>
      </c>
      <c r="G2889" t="s">
        <v>299</v>
      </c>
      <c r="H2889">
        <v>122</v>
      </c>
      <c r="I2889" s="30">
        <v>1.4814814814814814E-3</v>
      </c>
      <c r="J2889">
        <v>3</v>
      </c>
    </row>
    <row r="2890" spans="1:10" x14ac:dyDescent="0.35">
      <c r="A2890" t="s">
        <v>3249</v>
      </c>
      <c r="B2890" t="s">
        <v>323</v>
      </c>
      <c r="C2890" t="s">
        <v>3235</v>
      </c>
      <c r="D2890" s="30">
        <v>0.46599537037037037</v>
      </c>
      <c r="E2890" t="s">
        <v>298</v>
      </c>
      <c r="F2890" t="s">
        <v>303</v>
      </c>
      <c r="G2890" t="s">
        <v>303</v>
      </c>
    </row>
    <row r="2891" spans="1:10" x14ac:dyDescent="0.35">
      <c r="A2891" t="s">
        <v>3250</v>
      </c>
      <c r="B2891" t="s">
        <v>323</v>
      </c>
      <c r="C2891" t="s">
        <v>3235</v>
      </c>
      <c r="D2891" s="30">
        <v>0.46599537037037037</v>
      </c>
      <c r="E2891" t="s">
        <v>309</v>
      </c>
      <c r="F2891" t="s">
        <v>299</v>
      </c>
      <c r="G2891" t="s">
        <v>299</v>
      </c>
      <c r="H2891">
        <v>75</v>
      </c>
      <c r="I2891" s="30">
        <v>2.6157407407407405E-3</v>
      </c>
      <c r="J2891">
        <v>3</v>
      </c>
    </row>
    <row r="2892" spans="1:10" x14ac:dyDescent="0.35">
      <c r="A2892" t="s">
        <v>3251</v>
      </c>
      <c r="B2892" t="s">
        <v>323</v>
      </c>
      <c r="C2892" t="s">
        <v>3235</v>
      </c>
      <c r="D2892" s="30">
        <v>0.4729976851851852</v>
      </c>
      <c r="E2892" t="s">
        <v>314</v>
      </c>
      <c r="F2892" t="s">
        <v>299</v>
      </c>
      <c r="G2892" t="s">
        <v>299</v>
      </c>
      <c r="H2892">
        <v>27</v>
      </c>
      <c r="I2892" s="30">
        <v>1.1458333333333333E-3</v>
      </c>
      <c r="J2892">
        <v>4</v>
      </c>
    </row>
    <row r="2893" spans="1:10" x14ac:dyDescent="0.35">
      <c r="A2893" t="s">
        <v>3252</v>
      </c>
      <c r="B2893" t="s">
        <v>296</v>
      </c>
      <c r="C2893" t="s">
        <v>3235</v>
      </c>
      <c r="D2893" s="30">
        <v>0.4729976851851852</v>
      </c>
      <c r="E2893" t="s">
        <v>298</v>
      </c>
      <c r="F2893" t="s">
        <v>299</v>
      </c>
      <c r="G2893" t="s">
        <v>299</v>
      </c>
      <c r="H2893">
        <v>37</v>
      </c>
      <c r="I2893" s="30">
        <v>4.0277777777777777E-3</v>
      </c>
      <c r="J2893">
        <v>3</v>
      </c>
    </row>
    <row r="2894" spans="1:10" x14ac:dyDescent="0.35">
      <c r="A2894" t="s">
        <v>3253</v>
      </c>
      <c r="B2894" t="s">
        <v>296</v>
      </c>
      <c r="C2894" t="s">
        <v>3235</v>
      </c>
      <c r="D2894" s="30">
        <v>0.48200231481481481</v>
      </c>
      <c r="E2894" t="s">
        <v>314</v>
      </c>
      <c r="F2894" t="s">
        <v>299</v>
      </c>
      <c r="G2894" t="s">
        <v>299</v>
      </c>
      <c r="H2894">
        <v>24</v>
      </c>
      <c r="I2894" s="30">
        <v>1.6782407407407408E-3</v>
      </c>
      <c r="J2894">
        <v>3</v>
      </c>
    </row>
    <row r="2895" spans="1:10" x14ac:dyDescent="0.35">
      <c r="A2895" t="s">
        <v>3254</v>
      </c>
      <c r="B2895" t="s">
        <v>301</v>
      </c>
      <c r="C2895" t="s">
        <v>3235</v>
      </c>
      <c r="D2895" s="30">
        <v>0.48200231481481481</v>
      </c>
      <c r="E2895" t="s">
        <v>317</v>
      </c>
      <c r="F2895" t="s">
        <v>299</v>
      </c>
      <c r="G2895" t="s">
        <v>299</v>
      </c>
      <c r="H2895">
        <v>70</v>
      </c>
      <c r="I2895" s="30">
        <v>3.7268518518518519E-3</v>
      </c>
      <c r="J2895">
        <v>1</v>
      </c>
    </row>
    <row r="2896" spans="1:10" x14ac:dyDescent="0.35">
      <c r="A2896" t="s">
        <v>3255</v>
      </c>
      <c r="B2896" t="s">
        <v>301</v>
      </c>
      <c r="C2896" t="s">
        <v>3235</v>
      </c>
      <c r="D2896" s="30">
        <v>0.48700231481481482</v>
      </c>
      <c r="E2896" t="s">
        <v>302</v>
      </c>
      <c r="F2896" t="s">
        <v>299</v>
      </c>
      <c r="G2896" t="s">
        <v>299</v>
      </c>
      <c r="H2896">
        <v>117</v>
      </c>
      <c r="I2896" s="30">
        <v>1.3194444444444445E-3</v>
      </c>
      <c r="J2896">
        <v>4</v>
      </c>
    </row>
    <row r="2897" spans="1:10" x14ac:dyDescent="0.35">
      <c r="A2897" t="s">
        <v>3256</v>
      </c>
      <c r="B2897" t="s">
        <v>296</v>
      </c>
      <c r="C2897" t="s">
        <v>3235</v>
      </c>
      <c r="D2897" s="30">
        <v>0.48700231481481482</v>
      </c>
      <c r="E2897" t="s">
        <v>309</v>
      </c>
      <c r="F2897" t="s">
        <v>299</v>
      </c>
      <c r="G2897" t="s">
        <v>299</v>
      </c>
      <c r="H2897">
        <v>15</v>
      </c>
      <c r="I2897" s="30">
        <v>3.2060185185185186E-3</v>
      </c>
      <c r="J2897">
        <v>1</v>
      </c>
    </row>
    <row r="2898" spans="1:10" x14ac:dyDescent="0.35">
      <c r="A2898" t="s">
        <v>3257</v>
      </c>
      <c r="B2898" t="s">
        <v>307</v>
      </c>
      <c r="C2898" t="s">
        <v>3235</v>
      </c>
      <c r="D2898" s="30">
        <v>0.49599537037037039</v>
      </c>
      <c r="E2898" t="s">
        <v>317</v>
      </c>
      <c r="F2898" t="s">
        <v>299</v>
      </c>
      <c r="G2898" t="s">
        <v>299</v>
      </c>
      <c r="H2898">
        <v>20</v>
      </c>
      <c r="I2898" s="30">
        <v>2.488425925925926E-3</v>
      </c>
      <c r="J2898">
        <v>3</v>
      </c>
    </row>
    <row r="2899" spans="1:10" x14ac:dyDescent="0.35">
      <c r="A2899" t="s">
        <v>3258</v>
      </c>
      <c r="B2899" t="s">
        <v>332</v>
      </c>
      <c r="C2899" t="s">
        <v>3235</v>
      </c>
      <c r="D2899" s="30">
        <v>0.49599537037037039</v>
      </c>
      <c r="E2899" t="s">
        <v>317</v>
      </c>
      <c r="F2899" t="s">
        <v>299</v>
      </c>
      <c r="G2899" t="s">
        <v>299</v>
      </c>
      <c r="H2899">
        <v>36</v>
      </c>
      <c r="I2899" s="30">
        <v>2.9629629629629628E-3</v>
      </c>
      <c r="J2899">
        <v>2</v>
      </c>
    </row>
    <row r="2900" spans="1:10" x14ac:dyDescent="0.35">
      <c r="A2900" t="s">
        <v>3259</v>
      </c>
      <c r="B2900" t="s">
        <v>296</v>
      </c>
      <c r="C2900" t="s">
        <v>3235</v>
      </c>
      <c r="D2900" s="30">
        <v>0.50200231481481483</v>
      </c>
      <c r="E2900" t="s">
        <v>302</v>
      </c>
      <c r="F2900" t="s">
        <v>299</v>
      </c>
      <c r="G2900" t="s">
        <v>299</v>
      </c>
      <c r="H2900">
        <v>63</v>
      </c>
      <c r="I2900" s="30">
        <v>3.3217592592592591E-3</v>
      </c>
      <c r="J2900">
        <v>1</v>
      </c>
    </row>
    <row r="2901" spans="1:10" x14ac:dyDescent="0.35">
      <c r="A2901" t="s">
        <v>3260</v>
      </c>
      <c r="B2901" t="s">
        <v>301</v>
      </c>
      <c r="C2901" t="s">
        <v>3235</v>
      </c>
      <c r="D2901" s="30">
        <v>0.50200231481481483</v>
      </c>
      <c r="E2901" t="s">
        <v>309</v>
      </c>
      <c r="F2901" t="s">
        <v>299</v>
      </c>
      <c r="G2901" t="s">
        <v>299</v>
      </c>
      <c r="H2901">
        <v>20</v>
      </c>
      <c r="I2901" s="30">
        <v>4.4212962962962964E-3</v>
      </c>
      <c r="J2901">
        <v>3</v>
      </c>
    </row>
    <row r="2902" spans="1:10" x14ac:dyDescent="0.35">
      <c r="A2902" t="s">
        <v>3261</v>
      </c>
      <c r="B2902" t="s">
        <v>332</v>
      </c>
      <c r="C2902" t="s">
        <v>3235</v>
      </c>
      <c r="D2902" s="30">
        <v>0.50700231481481484</v>
      </c>
      <c r="E2902" t="s">
        <v>298</v>
      </c>
      <c r="F2902" t="s">
        <v>299</v>
      </c>
      <c r="G2902" t="s">
        <v>303</v>
      </c>
      <c r="H2902">
        <v>115</v>
      </c>
      <c r="I2902" s="30">
        <v>3.8773148148148148E-3</v>
      </c>
      <c r="J2902">
        <v>4</v>
      </c>
    </row>
    <row r="2903" spans="1:10" x14ac:dyDescent="0.35">
      <c r="A2903" t="s">
        <v>3262</v>
      </c>
      <c r="B2903" t="s">
        <v>319</v>
      </c>
      <c r="C2903" t="s">
        <v>3235</v>
      </c>
      <c r="D2903" s="30">
        <v>0.50700231481481484</v>
      </c>
      <c r="E2903" t="s">
        <v>298</v>
      </c>
      <c r="F2903" t="s">
        <v>303</v>
      </c>
      <c r="G2903" t="s">
        <v>303</v>
      </c>
    </row>
    <row r="2904" spans="1:10" x14ac:dyDescent="0.35">
      <c r="A2904" t="s">
        <v>3263</v>
      </c>
      <c r="B2904" t="s">
        <v>332</v>
      </c>
      <c r="C2904" t="s">
        <v>3235</v>
      </c>
      <c r="D2904" s="30">
        <v>0.51799768518518519</v>
      </c>
      <c r="E2904" t="s">
        <v>302</v>
      </c>
      <c r="F2904" t="s">
        <v>299</v>
      </c>
      <c r="G2904" t="s">
        <v>299</v>
      </c>
      <c r="H2904">
        <v>95</v>
      </c>
      <c r="I2904" s="30">
        <v>3.449074074074074E-3</v>
      </c>
      <c r="J2904">
        <v>3</v>
      </c>
    </row>
    <row r="2905" spans="1:10" x14ac:dyDescent="0.35">
      <c r="A2905" t="s">
        <v>3264</v>
      </c>
      <c r="B2905" t="s">
        <v>301</v>
      </c>
      <c r="C2905" t="s">
        <v>3235</v>
      </c>
      <c r="D2905" s="30">
        <v>0.51799768518518519</v>
      </c>
      <c r="E2905" t="s">
        <v>309</v>
      </c>
      <c r="F2905" t="s">
        <v>299</v>
      </c>
      <c r="G2905" t="s">
        <v>299</v>
      </c>
      <c r="H2905">
        <v>114</v>
      </c>
      <c r="I2905" s="30">
        <v>2.1643518518518518E-3</v>
      </c>
      <c r="J2905">
        <v>4</v>
      </c>
    </row>
    <row r="2906" spans="1:10" x14ac:dyDescent="0.35">
      <c r="A2906" t="s">
        <v>3265</v>
      </c>
      <c r="B2906" t="s">
        <v>323</v>
      </c>
      <c r="C2906" t="s">
        <v>3235</v>
      </c>
      <c r="D2906" s="30">
        <v>0.53200231481481486</v>
      </c>
      <c r="E2906" t="s">
        <v>298</v>
      </c>
      <c r="F2906" t="s">
        <v>299</v>
      </c>
      <c r="G2906" t="s">
        <v>299</v>
      </c>
      <c r="H2906">
        <v>71</v>
      </c>
      <c r="I2906" s="30">
        <v>1.4004629629629629E-3</v>
      </c>
      <c r="J2906">
        <v>4</v>
      </c>
    </row>
    <row r="2907" spans="1:10" x14ac:dyDescent="0.35">
      <c r="A2907" t="s">
        <v>3266</v>
      </c>
      <c r="B2907" t="s">
        <v>305</v>
      </c>
      <c r="C2907" t="s">
        <v>3235</v>
      </c>
      <c r="D2907" s="30">
        <v>0.53200231481481486</v>
      </c>
      <c r="E2907" t="s">
        <v>309</v>
      </c>
      <c r="F2907" t="s">
        <v>299</v>
      </c>
      <c r="G2907" t="s">
        <v>299</v>
      </c>
      <c r="H2907">
        <v>44</v>
      </c>
      <c r="I2907" s="30">
        <v>4.1898148148148146E-3</v>
      </c>
      <c r="J2907">
        <v>1</v>
      </c>
    </row>
    <row r="2908" spans="1:10" x14ac:dyDescent="0.35">
      <c r="A2908" t="s">
        <v>3267</v>
      </c>
      <c r="B2908" t="s">
        <v>307</v>
      </c>
      <c r="C2908" t="s">
        <v>3235</v>
      </c>
      <c r="D2908" s="30">
        <v>0.53599537037037037</v>
      </c>
      <c r="E2908" t="s">
        <v>302</v>
      </c>
      <c r="F2908" t="s">
        <v>303</v>
      </c>
      <c r="G2908" t="s">
        <v>303</v>
      </c>
    </row>
    <row r="2909" spans="1:10" x14ac:dyDescent="0.35">
      <c r="A2909" t="s">
        <v>3268</v>
      </c>
      <c r="B2909" t="s">
        <v>301</v>
      </c>
      <c r="C2909" t="s">
        <v>3235</v>
      </c>
      <c r="D2909" s="30">
        <v>0.53599537037037037</v>
      </c>
      <c r="E2909" t="s">
        <v>302</v>
      </c>
      <c r="F2909" t="s">
        <v>303</v>
      </c>
      <c r="G2909" t="s">
        <v>303</v>
      </c>
    </row>
    <row r="2910" spans="1:10" x14ac:dyDescent="0.35">
      <c r="A2910" t="s">
        <v>3269</v>
      </c>
      <c r="B2910" t="s">
        <v>305</v>
      </c>
      <c r="C2910" t="s">
        <v>3235</v>
      </c>
      <c r="D2910" s="30">
        <v>0.5659953703703704</v>
      </c>
      <c r="E2910" t="s">
        <v>309</v>
      </c>
      <c r="F2910" t="s">
        <v>299</v>
      </c>
      <c r="G2910" t="s">
        <v>299</v>
      </c>
      <c r="H2910">
        <v>24</v>
      </c>
      <c r="I2910" s="30">
        <v>1.3194444444444445E-3</v>
      </c>
      <c r="J2910">
        <v>3</v>
      </c>
    </row>
    <row r="2911" spans="1:10" x14ac:dyDescent="0.35">
      <c r="A2911" t="s">
        <v>3270</v>
      </c>
      <c r="B2911" t="s">
        <v>307</v>
      </c>
      <c r="C2911" t="s">
        <v>3235</v>
      </c>
      <c r="D2911" s="30">
        <v>0.5659953703703704</v>
      </c>
      <c r="E2911" t="s">
        <v>317</v>
      </c>
      <c r="F2911" t="s">
        <v>303</v>
      </c>
      <c r="G2911" t="s">
        <v>303</v>
      </c>
    </row>
    <row r="2912" spans="1:10" x14ac:dyDescent="0.35">
      <c r="A2912" t="s">
        <v>3271</v>
      </c>
      <c r="B2912" t="s">
        <v>332</v>
      </c>
      <c r="C2912" t="s">
        <v>3235</v>
      </c>
      <c r="D2912" s="30">
        <v>0.58099537037037041</v>
      </c>
      <c r="E2912" t="s">
        <v>298</v>
      </c>
      <c r="F2912" t="s">
        <v>299</v>
      </c>
      <c r="G2912" t="s">
        <v>299</v>
      </c>
      <c r="H2912">
        <v>70</v>
      </c>
      <c r="I2912" s="30">
        <v>2.0717592592592593E-3</v>
      </c>
      <c r="J2912">
        <v>3</v>
      </c>
    </row>
    <row r="2913" spans="1:10" x14ac:dyDescent="0.35">
      <c r="A2913" t="s">
        <v>3272</v>
      </c>
      <c r="B2913" t="s">
        <v>316</v>
      </c>
      <c r="C2913" t="s">
        <v>3235</v>
      </c>
      <c r="D2913" s="30">
        <v>0.58099537037037041</v>
      </c>
      <c r="E2913" t="s">
        <v>317</v>
      </c>
      <c r="F2913" t="s">
        <v>303</v>
      </c>
      <c r="G2913" t="s">
        <v>303</v>
      </c>
    </row>
    <row r="2914" spans="1:10" x14ac:dyDescent="0.35">
      <c r="A2914" t="s">
        <v>3273</v>
      </c>
      <c r="B2914" t="s">
        <v>332</v>
      </c>
      <c r="C2914" t="s">
        <v>3235</v>
      </c>
      <c r="D2914" s="30">
        <v>0.59299768518518514</v>
      </c>
      <c r="E2914" t="s">
        <v>314</v>
      </c>
      <c r="F2914" t="s">
        <v>299</v>
      </c>
      <c r="G2914" t="s">
        <v>299</v>
      </c>
      <c r="H2914">
        <v>33</v>
      </c>
      <c r="I2914" s="30">
        <v>4.6296296296296298E-4</v>
      </c>
      <c r="J2914">
        <v>1</v>
      </c>
    </row>
    <row r="2915" spans="1:10" x14ac:dyDescent="0.35">
      <c r="A2915" t="s">
        <v>3274</v>
      </c>
      <c r="B2915" t="s">
        <v>296</v>
      </c>
      <c r="C2915" t="s">
        <v>3235</v>
      </c>
      <c r="D2915" s="30">
        <v>0.59299768518518514</v>
      </c>
      <c r="E2915" t="s">
        <v>298</v>
      </c>
      <c r="F2915" t="s">
        <v>303</v>
      </c>
      <c r="G2915" t="s">
        <v>303</v>
      </c>
    </row>
    <row r="2916" spans="1:10" x14ac:dyDescent="0.35">
      <c r="A2916" t="s">
        <v>3275</v>
      </c>
      <c r="B2916" t="s">
        <v>307</v>
      </c>
      <c r="C2916" t="s">
        <v>3235</v>
      </c>
      <c r="D2916" s="30">
        <v>0.60299768518518515</v>
      </c>
      <c r="E2916" t="s">
        <v>314</v>
      </c>
      <c r="F2916" t="s">
        <v>299</v>
      </c>
      <c r="G2916" t="s">
        <v>303</v>
      </c>
      <c r="H2916">
        <v>15</v>
      </c>
      <c r="I2916" s="30">
        <v>3.8425925925925928E-3</v>
      </c>
      <c r="J2916">
        <v>1</v>
      </c>
    </row>
    <row r="2917" spans="1:10" x14ac:dyDescent="0.35">
      <c r="A2917" t="s">
        <v>3276</v>
      </c>
      <c r="B2917" t="s">
        <v>319</v>
      </c>
      <c r="C2917" t="s">
        <v>3235</v>
      </c>
      <c r="D2917" s="30">
        <v>0.60299768518518515</v>
      </c>
      <c r="E2917" t="s">
        <v>317</v>
      </c>
      <c r="F2917" t="s">
        <v>299</v>
      </c>
      <c r="G2917" t="s">
        <v>299</v>
      </c>
      <c r="H2917">
        <v>103</v>
      </c>
      <c r="I2917" s="30">
        <v>3.425925925925926E-3</v>
      </c>
      <c r="J2917">
        <v>4</v>
      </c>
    </row>
    <row r="2918" spans="1:10" x14ac:dyDescent="0.35">
      <c r="A2918" t="s">
        <v>3277</v>
      </c>
      <c r="B2918" t="s">
        <v>323</v>
      </c>
      <c r="C2918" t="s">
        <v>3235</v>
      </c>
      <c r="D2918" s="30">
        <v>0.63</v>
      </c>
      <c r="E2918" t="s">
        <v>298</v>
      </c>
      <c r="F2918" t="s">
        <v>299</v>
      </c>
      <c r="G2918" t="s">
        <v>299</v>
      </c>
      <c r="H2918">
        <v>61</v>
      </c>
      <c r="I2918" s="30">
        <v>4.0509259259259257E-3</v>
      </c>
      <c r="J2918">
        <v>5</v>
      </c>
    </row>
    <row r="2919" spans="1:10" x14ac:dyDescent="0.35">
      <c r="A2919" t="s">
        <v>3278</v>
      </c>
      <c r="B2919" t="s">
        <v>307</v>
      </c>
      <c r="C2919" t="s">
        <v>3235</v>
      </c>
      <c r="D2919" s="30">
        <v>0.63</v>
      </c>
      <c r="E2919" t="s">
        <v>314</v>
      </c>
      <c r="F2919" t="s">
        <v>303</v>
      </c>
      <c r="G2919" t="s">
        <v>303</v>
      </c>
    </row>
    <row r="2920" spans="1:10" x14ac:dyDescent="0.35">
      <c r="A2920" t="s">
        <v>3279</v>
      </c>
      <c r="B2920" t="s">
        <v>307</v>
      </c>
      <c r="C2920" t="s">
        <v>3235</v>
      </c>
      <c r="D2920" s="30">
        <v>0.63299768518518518</v>
      </c>
      <c r="E2920" t="s">
        <v>298</v>
      </c>
      <c r="F2920" t="s">
        <v>299</v>
      </c>
      <c r="G2920" t="s">
        <v>299</v>
      </c>
      <c r="H2920">
        <v>32</v>
      </c>
      <c r="I2920" s="30">
        <v>9.837962962962962E-4</v>
      </c>
      <c r="J2920">
        <v>4</v>
      </c>
    </row>
    <row r="2921" spans="1:10" x14ac:dyDescent="0.35">
      <c r="A2921" t="s">
        <v>3280</v>
      </c>
      <c r="B2921" t="s">
        <v>332</v>
      </c>
      <c r="C2921" t="s">
        <v>3235</v>
      </c>
      <c r="D2921" s="30">
        <v>0.63299768518518518</v>
      </c>
      <c r="E2921" t="s">
        <v>314</v>
      </c>
      <c r="F2921" t="s">
        <v>299</v>
      </c>
      <c r="G2921" t="s">
        <v>299</v>
      </c>
      <c r="H2921">
        <v>33</v>
      </c>
      <c r="I2921" s="30">
        <v>1.1805555555555556E-3</v>
      </c>
      <c r="J2921">
        <v>4</v>
      </c>
    </row>
    <row r="2922" spans="1:10" x14ac:dyDescent="0.35">
      <c r="A2922" t="s">
        <v>3281</v>
      </c>
      <c r="B2922" t="s">
        <v>301</v>
      </c>
      <c r="C2922" t="s">
        <v>3235</v>
      </c>
      <c r="D2922" s="30">
        <v>0.63400462962962967</v>
      </c>
      <c r="E2922" t="s">
        <v>309</v>
      </c>
      <c r="F2922" t="s">
        <v>299</v>
      </c>
      <c r="G2922" t="s">
        <v>299</v>
      </c>
      <c r="H2922">
        <v>30</v>
      </c>
      <c r="I2922" s="30">
        <v>4.0509259259259257E-3</v>
      </c>
      <c r="J2922">
        <v>3</v>
      </c>
    </row>
    <row r="2923" spans="1:10" x14ac:dyDescent="0.35">
      <c r="A2923" t="s">
        <v>3282</v>
      </c>
      <c r="B2923" t="s">
        <v>305</v>
      </c>
      <c r="C2923" t="s">
        <v>3235</v>
      </c>
      <c r="D2923" s="30">
        <v>0.63400462962962967</v>
      </c>
      <c r="E2923" t="s">
        <v>317</v>
      </c>
      <c r="F2923" t="s">
        <v>299</v>
      </c>
      <c r="G2923" t="s">
        <v>299</v>
      </c>
      <c r="H2923">
        <v>36</v>
      </c>
      <c r="I2923" s="30">
        <v>3.7731481481481483E-3</v>
      </c>
      <c r="J2923">
        <v>4</v>
      </c>
    </row>
    <row r="2924" spans="1:10" x14ac:dyDescent="0.35">
      <c r="A2924" t="s">
        <v>3283</v>
      </c>
      <c r="B2924" t="s">
        <v>332</v>
      </c>
      <c r="C2924" t="s">
        <v>3235</v>
      </c>
      <c r="D2924" s="30">
        <v>0.64</v>
      </c>
      <c r="E2924" t="s">
        <v>302</v>
      </c>
      <c r="F2924" t="s">
        <v>299</v>
      </c>
      <c r="G2924" t="s">
        <v>299</v>
      </c>
      <c r="H2924">
        <v>16</v>
      </c>
      <c r="I2924" s="30">
        <v>3.0092592592592593E-3</v>
      </c>
      <c r="J2924">
        <v>4</v>
      </c>
    </row>
    <row r="2925" spans="1:10" x14ac:dyDescent="0.35">
      <c r="A2925" t="s">
        <v>3284</v>
      </c>
      <c r="B2925" t="s">
        <v>305</v>
      </c>
      <c r="C2925" t="s">
        <v>3235</v>
      </c>
      <c r="D2925" s="30">
        <v>0.64</v>
      </c>
      <c r="E2925" t="s">
        <v>302</v>
      </c>
      <c r="F2925" t="s">
        <v>299</v>
      </c>
      <c r="G2925" t="s">
        <v>299</v>
      </c>
      <c r="H2925">
        <v>60</v>
      </c>
      <c r="I2925" s="30">
        <v>3.0902777777777777E-3</v>
      </c>
      <c r="J2925">
        <v>3</v>
      </c>
    </row>
    <row r="2926" spans="1:10" x14ac:dyDescent="0.35">
      <c r="A2926" t="s">
        <v>3285</v>
      </c>
      <c r="B2926" t="s">
        <v>305</v>
      </c>
      <c r="C2926" t="s">
        <v>3235</v>
      </c>
      <c r="D2926" s="30">
        <v>0.66200231481481486</v>
      </c>
      <c r="E2926" t="s">
        <v>302</v>
      </c>
      <c r="F2926" t="s">
        <v>303</v>
      </c>
      <c r="G2926" t="s">
        <v>303</v>
      </c>
    </row>
    <row r="2927" spans="1:10" x14ac:dyDescent="0.35">
      <c r="A2927" t="s">
        <v>3286</v>
      </c>
      <c r="B2927" t="s">
        <v>305</v>
      </c>
      <c r="C2927" t="s">
        <v>3235</v>
      </c>
      <c r="D2927" s="30">
        <v>0.66200231481481486</v>
      </c>
      <c r="E2927" t="s">
        <v>298</v>
      </c>
      <c r="F2927" t="s">
        <v>299</v>
      </c>
      <c r="G2927" t="s">
        <v>299</v>
      </c>
      <c r="H2927">
        <v>42</v>
      </c>
      <c r="I2927" s="30">
        <v>3.425925925925926E-3</v>
      </c>
      <c r="J2927">
        <v>4</v>
      </c>
    </row>
    <row r="2928" spans="1:10" x14ac:dyDescent="0.35">
      <c r="A2928" t="s">
        <v>3287</v>
      </c>
      <c r="B2928" t="s">
        <v>332</v>
      </c>
      <c r="C2928" t="s">
        <v>3235</v>
      </c>
      <c r="D2928" s="30">
        <v>0.66700231481481487</v>
      </c>
      <c r="E2928" t="s">
        <v>298</v>
      </c>
      <c r="F2928" t="s">
        <v>299</v>
      </c>
      <c r="G2928" t="s">
        <v>299</v>
      </c>
      <c r="H2928">
        <v>58</v>
      </c>
      <c r="I2928" s="30">
        <v>3.9467592592592592E-3</v>
      </c>
      <c r="J2928">
        <v>1</v>
      </c>
    </row>
    <row r="2929" spans="1:10" x14ac:dyDescent="0.35">
      <c r="A2929" t="s">
        <v>3288</v>
      </c>
      <c r="B2929" t="s">
        <v>307</v>
      </c>
      <c r="C2929" t="s">
        <v>3235</v>
      </c>
      <c r="D2929" s="30">
        <v>0.66700231481481487</v>
      </c>
      <c r="E2929" t="s">
        <v>309</v>
      </c>
      <c r="F2929" t="s">
        <v>299</v>
      </c>
      <c r="G2929" t="s">
        <v>303</v>
      </c>
      <c r="H2929">
        <v>44</v>
      </c>
      <c r="I2929" s="30">
        <v>1.5972222222222223E-3</v>
      </c>
      <c r="J2929">
        <v>1</v>
      </c>
    </row>
    <row r="2930" spans="1:10" x14ac:dyDescent="0.35">
      <c r="A2930" t="s">
        <v>3289</v>
      </c>
      <c r="B2930" t="s">
        <v>323</v>
      </c>
      <c r="C2930" t="s">
        <v>3235</v>
      </c>
      <c r="D2930" s="30">
        <v>0.67400462962962959</v>
      </c>
      <c r="E2930" t="s">
        <v>317</v>
      </c>
      <c r="F2930" t="s">
        <v>299</v>
      </c>
      <c r="G2930" t="s">
        <v>303</v>
      </c>
      <c r="H2930">
        <v>72</v>
      </c>
      <c r="I2930" s="30">
        <v>1.7708333333333332E-3</v>
      </c>
      <c r="J2930">
        <v>1</v>
      </c>
    </row>
    <row r="2931" spans="1:10" x14ac:dyDescent="0.35">
      <c r="A2931" t="s">
        <v>3290</v>
      </c>
      <c r="B2931" t="s">
        <v>305</v>
      </c>
      <c r="C2931" t="s">
        <v>3235</v>
      </c>
      <c r="D2931" s="30">
        <v>0.67400462962962959</v>
      </c>
      <c r="E2931" t="s">
        <v>317</v>
      </c>
      <c r="F2931" t="s">
        <v>299</v>
      </c>
      <c r="G2931" t="s">
        <v>299</v>
      </c>
      <c r="H2931">
        <v>13</v>
      </c>
      <c r="I2931" s="30">
        <v>2.7430555555555554E-3</v>
      </c>
      <c r="J2931">
        <v>4</v>
      </c>
    </row>
    <row r="2932" spans="1:10" x14ac:dyDescent="0.35">
      <c r="A2932" t="s">
        <v>3291</v>
      </c>
      <c r="B2932" t="s">
        <v>316</v>
      </c>
      <c r="C2932" t="s">
        <v>3235</v>
      </c>
      <c r="D2932" s="30">
        <v>0.67700231481481477</v>
      </c>
      <c r="E2932" t="s">
        <v>317</v>
      </c>
      <c r="F2932" t="s">
        <v>299</v>
      </c>
      <c r="G2932" t="s">
        <v>299</v>
      </c>
      <c r="H2932">
        <v>113</v>
      </c>
      <c r="I2932" s="30">
        <v>2.4421296296296296E-3</v>
      </c>
      <c r="J2932">
        <v>4</v>
      </c>
    </row>
    <row r="2933" spans="1:10" x14ac:dyDescent="0.35">
      <c r="A2933" t="s">
        <v>3292</v>
      </c>
      <c r="B2933" t="s">
        <v>319</v>
      </c>
      <c r="C2933" t="s">
        <v>3235</v>
      </c>
      <c r="D2933" s="30">
        <v>0.67700231481481477</v>
      </c>
      <c r="E2933" t="s">
        <v>317</v>
      </c>
      <c r="F2933" t="s">
        <v>303</v>
      </c>
      <c r="G2933" t="s">
        <v>303</v>
      </c>
    </row>
    <row r="2934" spans="1:10" x14ac:dyDescent="0.35">
      <c r="A2934" t="s">
        <v>3293</v>
      </c>
      <c r="B2934" t="s">
        <v>307</v>
      </c>
      <c r="C2934" t="s">
        <v>3235</v>
      </c>
      <c r="D2934" s="30">
        <v>0.67799768518518522</v>
      </c>
      <c r="E2934" t="s">
        <v>298</v>
      </c>
      <c r="F2934" t="s">
        <v>299</v>
      </c>
      <c r="G2934" t="s">
        <v>299</v>
      </c>
      <c r="H2934">
        <v>51</v>
      </c>
      <c r="I2934" s="30">
        <v>4.5138888888888885E-3</v>
      </c>
      <c r="J2934">
        <v>4</v>
      </c>
    </row>
    <row r="2935" spans="1:10" x14ac:dyDescent="0.35">
      <c r="A2935" t="s">
        <v>3294</v>
      </c>
      <c r="B2935" t="s">
        <v>307</v>
      </c>
      <c r="C2935" t="s">
        <v>3235</v>
      </c>
      <c r="D2935" s="30">
        <v>0.67799768518518522</v>
      </c>
      <c r="E2935" t="s">
        <v>298</v>
      </c>
      <c r="F2935" t="s">
        <v>299</v>
      </c>
      <c r="G2935" t="s">
        <v>303</v>
      </c>
      <c r="H2935">
        <v>85</v>
      </c>
      <c r="I2935" s="30">
        <v>3.6342592592592594E-3</v>
      </c>
      <c r="J2935">
        <v>1</v>
      </c>
    </row>
    <row r="2936" spans="1:10" x14ac:dyDescent="0.35">
      <c r="A2936" t="s">
        <v>3295</v>
      </c>
      <c r="B2936" t="s">
        <v>305</v>
      </c>
      <c r="C2936" t="s">
        <v>3235</v>
      </c>
      <c r="D2936" s="30">
        <v>0.68900462962962961</v>
      </c>
      <c r="E2936" t="s">
        <v>309</v>
      </c>
      <c r="F2936" t="s">
        <v>299</v>
      </c>
      <c r="G2936" t="s">
        <v>303</v>
      </c>
      <c r="H2936">
        <v>27</v>
      </c>
      <c r="I2936" s="30">
        <v>4.4444444444444444E-3</v>
      </c>
      <c r="J2936">
        <v>4</v>
      </c>
    </row>
    <row r="2937" spans="1:10" x14ac:dyDescent="0.35">
      <c r="A2937" t="s">
        <v>3296</v>
      </c>
      <c r="B2937" t="s">
        <v>332</v>
      </c>
      <c r="C2937" t="s">
        <v>3235</v>
      </c>
      <c r="D2937" s="30">
        <v>0.68900462962962961</v>
      </c>
      <c r="E2937" t="s">
        <v>298</v>
      </c>
      <c r="F2937" t="s">
        <v>299</v>
      </c>
      <c r="G2937" t="s">
        <v>299</v>
      </c>
      <c r="H2937">
        <v>75</v>
      </c>
      <c r="I2937" s="30">
        <v>2.3726851851851851E-3</v>
      </c>
      <c r="J2937">
        <v>3</v>
      </c>
    </row>
    <row r="2938" spans="1:10" x14ac:dyDescent="0.35">
      <c r="A2938" t="s">
        <v>3297</v>
      </c>
      <c r="B2938" t="s">
        <v>316</v>
      </c>
      <c r="C2938" t="s">
        <v>3235</v>
      </c>
      <c r="D2938" s="30">
        <v>0.70299768518518524</v>
      </c>
      <c r="E2938" t="s">
        <v>298</v>
      </c>
      <c r="F2938" t="s">
        <v>299</v>
      </c>
      <c r="G2938" t="s">
        <v>299</v>
      </c>
      <c r="H2938">
        <v>63</v>
      </c>
      <c r="I2938" s="30">
        <v>3.8541666666666668E-3</v>
      </c>
      <c r="J2938">
        <v>2</v>
      </c>
    </row>
    <row r="2939" spans="1:10" x14ac:dyDescent="0.35">
      <c r="A2939" t="s">
        <v>3298</v>
      </c>
      <c r="B2939" t="s">
        <v>332</v>
      </c>
      <c r="C2939" t="s">
        <v>3235</v>
      </c>
      <c r="D2939" s="30">
        <v>0.70299768518518524</v>
      </c>
      <c r="E2939" t="s">
        <v>314</v>
      </c>
      <c r="F2939" t="s">
        <v>303</v>
      </c>
      <c r="G2939" t="s">
        <v>303</v>
      </c>
    </row>
    <row r="2940" spans="1:10" x14ac:dyDescent="0.35">
      <c r="A2940" t="s">
        <v>3299</v>
      </c>
      <c r="B2940" t="s">
        <v>296</v>
      </c>
      <c r="C2940" t="s">
        <v>3235</v>
      </c>
      <c r="D2940" s="30">
        <v>0.72599537037037032</v>
      </c>
      <c r="E2940" t="s">
        <v>309</v>
      </c>
      <c r="F2940" t="s">
        <v>299</v>
      </c>
      <c r="G2940" t="s">
        <v>299</v>
      </c>
      <c r="H2940">
        <v>22</v>
      </c>
      <c r="I2940" s="30">
        <v>5.9027777777777778E-4</v>
      </c>
      <c r="J2940">
        <v>3</v>
      </c>
    </row>
    <row r="2941" spans="1:10" x14ac:dyDescent="0.35">
      <c r="A2941" t="s">
        <v>3300</v>
      </c>
      <c r="B2941" t="s">
        <v>301</v>
      </c>
      <c r="C2941" t="s">
        <v>3235</v>
      </c>
      <c r="D2941" s="30">
        <v>0.72599537037037032</v>
      </c>
      <c r="E2941" t="s">
        <v>298</v>
      </c>
      <c r="F2941" t="s">
        <v>303</v>
      </c>
      <c r="G2941" t="s">
        <v>303</v>
      </c>
    </row>
    <row r="2942" spans="1:10" x14ac:dyDescent="0.35">
      <c r="A2942" t="s">
        <v>3301</v>
      </c>
      <c r="B2942" t="s">
        <v>305</v>
      </c>
      <c r="C2942" t="s">
        <v>3235</v>
      </c>
      <c r="D2942" s="30">
        <v>0.74799768518518517</v>
      </c>
      <c r="E2942" t="s">
        <v>314</v>
      </c>
      <c r="F2942" t="s">
        <v>299</v>
      </c>
      <c r="G2942" t="s">
        <v>303</v>
      </c>
      <c r="H2942">
        <v>106</v>
      </c>
      <c r="I2942" s="30">
        <v>2.6041666666666665E-3</v>
      </c>
      <c r="J2942">
        <v>3</v>
      </c>
    </row>
    <row r="2943" spans="1:10" x14ac:dyDescent="0.35">
      <c r="A2943" t="s">
        <v>3302</v>
      </c>
      <c r="B2943" t="s">
        <v>307</v>
      </c>
      <c r="C2943" t="s">
        <v>3235</v>
      </c>
      <c r="D2943" s="30">
        <v>0.74799768518518517</v>
      </c>
      <c r="E2943" t="s">
        <v>317</v>
      </c>
      <c r="F2943" t="s">
        <v>299</v>
      </c>
      <c r="G2943" t="s">
        <v>299</v>
      </c>
      <c r="H2943">
        <v>86</v>
      </c>
      <c r="I2943" s="30">
        <v>1.8518518518518519E-3</v>
      </c>
      <c r="J2943">
        <v>4</v>
      </c>
    </row>
    <row r="2944" spans="1:10" x14ac:dyDescent="0.35">
      <c r="A2944" t="s">
        <v>3303</v>
      </c>
      <c r="B2944" t="s">
        <v>305</v>
      </c>
      <c r="C2944" t="s">
        <v>3304</v>
      </c>
      <c r="D2944" s="30">
        <v>0.41499999999999998</v>
      </c>
      <c r="E2944" t="s">
        <v>298</v>
      </c>
      <c r="F2944" t="s">
        <v>299</v>
      </c>
      <c r="G2944" t="s">
        <v>299</v>
      </c>
      <c r="H2944">
        <v>55</v>
      </c>
      <c r="I2944" s="30">
        <v>4.2129629629629626E-3</v>
      </c>
      <c r="J2944">
        <v>3</v>
      </c>
    </row>
    <row r="2945" spans="1:10" x14ac:dyDescent="0.35">
      <c r="A2945" t="s">
        <v>3305</v>
      </c>
      <c r="B2945" t="s">
        <v>323</v>
      </c>
      <c r="C2945" t="s">
        <v>3304</v>
      </c>
      <c r="D2945" s="30">
        <v>0.41499999999999998</v>
      </c>
      <c r="E2945" t="s">
        <v>314</v>
      </c>
      <c r="F2945" t="s">
        <v>299</v>
      </c>
      <c r="G2945" t="s">
        <v>299</v>
      </c>
      <c r="H2945">
        <v>74</v>
      </c>
      <c r="I2945" s="30">
        <v>4.6990740740740743E-3</v>
      </c>
      <c r="J2945">
        <v>2</v>
      </c>
    </row>
    <row r="2946" spans="1:10" x14ac:dyDescent="0.35">
      <c r="A2946" t="s">
        <v>3306</v>
      </c>
      <c r="B2946" t="s">
        <v>305</v>
      </c>
      <c r="C2946" t="s">
        <v>3304</v>
      </c>
      <c r="D2946" s="30">
        <v>0.42499999999999999</v>
      </c>
      <c r="E2946" t="s">
        <v>314</v>
      </c>
      <c r="F2946" t="s">
        <v>299</v>
      </c>
      <c r="G2946" t="s">
        <v>299</v>
      </c>
      <c r="H2946">
        <v>53</v>
      </c>
      <c r="I2946" s="30">
        <v>4.3981481481481484E-3</v>
      </c>
      <c r="J2946">
        <v>5</v>
      </c>
    </row>
    <row r="2947" spans="1:10" x14ac:dyDescent="0.35">
      <c r="A2947" t="s">
        <v>3307</v>
      </c>
      <c r="B2947" t="s">
        <v>319</v>
      </c>
      <c r="C2947" t="s">
        <v>3304</v>
      </c>
      <c r="D2947" s="30">
        <v>0.42499999999999999</v>
      </c>
      <c r="E2947" t="s">
        <v>302</v>
      </c>
      <c r="F2947" t="s">
        <v>299</v>
      </c>
      <c r="G2947" t="s">
        <v>299</v>
      </c>
      <c r="H2947">
        <v>115</v>
      </c>
      <c r="I2947" s="30">
        <v>1.4467592592592592E-3</v>
      </c>
      <c r="J2947">
        <v>3</v>
      </c>
    </row>
    <row r="2948" spans="1:10" x14ac:dyDescent="0.35">
      <c r="A2948" t="s">
        <v>3308</v>
      </c>
      <c r="B2948" t="s">
        <v>316</v>
      </c>
      <c r="C2948" t="s">
        <v>3304</v>
      </c>
      <c r="D2948" s="30">
        <v>0.43200231481481483</v>
      </c>
      <c r="E2948" t="s">
        <v>314</v>
      </c>
      <c r="F2948" t="s">
        <v>299</v>
      </c>
      <c r="G2948" t="s">
        <v>299</v>
      </c>
      <c r="H2948">
        <v>29</v>
      </c>
      <c r="I2948" s="30">
        <v>1.0416666666666667E-3</v>
      </c>
      <c r="J2948">
        <v>4</v>
      </c>
    </row>
    <row r="2949" spans="1:10" x14ac:dyDescent="0.35">
      <c r="A2949" t="s">
        <v>3309</v>
      </c>
      <c r="B2949" t="s">
        <v>319</v>
      </c>
      <c r="C2949" t="s">
        <v>3304</v>
      </c>
      <c r="D2949" s="30">
        <v>0.43200231481481483</v>
      </c>
      <c r="E2949" t="s">
        <v>309</v>
      </c>
      <c r="F2949" t="s">
        <v>299</v>
      </c>
      <c r="G2949" t="s">
        <v>299</v>
      </c>
      <c r="H2949">
        <v>16</v>
      </c>
      <c r="I2949" s="30">
        <v>1.5046296296296296E-3</v>
      </c>
      <c r="J2949">
        <v>4</v>
      </c>
    </row>
    <row r="2950" spans="1:10" x14ac:dyDescent="0.35">
      <c r="A2950" t="s">
        <v>3310</v>
      </c>
      <c r="B2950" t="s">
        <v>323</v>
      </c>
      <c r="C2950" t="s">
        <v>3304</v>
      </c>
      <c r="D2950" s="30">
        <v>0.46299768518518519</v>
      </c>
      <c r="E2950" t="s">
        <v>302</v>
      </c>
      <c r="F2950" t="s">
        <v>299</v>
      </c>
      <c r="G2950" t="s">
        <v>303</v>
      </c>
      <c r="H2950">
        <v>26</v>
      </c>
      <c r="I2950" s="30">
        <v>2.6041666666666665E-3</v>
      </c>
      <c r="J2950">
        <v>3</v>
      </c>
    </row>
    <row r="2951" spans="1:10" x14ac:dyDescent="0.35">
      <c r="A2951" t="s">
        <v>3311</v>
      </c>
      <c r="B2951" t="s">
        <v>301</v>
      </c>
      <c r="C2951" t="s">
        <v>3304</v>
      </c>
      <c r="D2951" s="30">
        <v>0.46299768518518519</v>
      </c>
      <c r="E2951" t="s">
        <v>302</v>
      </c>
      <c r="F2951" t="s">
        <v>299</v>
      </c>
      <c r="G2951" t="s">
        <v>299</v>
      </c>
      <c r="H2951">
        <v>71</v>
      </c>
      <c r="I2951" s="30">
        <v>2.650462962962963E-3</v>
      </c>
      <c r="J2951">
        <v>1</v>
      </c>
    </row>
    <row r="2952" spans="1:10" x14ac:dyDescent="0.35">
      <c r="A2952" t="s">
        <v>3312</v>
      </c>
      <c r="B2952" t="s">
        <v>319</v>
      </c>
      <c r="C2952" t="s">
        <v>3304</v>
      </c>
      <c r="D2952" s="30">
        <v>0.46400462962962963</v>
      </c>
      <c r="E2952" t="s">
        <v>317</v>
      </c>
      <c r="F2952" t="s">
        <v>299</v>
      </c>
      <c r="G2952" t="s">
        <v>299</v>
      </c>
      <c r="H2952">
        <v>109</v>
      </c>
      <c r="I2952" s="30">
        <v>3.1365740740740742E-3</v>
      </c>
      <c r="J2952">
        <v>4</v>
      </c>
    </row>
    <row r="2953" spans="1:10" x14ac:dyDescent="0.35">
      <c r="A2953" t="s">
        <v>3313</v>
      </c>
      <c r="B2953" t="s">
        <v>319</v>
      </c>
      <c r="C2953" t="s">
        <v>3304</v>
      </c>
      <c r="D2953" s="30">
        <v>0.46400462962962963</v>
      </c>
      <c r="E2953" t="s">
        <v>302</v>
      </c>
      <c r="F2953" t="s">
        <v>299</v>
      </c>
      <c r="G2953" t="s">
        <v>299</v>
      </c>
      <c r="H2953">
        <v>102</v>
      </c>
      <c r="I2953" s="30">
        <v>2.662037037037037E-3</v>
      </c>
      <c r="J2953">
        <v>5</v>
      </c>
    </row>
    <row r="2954" spans="1:10" x14ac:dyDescent="0.35">
      <c r="A2954" t="s">
        <v>3314</v>
      </c>
      <c r="B2954" t="s">
        <v>319</v>
      </c>
      <c r="C2954" t="s">
        <v>3304</v>
      </c>
      <c r="D2954" s="30">
        <v>0.4670023148148148</v>
      </c>
      <c r="E2954" t="s">
        <v>309</v>
      </c>
      <c r="F2954" t="s">
        <v>299</v>
      </c>
      <c r="G2954" t="s">
        <v>299</v>
      </c>
      <c r="H2954">
        <v>115</v>
      </c>
      <c r="I2954" s="30">
        <v>4.2824074074074081E-4</v>
      </c>
      <c r="J2954">
        <v>4</v>
      </c>
    </row>
    <row r="2955" spans="1:10" x14ac:dyDescent="0.35">
      <c r="A2955" t="s">
        <v>3315</v>
      </c>
      <c r="B2955" t="s">
        <v>296</v>
      </c>
      <c r="C2955" t="s">
        <v>3304</v>
      </c>
      <c r="D2955" s="30">
        <v>0.4670023148148148</v>
      </c>
      <c r="E2955" t="s">
        <v>302</v>
      </c>
      <c r="F2955" t="s">
        <v>299</v>
      </c>
      <c r="G2955" t="s">
        <v>299</v>
      </c>
      <c r="H2955">
        <v>48</v>
      </c>
      <c r="I2955" s="30">
        <v>1.7013888888888888E-3</v>
      </c>
      <c r="J2955">
        <v>4</v>
      </c>
    </row>
    <row r="2956" spans="1:10" x14ac:dyDescent="0.35">
      <c r="A2956" t="s">
        <v>3316</v>
      </c>
      <c r="B2956" t="s">
        <v>332</v>
      </c>
      <c r="C2956" t="s">
        <v>3304</v>
      </c>
      <c r="D2956" s="30">
        <v>0.48299768518518521</v>
      </c>
      <c r="E2956" t="s">
        <v>317</v>
      </c>
      <c r="F2956" t="s">
        <v>299</v>
      </c>
      <c r="G2956" t="s">
        <v>299</v>
      </c>
      <c r="H2956">
        <v>41</v>
      </c>
      <c r="I2956" s="30">
        <v>3.0902777777777777E-3</v>
      </c>
      <c r="J2956">
        <v>5</v>
      </c>
    </row>
    <row r="2957" spans="1:10" x14ac:dyDescent="0.35">
      <c r="A2957" t="s">
        <v>3317</v>
      </c>
      <c r="B2957" t="s">
        <v>307</v>
      </c>
      <c r="C2957" t="s">
        <v>3304</v>
      </c>
      <c r="D2957" s="30">
        <v>0.48299768518518521</v>
      </c>
      <c r="E2957" t="s">
        <v>302</v>
      </c>
      <c r="F2957" t="s">
        <v>299</v>
      </c>
      <c r="G2957" t="s">
        <v>299</v>
      </c>
      <c r="H2957">
        <v>97</v>
      </c>
      <c r="I2957" s="30">
        <v>2.1990740740740742E-3</v>
      </c>
      <c r="J2957">
        <v>4</v>
      </c>
    </row>
    <row r="2958" spans="1:10" x14ac:dyDescent="0.35">
      <c r="A2958" t="s">
        <v>3318</v>
      </c>
      <c r="B2958" t="s">
        <v>323</v>
      </c>
      <c r="C2958" t="s">
        <v>3304</v>
      </c>
      <c r="D2958" s="30">
        <v>0.48799768518518516</v>
      </c>
      <c r="E2958" t="s">
        <v>309</v>
      </c>
      <c r="F2958" t="s">
        <v>299</v>
      </c>
      <c r="G2958" t="s">
        <v>303</v>
      </c>
      <c r="H2958">
        <v>39</v>
      </c>
      <c r="I2958" s="30">
        <v>2.3379629629629631E-3</v>
      </c>
      <c r="J2958">
        <v>3</v>
      </c>
    </row>
    <row r="2959" spans="1:10" x14ac:dyDescent="0.35">
      <c r="A2959" t="s">
        <v>3319</v>
      </c>
      <c r="B2959" t="s">
        <v>301</v>
      </c>
      <c r="C2959" t="s">
        <v>3304</v>
      </c>
      <c r="D2959" s="30">
        <v>0.48799768518518516</v>
      </c>
      <c r="E2959" t="s">
        <v>314</v>
      </c>
      <c r="F2959" t="s">
        <v>303</v>
      </c>
      <c r="G2959" t="s">
        <v>303</v>
      </c>
    </row>
    <row r="2960" spans="1:10" x14ac:dyDescent="0.35">
      <c r="A2960" t="s">
        <v>3320</v>
      </c>
      <c r="B2960" t="s">
        <v>316</v>
      </c>
      <c r="C2960" t="s">
        <v>3304</v>
      </c>
      <c r="D2960" s="30">
        <v>0.49599537037037039</v>
      </c>
      <c r="E2960" t="s">
        <v>309</v>
      </c>
      <c r="F2960" t="s">
        <v>299</v>
      </c>
      <c r="G2960" t="s">
        <v>299</v>
      </c>
      <c r="H2960">
        <v>73</v>
      </c>
      <c r="I2960" s="30">
        <v>8.4490740740740739E-4</v>
      </c>
      <c r="J2960">
        <v>3</v>
      </c>
    </row>
    <row r="2961" spans="1:10" x14ac:dyDescent="0.35">
      <c r="A2961" t="s">
        <v>3321</v>
      </c>
      <c r="B2961" t="s">
        <v>332</v>
      </c>
      <c r="C2961" t="s">
        <v>3304</v>
      </c>
      <c r="D2961" s="30">
        <v>0.49599537037037039</v>
      </c>
      <c r="E2961" t="s">
        <v>298</v>
      </c>
      <c r="F2961" t="s">
        <v>299</v>
      </c>
      <c r="G2961" t="s">
        <v>299</v>
      </c>
      <c r="H2961">
        <v>25</v>
      </c>
      <c r="I2961" s="30">
        <v>7.6388888888888893E-4</v>
      </c>
      <c r="J2961">
        <v>1</v>
      </c>
    </row>
    <row r="2962" spans="1:10" x14ac:dyDescent="0.35">
      <c r="A2962" t="s">
        <v>3322</v>
      </c>
      <c r="B2962" t="s">
        <v>301</v>
      </c>
      <c r="C2962" t="s">
        <v>3304</v>
      </c>
      <c r="D2962" s="30">
        <v>0.51500000000000001</v>
      </c>
      <c r="E2962" t="s">
        <v>317</v>
      </c>
      <c r="F2962" t="s">
        <v>299</v>
      </c>
      <c r="G2962" t="s">
        <v>299</v>
      </c>
      <c r="H2962">
        <v>84</v>
      </c>
      <c r="I2962" s="30">
        <v>2.650462962962963E-3</v>
      </c>
      <c r="J2962">
        <v>3</v>
      </c>
    </row>
    <row r="2963" spans="1:10" x14ac:dyDescent="0.35">
      <c r="A2963" t="s">
        <v>3323</v>
      </c>
      <c r="B2963" t="s">
        <v>301</v>
      </c>
      <c r="C2963" t="s">
        <v>3304</v>
      </c>
      <c r="D2963" s="30">
        <v>0.51500000000000001</v>
      </c>
      <c r="E2963" t="s">
        <v>302</v>
      </c>
      <c r="F2963" t="s">
        <v>299</v>
      </c>
      <c r="G2963" t="s">
        <v>299</v>
      </c>
      <c r="H2963">
        <v>99</v>
      </c>
      <c r="I2963" s="30">
        <v>1.7939814814814815E-3</v>
      </c>
      <c r="J2963">
        <v>5</v>
      </c>
    </row>
    <row r="2964" spans="1:10" x14ac:dyDescent="0.35">
      <c r="A2964" t="s">
        <v>3324</v>
      </c>
      <c r="B2964" t="s">
        <v>316</v>
      </c>
      <c r="C2964" t="s">
        <v>3304</v>
      </c>
      <c r="D2964" s="30">
        <v>0.51799768518518519</v>
      </c>
      <c r="E2964" t="s">
        <v>317</v>
      </c>
      <c r="F2964" t="s">
        <v>299</v>
      </c>
      <c r="G2964" t="s">
        <v>299</v>
      </c>
      <c r="H2964">
        <v>108</v>
      </c>
      <c r="I2964" s="30">
        <v>3.7962962962962963E-3</v>
      </c>
      <c r="J2964">
        <v>3</v>
      </c>
    </row>
    <row r="2965" spans="1:10" x14ac:dyDescent="0.35">
      <c r="A2965" t="s">
        <v>3325</v>
      </c>
      <c r="B2965" t="s">
        <v>307</v>
      </c>
      <c r="C2965" t="s">
        <v>3304</v>
      </c>
      <c r="D2965" s="30">
        <v>0.51799768518518519</v>
      </c>
      <c r="E2965" t="s">
        <v>309</v>
      </c>
      <c r="F2965" t="s">
        <v>299</v>
      </c>
      <c r="G2965" t="s">
        <v>299</v>
      </c>
      <c r="H2965">
        <v>80</v>
      </c>
      <c r="I2965" s="30">
        <v>1.5856481481481481E-3</v>
      </c>
      <c r="J2965">
        <v>4</v>
      </c>
    </row>
    <row r="2966" spans="1:10" x14ac:dyDescent="0.35">
      <c r="A2966" t="s">
        <v>3326</v>
      </c>
      <c r="B2966" t="s">
        <v>301</v>
      </c>
      <c r="C2966" t="s">
        <v>3304</v>
      </c>
      <c r="D2966" s="30">
        <v>0.54</v>
      </c>
      <c r="E2966" t="s">
        <v>309</v>
      </c>
      <c r="F2966" t="s">
        <v>299</v>
      </c>
      <c r="G2966" t="s">
        <v>299</v>
      </c>
      <c r="H2966">
        <v>77</v>
      </c>
      <c r="I2966" s="30">
        <v>8.6805555555555551E-4</v>
      </c>
      <c r="J2966">
        <v>4</v>
      </c>
    </row>
    <row r="2967" spans="1:10" x14ac:dyDescent="0.35">
      <c r="A2967" t="s">
        <v>3327</v>
      </c>
      <c r="B2967" t="s">
        <v>305</v>
      </c>
      <c r="C2967" t="s">
        <v>3304</v>
      </c>
      <c r="D2967" s="30">
        <v>0.54</v>
      </c>
      <c r="E2967" t="s">
        <v>314</v>
      </c>
      <c r="F2967" t="s">
        <v>299</v>
      </c>
      <c r="G2967" t="s">
        <v>299</v>
      </c>
      <c r="H2967">
        <v>14</v>
      </c>
      <c r="I2967" s="30">
        <v>1.0532407407407407E-3</v>
      </c>
      <c r="J2967">
        <v>5</v>
      </c>
    </row>
    <row r="2968" spans="1:10" x14ac:dyDescent="0.35">
      <c r="A2968" t="s">
        <v>3328</v>
      </c>
      <c r="B2968" t="s">
        <v>305</v>
      </c>
      <c r="C2968" t="s">
        <v>3304</v>
      </c>
      <c r="D2968" s="30">
        <v>0.55200231481481477</v>
      </c>
      <c r="E2968" t="s">
        <v>302</v>
      </c>
      <c r="F2968" t="s">
        <v>299</v>
      </c>
      <c r="G2968" t="s">
        <v>303</v>
      </c>
      <c r="H2968">
        <v>69</v>
      </c>
      <c r="I2968" s="30">
        <v>3.5879629629629629E-3</v>
      </c>
      <c r="J2968">
        <v>5</v>
      </c>
    </row>
    <row r="2969" spans="1:10" x14ac:dyDescent="0.35">
      <c r="A2969" t="s">
        <v>3329</v>
      </c>
      <c r="B2969" t="s">
        <v>316</v>
      </c>
      <c r="C2969" t="s">
        <v>3304</v>
      </c>
      <c r="D2969" s="30">
        <v>0.55200231481481477</v>
      </c>
      <c r="E2969" t="s">
        <v>298</v>
      </c>
      <c r="F2969" t="s">
        <v>299</v>
      </c>
      <c r="G2969" t="s">
        <v>299</v>
      </c>
      <c r="H2969">
        <v>91</v>
      </c>
      <c r="I2969" s="30">
        <v>6.134259259259259E-4</v>
      </c>
      <c r="J2969">
        <v>3</v>
      </c>
    </row>
    <row r="2970" spans="1:10" x14ac:dyDescent="0.35">
      <c r="A2970" t="s">
        <v>3330</v>
      </c>
      <c r="B2970" t="s">
        <v>307</v>
      </c>
      <c r="C2970" t="s">
        <v>3304</v>
      </c>
      <c r="D2970" s="30">
        <v>0.5659953703703704</v>
      </c>
      <c r="E2970" t="s">
        <v>309</v>
      </c>
      <c r="F2970" t="s">
        <v>303</v>
      </c>
      <c r="G2970" t="s">
        <v>303</v>
      </c>
    </row>
    <row r="2971" spans="1:10" x14ac:dyDescent="0.35">
      <c r="A2971" t="s">
        <v>3331</v>
      </c>
      <c r="B2971" t="s">
        <v>301</v>
      </c>
      <c r="C2971" t="s">
        <v>3304</v>
      </c>
      <c r="D2971" s="30">
        <v>0.5659953703703704</v>
      </c>
      <c r="E2971" t="s">
        <v>309</v>
      </c>
      <c r="F2971" t="s">
        <v>299</v>
      </c>
      <c r="G2971" t="s">
        <v>299</v>
      </c>
      <c r="H2971">
        <v>125</v>
      </c>
      <c r="I2971" s="30">
        <v>2.1875000000000002E-3</v>
      </c>
      <c r="J2971">
        <v>1</v>
      </c>
    </row>
    <row r="2972" spans="1:10" x14ac:dyDescent="0.35">
      <c r="A2972" t="s">
        <v>3332</v>
      </c>
      <c r="B2972" t="s">
        <v>301</v>
      </c>
      <c r="C2972" t="s">
        <v>3304</v>
      </c>
      <c r="D2972" s="30">
        <v>0.58099537037037041</v>
      </c>
      <c r="E2972" t="s">
        <v>317</v>
      </c>
      <c r="F2972" t="s">
        <v>299</v>
      </c>
      <c r="G2972" t="s">
        <v>299</v>
      </c>
      <c r="H2972">
        <v>25</v>
      </c>
      <c r="I2972" s="30">
        <v>4.1666666666666666E-3</v>
      </c>
      <c r="J2972">
        <v>4</v>
      </c>
    </row>
    <row r="2973" spans="1:10" x14ac:dyDescent="0.35">
      <c r="A2973" t="s">
        <v>3333</v>
      </c>
      <c r="B2973" t="s">
        <v>332</v>
      </c>
      <c r="C2973" t="s">
        <v>3304</v>
      </c>
      <c r="D2973" s="30">
        <v>0.58099537037037041</v>
      </c>
      <c r="E2973" t="s">
        <v>309</v>
      </c>
      <c r="F2973" t="s">
        <v>299</v>
      </c>
      <c r="G2973" t="s">
        <v>299</v>
      </c>
      <c r="H2973">
        <v>60</v>
      </c>
      <c r="I2973" s="30">
        <v>3.2986111111111111E-3</v>
      </c>
      <c r="J2973">
        <v>4</v>
      </c>
    </row>
    <row r="2974" spans="1:10" x14ac:dyDescent="0.35">
      <c r="A2974" t="s">
        <v>3334</v>
      </c>
      <c r="B2974" t="s">
        <v>301</v>
      </c>
      <c r="C2974" t="s">
        <v>3304</v>
      </c>
      <c r="D2974" s="30">
        <v>0.58299768518518513</v>
      </c>
      <c r="E2974" t="s">
        <v>302</v>
      </c>
      <c r="F2974" t="s">
        <v>299</v>
      </c>
      <c r="G2974" t="s">
        <v>303</v>
      </c>
      <c r="H2974">
        <v>97</v>
      </c>
      <c r="I2974" s="30">
        <v>3.2407407407407406E-3</v>
      </c>
      <c r="J2974">
        <v>3</v>
      </c>
    </row>
    <row r="2975" spans="1:10" x14ac:dyDescent="0.35">
      <c r="A2975" t="s">
        <v>3335</v>
      </c>
      <c r="B2975" t="s">
        <v>332</v>
      </c>
      <c r="C2975" t="s">
        <v>3304</v>
      </c>
      <c r="D2975" s="30">
        <v>0.58299768518518513</v>
      </c>
      <c r="E2975" t="s">
        <v>314</v>
      </c>
      <c r="F2975" t="s">
        <v>299</v>
      </c>
      <c r="G2975" t="s">
        <v>299</v>
      </c>
      <c r="H2975">
        <v>41</v>
      </c>
      <c r="I2975" s="30">
        <v>3.425925925925926E-3</v>
      </c>
      <c r="J2975">
        <v>1</v>
      </c>
    </row>
    <row r="2976" spans="1:10" x14ac:dyDescent="0.35">
      <c r="A2976" t="s">
        <v>3336</v>
      </c>
      <c r="B2976" t="s">
        <v>305</v>
      </c>
      <c r="C2976" t="s">
        <v>3304</v>
      </c>
      <c r="D2976" s="30">
        <v>0.60400462962962964</v>
      </c>
      <c r="E2976" t="s">
        <v>309</v>
      </c>
      <c r="F2976" t="s">
        <v>303</v>
      </c>
      <c r="G2976" t="s">
        <v>303</v>
      </c>
    </row>
    <row r="2977" spans="1:10" x14ac:dyDescent="0.35">
      <c r="A2977" t="s">
        <v>3337</v>
      </c>
      <c r="B2977" t="s">
        <v>307</v>
      </c>
      <c r="C2977" t="s">
        <v>3304</v>
      </c>
      <c r="D2977" s="30">
        <v>0.60400462962962964</v>
      </c>
      <c r="E2977" t="s">
        <v>317</v>
      </c>
      <c r="F2977" t="s">
        <v>299</v>
      </c>
      <c r="G2977" t="s">
        <v>299</v>
      </c>
      <c r="H2977">
        <v>47</v>
      </c>
      <c r="I2977" s="30">
        <v>4.8495370370370368E-3</v>
      </c>
      <c r="J2977">
        <v>4</v>
      </c>
    </row>
    <row r="2978" spans="1:10" x14ac:dyDescent="0.35">
      <c r="A2978" t="s">
        <v>3338</v>
      </c>
      <c r="B2978" t="s">
        <v>301</v>
      </c>
      <c r="C2978" t="s">
        <v>3304</v>
      </c>
      <c r="D2978" s="30">
        <v>0.61599537037037033</v>
      </c>
      <c r="E2978" t="s">
        <v>298</v>
      </c>
      <c r="F2978" t="s">
        <v>303</v>
      </c>
      <c r="G2978" t="s">
        <v>303</v>
      </c>
    </row>
    <row r="2979" spans="1:10" x14ac:dyDescent="0.35">
      <c r="A2979" t="s">
        <v>3339</v>
      </c>
      <c r="B2979" t="s">
        <v>316</v>
      </c>
      <c r="C2979" t="s">
        <v>3304</v>
      </c>
      <c r="D2979" s="30">
        <v>0.61599537037037033</v>
      </c>
      <c r="E2979" t="s">
        <v>317</v>
      </c>
      <c r="F2979" t="s">
        <v>299</v>
      </c>
      <c r="G2979" t="s">
        <v>299</v>
      </c>
      <c r="H2979">
        <v>82</v>
      </c>
      <c r="I2979" s="30">
        <v>4.5601851851851853E-3</v>
      </c>
      <c r="J2979">
        <v>5</v>
      </c>
    </row>
    <row r="2980" spans="1:10" x14ac:dyDescent="0.35">
      <c r="A2980" t="s">
        <v>3340</v>
      </c>
      <c r="B2980" t="s">
        <v>307</v>
      </c>
      <c r="C2980" t="s">
        <v>3304</v>
      </c>
      <c r="D2980" s="30">
        <v>0.62400462962962966</v>
      </c>
      <c r="E2980" t="s">
        <v>314</v>
      </c>
      <c r="F2980" t="s">
        <v>299</v>
      </c>
      <c r="G2980" t="s">
        <v>299</v>
      </c>
      <c r="H2980">
        <v>94</v>
      </c>
      <c r="I2980" s="30">
        <v>3.2754629629629631E-3</v>
      </c>
      <c r="J2980">
        <v>4</v>
      </c>
    </row>
    <row r="2981" spans="1:10" x14ac:dyDescent="0.35">
      <c r="A2981" t="s">
        <v>3341</v>
      </c>
      <c r="B2981" t="s">
        <v>301</v>
      </c>
      <c r="C2981" t="s">
        <v>3304</v>
      </c>
      <c r="D2981" s="30">
        <v>0.62400462962962966</v>
      </c>
      <c r="E2981" t="s">
        <v>298</v>
      </c>
      <c r="F2981" t="s">
        <v>299</v>
      </c>
      <c r="G2981" t="s">
        <v>299</v>
      </c>
      <c r="H2981">
        <v>43</v>
      </c>
      <c r="I2981" s="30">
        <v>3.2754629629629631E-3</v>
      </c>
      <c r="J2981">
        <v>4</v>
      </c>
    </row>
    <row r="2982" spans="1:10" x14ac:dyDescent="0.35">
      <c r="A2982" t="s">
        <v>3342</v>
      </c>
      <c r="B2982" t="s">
        <v>305</v>
      </c>
      <c r="C2982" t="s">
        <v>3304</v>
      </c>
      <c r="D2982" s="30">
        <v>0.63200231481481484</v>
      </c>
      <c r="E2982" t="s">
        <v>302</v>
      </c>
      <c r="F2982" t="s">
        <v>299</v>
      </c>
      <c r="G2982" t="s">
        <v>299</v>
      </c>
      <c r="H2982">
        <v>27</v>
      </c>
      <c r="I2982" s="30">
        <v>2.8587962962962963E-3</v>
      </c>
      <c r="J2982">
        <v>1</v>
      </c>
    </row>
    <row r="2983" spans="1:10" x14ac:dyDescent="0.35">
      <c r="A2983" t="s">
        <v>3343</v>
      </c>
      <c r="B2983" t="s">
        <v>319</v>
      </c>
      <c r="C2983" t="s">
        <v>3304</v>
      </c>
      <c r="D2983" s="30">
        <v>0.63200231481481484</v>
      </c>
      <c r="E2983" t="s">
        <v>302</v>
      </c>
      <c r="F2983" t="s">
        <v>299</v>
      </c>
      <c r="G2983" t="s">
        <v>303</v>
      </c>
      <c r="H2983">
        <v>15</v>
      </c>
      <c r="I2983" s="30">
        <v>1.9791666666666668E-3</v>
      </c>
      <c r="J2983">
        <v>3</v>
      </c>
    </row>
    <row r="2984" spans="1:10" x14ac:dyDescent="0.35">
      <c r="A2984" t="s">
        <v>3344</v>
      </c>
      <c r="B2984" t="s">
        <v>316</v>
      </c>
      <c r="C2984" t="s">
        <v>3304</v>
      </c>
      <c r="D2984" s="30">
        <v>0.65599537037037037</v>
      </c>
      <c r="E2984" t="s">
        <v>302</v>
      </c>
      <c r="F2984" t="s">
        <v>299</v>
      </c>
      <c r="G2984" t="s">
        <v>299</v>
      </c>
      <c r="H2984">
        <v>21</v>
      </c>
      <c r="I2984" s="30">
        <v>9.4907407407407408E-4</v>
      </c>
      <c r="J2984">
        <v>4</v>
      </c>
    </row>
    <row r="2985" spans="1:10" x14ac:dyDescent="0.35">
      <c r="A2985" t="s">
        <v>3345</v>
      </c>
      <c r="B2985" t="s">
        <v>332</v>
      </c>
      <c r="C2985" t="s">
        <v>3304</v>
      </c>
      <c r="D2985" s="30">
        <v>0.65599537037037037</v>
      </c>
      <c r="E2985" t="s">
        <v>302</v>
      </c>
      <c r="F2985" t="s">
        <v>299</v>
      </c>
      <c r="G2985" t="s">
        <v>299</v>
      </c>
      <c r="H2985">
        <v>30</v>
      </c>
      <c r="I2985" s="30">
        <v>1.2268518518518518E-3</v>
      </c>
      <c r="J2985">
        <v>5</v>
      </c>
    </row>
    <row r="2986" spans="1:10" x14ac:dyDescent="0.35">
      <c r="A2986" t="s">
        <v>3346</v>
      </c>
      <c r="B2986" t="s">
        <v>296</v>
      </c>
      <c r="C2986" t="s">
        <v>3304</v>
      </c>
      <c r="D2986" s="30">
        <v>0.65700231481481486</v>
      </c>
      <c r="E2986" t="s">
        <v>314</v>
      </c>
      <c r="F2986" t="s">
        <v>299</v>
      </c>
      <c r="G2986" t="s">
        <v>303</v>
      </c>
      <c r="H2986">
        <v>106</v>
      </c>
      <c r="I2986" s="30">
        <v>1.5046296296296296E-3</v>
      </c>
      <c r="J2986">
        <v>1</v>
      </c>
    </row>
    <row r="2987" spans="1:10" x14ac:dyDescent="0.35">
      <c r="A2987" t="s">
        <v>3347</v>
      </c>
      <c r="B2987" t="s">
        <v>316</v>
      </c>
      <c r="C2987" t="s">
        <v>3304</v>
      </c>
      <c r="D2987" s="30">
        <v>0.65700231481481486</v>
      </c>
      <c r="E2987" t="s">
        <v>314</v>
      </c>
      <c r="F2987" t="s">
        <v>299</v>
      </c>
      <c r="G2987" t="s">
        <v>299</v>
      </c>
      <c r="H2987">
        <v>56</v>
      </c>
      <c r="I2987" s="30">
        <v>3.7152777777777778E-3</v>
      </c>
      <c r="J2987">
        <v>3</v>
      </c>
    </row>
    <row r="2988" spans="1:10" x14ac:dyDescent="0.35">
      <c r="A2988" t="s">
        <v>3348</v>
      </c>
      <c r="B2988" t="s">
        <v>332</v>
      </c>
      <c r="C2988" t="s">
        <v>3304</v>
      </c>
      <c r="D2988" s="30">
        <v>0.68299768518518522</v>
      </c>
      <c r="E2988" t="s">
        <v>309</v>
      </c>
      <c r="F2988" t="s">
        <v>299</v>
      </c>
      <c r="G2988" t="s">
        <v>299</v>
      </c>
      <c r="H2988">
        <v>100</v>
      </c>
      <c r="I2988" s="30">
        <v>4.5486111111111109E-3</v>
      </c>
      <c r="J2988">
        <v>5</v>
      </c>
    </row>
    <row r="2989" spans="1:10" x14ac:dyDescent="0.35">
      <c r="A2989" t="s">
        <v>3349</v>
      </c>
      <c r="B2989" t="s">
        <v>296</v>
      </c>
      <c r="C2989" t="s">
        <v>3304</v>
      </c>
      <c r="D2989" s="30">
        <v>0.68299768518518522</v>
      </c>
      <c r="E2989" t="s">
        <v>317</v>
      </c>
      <c r="F2989" t="s">
        <v>299</v>
      </c>
      <c r="G2989" t="s">
        <v>299</v>
      </c>
      <c r="H2989">
        <v>48</v>
      </c>
      <c r="I2989" s="30">
        <v>4.0046296296296297E-3</v>
      </c>
      <c r="J2989">
        <v>3</v>
      </c>
    </row>
    <row r="2990" spans="1:10" x14ac:dyDescent="0.35">
      <c r="A2990" t="s">
        <v>3350</v>
      </c>
      <c r="B2990" t="s">
        <v>316</v>
      </c>
      <c r="C2990" t="s">
        <v>3304</v>
      </c>
      <c r="D2990" s="30">
        <v>0.70799768518518513</v>
      </c>
      <c r="E2990" t="s">
        <v>317</v>
      </c>
      <c r="F2990" t="s">
        <v>299</v>
      </c>
      <c r="G2990" t="s">
        <v>299</v>
      </c>
      <c r="H2990">
        <v>74</v>
      </c>
      <c r="I2990" s="30">
        <v>2.5115740740740741E-3</v>
      </c>
      <c r="J2990">
        <v>5</v>
      </c>
    </row>
    <row r="2991" spans="1:10" x14ac:dyDescent="0.35">
      <c r="A2991" t="s">
        <v>3351</v>
      </c>
      <c r="B2991" t="s">
        <v>305</v>
      </c>
      <c r="C2991" t="s">
        <v>3304</v>
      </c>
      <c r="D2991" s="30">
        <v>0.70799768518518513</v>
      </c>
      <c r="E2991" t="s">
        <v>314</v>
      </c>
      <c r="F2991" t="s">
        <v>299</v>
      </c>
      <c r="G2991" t="s">
        <v>299</v>
      </c>
      <c r="H2991">
        <v>100</v>
      </c>
      <c r="I2991" s="30">
        <v>2.7777777777777779E-3</v>
      </c>
      <c r="J2991">
        <v>1</v>
      </c>
    </row>
    <row r="2992" spans="1:10" x14ac:dyDescent="0.35">
      <c r="A2992" t="s">
        <v>3352</v>
      </c>
      <c r="B2992" t="s">
        <v>296</v>
      </c>
      <c r="C2992" t="s">
        <v>3304</v>
      </c>
      <c r="D2992" s="30">
        <v>0.72200231481481481</v>
      </c>
      <c r="E2992" t="s">
        <v>309</v>
      </c>
      <c r="F2992" t="s">
        <v>299</v>
      </c>
      <c r="G2992" t="s">
        <v>303</v>
      </c>
      <c r="H2992">
        <v>90</v>
      </c>
      <c r="I2992" s="30">
        <v>1.8865740740740742E-3</v>
      </c>
      <c r="J2992">
        <v>3</v>
      </c>
    </row>
    <row r="2993" spans="1:10" x14ac:dyDescent="0.35">
      <c r="A2993" t="s">
        <v>3353</v>
      </c>
      <c r="B2993" t="s">
        <v>301</v>
      </c>
      <c r="C2993" t="s">
        <v>3304</v>
      </c>
      <c r="D2993" s="30">
        <v>0.72200231481481481</v>
      </c>
      <c r="E2993" t="s">
        <v>302</v>
      </c>
      <c r="F2993" t="s">
        <v>303</v>
      </c>
      <c r="G2993" t="s">
        <v>303</v>
      </c>
    </row>
    <row r="2994" spans="1:10" x14ac:dyDescent="0.35">
      <c r="A2994" t="s">
        <v>3354</v>
      </c>
      <c r="B2994" t="s">
        <v>332</v>
      </c>
      <c r="C2994" t="s">
        <v>3304</v>
      </c>
      <c r="D2994" s="30">
        <v>0.72299768518518515</v>
      </c>
      <c r="E2994" t="s">
        <v>309</v>
      </c>
      <c r="F2994" t="s">
        <v>299</v>
      </c>
      <c r="G2994" t="s">
        <v>299</v>
      </c>
      <c r="H2994">
        <v>43</v>
      </c>
      <c r="I2994" s="30">
        <v>4.3981481481481484E-3</v>
      </c>
      <c r="J2994">
        <v>5</v>
      </c>
    </row>
    <row r="2995" spans="1:10" x14ac:dyDescent="0.35">
      <c r="A2995" t="s">
        <v>3355</v>
      </c>
      <c r="B2995" t="s">
        <v>319</v>
      </c>
      <c r="C2995" t="s">
        <v>3304</v>
      </c>
      <c r="D2995" s="30">
        <v>0.72299768518518515</v>
      </c>
      <c r="E2995" t="s">
        <v>309</v>
      </c>
      <c r="F2995" t="s">
        <v>299</v>
      </c>
      <c r="G2995" t="s">
        <v>299</v>
      </c>
      <c r="H2995">
        <v>68</v>
      </c>
      <c r="I2995" s="30">
        <v>3.6226851851851854E-3</v>
      </c>
      <c r="J2995">
        <v>4</v>
      </c>
    </row>
    <row r="2996" spans="1:10" x14ac:dyDescent="0.35">
      <c r="A2996" t="s">
        <v>3356</v>
      </c>
      <c r="B2996" t="s">
        <v>316</v>
      </c>
      <c r="C2996" t="s">
        <v>3304</v>
      </c>
      <c r="D2996" s="30">
        <v>0.74299768518518516</v>
      </c>
      <c r="E2996" t="s">
        <v>317</v>
      </c>
      <c r="F2996" t="s">
        <v>303</v>
      </c>
      <c r="G2996" t="s">
        <v>303</v>
      </c>
    </row>
    <row r="2997" spans="1:10" x14ac:dyDescent="0.35">
      <c r="A2997" t="s">
        <v>3357</v>
      </c>
      <c r="B2997" t="s">
        <v>296</v>
      </c>
      <c r="C2997" t="s">
        <v>3304</v>
      </c>
      <c r="D2997" s="30">
        <v>0.74299768518518516</v>
      </c>
      <c r="E2997" t="s">
        <v>314</v>
      </c>
      <c r="F2997" t="s">
        <v>299</v>
      </c>
      <c r="G2997" t="s">
        <v>299</v>
      </c>
      <c r="H2997">
        <v>65</v>
      </c>
      <c r="I2997" s="30">
        <v>3.6805555555555554E-3</v>
      </c>
      <c r="J2997">
        <v>1</v>
      </c>
    </row>
    <row r="2998" spans="1:10" x14ac:dyDescent="0.35">
      <c r="A2998" t="s">
        <v>3358</v>
      </c>
      <c r="B2998" t="s">
        <v>307</v>
      </c>
      <c r="C2998" t="s">
        <v>3359</v>
      </c>
      <c r="D2998" s="30">
        <v>0.37799768518518517</v>
      </c>
      <c r="E2998" t="s">
        <v>314</v>
      </c>
      <c r="F2998" t="s">
        <v>299</v>
      </c>
      <c r="G2998" t="s">
        <v>299</v>
      </c>
      <c r="H2998">
        <v>125</v>
      </c>
      <c r="I2998" s="30">
        <v>1.3657407407407407E-3</v>
      </c>
      <c r="J2998">
        <v>5</v>
      </c>
    </row>
    <row r="2999" spans="1:10" x14ac:dyDescent="0.35">
      <c r="A2999" t="s">
        <v>3360</v>
      </c>
      <c r="B2999" t="s">
        <v>319</v>
      </c>
      <c r="C2999" t="s">
        <v>3359</v>
      </c>
      <c r="D2999" s="30">
        <v>0.37799768518518517</v>
      </c>
      <c r="E2999" t="s">
        <v>314</v>
      </c>
      <c r="F2999" t="s">
        <v>299</v>
      </c>
      <c r="G2999" t="s">
        <v>299</v>
      </c>
      <c r="H2999">
        <v>62</v>
      </c>
      <c r="I2999" s="30">
        <v>3.6226851851851854E-3</v>
      </c>
      <c r="J2999">
        <v>4</v>
      </c>
    </row>
    <row r="3000" spans="1:10" x14ac:dyDescent="0.35">
      <c r="A3000" t="s">
        <v>3361</v>
      </c>
      <c r="B3000" t="s">
        <v>316</v>
      </c>
      <c r="C3000" t="s">
        <v>3359</v>
      </c>
      <c r="D3000" s="30">
        <v>0.40599537037037037</v>
      </c>
      <c r="E3000" t="s">
        <v>309</v>
      </c>
      <c r="F3000" t="s">
        <v>299</v>
      </c>
      <c r="G3000" t="s">
        <v>299</v>
      </c>
      <c r="H3000">
        <v>24</v>
      </c>
      <c r="I3000" s="30">
        <v>1.5046296296296296E-3</v>
      </c>
      <c r="J3000">
        <v>3</v>
      </c>
    </row>
    <row r="3001" spans="1:10" x14ac:dyDescent="0.35">
      <c r="A3001" t="s">
        <v>3362</v>
      </c>
      <c r="B3001" t="s">
        <v>301</v>
      </c>
      <c r="C3001" t="s">
        <v>3359</v>
      </c>
      <c r="D3001" s="30">
        <v>0.40599537037037037</v>
      </c>
      <c r="E3001" t="s">
        <v>317</v>
      </c>
      <c r="F3001" t="s">
        <v>303</v>
      </c>
      <c r="G3001" t="s">
        <v>303</v>
      </c>
    </row>
    <row r="3002" spans="1:10" x14ac:dyDescent="0.35">
      <c r="A3002" t="s">
        <v>3363</v>
      </c>
      <c r="B3002" t="s">
        <v>316</v>
      </c>
      <c r="C3002" t="s">
        <v>3359</v>
      </c>
      <c r="D3002" s="30">
        <v>0.4670023148148148</v>
      </c>
      <c r="E3002" t="s">
        <v>317</v>
      </c>
      <c r="F3002" t="s">
        <v>299</v>
      </c>
      <c r="G3002" t="s">
        <v>299</v>
      </c>
      <c r="H3002">
        <v>41</v>
      </c>
      <c r="I3002" s="30">
        <v>1.5856481481481481E-3</v>
      </c>
      <c r="J3002">
        <v>4</v>
      </c>
    </row>
    <row r="3003" spans="1:10" x14ac:dyDescent="0.35">
      <c r="A3003" t="s">
        <v>3364</v>
      </c>
      <c r="B3003" t="s">
        <v>301</v>
      </c>
      <c r="C3003" t="s">
        <v>3359</v>
      </c>
      <c r="D3003" s="30">
        <v>0.4670023148148148</v>
      </c>
      <c r="E3003" t="s">
        <v>317</v>
      </c>
      <c r="F3003" t="s">
        <v>299</v>
      </c>
      <c r="G3003" t="s">
        <v>299</v>
      </c>
      <c r="H3003">
        <v>81</v>
      </c>
      <c r="I3003" s="30">
        <v>1.3078703703703703E-3</v>
      </c>
      <c r="J3003">
        <v>3</v>
      </c>
    </row>
    <row r="3004" spans="1:10" x14ac:dyDescent="0.35">
      <c r="A3004" t="s">
        <v>3365</v>
      </c>
      <c r="B3004" t="s">
        <v>296</v>
      </c>
      <c r="C3004" t="s">
        <v>3359</v>
      </c>
      <c r="D3004" s="30">
        <v>0.4679976851851852</v>
      </c>
      <c r="E3004" t="s">
        <v>302</v>
      </c>
      <c r="F3004" t="s">
        <v>299</v>
      </c>
      <c r="G3004" t="s">
        <v>299</v>
      </c>
      <c r="H3004">
        <v>21</v>
      </c>
      <c r="I3004" s="30">
        <v>3.7962962962962963E-3</v>
      </c>
      <c r="J3004">
        <v>5</v>
      </c>
    </row>
    <row r="3005" spans="1:10" x14ac:dyDescent="0.35">
      <c r="A3005" t="s">
        <v>3366</v>
      </c>
      <c r="B3005" t="s">
        <v>319</v>
      </c>
      <c r="C3005" t="s">
        <v>3359</v>
      </c>
      <c r="D3005" s="30">
        <v>0.4679976851851852</v>
      </c>
      <c r="E3005" t="s">
        <v>314</v>
      </c>
      <c r="F3005" t="s">
        <v>303</v>
      </c>
      <c r="G3005" t="s">
        <v>303</v>
      </c>
    </row>
    <row r="3006" spans="1:10" x14ac:dyDescent="0.35">
      <c r="A3006" t="s">
        <v>3367</v>
      </c>
      <c r="B3006" t="s">
        <v>316</v>
      </c>
      <c r="C3006" t="s">
        <v>3359</v>
      </c>
      <c r="D3006" s="30">
        <v>0.47900462962962964</v>
      </c>
      <c r="E3006" t="s">
        <v>317</v>
      </c>
      <c r="F3006" t="s">
        <v>303</v>
      </c>
      <c r="G3006" t="s">
        <v>303</v>
      </c>
    </row>
    <row r="3007" spans="1:10" x14ac:dyDescent="0.35">
      <c r="A3007" t="s">
        <v>3368</v>
      </c>
      <c r="B3007" t="s">
        <v>316</v>
      </c>
      <c r="C3007" t="s">
        <v>3359</v>
      </c>
      <c r="D3007" s="30">
        <v>0.47900462962962964</v>
      </c>
      <c r="E3007" t="s">
        <v>298</v>
      </c>
      <c r="F3007" t="s">
        <v>299</v>
      </c>
      <c r="G3007" t="s">
        <v>299</v>
      </c>
      <c r="H3007">
        <v>42</v>
      </c>
      <c r="I3007" s="30">
        <v>3.1018518518518517E-3</v>
      </c>
      <c r="J3007">
        <v>4</v>
      </c>
    </row>
    <row r="3008" spans="1:10" x14ac:dyDescent="0.35">
      <c r="A3008" t="s">
        <v>3369</v>
      </c>
      <c r="B3008" t="s">
        <v>307</v>
      </c>
      <c r="C3008" t="s">
        <v>3359</v>
      </c>
      <c r="D3008" s="30">
        <v>0.4990046296296296</v>
      </c>
      <c r="E3008" t="s">
        <v>317</v>
      </c>
      <c r="F3008" t="s">
        <v>299</v>
      </c>
      <c r="G3008" t="s">
        <v>299</v>
      </c>
      <c r="H3008">
        <v>79</v>
      </c>
      <c r="I3008" s="30">
        <v>3.7152777777777778E-3</v>
      </c>
      <c r="J3008">
        <v>5</v>
      </c>
    </row>
    <row r="3009" spans="1:10" x14ac:dyDescent="0.35">
      <c r="A3009" t="s">
        <v>3370</v>
      </c>
      <c r="B3009" t="s">
        <v>307</v>
      </c>
      <c r="C3009" t="s">
        <v>3359</v>
      </c>
      <c r="D3009" s="30">
        <v>0.4990046296296296</v>
      </c>
      <c r="E3009" t="s">
        <v>302</v>
      </c>
      <c r="F3009" t="s">
        <v>299</v>
      </c>
      <c r="G3009" t="s">
        <v>299</v>
      </c>
      <c r="H3009">
        <v>120</v>
      </c>
      <c r="I3009" s="30">
        <v>3.3912037037037036E-3</v>
      </c>
      <c r="J3009">
        <v>4</v>
      </c>
    </row>
    <row r="3010" spans="1:10" x14ac:dyDescent="0.35">
      <c r="A3010" t="s">
        <v>3371</v>
      </c>
      <c r="B3010" t="s">
        <v>332</v>
      </c>
      <c r="C3010" t="s">
        <v>3359</v>
      </c>
      <c r="D3010" s="30">
        <v>0.50299768518518517</v>
      </c>
      <c r="E3010" t="s">
        <v>314</v>
      </c>
      <c r="F3010" t="s">
        <v>299</v>
      </c>
      <c r="G3010" t="s">
        <v>299</v>
      </c>
      <c r="H3010">
        <v>10</v>
      </c>
      <c r="I3010" s="30">
        <v>1.7824074074074075E-3</v>
      </c>
      <c r="J3010">
        <v>4</v>
      </c>
    </row>
    <row r="3011" spans="1:10" x14ac:dyDescent="0.35">
      <c r="A3011" t="s">
        <v>3372</v>
      </c>
      <c r="B3011" t="s">
        <v>316</v>
      </c>
      <c r="C3011" t="s">
        <v>3359</v>
      </c>
      <c r="D3011" s="30">
        <v>0.50299768518518517</v>
      </c>
      <c r="E3011" t="s">
        <v>317</v>
      </c>
      <c r="F3011" t="s">
        <v>299</v>
      </c>
      <c r="G3011" t="s">
        <v>299</v>
      </c>
      <c r="H3011">
        <v>21</v>
      </c>
      <c r="I3011" s="30">
        <v>3.5300925925925925E-3</v>
      </c>
      <c r="J3011">
        <v>1</v>
      </c>
    </row>
    <row r="3012" spans="1:10" x14ac:dyDescent="0.35">
      <c r="A3012" t="s">
        <v>3373</v>
      </c>
      <c r="B3012" t="s">
        <v>296</v>
      </c>
      <c r="C3012" t="s">
        <v>3359</v>
      </c>
      <c r="D3012" s="30">
        <v>0.54299768518518521</v>
      </c>
      <c r="E3012" t="s">
        <v>302</v>
      </c>
      <c r="F3012" t="s">
        <v>299</v>
      </c>
      <c r="G3012" t="s">
        <v>303</v>
      </c>
      <c r="H3012">
        <v>16</v>
      </c>
      <c r="I3012" s="30">
        <v>2.488425925925926E-3</v>
      </c>
      <c r="J3012">
        <v>5</v>
      </c>
    </row>
    <row r="3013" spans="1:10" x14ac:dyDescent="0.35">
      <c r="A3013" t="s">
        <v>3374</v>
      </c>
      <c r="B3013" t="s">
        <v>319</v>
      </c>
      <c r="C3013" t="s">
        <v>3359</v>
      </c>
      <c r="D3013" s="30">
        <v>0.54299768518518521</v>
      </c>
      <c r="E3013" t="s">
        <v>309</v>
      </c>
      <c r="F3013" t="s">
        <v>299</v>
      </c>
      <c r="G3013" t="s">
        <v>299</v>
      </c>
      <c r="H3013">
        <v>34</v>
      </c>
      <c r="I3013" s="30">
        <v>4.386574074074074E-3</v>
      </c>
      <c r="J3013">
        <v>5</v>
      </c>
    </row>
    <row r="3014" spans="1:10" x14ac:dyDescent="0.35">
      <c r="A3014" t="s">
        <v>3375</v>
      </c>
      <c r="B3014" t="s">
        <v>296</v>
      </c>
      <c r="C3014" t="s">
        <v>3359</v>
      </c>
      <c r="D3014" s="30">
        <v>0.55500000000000005</v>
      </c>
      <c r="E3014" t="s">
        <v>298</v>
      </c>
      <c r="F3014" t="s">
        <v>299</v>
      </c>
      <c r="G3014" t="s">
        <v>299</v>
      </c>
      <c r="H3014">
        <v>116</v>
      </c>
      <c r="I3014" s="30">
        <v>4.7800925925925927E-3</v>
      </c>
      <c r="J3014">
        <v>1</v>
      </c>
    </row>
    <row r="3015" spans="1:10" x14ac:dyDescent="0.35">
      <c r="A3015" t="s">
        <v>3376</v>
      </c>
      <c r="B3015" t="s">
        <v>307</v>
      </c>
      <c r="C3015" t="s">
        <v>3359</v>
      </c>
      <c r="D3015" s="30">
        <v>0.55500000000000005</v>
      </c>
      <c r="E3015" t="s">
        <v>314</v>
      </c>
      <c r="F3015" t="s">
        <v>299</v>
      </c>
      <c r="G3015" t="s">
        <v>299</v>
      </c>
      <c r="H3015">
        <v>28</v>
      </c>
      <c r="I3015" s="30">
        <v>4.4560185185185189E-3</v>
      </c>
      <c r="J3015">
        <v>2</v>
      </c>
    </row>
    <row r="3016" spans="1:10" x14ac:dyDescent="0.35">
      <c r="A3016" t="s">
        <v>3377</v>
      </c>
      <c r="B3016" t="s">
        <v>323</v>
      </c>
      <c r="C3016" t="s">
        <v>3359</v>
      </c>
      <c r="D3016" s="30">
        <v>0.56299768518518523</v>
      </c>
      <c r="E3016" t="s">
        <v>302</v>
      </c>
      <c r="F3016" t="s">
        <v>299</v>
      </c>
      <c r="G3016" t="s">
        <v>299</v>
      </c>
      <c r="H3016">
        <v>75</v>
      </c>
      <c r="I3016" s="30">
        <v>1.7708333333333332E-3</v>
      </c>
      <c r="J3016">
        <v>3</v>
      </c>
    </row>
    <row r="3017" spans="1:10" x14ac:dyDescent="0.35">
      <c r="A3017" t="s">
        <v>3378</v>
      </c>
      <c r="B3017" t="s">
        <v>323</v>
      </c>
      <c r="C3017" t="s">
        <v>3359</v>
      </c>
      <c r="D3017" s="30">
        <v>0.56299768518518523</v>
      </c>
      <c r="E3017" t="s">
        <v>309</v>
      </c>
      <c r="F3017" t="s">
        <v>303</v>
      </c>
      <c r="G3017" t="s">
        <v>303</v>
      </c>
    </row>
    <row r="3018" spans="1:10" x14ac:dyDescent="0.35">
      <c r="A3018" t="s">
        <v>3379</v>
      </c>
      <c r="B3018" t="s">
        <v>319</v>
      </c>
      <c r="C3018" t="s">
        <v>3359</v>
      </c>
      <c r="D3018" s="30">
        <v>0.58799768518518514</v>
      </c>
      <c r="E3018" t="s">
        <v>309</v>
      </c>
      <c r="F3018" t="s">
        <v>299</v>
      </c>
      <c r="G3018" t="s">
        <v>303</v>
      </c>
      <c r="H3018">
        <v>29</v>
      </c>
      <c r="I3018" s="30">
        <v>2.476851851851852E-3</v>
      </c>
      <c r="J3018">
        <v>2</v>
      </c>
    </row>
    <row r="3019" spans="1:10" x14ac:dyDescent="0.35">
      <c r="A3019" t="s">
        <v>3380</v>
      </c>
      <c r="B3019" t="s">
        <v>316</v>
      </c>
      <c r="C3019" t="s">
        <v>3359</v>
      </c>
      <c r="D3019" s="30">
        <v>0.58799768518518514</v>
      </c>
      <c r="E3019" t="s">
        <v>302</v>
      </c>
      <c r="F3019" t="s">
        <v>303</v>
      </c>
      <c r="G3019" t="s">
        <v>303</v>
      </c>
    </row>
    <row r="3020" spans="1:10" x14ac:dyDescent="0.35">
      <c r="A3020" t="s">
        <v>3381</v>
      </c>
      <c r="B3020" t="s">
        <v>301</v>
      </c>
      <c r="C3020" t="s">
        <v>3359</v>
      </c>
      <c r="D3020" s="30">
        <v>0.60599537037037032</v>
      </c>
      <c r="E3020" t="s">
        <v>302</v>
      </c>
      <c r="F3020" t="s">
        <v>303</v>
      </c>
      <c r="G3020" t="s">
        <v>303</v>
      </c>
    </row>
    <row r="3021" spans="1:10" x14ac:dyDescent="0.35">
      <c r="A3021" t="s">
        <v>3382</v>
      </c>
      <c r="B3021" t="s">
        <v>332</v>
      </c>
      <c r="C3021" t="s">
        <v>3359</v>
      </c>
      <c r="D3021" s="30">
        <v>0.60599537037037032</v>
      </c>
      <c r="E3021" t="s">
        <v>302</v>
      </c>
      <c r="F3021" t="s">
        <v>299</v>
      </c>
      <c r="G3021" t="s">
        <v>299</v>
      </c>
      <c r="H3021">
        <v>118</v>
      </c>
      <c r="I3021" s="30">
        <v>1.5162037037037036E-3</v>
      </c>
      <c r="J3021">
        <v>4</v>
      </c>
    </row>
    <row r="3022" spans="1:10" x14ac:dyDescent="0.35">
      <c r="A3022" t="s">
        <v>3383</v>
      </c>
      <c r="B3022" t="s">
        <v>332</v>
      </c>
      <c r="C3022" t="s">
        <v>3359</v>
      </c>
      <c r="D3022" s="30">
        <v>0.60599537037037032</v>
      </c>
      <c r="E3022" t="s">
        <v>314</v>
      </c>
      <c r="F3022" t="s">
        <v>299</v>
      </c>
      <c r="G3022" t="s">
        <v>299</v>
      </c>
      <c r="H3022">
        <v>87</v>
      </c>
      <c r="I3022" s="30">
        <v>3.5185185185185185E-3</v>
      </c>
      <c r="J3022">
        <v>3</v>
      </c>
    </row>
    <row r="3023" spans="1:10" x14ac:dyDescent="0.35">
      <c r="A3023" t="s">
        <v>3384</v>
      </c>
      <c r="B3023" t="s">
        <v>296</v>
      </c>
      <c r="C3023" t="s">
        <v>3359</v>
      </c>
      <c r="D3023" s="30">
        <v>0.60599537037037032</v>
      </c>
      <c r="E3023" t="s">
        <v>317</v>
      </c>
      <c r="F3023" t="s">
        <v>299</v>
      </c>
      <c r="G3023" t="s">
        <v>303</v>
      </c>
      <c r="H3023">
        <v>100</v>
      </c>
      <c r="I3023" s="30">
        <v>4.6874999999999998E-3</v>
      </c>
      <c r="J3023">
        <v>3</v>
      </c>
    </row>
    <row r="3024" spans="1:10" x14ac:dyDescent="0.35">
      <c r="A3024" t="s">
        <v>3385</v>
      </c>
      <c r="B3024" t="s">
        <v>301</v>
      </c>
      <c r="C3024" t="s">
        <v>3359</v>
      </c>
      <c r="D3024" s="30">
        <v>0.63400462962962967</v>
      </c>
      <c r="E3024" t="s">
        <v>314</v>
      </c>
      <c r="F3024" t="s">
        <v>299</v>
      </c>
      <c r="G3024" t="s">
        <v>299</v>
      </c>
      <c r="H3024">
        <v>114</v>
      </c>
      <c r="I3024" s="30">
        <v>3.5300925925925925E-3</v>
      </c>
      <c r="J3024">
        <v>2</v>
      </c>
    </row>
    <row r="3025" spans="1:10" x14ac:dyDescent="0.35">
      <c r="A3025" t="s">
        <v>3386</v>
      </c>
      <c r="B3025" t="s">
        <v>305</v>
      </c>
      <c r="C3025" t="s">
        <v>3359</v>
      </c>
      <c r="D3025" s="30">
        <v>0.63400462962962967</v>
      </c>
      <c r="E3025" t="s">
        <v>302</v>
      </c>
      <c r="F3025" t="s">
        <v>299</v>
      </c>
      <c r="G3025" t="s">
        <v>299</v>
      </c>
      <c r="H3025">
        <v>69</v>
      </c>
      <c r="I3025" s="30">
        <v>4.0509259259259258E-4</v>
      </c>
      <c r="J3025">
        <v>4</v>
      </c>
    </row>
    <row r="3026" spans="1:10" x14ac:dyDescent="0.35">
      <c r="A3026" t="s">
        <v>3387</v>
      </c>
      <c r="B3026" t="s">
        <v>316</v>
      </c>
      <c r="C3026" t="s">
        <v>3359</v>
      </c>
      <c r="D3026" s="30">
        <v>0.63799768518518518</v>
      </c>
      <c r="E3026" t="s">
        <v>314</v>
      </c>
      <c r="F3026" t="s">
        <v>299</v>
      </c>
      <c r="G3026" t="s">
        <v>299</v>
      </c>
      <c r="H3026">
        <v>112</v>
      </c>
      <c r="I3026" s="30">
        <v>1.3773148148148147E-3</v>
      </c>
      <c r="J3026">
        <v>3</v>
      </c>
    </row>
    <row r="3027" spans="1:10" x14ac:dyDescent="0.35">
      <c r="A3027" t="s">
        <v>3388</v>
      </c>
      <c r="B3027" t="s">
        <v>332</v>
      </c>
      <c r="C3027" t="s">
        <v>3359</v>
      </c>
      <c r="D3027" s="30">
        <v>0.63799768518518518</v>
      </c>
      <c r="E3027" t="s">
        <v>302</v>
      </c>
      <c r="F3027" t="s">
        <v>303</v>
      </c>
      <c r="G3027" t="s">
        <v>303</v>
      </c>
    </row>
    <row r="3028" spans="1:10" x14ac:dyDescent="0.35">
      <c r="A3028" t="s">
        <v>3389</v>
      </c>
      <c r="B3028" t="s">
        <v>305</v>
      </c>
      <c r="C3028" t="s">
        <v>3359</v>
      </c>
      <c r="D3028" s="30">
        <v>0.65099537037037036</v>
      </c>
      <c r="E3028" t="s">
        <v>317</v>
      </c>
      <c r="F3028" t="s">
        <v>299</v>
      </c>
      <c r="G3028" t="s">
        <v>299</v>
      </c>
      <c r="H3028">
        <v>48</v>
      </c>
      <c r="I3028" s="30">
        <v>1.3194444444444445E-3</v>
      </c>
      <c r="J3028">
        <v>3</v>
      </c>
    </row>
    <row r="3029" spans="1:10" x14ac:dyDescent="0.35">
      <c r="A3029" t="s">
        <v>3390</v>
      </c>
      <c r="B3029" t="s">
        <v>301</v>
      </c>
      <c r="C3029" t="s">
        <v>3359</v>
      </c>
      <c r="D3029" s="30">
        <v>0.65099537037037036</v>
      </c>
      <c r="E3029" t="s">
        <v>309</v>
      </c>
      <c r="F3029" t="s">
        <v>299</v>
      </c>
      <c r="G3029" t="s">
        <v>299</v>
      </c>
      <c r="H3029">
        <v>92</v>
      </c>
      <c r="I3029" s="30">
        <v>9.9537037037037042E-4</v>
      </c>
      <c r="J3029">
        <v>2</v>
      </c>
    </row>
    <row r="3030" spans="1:10" x14ac:dyDescent="0.35">
      <c r="A3030" t="s">
        <v>3391</v>
      </c>
      <c r="B3030" t="s">
        <v>316</v>
      </c>
      <c r="C3030" t="s">
        <v>3359</v>
      </c>
      <c r="D3030" s="30">
        <v>0.65099537037037036</v>
      </c>
      <c r="E3030" t="s">
        <v>317</v>
      </c>
      <c r="F3030" t="s">
        <v>299</v>
      </c>
      <c r="G3030" t="s">
        <v>299</v>
      </c>
      <c r="H3030">
        <v>102</v>
      </c>
      <c r="I3030" s="30">
        <v>4.5601851851851853E-3</v>
      </c>
      <c r="J3030">
        <v>4</v>
      </c>
    </row>
    <row r="3031" spans="1:10" x14ac:dyDescent="0.35">
      <c r="A3031" t="s">
        <v>3392</v>
      </c>
      <c r="B3031" t="s">
        <v>323</v>
      </c>
      <c r="C3031" t="s">
        <v>3359</v>
      </c>
      <c r="D3031" s="30">
        <v>0.65099537037037036</v>
      </c>
      <c r="E3031" t="s">
        <v>302</v>
      </c>
      <c r="F3031" t="s">
        <v>299</v>
      </c>
      <c r="G3031" t="s">
        <v>299</v>
      </c>
      <c r="H3031">
        <v>16</v>
      </c>
      <c r="I3031" s="30">
        <v>4.5254629629629629E-3</v>
      </c>
      <c r="J3031">
        <v>3</v>
      </c>
    </row>
    <row r="3032" spans="1:10" x14ac:dyDescent="0.35">
      <c r="A3032" t="s">
        <v>3393</v>
      </c>
      <c r="B3032" t="s">
        <v>319</v>
      </c>
      <c r="C3032" t="s">
        <v>3359</v>
      </c>
      <c r="D3032" s="30">
        <v>0.65400462962962957</v>
      </c>
      <c r="E3032" t="s">
        <v>302</v>
      </c>
      <c r="F3032" t="s">
        <v>299</v>
      </c>
      <c r="G3032" t="s">
        <v>299</v>
      </c>
      <c r="H3032">
        <v>58</v>
      </c>
      <c r="I3032" s="30">
        <v>2.0023148148148148E-3</v>
      </c>
      <c r="J3032">
        <v>5</v>
      </c>
    </row>
    <row r="3033" spans="1:10" x14ac:dyDescent="0.35">
      <c r="A3033" t="s">
        <v>3394</v>
      </c>
      <c r="B3033" t="s">
        <v>301</v>
      </c>
      <c r="C3033" t="s">
        <v>3359</v>
      </c>
      <c r="D3033" s="30">
        <v>0.65400462962962957</v>
      </c>
      <c r="E3033" t="s">
        <v>298</v>
      </c>
      <c r="F3033" t="s">
        <v>299</v>
      </c>
      <c r="G3033" t="s">
        <v>299</v>
      </c>
      <c r="H3033">
        <v>87</v>
      </c>
      <c r="I3033" s="30">
        <v>1.1805555555555556E-3</v>
      </c>
      <c r="J3033">
        <v>5</v>
      </c>
    </row>
    <row r="3034" spans="1:10" x14ac:dyDescent="0.35">
      <c r="A3034" t="s">
        <v>3395</v>
      </c>
      <c r="B3034" t="s">
        <v>319</v>
      </c>
      <c r="C3034" t="s">
        <v>3359</v>
      </c>
      <c r="D3034" s="30">
        <v>0.65900462962962958</v>
      </c>
      <c r="E3034" t="s">
        <v>298</v>
      </c>
      <c r="F3034" t="s">
        <v>299</v>
      </c>
      <c r="G3034" t="s">
        <v>299</v>
      </c>
      <c r="H3034">
        <v>88</v>
      </c>
      <c r="I3034" s="30">
        <v>8.9120370370370373E-4</v>
      </c>
      <c r="J3034">
        <v>4</v>
      </c>
    </row>
    <row r="3035" spans="1:10" x14ac:dyDescent="0.35">
      <c r="A3035" t="s">
        <v>3396</v>
      </c>
      <c r="B3035" t="s">
        <v>332</v>
      </c>
      <c r="C3035" t="s">
        <v>3359</v>
      </c>
      <c r="D3035" s="30">
        <v>0.65900462962962958</v>
      </c>
      <c r="E3035" t="s">
        <v>314</v>
      </c>
      <c r="F3035" t="s">
        <v>299</v>
      </c>
      <c r="G3035" t="s">
        <v>299</v>
      </c>
      <c r="H3035">
        <v>59</v>
      </c>
      <c r="I3035" s="30">
        <v>2.5694444444444445E-3</v>
      </c>
      <c r="J3035">
        <v>3</v>
      </c>
    </row>
    <row r="3036" spans="1:10" x14ac:dyDescent="0.35">
      <c r="A3036" t="s">
        <v>3397</v>
      </c>
      <c r="B3036" t="s">
        <v>316</v>
      </c>
      <c r="C3036" t="s">
        <v>3359</v>
      </c>
      <c r="D3036" s="30">
        <v>0.68500000000000005</v>
      </c>
      <c r="E3036" t="s">
        <v>317</v>
      </c>
      <c r="F3036" t="s">
        <v>299</v>
      </c>
      <c r="G3036" t="s">
        <v>299</v>
      </c>
      <c r="H3036">
        <v>11</v>
      </c>
      <c r="I3036" s="30">
        <v>2.2569444444444442E-3</v>
      </c>
      <c r="J3036">
        <v>3</v>
      </c>
    </row>
    <row r="3037" spans="1:10" x14ac:dyDescent="0.35">
      <c r="A3037" t="s">
        <v>3398</v>
      </c>
      <c r="B3037" t="s">
        <v>319</v>
      </c>
      <c r="C3037" t="s">
        <v>3359</v>
      </c>
      <c r="D3037" s="30">
        <v>0.68500000000000005</v>
      </c>
      <c r="E3037" t="s">
        <v>302</v>
      </c>
      <c r="F3037" t="s">
        <v>299</v>
      </c>
      <c r="G3037" t="s">
        <v>299</v>
      </c>
      <c r="H3037">
        <v>75</v>
      </c>
      <c r="I3037" s="30">
        <v>4.5486111111111109E-3</v>
      </c>
      <c r="J3037">
        <v>3</v>
      </c>
    </row>
    <row r="3038" spans="1:10" x14ac:dyDescent="0.35">
      <c r="A3038" t="s">
        <v>3399</v>
      </c>
      <c r="B3038" t="s">
        <v>307</v>
      </c>
      <c r="C3038" t="s">
        <v>3359</v>
      </c>
      <c r="D3038" s="30">
        <v>0.69400462962962961</v>
      </c>
      <c r="E3038" t="s">
        <v>314</v>
      </c>
      <c r="F3038" t="s">
        <v>299</v>
      </c>
      <c r="G3038" t="s">
        <v>299</v>
      </c>
      <c r="H3038">
        <v>64</v>
      </c>
      <c r="I3038" s="30">
        <v>4.5949074074074078E-3</v>
      </c>
      <c r="J3038">
        <v>3</v>
      </c>
    </row>
    <row r="3039" spans="1:10" x14ac:dyDescent="0.35">
      <c r="A3039" t="s">
        <v>3400</v>
      </c>
      <c r="B3039" t="s">
        <v>301</v>
      </c>
      <c r="C3039" t="s">
        <v>3359</v>
      </c>
      <c r="D3039" s="30">
        <v>0.69400462962962961</v>
      </c>
      <c r="E3039" t="s">
        <v>317</v>
      </c>
      <c r="F3039" t="s">
        <v>299</v>
      </c>
      <c r="G3039" t="s">
        <v>299</v>
      </c>
      <c r="H3039">
        <v>95</v>
      </c>
      <c r="I3039" s="30">
        <v>3.6574074074074074E-3</v>
      </c>
      <c r="J3039">
        <v>1</v>
      </c>
    </row>
    <row r="3040" spans="1:10" x14ac:dyDescent="0.35">
      <c r="A3040" t="s">
        <v>3401</v>
      </c>
      <c r="B3040" t="s">
        <v>323</v>
      </c>
      <c r="C3040" t="s">
        <v>3359</v>
      </c>
      <c r="D3040" s="30">
        <v>0.70499999999999996</v>
      </c>
      <c r="E3040" t="s">
        <v>302</v>
      </c>
      <c r="F3040" t="s">
        <v>299</v>
      </c>
      <c r="G3040" t="s">
        <v>299</v>
      </c>
      <c r="H3040">
        <v>94</v>
      </c>
      <c r="I3040" s="30">
        <v>3.4953703703703705E-3</v>
      </c>
      <c r="J3040">
        <v>4</v>
      </c>
    </row>
    <row r="3041" spans="1:10" x14ac:dyDescent="0.35">
      <c r="A3041" t="s">
        <v>3402</v>
      </c>
      <c r="B3041" t="s">
        <v>307</v>
      </c>
      <c r="C3041" t="s">
        <v>3359</v>
      </c>
      <c r="D3041" s="30">
        <v>0.70499999999999996</v>
      </c>
      <c r="E3041" t="s">
        <v>309</v>
      </c>
      <c r="F3041" t="s">
        <v>303</v>
      </c>
      <c r="G3041" t="s">
        <v>303</v>
      </c>
    </row>
    <row r="3042" spans="1:10" x14ac:dyDescent="0.35">
      <c r="A3042" t="s">
        <v>3403</v>
      </c>
      <c r="B3042" t="s">
        <v>319</v>
      </c>
      <c r="C3042" t="s">
        <v>3359</v>
      </c>
      <c r="D3042" s="30">
        <v>0.71099537037037042</v>
      </c>
      <c r="E3042" t="s">
        <v>298</v>
      </c>
      <c r="F3042" t="s">
        <v>303</v>
      </c>
      <c r="G3042" t="s">
        <v>303</v>
      </c>
    </row>
    <row r="3043" spans="1:10" x14ac:dyDescent="0.35">
      <c r="A3043" t="s">
        <v>3404</v>
      </c>
      <c r="B3043" t="s">
        <v>301</v>
      </c>
      <c r="C3043" t="s">
        <v>3359</v>
      </c>
      <c r="D3043" s="30">
        <v>0.71099537037037042</v>
      </c>
      <c r="E3043" t="s">
        <v>314</v>
      </c>
      <c r="F3043" t="s">
        <v>303</v>
      </c>
      <c r="G3043" t="s">
        <v>303</v>
      </c>
    </row>
    <row r="3044" spans="1:10" x14ac:dyDescent="0.35">
      <c r="A3044" t="s">
        <v>3405</v>
      </c>
      <c r="B3044" t="s">
        <v>332</v>
      </c>
      <c r="C3044" t="s">
        <v>3359</v>
      </c>
      <c r="D3044" s="30">
        <v>0.71499999999999997</v>
      </c>
      <c r="E3044" t="s">
        <v>298</v>
      </c>
      <c r="F3044" t="s">
        <v>303</v>
      </c>
      <c r="G3044" t="s">
        <v>303</v>
      </c>
    </row>
    <row r="3045" spans="1:10" x14ac:dyDescent="0.35">
      <c r="A3045" t="s">
        <v>3406</v>
      </c>
      <c r="B3045" t="s">
        <v>296</v>
      </c>
      <c r="C3045" t="s">
        <v>3359</v>
      </c>
      <c r="D3045" s="30">
        <v>0.71499999999999997</v>
      </c>
      <c r="E3045" t="s">
        <v>298</v>
      </c>
      <c r="F3045" t="s">
        <v>299</v>
      </c>
      <c r="G3045" t="s">
        <v>299</v>
      </c>
      <c r="H3045">
        <v>41</v>
      </c>
      <c r="I3045" s="30">
        <v>1.4814814814814814E-3</v>
      </c>
      <c r="J3045">
        <v>3</v>
      </c>
    </row>
    <row r="3046" spans="1:10" x14ac:dyDescent="0.35">
      <c r="A3046" t="s">
        <v>3407</v>
      </c>
      <c r="B3046" t="s">
        <v>296</v>
      </c>
      <c r="C3046" t="s">
        <v>3359</v>
      </c>
      <c r="D3046" s="30">
        <v>0.72200231481481481</v>
      </c>
      <c r="E3046" t="s">
        <v>314</v>
      </c>
      <c r="F3046" t="s">
        <v>299</v>
      </c>
      <c r="G3046" t="s">
        <v>299</v>
      </c>
      <c r="H3046">
        <v>38</v>
      </c>
      <c r="I3046" s="30">
        <v>2.638888888888889E-3</v>
      </c>
      <c r="J3046">
        <v>3</v>
      </c>
    </row>
    <row r="3047" spans="1:10" x14ac:dyDescent="0.35">
      <c r="A3047" t="s">
        <v>3408</v>
      </c>
      <c r="B3047" t="s">
        <v>323</v>
      </c>
      <c r="C3047" t="s">
        <v>3359</v>
      </c>
      <c r="D3047" s="30">
        <v>0.72200231481481481</v>
      </c>
      <c r="E3047" t="s">
        <v>317</v>
      </c>
      <c r="F3047" t="s">
        <v>299</v>
      </c>
      <c r="G3047" t="s">
        <v>299</v>
      </c>
      <c r="H3047">
        <v>33</v>
      </c>
      <c r="I3047" s="30">
        <v>1.1805555555555556E-3</v>
      </c>
      <c r="J3047">
        <v>5</v>
      </c>
    </row>
    <row r="3048" spans="1:10" x14ac:dyDescent="0.35">
      <c r="A3048" t="s">
        <v>3409</v>
      </c>
      <c r="B3048" t="s">
        <v>332</v>
      </c>
      <c r="C3048" t="s">
        <v>3410</v>
      </c>
      <c r="D3048" s="30">
        <v>0.37700231481481483</v>
      </c>
      <c r="E3048" t="s">
        <v>302</v>
      </c>
      <c r="F3048" t="s">
        <v>299</v>
      </c>
      <c r="G3048" t="s">
        <v>299</v>
      </c>
      <c r="H3048">
        <v>49</v>
      </c>
      <c r="I3048" s="30">
        <v>7.0601851851851847E-4</v>
      </c>
      <c r="J3048">
        <v>3</v>
      </c>
    </row>
    <row r="3049" spans="1:10" x14ac:dyDescent="0.35">
      <c r="A3049" t="s">
        <v>3411</v>
      </c>
      <c r="B3049" t="s">
        <v>332</v>
      </c>
      <c r="C3049" t="s">
        <v>3410</v>
      </c>
      <c r="D3049" s="30">
        <v>0.37700231481481483</v>
      </c>
      <c r="E3049" t="s">
        <v>317</v>
      </c>
      <c r="F3049" t="s">
        <v>299</v>
      </c>
      <c r="G3049" t="s">
        <v>299</v>
      </c>
      <c r="H3049">
        <v>97</v>
      </c>
      <c r="I3049" s="30">
        <v>5.3240740740740744E-4</v>
      </c>
      <c r="J3049">
        <v>5</v>
      </c>
    </row>
    <row r="3050" spans="1:10" x14ac:dyDescent="0.35">
      <c r="A3050" t="s">
        <v>3412</v>
      </c>
      <c r="B3050" t="s">
        <v>301</v>
      </c>
      <c r="C3050" t="s">
        <v>3410</v>
      </c>
      <c r="D3050" s="30">
        <v>0.39099537037037035</v>
      </c>
      <c r="E3050" t="s">
        <v>309</v>
      </c>
      <c r="F3050" t="s">
        <v>299</v>
      </c>
      <c r="G3050" t="s">
        <v>299</v>
      </c>
      <c r="H3050">
        <v>23</v>
      </c>
      <c r="I3050" s="30">
        <v>2.0023148148148148E-3</v>
      </c>
      <c r="J3050">
        <v>3</v>
      </c>
    </row>
    <row r="3051" spans="1:10" x14ac:dyDescent="0.35">
      <c r="A3051" t="s">
        <v>3413</v>
      </c>
      <c r="B3051" t="s">
        <v>319</v>
      </c>
      <c r="C3051" t="s">
        <v>3410</v>
      </c>
      <c r="D3051" s="30">
        <v>0.39099537037037035</v>
      </c>
      <c r="E3051" t="s">
        <v>302</v>
      </c>
      <c r="F3051" t="s">
        <v>299</v>
      </c>
      <c r="G3051" t="s">
        <v>299</v>
      </c>
      <c r="H3051">
        <v>60</v>
      </c>
      <c r="I3051" s="30">
        <v>4.3518518518518515E-3</v>
      </c>
      <c r="J3051">
        <v>3</v>
      </c>
    </row>
    <row r="3052" spans="1:10" x14ac:dyDescent="0.35">
      <c r="A3052" t="s">
        <v>3414</v>
      </c>
      <c r="B3052" t="s">
        <v>323</v>
      </c>
      <c r="C3052" t="s">
        <v>3410</v>
      </c>
      <c r="D3052" s="30">
        <v>0.40500000000000003</v>
      </c>
      <c r="E3052" t="s">
        <v>302</v>
      </c>
      <c r="F3052" t="s">
        <v>299</v>
      </c>
      <c r="G3052" t="s">
        <v>299</v>
      </c>
      <c r="H3052">
        <v>48</v>
      </c>
      <c r="I3052" s="30">
        <v>4.4444444444444444E-3</v>
      </c>
      <c r="J3052">
        <v>2</v>
      </c>
    </row>
    <row r="3053" spans="1:10" x14ac:dyDescent="0.35">
      <c r="A3053" t="s">
        <v>3415</v>
      </c>
      <c r="B3053" t="s">
        <v>296</v>
      </c>
      <c r="C3053" t="s">
        <v>3410</v>
      </c>
      <c r="D3053" s="30">
        <v>0.40500000000000003</v>
      </c>
      <c r="E3053" t="s">
        <v>298</v>
      </c>
      <c r="F3053" t="s">
        <v>299</v>
      </c>
      <c r="G3053" t="s">
        <v>299</v>
      </c>
      <c r="H3053">
        <v>28</v>
      </c>
      <c r="I3053" s="30">
        <v>1.2152777777777778E-3</v>
      </c>
      <c r="J3053">
        <v>4</v>
      </c>
    </row>
    <row r="3054" spans="1:10" x14ac:dyDescent="0.35">
      <c r="A3054" t="s">
        <v>3416</v>
      </c>
      <c r="B3054" t="s">
        <v>323</v>
      </c>
      <c r="C3054" t="s">
        <v>3410</v>
      </c>
      <c r="D3054" s="30">
        <v>0.43400462962962966</v>
      </c>
      <c r="E3054" t="s">
        <v>302</v>
      </c>
      <c r="F3054" t="s">
        <v>299</v>
      </c>
      <c r="G3054" t="s">
        <v>299</v>
      </c>
      <c r="H3054">
        <v>104</v>
      </c>
      <c r="I3054" s="30">
        <v>3.9699074074074072E-3</v>
      </c>
      <c r="J3054">
        <v>4</v>
      </c>
    </row>
    <row r="3055" spans="1:10" x14ac:dyDescent="0.35">
      <c r="A3055" t="s">
        <v>3417</v>
      </c>
      <c r="B3055" t="s">
        <v>307</v>
      </c>
      <c r="C3055" t="s">
        <v>3410</v>
      </c>
      <c r="D3055" s="30">
        <v>0.43400462962962966</v>
      </c>
      <c r="E3055" t="s">
        <v>298</v>
      </c>
      <c r="F3055" t="s">
        <v>299</v>
      </c>
      <c r="G3055" t="s">
        <v>299</v>
      </c>
      <c r="H3055">
        <v>115</v>
      </c>
      <c r="I3055" s="30">
        <v>9.6064814814814819E-4</v>
      </c>
      <c r="J3055">
        <v>4</v>
      </c>
    </row>
    <row r="3056" spans="1:10" x14ac:dyDescent="0.35">
      <c r="A3056" t="s">
        <v>3418</v>
      </c>
      <c r="B3056" t="s">
        <v>301</v>
      </c>
      <c r="C3056" t="s">
        <v>3410</v>
      </c>
      <c r="D3056" s="30">
        <v>0.44700231481481484</v>
      </c>
      <c r="E3056" t="s">
        <v>314</v>
      </c>
      <c r="F3056" t="s">
        <v>299</v>
      </c>
      <c r="G3056" t="s">
        <v>303</v>
      </c>
      <c r="H3056">
        <v>89</v>
      </c>
      <c r="I3056" s="30">
        <v>1.2962962962962963E-3</v>
      </c>
      <c r="J3056">
        <v>3</v>
      </c>
    </row>
    <row r="3057" spans="1:10" x14ac:dyDescent="0.35">
      <c r="A3057" t="s">
        <v>3419</v>
      </c>
      <c r="B3057" t="s">
        <v>323</v>
      </c>
      <c r="C3057" t="s">
        <v>3410</v>
      </c>
      <c r="D3057" s="30">
        <v>0.44700231481481484</v>
      </c>
      <c r="E3057" t="s">
        <v>298</v>
      </c>
      <c r="F3057" t="s">
        <v>303</v>
      </c>
      <c r="G3057" t="s">
        <v>303</v>
      </c>
    </row>
    <row r="3058" spans="1:10" x14ac:dyDescent="0.35">
      <c r="A3058" t="s">
        <v>3420</v>
      </c>
      <c r="B3058" t="s">
        <v>305</v>
      </c>
      <c r="C3058" t="s">
        <v>3410</v>
      </c>
      <c r="D3058" s="30">
        <v>0.45099537037037035</v>
      </c>
      <c r="E3058" t="s">
        <v>302</v>
      </c>
      <c r="F3058" t="s">
        <v>299</v>
      </c>
      <c r="G3058" t="s">
        <v>299</v>
      </c>
      <c r="H3058">
        <v>111</v>
      </c>
      <c r="I3058" s="30">
        <v>2.9745370370370373E-3</v>
      </c>
      <c r="J3058">
        <v>3</v>
      </c>
    </row>
    <row r="3059" spans="1:10" x14ac:dyDescent="0.35">
      <c r="A3059" t="s">
        <v>3421</v>
      </c>
      <c r="B3059" t="s">
        <v>316</v>
      </c>
      <c r="C3059" t="s">
        <v>3410</v>
      </c>
      <c r="D3059" s="30">
        <v>0.45099537037037035</v>
      </c>
      <c r="E3059" t="s">
        <v>309</v>
      </c>
      <c r="F3059" t="s">
        <v>299</v>
      </c>
      <c r="G3059" t="s">
        <v>299</v>
      </c>
      <c r="H3059">
        <v>17</v>
      </c>
      <c r="I3059" s="30">
        <v>4.3750000000000004E-3</v>
      </c>
      <c r="J3059">
        <v>5</v>
      </c>
    </row>
    <row r="3060" spans="1:10" x14ac:dyDescent="0.35">
      <c r="A3060" t="s">
        <v>3422</v>
      </c>
      <c r="B3060" t="s">
        <v>296</v>
      </c>
      <c r="C3060" t="s">
        <v>3410</v>
      </c>
      <c r="D3060" s="30">
        <v>0.47400462962962964</v>
      </c>
      <c r="E3060" t="s">
        <v>302</v>
      </c>
      <c r="F3060" t="s">
        <v>299</v>
      </c>
      <c r="G3060" t="s">
        <v>299</v>
      </c>
      <c r="H3060">
        <v>112</v>
      </c>
      <c r="I3060" s="30">
        <v>7.291666666666667E-4</v>
      </c>
      <c r="J3060">
        <v>3</v>
      </c>
    </row>
    <row r="3061" spans="1:10" x14ac:dyDescent="0.35">
      <c r="A3061" t="s">
        <v>3423</v>
      </c>
      <c r="B3061" t="s">
        <v>305</v>
      </c>
      <c r="C3061" t="s">
        <v>3410</v>
      </c>
      <c r="D3061" s="30">
        <v>0.47400462962962964</v>
      </c>
      <c r="E3061" t="s">
        <v>317</v>
      </c>
      <c r="F3061" t="s">
        <v>299</v>
      </c>
      <c r="G3061" t="s">
        <v>303</v>
      </c>
      <c r="H3061">
        <v>100</v>
      </c>
      <c r="I3061" s="30">
        <v>3.0671296296296297E-3</v>
      </c>
      <c r="J3061">
        <v>5</v>
      </c>
    </row>
    <row r="3062" spans="1:10" x14ac:dyDescent="0.35">
      <c r="A3062" t="s">
        <v>3424</v>
      </c>
      <c r="B3062" t="s">
        <v>301</v>
      </c>
      <c r="C3062" t="s">
        <v>3410</v>
      </c>
      <c r="D3062" s="30">
        <v>0.50099537037037034</v>
      </c>
      <c r="E3062" t="s">
        <v>309</v>
      </c>
      <c r="F3062" t="s">
        <v>303</v>
      </c>
      <c r="G3062" t="s">
        <v>303</v>
      </c>
    </row>
    <row r="3063" spans="1:10" x14ac:dyDescent="0.35">
      <c r="A3063" t="s">
        <v>3425</v>
      </c>
      <c r="B3063" t="s">
        <v>296</v>
      </c>
      <c r="C3063" t="s">
        <v>3410</v>
      </c>
      <c r="D3063" s="30">
        <v>0.50099537037037034</v>
      </c>
      <c r="E3063" t="s">
        <v>314</v>
      </c>
      <c r="F3063" t="s">
        <v>299</v>
      </c>
      <c r="G3063" t="s">
        <v>299</v>
      </c>
      <c r="H3063">
        <v>40</v>
      </c>
      <c r="I3063" s="30">
        <v>2.9282407407407408E-3</v>
      </c>
      <c r="J3063">
        <v>3</v>
      </c>
    </row>
    <row r="3064" spans="1:10" x14ac:dyDescent="0.35">
      <c r="A3064" t="s">
        <v>3426</v>
      </c>
      <c r="B3064" t="s">
        <v>323</v>
      </c>
      <c r="C3064" t="s">
        <v>3410</v>
      </c>
      <c r="D3064" s="30">
        <v>0.52900462962962957</v>
      </c>
      <c r="E3064" t="s">
        <v>298</v>
      </c>
      <c r="F3064" t="s">
        <v>303</v>
      </c>
      <c r="G3064" t="s">
        <v>303</v>
      </c>
    </row>
    <row r="3065" spans="1:10" x14ac:dyDescent="0.35">
      <c r="A3065" t="s">
        <v>3427</v>
      </c>
      <c r="B3065" t="s">
        <v>301</v>
      </c>
      <c r="C3065" t="s">
        <v>3410</v>
      </c>
      <c r="D3065" s="30">
        <v>0.52900462962962957</v>
      </c>
      <c r="E3065" t="s">
        <v>314</v>
      </c>
      <c r="F3065" t="s">
        <v>299</v>
      </c>
      <c r="G3065" t="s">
        <v>299</v>
      </c>
      <c r="H3065">
        <v>29</v>
      </c>
      <c r="I3065" s="30">
        <v>8.1018518518518516E-4</v>
      </c>
      <c r="J3065">
        <v>3</v>
      </c>
    </row>
    <row r="3066" spans="1:10" x14ac:dyDescent="0.35">
      <c r="A3066" t="s">
        <v>3428</v>
      </c>
      <c r="B3066" t="s">
        <v>316</v>
      </c>
      <c r="C3066" t="s">
        <v>3410</v>
      </c>
      <c r="D3066" s="30">
        <v>0.54099537037037038</v>
      </c>
      <c r="E3066" t="s">
        <v>314</v>
      </c>
      <c r="F3066" t="s">
        <v>299</v>
      </c>
      <c r="G3066" t="s">
        <v>303</v>
      </c>
      <c r="H3066">
        <v>39</v>
      </c>
      <c r="I3066" s="30">
        <v>4.5486111111111109E-3</v>
      </c>
      <c r="J3066">
        <v>4</v>
      </c>
    </row>
    <row r="3067" spans="1:10" x14ac:dyDescent="0.35">
      <c r="A3067" t="s">
        <v>3429</v>
      </c>
      <c r="B3067" t="s">
        <v>296</v>
      </c>
      <c r="C3067" t="s">
        <v>3410</v>
      </c>
      <c r="D3067" s="30">
        <v>0.54099537037037038</v>
      </c>
      <c r="E3067" t="s">
        <v>309</v>
      </c>
      <c r="F3067" t="s">
        <v>299</v>
      </c>
      <c r="G3067" t="s">
        <v>299</v>
      </c>
      <c r="H3067">
        <v>41</v>
      </c>
      <c r="I3067" s="30">
        <v>9.0277777777777774E-4</v>
      </c>
      <c r="J3067">
        <v>3</v>
      </c>
    </row>
    <row r="3068" spans="1:10" x14ac:dyDescent="0.35">
      <c r="A3068" t="s">
        <v>3430</v>
      </c>
      <c r="B3068" t="s">
        <v>305</v>
      </c>
      <c r="C3068" t="s">
        <v>3410</v>
      </c>
      <c r="D3068" s="30">
        <v>0.56000000000000005</v>
      </c>
      <c r="E3068" t="s">
        <v>317</v>
      </c>
      <c r="F3068" t="s">
        <v>303</v>
      </c>
      <c r="G3068" t="s">
        <v>303</v>
      </c>
    </row>
    <row r="3069" spans="1:10" x14ac:dyDescent="0.35">
      <c r="A3069" t="s">
        <v>3431</v>
      </c>
      <c r="B3069" t="s">
        <v>323</v>
      </c>
      <c r="C3069" t="s">
        <v>3410</v>
      </c>
      <c r="D3069" s="30">
        <v>0.56000000000000005</v>
      </c>
      <c r="E3069" t="s">
        <v>302</v>
      </c>
      <c r="F3069" t="s">
        <v>303</v>
      </c>
      <c r="G3069" t="s">
        <v>303</v>
      </c>
    </row>
    <row r="3070" spans="1:10" x14ac:dyDescent="0.35">
      <c r="A3070" t="s">
        <v>3432</v>
      </c>
      <c r="B3070" t="s">
        <v>301</v>
      </c>
      <c r="C3070" t="s">
        <v>3410</v>
      </c>
      <c r="D3070" s="30">
        <v>0.56799768518518523</v>
      </c>
      <c r="E3070" t="s">
        <v>314</v>
      </c>
      <c r="F3070" t="s">
        <v>299</v>
      </c>
      <c r="G3070" t="s">
        <v>299</v>
      </c>
      <c r="H3070">
        <v>56</v>
      </c>
      <c r="I3070" s="30">
        <v>4.2824074074074081E-4</v>
      </c>
      <c r="J3070">
        <v>5</v>
      </c>
    </row>
    <row r="3071" spans="1:10" x14ac:dyDescent="0.35">
      <c r="A3071" t="s">
        <v>3433</v>
      </c>
      <c r="B3071" t="s">
        <v>296</v>
      </c>
      <c r="C3071" t="s">
        <v>3410</v>
      </c>
      <c r="D3071" s="30">
        <v>0.56799768518518523</v>
      </c>
      <c r="E3071" t="s">
        <v>317</v>
      </c>
      <c r="F3071" t="s">
        <v>299</v>
      </c>
      <c r="G3071" t="s">
        <v>299</v>
      </c>
      <c r="H3071">
        <v>76</v>
      </c>
      <c r="I3071" s="30">
        <v>1.5740740740740741E-3</v>
      </c>
      <c r="J3071">
        <v>1</v>
      </c>
    </row>
    <row r="3072" spans="1:10" x14ac:dyDescent="0.35">
      <c r="A3072" t="s">
        <v>3434</v>
      </c>
      <c r="B3072" t="s">
        <v>307</v>
      </c>
      <c r="C3072" t="s">
        <v>3410</v>
      </c>
      <c r="D3072" s="30">
        <v>0.57299768518518523</v>
      </c>
      <c r="E3072" t="s">
        <v>314</v>
      </c>
      <c r="F3072" t="s">
        <v>299</v>
      </c>
      <c r="G3072" t="s">
        <v>303</v>
      </c>
      <c r="H3072">
        <v>36</v>
      </c>
      <c r="I3072" s="30">
        <v>7.6388888888888893E-4</v>
      </c>
      <c r="J3072">
        <v>3</v>
      </c>
    </row>
    <row r="3073" spans="1:10" x14ac:dyDescent="0.35">
      <c r="A3073" t="s">
        <v>3435</v>
      </c>
      <c r="B3073" t="s">
        <v>316</v>
      </c>
      <c r="C3073" t="s">
        <v>3410</v>
      </c>
      <c r="D3073" s="30">
        <v>0.57299768518518523</v>
      </c>
      <c r="E3073" t="s">
        <v>317</v>
      </c>
      <c r="F3073" t="s">
        <v>299</v>
      </c>
      <c r="G3073" t="s">
        <v>299</v>
      </c>
      <c r="H3073">
        <v>111</v>
      </c>
      <c r="I3073" s="30">
        <v>1.1805555555555556E-3</v>
      </c>
      <c r="J3073">
        <v>3</v>
      </c>
    </row>
    <row r="3074" spans="1:10" x14ac:dyDescent="0.35">
      <c r="A3074" t="s">
        <v>3436</v>
      </c>
      <c r="B3074" t="s">
        <v>301</v>
      </c>
      <c r="C3074" t="s">
        <v>3410</v>
      </c>
      <c r="D3074" s="30">
        <v>0.60299768518518515</v>
      </c>
      <c r="E3074" t="s">
        <v>309</v>
      </c>
      <c r="F3074" t="s">
        <v>299</v>
      </c>
      <c r="G3074" t="s">
        <v>299</v>
      </c>
      <c r="H3074">
        <v>17</v>
      </c>
      <c r="I3074" s="30">
        <v>2.1296296296296298E-3</v>
      </c>
      <c r="J3074">
        <v>4</v>
      </c>
    </row>
    <row r="3075" spans="1:10" x14ac:dyDescent="0.35">
      <c r="A3075" t="s">
        <v>3437</v>
      </c>
      <c r="B3075" t="s">
        <v>296</v>
      </c>
      <c r="C3075" t="s">
        <v>3410</v>
      </c>
      <c r="D3075" s="30">
        <v>0.60299768518518515</v>
      </c>
      <c r="E3075" t="s">
        <v>309</v>
      </c>
      <c r="F3075" t="s">
        <v>299</v>
      </c>
      <c r="G3075" t="s">
        <v>299</v>
      </c>
      <c r="H3075">
        <v>121</v>
      </c>
      <c r="I3075" s="30">
        <v>2.3495370370370371E-3</v>
      </c>
      <c r="J3075">
        <v>5</v>
      </c>
    </row>
    <row r="3076" spans="1:10" x14ac:dyDescent="0.35">
      <c r="A3076" t="s">
        <v>3438</v>
      </c>
      <c r="B3076" t="s">
        <v>305</v>
      </c>
      <c r="C3076" t="s">
        <v>3410</v>
      </c>
      <c r="D3076" s="30">
        <v>0.60700231481481481</v>
      </c>
      <c r="E3076" t="s">
        <v>309</v>
      </c>
      <c r="F3076" t="s">
        <v>299</v>
      </c>
      <c r="G3076" t="s">
        <v>299</v>
      </c>
      <c r="H3076">
        <v>69</v>
      </c>
      <c r="I3076" s="30">
        <v>4.2245370370370371E-3</v>
      </c>
      <c r="J3076">
        <v>4</v>
      </c>
    </row>
    <row r="3077" spans="1:10" x14ac:dyDescent="0.35">
      <c r="A3077" t="s">
        <v>3439</v>
      </c>
      <c r="B3077" t="s">
        <v>316</v>
      </c>
      <c r="C3077" t="s">
        <v>3410</v>
      </c>
      <c r="D3077" s="30">
        <v>0.60700231481481481</v>
      </c>
      <c r="E3077" t="s">
        <v>298</v>
      </c>
      <c r="F3077" t="s">
        <v>299</v>
      </c>
      <c r="G3077" t="s">
        <v>299</v>
      </c>
      <c r="H3077">
        <v>111</v>
      </c>
      <c r="I3077" s="30">
        <v>2.3958333333333331E-3</v>
      </c>
      <c r="J3077">
        <v>3</v>
      </c>
    </row>
    <row r="3078" spans="1:10" x14ac:dyDescent="0.35">
      <c r="A3078" t="s">
        <v>3440</v>
      </c>
      <c r="B3078" t="s">
        <v>323</v>
      </c>
      <c r="C3078" t="s">
        <v>3410</v>
      </c>
      <c r="D3078" s="30">
        <v>0.61</v>
      </c>
      <c r="E3078" t="s">
        <v>302</v>
      </c>
      <c r="F3078" t="s">
        <v>303</v>
      </c>
      <c r="G3078" t="s">
        <v>303</v>
      </c>
    </row>
    <row r="3079" spans="1:10" x14ac:dyDescent="0.35">
      <c r="A3079" t="s">
        <v>3441</v>
      </c>
      <c r="B3079" t="s">
        <v>316</v>
      </c>
      <c r="C3079" t="s">
        <v>3410</v>
      </c>
      <c r="D3079" s="30">
        <v>0.61</v>
      </c>
      <c r="E3079" t="s">
        <v>302</v>
      </c>
      <c r="F3079" t="s">
        <v>299</v>
      </c>
      <c r="G3079" t="s">
        <v>299</v>
      </c>
      <c r="H3079">
        <v>86</v>
      </c>
      <c r="I3079" s="30">
        <v>3.2175925925925926E-3</v>
      </c>
      <c r="J3079">
        <v>3</v>
      </c>
    </row>
    <row r="3080" spans="1:10" x14ac:dyDescent="0.35">
      <c r="A3080" t="s">
        <v>3442</v>
      </c>
      <c r="B3080" t="s">
        <v>332</v>
      </c>
      <c r="C3080" t="s">
        <v>3410</v>
      </c>
      <c r="D3080" s="30">
        <v>0.61700231481481482</v>
      </c>
      <c r="E3080" t="s">
        <v>309</v>
      </c>
      <c r="F3080" t="s">
        <v>299</v>
      </c>
      <c r="G3080" t="s">
        <v>299</v>
      </c>
      <c r="H3080">
        <v>77</v>
      </c>
      <c r="I3080" s="30">
        <v>4.7800925925925927E-3</v>
      </c>
      <c r="J3080">
        <v>4</v>
      </c>
    </row>
    <row r="3081" spans="1:10" x14ac:dyDescent="0.35">
      <c r="A3081" t="s">
        <v>3443</v>
      </c>
      <c r="B3081" t="s">
        <v>316</v>
      </c>
      <c r="C3081" t="s">
        <v>3410</v>
      </c>
      <c r="D3081" s="30">
        <v>0.61700231481481482</v>
      </c>
      <c r="E3081" t="s">
        <v>298</v>
      </c>
      <c r="F3081" t="s">
        <v>299</v>
      </c>
      <c r="G3081" t="s">
        <v>299</v>
      </c>
      <c r="H3081">
        <v>70</v>
      </c>
      <c r="I3081" s="30">
        <v>3.3333333333333335E-3</v>
      </c>
      <c r="J3081">
        <v>3</v>
      </c>
    </row>
    <row r="3082" spans="1:10" x14ac:dyDescent="0.35">
      <c r="A3082" t="s">
        <v>3444</v>
      </c>
      <c r="B3082" t="s">
        <v>307</v>
      </c>
      <c r="C3082" t="s">
        <v>3410</v>
      </c>
      <c r="D3082" s="30">
        <v>0.62099537037037034</v>
      </c>
      <c r="E3082" t="s">
        <v>317</v>
      </c>
      <c r="F3082" t="s">
        <v>299</v>
      </c>
      <c r="G3082" t="s">
        <v>299</v>
      </c>
      <c r="H3082">
        <v>82</v>
      </c>
      <c r="I3082" s="30">
        <v>9.9537037037037042E-4</v>
      </c>
      <c r="J3082">
        <v>3</v>
      </c>
    </row>
    <row r="3083" spans="1:10" x14ac:dyDescent="0.35">
      <c r="A3083" t="s">
        <v>3445</v>
      </c>
      <c r="B3083" t="s">
        <v>319</v>
      </c>
      <c r="C3083" t="s">
        <v>3410</v>
      </c>
      <c r="D3083" s="30">
        <v>0.62099537037037034</v>
      </c>
      <c r="E3083" t="s">
        <v>309</v>
      </c>
      <c r="F3083" t="s">
        <v>303</v>
      </c>
      <c r="G3083" t="s">
        <v>303</v>
      </c>
    </row>
    <row r="3084" spans="1:10" x14ac:dyDescent="0.35">
      <c r="A3084" t="s">
        <v>3446</v>
      </c>
      <c r="B3084" t="s">
        <v>301</v>
      </c>
      <c r="C3084" t="s">
        <v>3410</v>
      </c>
      <c r="D3084" s="30">
        <v>0.64</v>
      </c>
      <c r="E3084" t="s">
        <v>298</v>
      </c>
      <c r="F3084" t="s">
        <v>299</v>
      </c>
      <c r="G3084" t="s">
        <v>299</v>
      </c>
      <c r="H3084">
        <v>69</v>
      </c>
      <c r="I3084" s="30">
        <v>1.5856481481481481E-3</v>
      </c>
      <c r="J3084">
        <v>1</v>
      </c>
    </row>
    <row r="3085" spans="1:10" x14ac:dyDescent="0.35">
      <c r="A3085" t="s">
        <v>3447</v>
      </c>
      <c r="B3085" t="s">
        <v>316</v>
      </c>
      <c r="C3085" t="s">
        <v>3410</v>
      </c>
      <c r="D3085" s="30">
        <v>0.64</v>
      </c>
      <c r="E3085" t="s">
        <v>302</v>
      </c>
      <c r="F3085" t="s">
        <v>303</v>
      </c>
      <c r="G3085" t="s">
        <v>303</v>
      </c>
    </row>
    <row r="3086" spans="1:10" x14ac:dyDescent="0.35">
      <c r="A3086" t="s">
        <v>3448</v>
      </c>
      <c r="B3086" t="s">
        <v>319</v>
      </c>
      <c r="C3086" t="s">
        <v>3410</v>
      </c>
      <c r="D3086" s="30">
        <v>0.64599537037037036</v>
      </c>
      <c r="E3086" t="s">
        <v>298</v>
      </c>
      <c r="F3086" t="s">
        <v>299</v>
      </c>
      <c r="G3086" t="s">
        <v>299</v>
      </c>
      <c r="H3086">
        <v>56</v>
      </c>
      <c r="I3086" s="30">
        <v>9.4907407407407408E-4</v>
      </c>
      <c r="J3086">
        <v>1</v>
      </c>
    </row>
    <row r="3087" spans="1:10" x14ac:dyDescent="0.35">
      <c r="A3087" t="s">
        <v>3449</v>
      </c>
      <c r="B3087" t="s">
        <v>307</v>
      </c>
      <c r="C3087" t="s">
        <v>3410</v>
      </c>
      <c r="D3087" s="30">
        <v>0.64599537037037036</v>
      </c>
      <c r="E3087" t="s">
        <v>298</v>
      </c>
      <c r="F3087" t="s">
        <v>299</v>
      </c>
      <c r="G3087" t="s">
        <v>299</v>
      </c>
      <c r="H3087">
        <v>95</v>
      </c>
      <c r="I3087" s="30">
        <v>4.2708333333333331E-3</v>
      </c>
      <c r="J3087">
        <v>1</v>
      </c>
    </row>
    <row r="3088" spans="1:10" x14ac:dyDescent="0.35">
      <c r="A3088" t="s">
        <v>3450</v>
      </c>
      <c r="B3088" t="s">
        <v>316</v>
      </c>
      <c r="C3088" t="s">
        <v>3410</v>
      </c>
      <c r="D3088" s="30">
        <v>0.64900462962962968</v>
      </c>
      <c r="E3088" t="s">
        <v>314</v>
      </c>
      <c r="F3088" t="s">
        <v>303</v>
      </c>
      <c r="G3088" t="s">
        <v>303</v>
      </c>
    </row>
    <row r="3089" spans="1:10" x14ac:dyDescent="0.35">
      <c r="A3089" t="s">
        <v>3451</v>
      </c>
      <c r="B3089" t="s">
        <v>307</v>
      </c>
      <c r="C3089" t="s">
        <v>3410</v>
      </c>
      <c r="D3089" s="30">
        <v>0.64900462962962968</v>
      </c>
      <c r="E3089" t="s">
        <v>317</v>
      </c>
      <c r="F3089" t="s">
        <v>299</v>
      </c>
      <c r="G3089" t="s">
        <v>299</v>
      </c>
      <c r="H3089">
        <v>13</v>
      </c>
      <c r="I3089" s="30">
        <v>4.2361111111111115E-3</v>
      </c>
      <c r="J3089">
        <v>3</v>
      </c>
    </row>
    <row r="3090" spans="1:10" x14ac:dyDescent="0.35">
      <c r="A3090" t="s">
        <v>3452</v>
      </c>
      <c r="B3090" t="s">
        <v>319</v>
      </c>
      <c r="C3090" t="s">
        <v>3410</v>
      </c>
      <c r="D3090" s="30">
        <v>0.6579976851851852</v>
      </c>
      <c r="E3090" t="s">
        <v>309</v>
      </c>
      <c r="F3090" t="s">
        <v>299</v>
      </c>
      <c r="G3090" t="s">
        <v>299</v>
      </c>
      <c r="H3090">
        <v>52</v>
      </c>
      <c r="I3090" s="30">
        <v>3.460648148148148E-3</v>
      </c>
      <c r="J3090">
        <v>4</v>
      </c>
    </row>
    <row r="3091" spans="1:10" x14ac:dyDescent="0.35">
      <c r="A3091" t="s">
        <v>3453</v>
      </c>
      <c r="B3091" t="s">
        <v>319</v>
      </c>
      <c r="C3091" t="s">
        <v>3410</v>
      </c>
      <c r="D3091" s="30">
        <v>0.6579976851851852</v>
      </c>
      <c r="E3091" t="s">
        <v>302</v>
      </c>
      <c r="F3091" t="s">
        <v>299</v>
      </c>
      <c r="G3091" t="s">
        <v>303</v>
      </c>
      <c r="H3091">
        <v>40</v>
      </c>
      <c r="I3091" s="30">
        <v>4.0740740740740737E-3</v>
      </c>
      <c r="J3091">
        <v>4</v>
      </c>
    </row>
    <row r="3092" spans="1:10" x14ac:dyDescent="0.35">
      <c r="A3092" t="s">
        <v>3454</v>
      </c>
      <c r="B3092" t="s">
        <v>307</v>
      </c>
      <c r="C3092" t="s">
        <v>3410</v>
      </c>
      <c r="D3092" s="30">
        <v>0.69499999999999995</v>
      </c>
      <c r="E3092" t="s">
        <v>314</v>
      </c>
      <c r="F3092" t="s">
        <v>303</v>
      </c>
      <c r="G3092" t="s">
        <v>303</v>
      </c>
    </row>
    <row r="3093" spans="1:10" x14ac:dyDescent="0.35">
      <c r="A3093" t="s">
        <v>3455</v>
      </c>
      <c r="B3093" t="s">
        <v>323</v>
      </c>
      <c r="C3093" t="s">
        <v>3410</v>
      </c>
      <c r="D3093" s="30">
        <v>0.69499999999999995</v>
      </c>
      <c r="E3093" t="s">
        <v>298</v>
      </c>
      <c r="F3093" t="s">
        <v>299</v>
      </c>
      <c r="G3093" t="s">
        <v>299</v>
      </c>
      <c r="H3093">
        <v>124</v>
      </c>
      <c r="I3093" s="30">
        <v>4.6643518518518518E-3</v>
      </c>
      <c r="J3093">
        <v>5</v>
      </c>
    </row>
    <row r="3094" spans="1:10" x14ac:dyDescent="0.35">
      <c r="A3094" t="s">
        <v>3456</v>
      </c>
      <c r="B3094" t="s">
        <v>307</v>
      </c>
      <c r="C3094" t="s">
        <v>3410</v>
      </c>
      <c r="D3094" s="30">
        <v>0.70499999999999996</v>
      </c>
      <c r="E3094" t="s">
        <v>309</v>
      </c>
      <c r="F3094" t="s">
        <v>299</v>
      </c>
      <c r="G3094" t="s">
        <v>299</v>
      </c>
      <c r="H3094">
        <v>99</v>
      </c>
      <c r="I3094" s="30">
        <v>4.6759259259259263E-3</v>
      </c>
      <c r="J3094">
        <v>4</v>
      </c>
    </row>
    <row r="3095" spans="1:10" x14ac:dyDescent="0.35">
      <c r="A3095" t="s">
        <v>3457</v>
      </c>
      <c r="B3095" t="s">
        <v>301</v>
      </c>
      <c r="C3095" t="s">
        <v>3410</v>
      </c>
      <c r="D3095" s="30">
        <v>0.70499999999999996</v>
      </c>
      <c r="E3095" t="s">
        <v>317</v>
      </c>
      <c r="F3095" t="s">
        <v>299</v>
      </c>
      <c r="G3095" t="s">
        <v>299</v>
      </c>
      <c r="H3095">
        <v>99</v>
      </c>
      <c r="I3095" s="30">
        <v>4.6064814814814814E-3</v>
      </c>
      <c r="J3095">
        <v>4</v>
      </c>
    </row>
    <row r="3096" spans="1:10" x14ac:dyDescent="0.35">
      <c r="A3096" t="s">
        <v>3458</v>
      </c>
      <c r="B3096" t="s">
        <v>296</v>
      </c>
      <c r="C3096" t="s">
        <v>3410</v>
      </c>
      <c r="D3096" s="30">
        <v>0.71599537037037042</v>
      </c>
      <c r="E3096" t="s">
        <v>309</v>
      </c>
      <c r="F3096" t="s">
        <v>299</v>
      </c>
      <c r="G3096" t="s">
        <v>299</v>
      </c>
      <c r="H3096">
        <v>86</v>
      </c>
      <c r="I3096" s="30">
        <v>3.0787037037037037E-3</v>
      </c>
      <c r="J3096">
        <v>4</v>
      </c>
    </row>
    <row r="3097" spans="1:10" x14ac:dyDescent="0.35">
      <c r="A3097" t="s">
        <v>3459</v>
      </c>
      <c r="B3097" t="s">
        <v>319</v>
      </c>
      <c r="C3097" t="s">
        <v>3410</v>
      </c>
      <c r="D3097" s="30">
        <v>0.71599537037037042</v>
      </c>
      <c r="E3097" t="s">
        <v>302</v>
      </c>
      <c r="F3097" t="s">
        <v>299</v>
      </c>
      <c r="G3097" t="s">
        <v>299</v>
      </c>
      <c r="H3097">
        <v>118</v>
      </c>
      <c r="I3097" s="30">
        <v>6.134259259259259E-4</v>
      </c>
      <c r="J3097">
        <v>2</v>
      </c>
    </row>
    <row r="3098" spans="1:10" x14ac:dyDescent="0.35">
      <c r="A3098" t="s">
        <v>3460</v>
      </c>
      <c r="B3098" t="s">
        <v>323</v>
      </c>
      <c r="C3098" t="s">
        <v>3410</v>
      </c>
      <c r="D3098" s="30">
        <v>0.72499999999999998</v>
      </c>
      <c r="E3098" t="s">
        <v>298</v>
      </c>
      <c r="F3098" t="s">
        <v>299</v>
      </c>
      <c r="G3098" t="s">
        <v>299</v>
      </c>
      <c r="H3098">
        <v>50</v>
      </c>
      <c r="I3098" s="30">
        <v>4.43287037037037E-3</v>
      </c>
      <c r="J3098">
        <v>4</v>
      </c>
    </row>
    <row r="3099" spans="1:10" x14ac:dyDescent="0.35">
      <c r="A3099" t="s">
        <v>3461</v>
      </c>
      <c r="B3099" t="s">
        <v>323</v>
      </c>
      <c r="C3099" t="s">
        <v>3410</v>
      </c>
      <c r="D3099" s="30">
        <v>0.72499999999999998</v>
      </c>
      <c r="E3099" t="s">
        <v>314</v>
      </c>
      <c r="F3099" t="s">
        <v>303</v>
      </c>
      <c r="G3099" t="s">
        <v>303</v>
      </c>
    </row>
    <row r="3100" spans="1:10" x14ac:dyDescent="0.35">
      <c r="A3100" t="s">
        <v>3462</v>
      </c>
      <c r="B3100" t="s">
        <v>301</v>
      </c>
      <c r="C3100" t="s">
        <v>3410</v>
      </c>
      <c r="D3100" s="30">
        <v>0.72900462962962964</v>
      </c>
      <c r="E3100" t="s">
        <v>317</v>
      </c>
      <c r="F3100" t="s">
        <v>299</v>
      </c>
      <c r="G3100" t="s">
        <v>299</v>
      </c>
      <c r="H3100">
        <v>52</v>
      </c>
      <c r="I3100" s="30">
        <v>2.476851851851852E-3</v>
      </c>
      <c r="J3100">
        <v>1</v>
      </c>
    </row>
    <row r="3101" spans="1:10" x14ac:dyDescent="0.35">
      <c r="A3101" t="s">
        <v>3463</v>
      </c>
      <c r="B3101" t="s">
        <v>296</v>
      </c>
      <c r="C3101" t="s">
        <v>3410</v>
      </c>
      <c r="D3101" s="30">
        <v>0.72900462962962964</v>
      </c>
      <c r="E3101" t="s">
        <v>302</v>
      </c>
      <c r="F3101" t="s">
        <v>299</v>
      </c>
      <c r="G3101" t="s">
        <v>299</v>
      </c>
      <c r="H3101">
        <v>34</v>
      </c>
      <c r="I3101" s="30">
        <v>3.3101851851851851E-3</v>
      </c>
      <c r="J3101">
        <v>4</v>
      </c>
    </row>
    <row r="3102" spans="1:10" x14ac:dyDescent="0.35">
      <c r="A3102" t="s">
        <v>3464</v>
      </c>
      <c r="B3102" t="s">
        <v>307</v>
      </c>
      <c r="C3102" t="s">
        <v>3465</v>
      </c>
      <c r="D3102" s="30">
        <v>0.4</v>
      </c>
      <c r="E3102" t="s">
        <v>309</v>
      </c>
      <c r="F3102" t="s">
        <v>299</v>
      </c>
      <c r="G3102" t="s">
        <v>299</v>
      </c>
      <c r="H3102">
        <v>37</v>
      </c>
      <c r="I3102" s="30">
        <v>2.638888888888889E-3</v>
      </c>
      <c r="J3102">
        <v>3</v>
      </c>
    </row>
    <row r="3103" spans="1:10" x14ac:dyDescent="0.35">
      <c r="A3103" t="s">
        <v>3466</v>
      </c>
      <c r="B3103" t="s">
        <v>332</v>
      </c>
      <c r="C3103" t="s">
        <v>3465</v>
      </c>
      <c r="D3103" s="30">
        <v>0.4</v>
      </c>
      <c r="E3103" t="s">
        <v>314</v>
      </c>
      <c r="F3103" t="s">
        <v>299</v>
      </c>
      <c r="G3103" t="s">
        <v>299</v>
      </c>
      <c r="H3103">
        <v>75</v>
      </c>
      <c r="I3103" s="30">
        <v>2.0949074074074073E-3</v>
      </c>
      <c r="J3103">
        <v>4</v>
      </c>
    </row>
    <row r="3104" spans="1:10" x14ac:dyDescent="0.35">
      <c r="A3104" t="s">
        <v>3467</v>
      </c>
      <c r="B3104" t="s">
        <v>332</v>
      </c>
      <c r="C3104" t="s">
        <v>3465</v>
      </c>
      <c r="D3104" s="30">
        <v>0.54099537037037038</v>
      </c>
      <c r="E3104" t="s">
        <v>302</v>
      </c>
      <c r="F3104" t="s">
        <v>299</v>
      </c>
      <c r="G3104" t="s">
        <v>299</v>
      </c>
      <c r="H3104">
        <v>85</v>
      </c>
      <c r="I3104" s="30">
        <v>8.4490740740740739E-4</v>
      </c>
      <c r="J3104">
        <v>2</v>
      </c>
    </row>
    <row r="3105" spans="1:10" x14ac:dyDescent="0.35">
      <c r="A3105" t="s">
        <v>3468</v>
      </c>
      <c r="B3105" t="s">
        <v>296</v>
      </c>
      <c r="C3105" t="s">
        <v>3465</v>
      </c>
      <c r="D3105" s="30">
        <v>0.54099537037037038</v>
      </c>
      <c r="E3105" t="s">
        <v>314</v>
      </c>
      <c r="F3105" t="s">
        <v>299</v>
      </c>
      <c r="G3105" t="s">
        <v>299</v>
      </c>
      <c r="H3105">
        <v>25</v>
      </c>
      <c r="I3105" s="30">
        <v>3.0439814814814813E-3</v>
      </c>
      <c r="J3105">
        <v>3</v>
      </c>
    </row>
    <row r="3106" spans="1:10" x14ac:dyDescent="0.35">
      <c r="A3106" t="s">
        <v>3469</v>
      </c>
      <c r="B3106" t="s">
        <v>305</v>
      </c>
      <c r="C3106" t="s">
        <v>3465</v>
      </c>
      <c r="D3106" s="30">
        <v>0.54200231481481487</v>
      </c>
      <c r="E3106" t="s">
        <v>314</v>
      </c>
      <c r="F3106" t="s">
        <v>303</v>
      </c>
      <c r="G3106" t="s">
        <v>303</v>
      </c>
    </row>
    <row r="3107" spans="1:10" x14ac:dyDescent="0.35">
      <c r="A3107" t="s">
        <v>3470</v>
      </c>
      <c r="B3107" t="s">
        <v>332</v>
      </c>
      <c r="C3107" t="s">
        <v>3465</v>
      </c>
      <c r="D3107" s="30">
        <v>0.54200231481481487</v>
      </c>
      <c r="E3107" t="s">
        <v>298</v>
      </c>
      <c r="F3107" t="s">
        <v>303</v>
      </c>
      <c r="G3107" t="s">
        <v>303</v>
      </c>
    </row>
    <row r="3108" spans="1:10" x14ac:dyDescent="0.35">
      <c r="A3108" t="s">
        <v>3471</v>
      </c>
      <c r="B3108" t="s">
        <v>319</v>
      </c>
      <c r="C3108" t="s">
        <v>3465</v>
      </c>
      <c r="D3108" s="30">
        <v>0.5540046296296296</v>
      </c>
      <c r="E3108" t="s">
        <v>317</v>
      </c>
      <c r="F3108" t="s">
        <v>299</v>
      </c>
      <c r="G3108" t="s">
        <v>299</v>
      </c>
      <c r="H3108">
        <v>70</v>
      </c>
      <c r="I3108" s="30">
        <v>5.5555555555555556E-4</v>
      </c>
      <c r="J3108">
        <v>4</v>
      </c>
    </row>
    <row r="3109" spans="1:10" x14ac:dyDescent="0.35">
      <c r="A3109" t="s">
        <v>3472</v>
      </c>
      <c r="B3109" t="s">
        <v>296</v>
      </c>
      <c r="C3109" t="s">
        <v>3465</v>
      </c>
      <c r="D3109" s="30">
        <v>0.5540046296296296</v>
      </c>
      <c r="E3109" t="s">
        <v>302</v>
      </c>
      <c r="F3109" t="s">
        <v>299</v>
      </c>
      <c r="G3109" t="s">
        <v>299</v>
      </c>
      <c r="H3109">
        <v>103</v>
      </c>
      <c r="I3109" s="30">
        <v>2.3842592592592591E-3</v>
      </c>
      <c r="J3109">
        <v>4</v>
      </c>
    </row>
    <row r="3110" spans="1:10" x14ac:dyDescent="0.35">
      <c r="A3110" t="s">
        <v>3473</v>
      </c>
      <c r="B3110" t="s">
        <v>305</v>
      </c>
      <c r="C3110" t="s">
        <v>3465</v>
      </c>
      <c r="D3110" s="30">
        <v>0.5659953703703704</v>
      </c>
      <c r="E3110" t="s">
        <v>309</v>
      </c>
      <c r="F3110" t="s">
        <v>299</v>
      </c>
      <c r="G3110" t="s">
        <v>299</v>
      </c>
      <c r="H3110">
        <v>71</v>
      </c>
      <c r="I3110" s="30">
        <v>4.8263888888888887E-3</v>
      </c>
      <c r="J3110">
        <v>5</v>
      </c>
    </row>
    <row r="3111" spans="1:10" x14ac:dyDescent="0.35">
      <c r="A3111" t="s">
        <v>3474</v>
      </c>
      <c r="B3111" t="s">
        <v>301</v>
      </c>
      <c r="C3111" t="s">
        <v>3465</v>
      </c>
      <c r="D3111" s="30">
        <v>0.5659953703703704</v>
      </c>
      <c r="E3111" t="s">
        <v>302</v>
      </c>
      <c r="F3111" t="s">
        <v>299</v>
      </c>
      <c r="G3111" t="s">
        <v>299</v>
      </c>
      <c r="H3111">
        <v>51</v>
      </c>
      <c r="I3111" s="30">
        <v>8.2175925925925927E-4</v>
      </c>
      <c r="J3111">
        <v>4</v>
      </c>
    </row>
    <row r="3112" spans="1:10" x14ac:dyDescent="0.35">
      <c r="A3112" t="s">
        <v>3475</v>
      </c>
      <c r="B3112" t="s">
        <v>316</v>
      </c>
      <c r="C3112" t="s">
        <v>3465</v>
      </c>
      <c r="D3112" s="30">
        <v>0.57599537037037041</v>
      </c>
      <c r="E3112" t="s">
        <v>309</v>
      </c>
      <c r="F3112" t="s">
        <v>299</v>
      </c>
      <c r="G3112" t="s">
        <v>299</v>
      </c>
      <c r="H3112">
        <v>103</v>
      </c>
      <c r="I3112" s="30">
        <v>3.7037037037037041E-4</v>
      </c>
      <c r="J3112">
        <v>5</v>
      </c>
    </row>
    <row r="3113" spans="1:10" x14ac:dyDescent="0.35">
      <c r="A3113" t="s">
        <v>3476</v>
      </c>
      <c r="B3113" t="s">
        <v>319</v>
      </c>
      <c r="C3113" t="s">
        <v>3465</v>
      </c>
      <c r="D3113" s="30">
        <v>0.57599537037037041</v>
      </c>
      <c r="E3113" t="s">
        <v>309</v>
      </c>
      <c r="F3113" t="s">
        <v>299</v>
      </c>
      <c r="G3113" t="s">
        <v>299</v>
      </c>
      <c r="H3113">
        <v>98</v>
      </c>
      <c r="I3113" s="30">
        <v>2.0254629629629629E-3</v>
      </c>
      <c r="J3113">
        <v>5</v>
      </c>
    </row>
    <row r="3114" spans="1:10" x14ac:dyDescent="0.35">
      <c r="A3114" t="s">
        <v>3477</v>
      </c>
      <c r="B3114" t="s">
        <v>307</v>
      </c>
      <c r="C3114" t="s">
        <v>3465</v>
      </c>
      <c r="D3114" s="30">
        <v>0.58200231481481479</v>
      </c>
      <c r="E3114" t="s">
        <v>309</v>
      </c>
      <c r="F3114" t="s">
        <v>299</v>
      </c>
      <c r="G3114" t="s">
        <v>299</v>
      </c>
      <c r="H3114">
        <v>65</v>
      </c>
      <c r="I3114" s="30">
        <v>2.3611111111111111E-3</v>
      </c>
      <c r="J3114">
        <v>2</v>
      </c>
    </row>
    <row r="3115" spans="1:10" x14ac:dyDescent="0.35">
      <c r="A3115" t="s">
        <v>3478</v>
      </c>
      <c r="B3115" t="s">
        <v>332</v>
      </c>
      <c r="C3115" t="s">
        <v>3465</v>
      </c>
      <c r="D3115" s="30">
        <v>0.58200231481481479</v>
      </c>
      <c r="E3115" t="s">
        <v>314</v>
      </c>
      <c r="F3115" t="s">
        <v>299</v>
      </c>
      <c r="G3115" t="s">
        <v>299</v>
      </c>
      <c r="H3115">
        <v>104</v>
      </c>
      <c r="I3115" s="30">
        <v>3.460648148148148E-3</v>
      </c>
      <c r="J3115">
        <v>4</v>
      </c>
    </row>
    <row r="3116" spans="1:10" x14ac:dyDescent="0.35">
      <c r="A3116" t="s">
        <v>3479</v>
      </c>
      <c r="B3116" t="s">
        <v>316</v>
      </c>
      <c r="C3116" t="s">
        <v>3465</v>
      </c>
      <c r="D3116" s="30">
        <v>0.6</v>
      </c>
      <c r="E3116" t="s">
        <v>309</v>
      </c>
      <c r="F3116" t="s">
        <v>299</v>
      </c>
      <c r="G3116" t="s">
        <v>299</v>
      </c>
      <c r="H3116">
        <v>82</v>
      </c>
      <c r="I3116" s="30">
        <v>3.3101851851851851E-3</v>
      </c>
      <c r="J3116">
        <v>2</v>
      </c>
    </row>
    <row r="3117" spans="1:10" x14ac:dyDescent="0.35">
      <c r="A3117" t="s">
        <v>3480</v>
      </c>
      <c r="B3117" t="s">
        <v>323</v>
      </c>
      <c r="C3117" t="s">
        <v>3465</v>
      </c>
      <c r="D3117" s="30">
        <v>0.6</v>
      </c>
      <c r="E3117" t="s">
        <v>309</v>
      </c>
      <c r="F3117" t="s">
        <v>299</v>
      </c>
      <c r="G3117" t="s">
        <v>299</v>
      </c>
      <c r="H3117">
        <v>26</v>
      </c>
      <c r="I3117" s="30">
        <v>1.9907407407407408E-3</v>
      </c>
      <c r="J3117">
        <v>4</v>
      </c>
    </row>
    <row r="3118" spans="1:10" x14ac:dyDescent="0.35">
      <c r="A3118" t="s">
        <v>3481</v>
      </c>
      <c r="B3118" t="s">
        <v>296</v>
      </c>
      <c r="C3118" t="s">
        <v>3465</v>
      </c>
      <c r="D3118" s="30">
        <v>0.60700231481481481</v>
      </c>
      <c r="E3118" t="s">
        <v>309</v>
      </c>
      <c r="F3118" t="s">
        <v>299</v>
      </c>
      <c r="G3118" t="s">
        <v>303</v>
      </c>
      <c r="H3118">
        <v>84</v>
      </c>
      <c r="I3118" s="30">
        <v>2.5000000000000001E-3</v>
      </c>
      <c r="J3118">
        <v>3</v>
      </c>
    </row>
    <row r="3119" spans="1:10" x14ac:dyDescent="0.35">
      <c r="A3119" t="s">
        <v>3482</v>
      </c>
      <c r="B3119" t="s">
        <v>307</v>
      </c>
      <c r="C3119" t="s">
        <v>3465</v>
      </c>
      <c r="D3119" s="30">
        <v>0.60700231481481481</v>
      </c>
      <c r="E3119" t="s">
        <v>302</v>
      </c>
      <c r="F3119" t="s">
        <v>299</v>
      </c>
      <c r="G3119" t="s">
        <v>299</v>
      </c>
      <c r="H3119">
        <v>106</v>
      </c>
      <c r="I3119" s="30">
        <v>3.9699074074074072E-3</v>
      </c>
      <c r="J3119">
        <v>4</v>
      </c>
    </row>
    <row r="3120" spans="1:10" x14ac:dyDescent="0.35">
      <c r="A3120" t="s">
        <v>3483</v>
      </c>
      <c r="B3120" t="s">
        <v>319</v>
      </c>
      <c r="C3120" t="s">
        <v>3465</v>
      </c>
      <c r="D3120" s="30">
        <v>0.61200231481481482</v>
      </c>
      <c r="E3120" t="s">
        <v>314</v>
      </c>
      <c r="F3120" t="s">
        <v>299</v>
      </c>
      <c r="G3120" t="s">
        <v>299</v>
      </c>
      <c r="H3120">
        <v>92</v>
      </c>
      <c r="I3120" s="30">
        <v>1.1805555555555556E-3</v>
      </c>
      <c r="J3120">
        <v>4</v>
      </c>
    </row>
    <row r="3121" spans="1:10" x14ac:dyDescent="0.35">
      <c r="A3121" t="s">
        <v>3484</v>
      </c>
      <c r="B3121" t="s">
        <v>319</v>
      </c>
      <c r="C3121" t="s">
        <v>3465</v>
      </c>
      <c r="D3121" s="30">
        <v>0.61200231481481482</v>
      </c>
      <c r="E3121" t="s">
        <v>314</v>
      </c>
      <c r="F3121" t="s">
        <v>303</v>
      </c>
      <c r="G3121" t="s">
        <v>303</v>
      </c>
    </row>
    <row r="3122" spans="1:10" x14ac:dyDescent="0.35">
      <c r="A3122" t="s">
        <v>3485</v>
      </c>
      <c r="B3122" t="s">
        <v>301</v>
      </c>
      <c r="C3122" t="s">
        <v>3465</v>
      </c>
      <c r="D3122" s="30">
        <v>0.63700231481481484</v>
      </c>
      <c r="E3122" t="s">
        <v>298</v>
      </c>
      <c r="F3122" t="s">
        <v>299</v>
      </c>
      <c r="G3122" t="s">
        <v>299</v>
      </c>
      <c r="H3122">
        <v>122</v>
      </c>
      <c r="I3122" s="30">
        <v>2.0949074074074073E-3</v>
      </c>
      <c r="J3122">
        <v>1</v>
      </c>
    </row>
    <row r="3123" spans="1:10" x14ac:dyDescent="0.35">
      <c r="A3123" t="s">
        <v>3486</v>
      </c>
      <c r="B3123" t="s">
        <v>301</v>
      </c>
      <c r="C3123" t="s">
        <v>3465</v>
      </c>
      <c r="D3123" s="30">
        <v>0.63700231481481484</v>
      </c>
      <c r="E3123" t="s">
        <v>298</v>
      </c>
      <c r="F3123" t="s">
        <v>299</v>
      </c>
      <c r="G3123" t="s">
        <v>299</v>
      </c>
      <c r="H3123">
        <v>92</v>
      </c>
      <c r="I3123" s="30">
        <v>1.8981481481481482E-3</v>
      </c>
      <c r="J3123">
        <v>4</v>
      </c>
    </row>
    <row r="3124" spans="1:10" x14ac:dyDescent="0.35">
      <c r="A3124" t="s">
        <v>3487</v>
      </c>
      <c r="B3124" t="s">
        <v>296</v>
      </c>
      <c r="C3124" t="s">
        <v>3465</v>
      </c>
      <c r="D3124" s="30">
        <v>0.64</v>
      </c>
      <c r="E3124" t="s">
        <v>309</v>
      </c>
      <c r="F3124" t="s">
        <v>303</v>
      </c>
      <c r="G3124" t="s">
        <v>303</v>
      </c>
    </row>
    <row r="3125" spans="1:10" x14ac:dyDescent="0.35">
      <c r="A3125" t="s">
        <v>3488</v>
      </c>
      <c r="B3125" t="s">
        <v>316</v>
      </c>
      <c r="C3125" t="s">
        <v>3465</v>
      </c>
      <c r="D3125" s="30">
        <v>0.64</v>
      </c>
      <c r="E3125" t="s">
        <v>317</v>
      </c>
      <c r="F3125" t="s">
        <v>299</v>
      </c>
      <c r="G3125" t="s">
        <v>299</v>
      </c>
      <c r="H3125">
        <v>61</v>
      </c>
      <c r="I3125" s="30">
        <v>3.0671296296296297E-3</v>
      </c>
      <c r="J3125">
        <v>5</v>
      </c>
    </row>
    <row r="3126" spans="1:10" x14ac:dyDescent="0.35">
      <c r="A3126" t="s">
        <v>3489</v>
      </c>
      <c r="B3126" t="s">
        <v>323</v>
      </c>
      <c r="C3126" t="s">
        <v>3465</v>
      </c>
      <c r="D3126" s="30">
        <v>0.64500000000000002</v>
      </c>
      <c r="E3126" t="s">
        <v>302</v>
      </c>
      <c r="F3126" t="s">
        <v>299</v>
      </c>
      <c r="G3126" t="s">
        <v>299</v>
      </c>
      <c r="H3126">
        <v>27</v>
      </c>
      <c r="I3126" s="30">
        <v>1.3425925925925925E-3</v>
      </c>
      <c r="J3126">
        <v>5</v>
      </c>
    </row>
    <row r="3127" spans="1:10" x14ac:dyDescent="0.35">
      <c r="A3127" t="s">
        <v>3490</v>
      </c>
      <c r="B3127" t="s">
        <v>301</v>
      </c>
      <c r="C3127" t="s">
        <v>3465</v>
      </c>
      <c r="D3127" s="30">
        <v>0.64500000000000002</v>
      </c>
      <c r="E3127" t="s">
        <v>302</v>
      </c>
      <c r="F3127" t="s">
        <v>299</v>
      </c>
      <c r="G3127" t="s">
        <v>299</v>
      </c>
      <c r="H3127">
        <v>68</v>
      </c>
      <c r="I3127" s="30">
        <v>1.25E-3</v>
      </c>
      <c r="J3127">
        <v>1</v>
      </c>
    </row>
    <row r="3128" spans="1:10" x14ac:dyDescent="0.35">
      <c r="A3128" t="s">
        <v>3491</v>
      </c>
      <c r="B3128" t="s">
        <v>296</v>
      </c>
      <c r="C3128" t="s">
        <v>3465</v>
      </c>
      <c r="D3128" s="30">
        <v>0.65400462962962957</v>
      </c>
      <c r="E3128" t="s">
        <v>302</v>
      </c>
      <c r="F3128" t="s">
        <v>303</v>
      </c>
      <c r="G3128" t="s">
        <v>303</v>
      </c>
    </row>
    <row r="3129" spans="1:10" x14ac:dyDescent="0.35">
      <c r="A3129" t="s">
        <v>3492</v>
      </c>
      <c r="B3129" t="s">
        <v>307</v>
      </c>
      <c r="C3129" t="s">
        <v>3465</v>
      </c>
      <c r="D3129" s="30">
        <v>0.65400462962962957</v>
      </c>
      <c r="E3129" t="s">
        <v>302</v>
      </c>
      <c r="F3129" t="s">
        <v>299</v>
      </c>
      <c r="G3129" t="s">
        <v>299</v>
      </c>
      <c r="H3129">
        <v>59</v>
      </c>
      <c r="I3129" s="30">
        <v>4.861111111111111E-4</v>
      </c>
      <c r="J3129">
        <v>4</v>
      </c>
    </row>
    <row r="3130" spans="1:10" x14ac:dyDescent="0.35">
      <c r="A3130" t="s">
        <v>3493</v>
      </c>
      <c r="B3130" t="s">
        <v>319</v>
      </c>
      <c r="C3130" t="s">
        <v>3465</v>
      </c>
      <c r="D3130" s="30">
        <v>0.67200231481481476</v>
      </c>
      <c r="E3130" t="s">
        <v>309</v>
      </c>
      <c r="F3130" t="s">
        <v>303</v>
      </c>
      <c r="G3130" t="s">
        <v>303</v>
      </c>
    </row>
    <row r="3131" spans="1:10" x14ac:dyDescent="0.35">
      <c r="A3131" t="s">
        <v>3494</v>
      </c>
      <c r="B3131" t="s">
        <v>319</v>
      </c>
      <c r="C3131" t="s">
        <v>3465</v>
      </c>
      <c r="D3131" s="30">
        <v>0.67200231481481476</v>
      </c>
      <c r="E3131" t="s">
        <v>302</v>
      </c>
      <c r="F3131" t="s">
        <v>299</v>
      </c>
      <c r="G3131" t="s">
        <v>299</v>
      </c>
      <c r="H3131">
        <v>110</v>
      </c>
      <c r="I3131" s="30">
        <v>4.0509259259259257E-3</v>
      </c>
      <c r="J3131">
        <v>4</v>
      </c>
    </row>
    <row r="3132" spans="1:10" x14ac:dyDescent="0.35">
      <c r="A3132" t="s">
        <v>3495</v>
      </c>
      <c r="B3132" t="s">
        <v>316</v>
      </c>
      <c r="C3132" t="s">
        <v>3465</v>
      </c>
      <c r="D3132" s="30">
        <v>0.68299768518518522</v>
      </c>
      <c r="E3132" t="s">
        <v>302</v>
      </c>
      <c r="F3132" t="s">
        <v>299</v>
      </c>
      <c r="G3132" t="s">
        <v>299</v>
      </c>
      <c r="H3132">
        <v>23</v>
      </c>
      <c r="I3132" s="30">
        <v>1.6203703703703703E-3</v>
      </c>
      <c r="J3132">
        <v>4</v>
      </c>
    </row>
    <row r="3133" spans="1:10" x14ac:dyDescent="0.35">
      <c r="A3133" t="s">
        <v>3496</v>
      </c>
      <c r="B3133" t="s">
        <v>296</v>
      </c>
      <c r="C3133" t="s">
        <v>3465</v>
      </c>
      <c r="D3133" s="30">
        <v>0.68299768518518522</v>
      </c>
      <c r="E3133" t="s">
        <v>298</v>
      </c>
      <c r="F3133" t="s">
        <v>299</v>
      </c>
      <c r="G3133" t="s">
        <v>299</v>
      </c>
      <c r="H3133">
        <v>60</v>
      </c>
      <c r="I3133" s="30">
        <v>4.2708333333333331E-3</v>
      </c>
      <c r="J3133">
        <v>5</v>
      </c>
    </row>
    <row r="3134" spans="1:10" x14ac:dyDescent="0.35">
      <c r="A3134" t="s">
        <v>3497</v>
      </c>
      <c r="B3134" t="s">
        <v>305</v>
      </c>
      <c r="C3134" t="s">
        <v>3465</v>
      </c>
      <c r="D3134" s="30">
        <v>0.69299768518518523</v>
      </c>
      <c r="E3134" t="s">
        <v>309</v>
      </c>
      <c r="F3134" t="s">
        <v>299</v>
      </c>
      <c r="G3134" t="s">
        <v>299</v>
      </c>
      <c r="H3134">
        <v>89</v>
      </c>
      <c r="I3134" s="30">
        <v>1.7013888888888888E-3</v>
      </c>
      <c r="J3134">
        <v>3</v>
      </c>
    </row>
    <row r="3135" spans="1:10" x14ac:dyDescent="0.35">
      <c r="A3135" t="s">
        <v>3498</v>
      </c>
      <c r="B3135" t="s">
        <v>323</v>
      </c>
      <c r="C3135" t="s">
        <v>3465</v>
      </c>
      <c r="D3135" s="30">
        <v>0.69299768518518523</v>
      </c>
      <c r="E3135" t="s">
        <v>314</v>
      </c>
      <c r="F3135" t="s">
        <v>299</v>
      </c>
      <c r="G3135" t="s">
        <v>299</v>
      </c>
      <c r="H3135">
        <v>48</v>
      </c>
      <c r="I3135" s="30">
        <v>2.8472222222222223E-3</v>
      </c>
      <c r="J3135">
        <v>3</v>
      </c>
    </row>
    <row r="3136" spans="1:10" x14ac:dyDescent="0.35">
      <c r="A3136" t="s">
        <v>3499</v>
      </c>
      <c r="B3136" t="s">
        <v>319</v>
      </c>
      <c r="C3136" t="s">
        <v>3465</v>
      </c>
      <c r="D3136" s="30">
        <v>0.6959953703703704</v>
      </c>
      <c r="E3136" t="s">
        <v>314</v>
      </c>
      <c r="F3136" t="s">
        <v>299</v>
      </c>
      <c r="G3136" t="s">
        <v>299</v>
      </c>
      <c r="H3136">
        <v>52</v>
      </c>
      <c r="I3136" s="30">
        <v>3.414351851851852E-3</v>
      </c>
      <c r="J3136">
        <v>5</v>
      </c>
    </row>
    <row r="3137" spans="1:10" x14ac:dyDescent="0.35">
      <c r="A3137" t="s">
        <v>3500</v>
      </c>
      <c r="B3137" t="s">
        <v>316</v>
      </c>
      <c r="C3137" t="s">
        <v>3465</v>
      </c>
      <c r="D3137" s="30">
        <v>0.6959953703703704</v>
      </c>
      <c r="E3137" t="s">
        <v>309</v>
      </c>
      <c r="F3137" t="s">
        <v>299</v>
      </c>
      <c r="G3137" t="s">
        <v>299</v>
      </c>
      <c r="H3137">
        <v>49</v>
      </c>
      <c r="I3137" s="30">
        <v>2.3032407407407407E-3</v>
      </c>
      <c r="J3137">
        <v>1</v>
      </c>
    </row>
    <row r="3138" spans="1:10" x14ac:dyDescent="0.35">
      <c r="A3138" t="s">
        <v>3501</v>
      </c>
      <c r="B3138" t="s">
        <v>301</v>
      </c>
      <c r="C3138" t="s">
        <v>3465</v>
      </c>
      <c r="D3138" s="30">
        <v>0.7</v>
      </c>
      <c r="E3138" t="s">
        <v>302</v>
      </c>
      <c r="F3138" t="s">
        <v>299</v>
      </c>
      <c r="G3138" t="s">
        <v>299</v>
      </c>
      <c r="H3138">
        <v>33</v>
      </c>
      <c r="I3138" s="30">
        <v>3.2291666666666666E-3</v>
      </c>
      <c r="J3138">
        <v>2</v>
      </c>
    </row>
    <row r="3139" spans="1:10" x14ac:dyDescent="0.35">
      <c r="A3139" t="s">
        <v>3502</v>
      </c>
      <c r="B3139" t="s">
        <v>316</v>
      </c>
      <c r="C3139" t="s">
        <v>3465</v>
      </c>
      <c r="D3139" s="30">
        <v>0.7</v>
      </c>
      <c r="E3139" t="s">
        <v>302</v>
      </c>
      <c r="F3139" t="s">
        <v>299</v>
      </c>
      <c r="G3139" t="s">
        <v>299</v>
      </c>
      <c r="H3139">
        <v>108</v>
      </c>
      <c r="I3139" s="30">
        <v>2.9976851851851853E-3</v>
      </c>
      <c r="J3139">
        <v>4</v>
      </c>
    </row>
    <row r="3140" spans="1:10" x14ac:dyDescent="0.35">
      <c r="A3140" t="s">
        <v>3503</v>
      </c>
      <c r="B3140" t="s">
        <v>316</v>
      </c>
      <c r="C3140" t="s">
        <v>3465</v>
      </c>
      <c r="D3140" s="30">
        <v>0.71799768518518514</v>
      </c>
      <c r="E3140" t="s">
        <v>309</v>
      </c>
      <c r="F3140" t="s">
        <v>303</v>
      </c>
      <c r="G3140" t="s">
        <v>303</v>
      </c>
    </row>
    <row r="3141" spans="1:10" x14ac:dyDescent="0.35">
      <c r="A3141" t="s">
        <v>3504</v>
      </c>
      <c r="B3141" t="s">
        <v>319</v>
      </c>
      <c r="C3141" t="s">
        <v>3465</v>
      </c>
      <c r="D3141" s="30">
        <v>0.71799768518518514</v>
      </c>
      <c r="E3141" t="s">
        <v>309</v>
      </c>
      <c r="F3141" t="s">
        <v>299</v>
      </c>
      <c r="G3141" t="s">
        <v>299</v>
      </c>
      <c r="H3141">
        <v>21</v>
      </c>
      <c r="I3141" s="30">
        <v>3.425925925925926E-3</v>
      </c>
      <c r="J3141">
        <v>5</v>
      </c>
    </row>
    <row r="3142" spans="1:10" x14ac:dyDescent="0.35">
      <c r="A3142" t="s">
        <v>3505</v>
      </c>
      <c r="B3142" t="s">
        <v>323</v>
      </c>
      <c r="C3142" t="s">
        <v>3465</v>
      </c>
      <c r="D3142" s="30">
        <v>0.72</v>
      </c>
      <c r="E3142" t="s">
        <v>298</v>
      </c>
      <c r="F3142" t="s">
        <v>299</v>
      </c>
      <c r="G3142" t="s">
        <v>299</v>
      </c>
      <c r="H3142">
        <v>23</v>
      </c>
      <c r="I3142" s="30">
        <v>2.650462962962963E-3</v>
      </c>
      <c r="J3142">
        <v>5</v>
      </c>
    </row>
    <row r="3143" spans="1:10" x14ac:dyDescent="0.35">
      <c r="A3143" t="s">
        <v>3506</v>
      </c>
      <c r="B3143" t="s">
        <v>332</v>
      </c>
      <c r="C3143" t="s">
        <v>3465</v>
      </c>
      <c r="D3143" s="30">
        <v>0.72</v>
      </c>
      <c r="E3143" t="s">
        <v>302</v>
      </c>
      <c r="F3143" t="s">
        <v>303</v>
      </c>
      <c r="G3143" t="s">
        <v>303</v>
      </c>
    </row>
    <row r="3144" spans="1:10" x14ac:dyDescent="0.35">
      <c r="A3144" t="s">
        <v>3507</v>
      </c>
      <c r="B3144" t="s">
        <v>301</v>
      </c>
      <c r="C3144" t="s">
        <v>3465</v>
      </c>
      <c r="D3144" s="30">
        <v>0.72799768518518515</v>
      </c>
      <c r="E3144" t="s">
        <v>298</v>
      </c>
      <c r="F3144" t="s">
        <v>299</v>
      </c>
      <c r="G3144" t="s">
        <v>299</v>
      </c>
      <c r="H3144">
        <v>73</v>
      </c>
      <c r="I3144" s="30">
        <v>3.8657407407407408E-3</v>
      </c>
      <c r="J3144">
        <v>5</v>
      </c>
    </row>
    <row r="3145" spans="1:10" x14ac:dyDescent="0.35">
      <c r="A3145" t="s">
        <v>3508</v>
      </c>
      <c r="B3145" t="s">
        <v>332</v>
      </c>
      <c r="C3145" t="s">
        <v>3465</v>
      </c>
      <c r="D3145" s="30">
        <v>0.72799768518518515</v>
      </c>
      <c r="E3145" t="s">
        <v>302</v>
      </c>
      <c r="F3145" t="s">
        <v>303</v>
      </c>
      <c r="G3145" t="s">
        <v>303</v>
      </c>
    </row>
    <row r="3146" spans="1:10" x14ac:dyDescent="0.35">
      <c r="A3146" t="s">
        <v>3509</v>
      </c>
      <c r="B3146" t="s">
        <v>305</v>
      </c>
      <c r="C3146" t="s">
        <v>3465</v>
      </c>
      <c r="D3146" s="30">
        <v>0.73400462962962965</v>
      </c>
      <c r="E3146" t="s">
        <v>302</v>
      </c>
      <c r="F3146" t="s">
        <v>299</v>
      </c>
      <c r="G3146" t="s">
        <v>299</v>
      </c>
      <c r="H3146">
        <v>22</v>
      </c>
      <c r="I3146" s="30">
        <v>2.9282407407407408E-3</v>
      </c>
      <c r="J3146">
        <v>3</v>
      </c>
    </row>
    <row r="3147" spans="1:10" x14ac:dyDescent="0.35">
      <c r="A3147" t="s">
        <v>3510</v>
      </c>
      <c r="B3147" t="s">
        <v>323</v>
      </c>
      <c r="C3147" t="s">
        <v>3465</v>
      </c>
      <c r="D3147" s="30">
        <v>0.73400462962962965</v>
      </c>
      <c r="E3147" t="s">
        <v>309</v>
      </c>
      <c r="F3147" t="s">
        <v>303</v>
      </c>
      <c r="G3147" t="s">
        <v>303</v>
      </c>
    </row>
    <row r="3148" spans="1:10" x14ac:dyDescent="0.35">
      <c r="A3148" t="s">
        <v>3511</v>
      </c>
      <c r="B3148" t="s">
        <v>305</v>
      </c>
      <c r="C3148" t="s">
        <v>3465</v>
      </c>
      <c r="D3148" s="30">
        <v>0.73799768518518516</v>
      </c>
      <c r="E3148" t="s">
        <v>314</v>
      </c>
      <c r="F3148" t="s">
        <v>299</v>
      </c>
      <c r="G3148" t="s">
        <v>303</v>
      </c>
      <c r="H3148">
        <v>12</v>
      </c>
      <c r="I3148" s="30">
        <v>3.9699074074074072E-3</v>
      </c>
      <c r="J3148">
        <v>4</v>
      </c>
    </row>
    <row r="3149" spans="1:10" x14ac:dyDescent="0.35">
      <c r="A3149" t="s">
        <v>3512</v>
      </c>
      <c r="B3149" t="s">
        <v>319</v>
      </c>
      <c r="C3149" t="s">
        <v>3465</v>
      </c>
      <c r="D3149" s="30">
        <v>0.73799768518518516</v>
      </c>
      <c r="E3149" t="s">
        <v>317</v>
      </c>
      <c r="F3149" t="s">
        <v>299</v>
      </c>
      <c r="G3149" t="s">
        <v>299</v>
      </c>
      <c r="H3149">
        <v>111</v>
      </c>
      <c r="I3149" s="30">
        <v>3.0671296296296297E-3</v>
      </c>
      <c r="J3149">
        <v>3</v>
      </c>
    </row>
    <row r="3150" spans="1:10" x14ac:dyDescent="0.35">
      <c r="A3150" t="s">
        <v>3513</v>
      </c>
      <c r="B3150" t="s">
        <v>316</v>
      </c>
      <c r="C3150" t="s">
        <v>3465</v>
      </c>
      <c r="D3150" s="30">
        <v>0.74099537037037033</v>
      </c>
      <c r="E3150" t="s">
        <v>314</v>
      </c>
      <c r="F3150" t="s">
        <v>299</v>
      </c>
      <c r="G3150" t="s">
        <v>299</v>
      </c>
      <c r="H3150">
        <v>97</v>
      </c>
      <c r="I3150" s="30">
        <v>2.6157407407407405E-3</v>
      </c>
      <c r="J3150">
        <v>5</v>
      </c>
    </row>
    <row r="3151" spans="1:10" x14ac:dyDescent="0.35">
      <c r="A3151" t="s">
        <v>3514</v>
      </c>
      <c r="B3151" t="s">
        <v>296</v>
      </c>
      <c r="C3151" t="s">
        <v>3465</v>
      </c>
      <c r="D3151" s="30">
        <v>0.74099537037037033</v>
      </c>
      <c r="E3151" t="s">
        <v>317</v>
      </c>
      <c r="F3151" t="s">
        <v>299</v>
      </c>
      <c r="G3151" t="s">
        <v>299</v>
      </c>
      <c r="H3151">
        <v>93</v>
      </c>
      <c r="I3151" s="30">
        <v>3.8310185185185183E-3</v>
      </c>
      <c r="J3151">
        <v>4</v>
      </c>
    </row>
    <row r="3152" spans="1:10" x14ac:dyDescent="0.35">
      <c r="A3152" t="s">
        <v>3515</v>
      </c>
      <c r="B3152" t="s">
        <v>301</v>
      </c>
      <c r="C3152" t="s">
        <v>3465</v>
      </c>
      <c r="D3152" s="30">
        <v>0.74700231481481483</v>
      </c>
      <c r="E3152" t="s">
        <v>317</v>
      </c>
      <c r="F3152" t="s">
        <v>299</v>
      </c>
      <c r="G3152" t="s">
        <v>299</v>
      </c>
      <c r="H3152">
        <v>24</v>
      </c>
      <c r="I3152" s="30">
        <v>1.6782407407407408E-3</v>
      </c>
      <c r="J3152">
        <v>3</v>
      </c>
    </row>
    <row r="3153" spans="1:10" x14ac:dyDescent="0.35">
      <c r="A3153" t="s">
        <v>3516</v>
      </c>
      <c r="B3153" t="s">
        <v>323</v>
      </c>
      <c r="C3153" t="s">
        <v>3465</v>
      </c>
      <c r="D3153" s="30">
        <v>0.74700231481481483</v>
      </c>
      <c r="E3153" t="s">
        <v>302</v>
      </c>
      <c r="F3153" t="s">
        <v>299</v>
      </c>
      <c r="G3153" t="s">
        <v>299</v>
      </c>
      <c r="H3153">
        <v>84</v>
      </c>
      <c r="I3153" s="30">
        <v>1.261574074074074E-3</v>
      </c>
      <c r="J3153">
        <v>1</v>
      </c>
    </row>
    <row r="3154" spans="1:10" x14ac:dyDescent="0.35">
      <c r="A3154" t="s">
        <v>3517</v>
      </c>
      <c r="B3154" t="s">
        <v>305</v>
      </c>
      <c r="C3154" t="s">
        <v>3518</v>
      </c>
      <c r="D3154" s="30">
        <v>0.38200231481481484</v>
      </c>
      <c r="E3154" t="s">
        <v>298</v>
      </c>
      <c r="F3154" t="s">
        <v>299</v>
      </c>
      <c r="G3154" t="s">
        <v>299</v>
      </c>
      <c r="H3154">
        <v>17</v>
      </c>
      <c r="I3154" s="30">
        <v>1.3425925925925925E-3</v>
      </c>
      <c r="J3154">
        <v>4</v>
      </c>
    </row>
    <row r="3155" spans="1:10" x14ac:dyDescent="0.35">
      <c r="A3155" t="s">
        <v>3519</v>
      </c>
      <c r="B3155" t="s">
        <v>305</v>
      </c>
      <c r="C3155" t="s">
        <v>3518</v>
      </c>
      <c r="D3155" s="30">
        <v>0.38200231481481484</v>
      </c>
      <c r="E3155" t="s">
        <v>302</v>
      </c>
      <c r="F3155" t="s">
        <v>299</v>
      </c>
      <c r="G3155" t="s">
        <v>299</v>
      </c>
      <c r="H3155">
        <v>55</v>
      </c>
      <c r="I3155" s="30">
        <v>2.8124999999999999E-3</v>
      </c>
      <c r="J3155">
        <v>4</v>
      </c>
    </row>
    <row r="3156" spans="1:10" x14ac:dyDescent="0.35">
      <c r="A3156" t="s">
        <v>3520</v>
      </c>
      <c r="B3156" t="s">
        <v>307</v>
      </c>
      <c r="C3156" t="s">
        <v>3518</v>
      </c>
      <c r="D3156" s="30">
        <v>0.38200231481481484</v>
      </c>
      <c r="E3156" t="s">
        <v>309</v>
      </c>
      <c r="F3156" t="s">
        <v>299</v>
      </c>
      <c r="G3156" t="s">
        <v>299</v>
      </c>
      <c r="H3156">
        <v>118</v>
      </c>
      <c r="I3156" s="30">
        <v>8.4490740740740739E-4</v>
      </c>
      <c r="J3156">
        <v>3</v>
      </c>
    </row>
    <row r="3157" spans="1:10" x14ac:dyDescent="0.35">
      <c r="A3157" t="s">
        <v>3521</v>
      </c>
      <c r="B3157" t="s">
        <v>332</v>
      </c>
      <c r="C3157" t="s">
        <v>3518</v>
      </c>
      <c r="D3157" s="30">
        <v>0.38200231481481484</v>
      </c>
      <c r="E3157" t="s">
        <v>317</v>
      </c>
      <c r="F3157" t="s">
        <v>299</v>
      </c>
      <c r="G3157" t="s">
        <v>299</v>
      </c>
      <c r="H3157">
        <v>109</v>
      </c>
      <c r="I3157" s="30">
        <v>2.0486111111111113E-3</v>
      </c>
      <c r="J3157">
        <v>5</v>
      </c>
    </row>
    <row r="3158" spans="1:10" x14ac:dyDescent="0.35">
      <c r="A3158" t="s">
        <v>3522</v>
      </c>
      <c r="B3158" t="s">
        <v>305</v>
      </c>
      <c r="C3158" t="s">
        <v>3518</v>
      </c>
      <c r="D3158" s="30">
        <v>0.38599537037037035</v>
      </c>
      <c r="E3158" t="s">
        <v>302</v>
      </c>
      <c r="F3158" t="s">
        <v>299</v>
      </c>
      <c r="G3158" t="s">
        <v>299</v>
      </c>
      <c r="H3158">
        <v>33</v>
      </c>
      <c r="I3158" s="30">
        <v>1.8171296296296297E-3</v>
      </c>
      <c r="J3158">
        <v>4</v>
      </c>
    </row>
    <row r="3159" spans="1:10" x14ac:dyDescent="0.35">
      <c r="A3159" t="s">
        <v>3523</v>
      </c>
      <c r="B3159" t="s">
        <v>319</v>
      </c>
      <c r="C3159" t="s">
        <v>3518</v>
      </c>
      <c r="D3159" s="30">
        <v>0.38599537037037035</v>
      </c>
      <c r="E3159" t="s">
        <v>298</v>
      </c>
      <c r="F3159" t="s">
        <v>299</v>
      </c>
      <c r="G3159" t="s">
        <v>299</v>
      </c>
      <c r="H3159">
        <v>18</v>
      </c>
      <c r="I3159" s="30">
        <v>4.1550925925925922E-3</v>
      </c>
      <c r="J3159">
        <v>4</v>
      </c>
    </row>
    <row r="3160" spans="1:10" x14ac:dyDescent="0.35">
      <c r="A3160" t="s">
        <v>3524</v>
      </c>
      <c r="B3160" t="s">
        <v>305</v>
      </c>
      <c r="C3160" t="s">
        <v>3518</v>
      </c>
      <c r="D3160" s="30">
        <v>0.42099537037037038</v>
      </c>
      <c r="E3160" t="s">
        <v>314</v>
      </c>
      <c r="F3160" t="s">
        <v>299</v>
      </c>
      <c r="G3160" t="s">
        <v>299</v>
      </c>
      <c r="H3160">
        <v>99</v>
      </c>
      <c r="I3160" s="30">
        <v>2.9166666666666668E-3</v>
      </c>
      <c r="J3160">
        <v>2</v>
      </c>
    </row>
    <row r="3161" spans="1:10" x14ac:dyDescent="0.35">
      <c r="A3161" t="s">
        <v>3525</v>
      </c>
      <c r="B3161" t="s">
        <v>323</v>
      </c>
      <c r="C3161" t="s">
        <v>3518</v>
      </c>
      <c r="D3161" s="30">
        <v>0.42099537037037038</v>
      </c>
      <c r="E3161" t="s">
        <v>298</v>
      </c>
      <c r="F3161" t="s">
        <v>299</v>
      </c>
      <c r="G3161" t="s">
        <v>299</v>
      </c>
      <c r="H3161">
        <v>111</v>
      </c>
      <c r="I3161" s="30">
        <v>1.724537037037037E-3</v>
      </c>
      <c r="J3161">
        <v>3</v>
      </c>
    </row>
    <row r="3162" spans="1:10" x14ac:dyDescent="0.35">
      <c r="A3162" t="s">
        <v>3526</v>
      </c>
      <c r="B3162" t="s">
        <v>296</v>
      </c>
      <c r="C3162" t="s">
        <v>3518</v>
      </c>
      <c r="D3162" s="30">
        <v>0.43</v>
      </c>
      <c r="E3162" t="s">
        <v>314</v>
      </c>
      <c r="F3162" t="s">
        <v>303</v>
      </c>
      <c r="G3162" t="s">
        <v>303</v>
      </c>
    </row>
    <row r="3163" spans="1:10" x14ac:dyDescent="0.35">
      <c r="A3163" t="s">
        <v>3527</v>
      </c>
      <c r="B3163" t="s">
        <v>296</v>
      </c>
      <c r="C3163" t="s">
        <v>3518</v>
      </c>
      <c r="D3163" s="30">
        <v>0.43</v>
      </c>
      <c r="E3163" t="s">
        <v>309</v>
      </c>
      <c r="F3163" t="s">
        <v>299</v>
      </c>
      <c r="G3163" t="s">
        <v>299</v>
      </c>
      <c r="H3163">
        <v>82</v>
      </c>
      <c r="I3163" s="30">
        <v>4.7106481481481478E-3</v>
      </c>
      <c r="J3163">
        <v>5</v>
      </c>
    </row>
    <row r="3164" spans="1:10" x14ac:dyDescent="0.35">
      <c r="A3164" t="s">
        <v>3528</v>
      </c>
      <c r="B3164" t="s">
        <v>301</v>
      </c>
      <c r="C3164" t="s">
        <v>3518</v>
      </c>
      <c r="D3164" s="30">
        <v>0.43099537037037039</v>
      </c>
      <c r="E3164" t="s">
        <v>314</v>
      </c>
      <c r="F3164" t="s">
        <v>299</v>
      </c>
      <c r="G3164" t="s">
        <v>299</v>
      </c>
      <c r="H3164">
        <v>48</v>
      </c>
      <c r="I3164" s="30">
        <v>3.9351851851851848E-3</v>
      </c>
      <c r="J3164">
        <v>3</v>
      </c>
    </row>
    <row r="3165" spans="1:10" x14ac:dyDescent="0.35">
      <c r="A3165" t="s">
        <v>3529</v>
      </c>
      <c r="B3165" t="s">
        <v>319</v>
      </c>
      <c r="C3165" t="s">
        <v>3518</v>
      </c>
      <c r="D3165" s="30">
        <v>0.43099537037037039</v>
      </c>
      <c r="E3165" t="s">
        <v>302</v>
      </c>
      <c r="F3165" t="s">
        <v>299</v>
      </c>
      <c r="G3165" t="s">
        <v>299</v>
      </c>
      <c r="H3165">
        <v>83</v>
      </c>
      <c r="I3165" s="30">
        <v>3.3912037037037036E-3</v>
      </c>
      <c r="J3165">
        <v>3</v>
      </c>
    </row>
    <row r="3166" spans="1:10" x14ac:dyDescent="0.35">
      <c r="A3166" t="s">
        <v>3530</v>
      </c>
      <c r="B3166" t="s">
        <v>332</v>
      </c>
      <c r="C3166" t="s">
        <v>3518</v>
      </c>
      <c r="D3166" s="30">
        <v>0.44900462962962961</v>
      </c>
      <c r="E3166" t="s">
        <v>302</v>
      </c>
      <c r="F3166" t="s">
        <v>299</v>
      </c>
      <c r="G3166" t="s">
        <v>299</v>
      </c>
      <c r="H3166">
        <v>102</v>
      </c>
      <c r="I3166" s="30">
        <v>1.5277777777777779E-3</v>
      </c>
      <c r="J3166">
        <v>5</v>
      </c>
    </row>
    <row r="3167" spans="1:10" x14ac:dyDescent="0.35">
      <c r="A3167" t="s">
        <v>3531</v>
      </c>
      <c r="B3167" t="s">
        <v>319</v>
      </c>
      <c r="C3167" t="s">
        <v>3518</v>
      </c>
      <c r="D3167" s="30">
        <v>0.44900462962962961</v>
      </c>
      <c r="E3167" t="s">
        <v>314</v>
      </c>
      <c r="F3167" t="s">
        <v>299</v>
      </c>
      <c r="G3167" t="s">
        <v>299</v>
      </c>
      <c r="H3167">
        <v>124</v>
      </c>
      <c r="I3167" s="30">
        <v>9.6064814814814819E-4</v>
      </c>
      <c r="J3167">
        <v>1</v>
      </c>
    </row>
    <row r="3168" spans="1:10" x14ac:dyDescent="0.35">
      <c r="A3168" t="s">
        <v>3532</v>
      </c>
      <c r="B3168" t="s">
        <v>323</v>
      </c>
      <c r="C3168" t="s">
        <v>3518</v>
      </c>
      <c r="D3168" s="30">
        <v>0.45299768518518518</v>
      </c>
      <c r="E3168" t="s">
        <v>317</v>
      </c>
      <c r="F3168" t="s">
        <v>303</v>
      </c>
      <c r="G3168" t="s">
        <v>303</v>
      </c>
    </row>
    <row r="3169" spans="1:10" x14ac:dyDescent="0.35">
      <c r="A3169" t="s">
        <v>3533</v>
      </c>
      <c r="B3169" t="s">
        <v>319</v>
      </c>
      <c r="C3169" t="s">
        <v>3518</v>
      </c>
      <c r="D3169" s="30">
        <v>0.45299768518518518</v>
      </c>
      <c r="E3169" t="s">
        <v>317</v>
      </c>
      <c r="F3169" t="s">
        <v>299</v>
      </c>
      <c r="G3169" t="s">
        <v>299</v>
      </c>
      <c r="H3169">
        <v>82</v>
      </c>
      <c r="I3169" s="30">
        <v>2.4537037037037036E-3</v>
      </c>
      <c r="J3169">
        <v>3</v>
      </c>
    </row>
    <row r="3170" spans="1:10" x14ac:dyDescent="0.35">
      <c r="A3170" t="s">
        <v>3534</v>
      </c>
      <c r="B3170" t="s">
        <v>316</v>
      </c>
      <c r="C3170" t="s">
        <v>3518</v>
      </c>
      <c r="D3170" s="30">
        <v>0.46500000000000002</v>
      </c>
      <c r="E3170" t="s">
        <v>309</v>
      </c>
      <c r="F3170" t="s">
        <v>299</v>
      </c>
      <c r="G3170" t="s">
        <v>303</v>
      </c>
      <c r="H3170">
        <v>50</v>
      </c>
      <c r="I3170" s="30">
        <v>2.9282407407407408E-3</v>
      </c>
      <c r="J3170">
        <v>4</v>
      </c>
    </row>
    <row r="3171" spans="1:10" x14ac:dyDescent="0.35">
      <c r="A3171" t="s">
        <v>3535</v>
      </c>
      <c r="B3171" t="s">
        <v>323</v>
      </c>
      <c r="C3171" t="s">
        <v>3518</v>
      </c>
      <c r="D3171" s="30">
        <v>0.46500000000000002</v>
      </c>
      <c r="E3171" t="s">
        <v>309</v>
      </c>
      <c r="F3171" t="s">
        <v>299</v>
      </c>
      <c r="G3171" t="s">
        <v>299</v>
      </c>
      <c r="H3171">
        <v>27</v>
      </c>
      <c r="I3171" s="30">
        <v>1.3310185185185185E-3</v>
      </c>
      <c r="J3171">
        <v>3</v>
      </c>
    </row>
    <row r="3172" spans="1:10" x14ac:dyDescent="0.35">
      <c r="A3172" t="s">
        <v>3536</v>
      </c>
      <c r="B3172" t="s">
        <v>319</v>
      </c>
      <c r="C3172" t="s">
        <v>3518</v>
      </c>
      <c r="D3172" s="30">
        <v>0.48299768518518521</v>
      </c>
      <c r="E3172" t="s">
        <v>314</v>
      </c>
      <c r="F3172" t="s">
        <v>299</v>
      </c>
      <c r="G3172" t="s">
        <v>299</v>
      </c>
      <c r="H3172">
        <v>96</v>
      </c>
      <c r="I3172" s="30">
        <v>1.9328703703703704E-3</v>
      </c>
      <c r="J3172">
        <v>4</v>
      </c>
    </row>
    <row r="3173" spans="1:10" x14ac:dyDescent="0.35">
      <c r="A3173" t="s">
        <v>3537</v>
      </c>
      <c r="B3173" t="s">
        <v>307</v>
      </c>
      <c r="C3173" t="s">
        <v>3518</v>
      </c>
      <c r="D3173" s="30">
        <v>0.48299768518518521</v>
      </c>
      <c r="E3173" t="s">
        <v>298</v>
      </c>
      <c r="F3173" t="s">
        <v>299</v>
      </c>
      <c r="G3173" t="s">
        <v>299</v>
      </c>
      <c r="H3173">
        <v>122</v>
      </c>
      <c r="I3173" s="30">
        <v>2.7199074074074074E-3</v>
      </c>
      <c r="J3173">
        <v>1</v>
      </c>
    </row>
    <row r="3174" spans="1:10" x14ac:dyDescent="0.35">
      <c r="A3174" t="s">
        <v>3538</v>
      </c>
      <c r="B3174" t="s">
        <v>296</v>
      </c>
      <c r="C3174" t="s">
        <v>3518</v>
      </c>
      <c r="D3174" s="30">
        <v>0.48799768518518516</v>
      </c>
      <c r="E3174" t="s">
        <v>302</v>
      </c>
      <c r="F3174" t="s">
        <v>303</v>
      </c>
      <c r="G3174" t="s">
        <v>303</v>
      </c>
    </row>
    <row r="3175" spans="1:10" x14ac:dyDescent="0.35">
      <c r="A3175" t="s">
        <v>3539</v>
      </c>
      <c r="B3175" t="s">
        <v>319</v>
      </c>
      <c r="C3175" t="s">
        <v>3518</v>
      </c>
      <c r="D3175" s="30">
        <v>0.48799768518518516</v>
      </c>
      <c r="E3175" t="s">
        <v>309</v>
      </c>
      <c r="F3175" t="s">
        <v>299</v>
      </c>
      <c r="G3175" t="s">
        <v>299</v>
      </c>
      <c r="H3175">
        <v>76</v>
      </c>
      <c r="I3175" s="30">
        <v>1.2731481481481483E-3</v>
      </c>
      <c r="J3175">
        <v>4</v>
      </c>
    </row>
    <row r="3176" spans="1:10" x14ac:dyDescent="0.35">
      <c r="A3176" t="s">
        <v>3540</v>
      </c>
      <c r="B3176" t="s">
        <v>332</v>
      </c>
      <c r="C3176" t="s">
        <v>3518</v>
      </c>
      <c r="D3176" s="30">
        <v>0.49700231481481483</v>
      </c>
      <c r="E3176" t="s">
        <v>314</v>
      </c>
      <c r="F3176" t="s">
        <v>299</v>
      </c>
      <c r="G3176" t="s">
        <v>299</v>
      </c>
      <c r="H3176">
        <v>66</v>
      </c>
      <c r="I3176" s="30">
        <v>1.2268518518518518E-3</v>
      </c>
      <c r="J3176">
        <v>5</v>
      </c>
    </row>
    <row r="3177" spans="1:10" x14ac:dyDescent="0.35">
      <c r="A3177" t="s">
        <v>3541</v>
      </c>
      <c r="B3177" t="s">
        <v>323</v>
      </c>
      <c r="C3177" t="s">
        <v>3518</v>
      </c>
      <c r="D3177" s="30">
        <v>0.49700231481481483</v>
      </c>
      <c r="E3177" t="s">
        <v>302</v>
      </c>
      <c r="F3177" t="s">
        <v>299</v>
      </c>
      <c r="G3177" t="s">
        <v>299</v>
      </c>
      <c r="H3177">
        <v>98</v>
      </c>
      <c r="I3177" s="30">
        <v>1.5277777777777779E-3</v>
      </c>
      <c r="J3177">
        <v>3</v>
      </c>
    </row>
    <row r="3178" spans="1:10" x14ac:dyDescent="0.35">
      <c r="A3178" t="s">
        <v>3542</v>
      </c>
      <c r="B3178" t="s">
        <v>323</v>
      </c>
      <c r="C3178" t="s">
        <v>3518</v>
      </c>
      <c r="D3178" s="30">
        <v>0.50299768518518517</v>
      </c>
      <c r="E3178" t="s">
        <v>298</v>
      </c>
      <c r="F3178" t="s">
        <v>303</v>
      </c>
      <c r="G3178" t="s">
        <v>303</v>
      </c>
    </row>
    <row r="3179" spans="1:10" x14ac:dyDescent="0.35">
      <c r="A3179" t="s">
        <v>3543</v>
      </c>
      <c r="B3179" t="s">
        <v>319</v>
      </c>
      <c r="C3179" t="s">
        <v>3518</v>
      </c>
      <c r="D3179" s="30">
        <v>0.50299768518518517</v>
      </c>
      <c r="E3179" t="s">
        <v>302</v>
      </c>
      <c r="F3179" t="s">
        <v>299</v>
      </c>
      <c r="G3179" t="s">
        <v>299</v>
      </c>
      <c r="H3179">
        <v>73</v>
      </c>
      <c r="I3179" s="30">
        <v>4.5254629629629629E-3</v>
      </c>
      <c r="J3179">
        <v>3</v>
      </c>
    </row>
    <row r="3180" spans="1:10" x14ac:dyDescent="0.35">
      <c r="A3180" t="s">
        <v>3544</v>
      </c>
      <c r="B3180" t="s">
        <v>319</v>
      </c>
      <c r="C3180" t="s">
        <v>3518</v>
      </c>
      <c r="D3180" s="30">
        <v>0.50400462962962966</v>
      </c>
      <c r="E3180" t="s">
        <v>298</v>
      </c>
      <c r="F3180" t="s">
        <v>299</v>
      </c>
      <c r="G3180" t="s">
        <v>299</v>
      </c>
      <c r="H3180">
        <v>76</v>
      </c>
      <c r="I3180" s="30">
        <v>1.238425925925926E-3</v>
      </c>
      <c r="J3180">
        <v>3</v>
      </c>
    </row>
    <row r="3181" spans="1:10" x14ac:dyDescent="0.35">
      <c r="A3181" t="s">
        <v>3545</v>
      </c>
      <c r="B3181" t="s">
        <v>307</v>
      </c>
      <c r="C3181" t="s">
        <v>3518</v>
      </c>
      <c r="D3181" s="30">
        <v>0.50400462962962966</v>
      </c>
      <c r="E3181" t="s">
        <v>317</v>
      </c>
      <c r="F3181" t="s">
        <v>303</v>
      </c>
      <c r="G3181" t="s">
        <v>303</v>
      </c>
    </row>
    <row r="3182" spans="1:10" x14ac:dyDescent="0.35">
      <c r="A3182" t="s">
        <v>3546</v>
      </c>
      <c r="B3182" t="s">
        <v>316</v>
      </c>
      <c r="C3182" t="s">
        <v>3518</v>
      </c>
      <c r="D3182" s="30">
        <v>0.52200231481481485</v>
      </c>
      <c r="E3182" t="s">
        <v>314</v>
      </c>
      <c r="F3182" t="s">
        <v>299</v>
      </c>
      <c r="G3182" t="s">
        <v>299</v>
      </c>
      <c r="H3182">
        <v>123</v>
      </c>
      <c r="I3182" s="30">
        <v>4.0046296296296297E-3</v>
      </c>
      <c r="J3182">
        <v>4</v>
      </c>
    </row>
    <row r="3183" spans="1:10" x14ac:dyDescent="0.35">
      <c r="A3183" t="s">
        <v>3547</v>
      </c>
      <c r="B3183" t="s">
        <v>305</v>
      </c>
      <c r="C3183" t="s">
        <v>3518</v>
      </c>
      <c r="D3183" s="30">
        <v>0.52200231481481485</v>
      </c>
      <c r="E3183" t="s">
        <v>314</v>
      </c>
      <c r="F3183" t="s">
        <v>299</v>
      </c>
      <c r="G3183" t="s">
        <v>303</v>
      </c>
      <c r="H3183">
        <v>98</v>
      </c>
      <c r="I3183" s="30">
        <v>3.5995370370370369E-3</v>
      </c>
      <c r="J3183">
        <v>4</v>
      </c>
    </row>
    <row r="3184" spans="1:10" x14ac:dyDescent="0.35">
      <c r="A3184" t="s">
        <v>3548</v>
      </c>
      <c r="B3184" t="s">
        <v>332</v>
      </c>
      <c r="C3184" t="s">
        <v>3518</v>
      </c>
      <c r="D3184" s="30">
        <v>0.52400462962962968</v>
      </c>
      <c r="E3184" t="s">
        <v>302</v>
      </c>
      <c r="F3184" t="s">
        <v>299</v>
      </c>
      <c r="G3184" t="s">
        <v>299</v>
      </c>
      <c r="H3184">
        <v>81</v>
      </c>
      <c r="I3184" s="30">
        <v>1.4583333333333334E-3</v>
      </c>
      <c r="J3184">
        <v>1</v>
      </c>
    </row>
    <row r="3185" spans="1:10" x14ac:dyDescent="0.35">
      <c r="A3185" t="s">
        <v>3549</v>
      </c>
      <c r="B3185" t="s">
        <v>332</v>
      </c>
      <c r="C3185" t="s">
        <v>3518</v>
      </c>
      <c r="D3185" s="30">
        <v>0.52400462962962968</v>
      </c>
      <c r="E3185" t="s">
        <v>309</v>
      </c>
      <c r="F3185" t="s">
        <v>299</v>
      </c>
      <c r="G3185" t="s">
        <v>299</v>
      </c>
      <c r="H3185">
        <v>52</v>
      </c>
      <c r="I3185" s="30">
        <v>4.8032407407407407E-3</v>
      </c>
      <c r="J3185">
        <v>4</v>
      </c>
    </row>
    <row r="3186" spans="1:10" x14ac:dyDescent="0.35">
      <c r="A3186" t="s">
        <v>3550</v>
      </c>
      <c r="B3186" t="s">
        <v>305</v>
      </c>
      <c r="C3186" t="s">
        <v>3518</v>
      </c>
      <c r="D3186" s="30">
        <v>0.52400462962962968</v>
      </c>
      <c r="E3186" t="s">
        <v>309</v>
      </c>
      <c r="F3186" t="s">
        <v>299</v>
      </c>
      <c r="G3186" t="s">
        <v>299</v>
      </c>
      <c r="H3186">
        <v>93</v>
      </c>
      <c r="I3186" s="30">
        <v>4.1898148148148146E-3</v>
      </c>
      <c r="J3186">
        <v>1</v>
      </c>
    </row>
    <row r="3187" spans="1:10" x14ac:dyDescent="0.35">
      <c r="A3187" t="s">
        <v>3551</v>
      </c>
      <c r="B3187" t="s">
        <v>316</v>
      </c>
      <c r="C3187" t="s">
        <v>3518</v>
      </c>
      <c r="D3187" s="30">
        <v>0.52400462962962968</v>
      </c>
      <c r="E3187" t="s">
        <v>309</v>
      </c>
      <c r="F3187" t="s">
        <v>299</v>
      </c>
      <c r="G3187" t="s">
        <v>299</v>
      </c>
      <c r="H3187">
        <v>17</v>
      </c>
      <c r="I3187" s="30">
        <v>3.5532407407407409E-3</v>
      </c>
      <c r="J3187">
        <v>4</v>
      </c>
    </row>
    <row r="3188" spans="1:10" x14ac:dyDescent="0.35">
      <c r="A3188" t="s">
        <v>3552</v>
      </c>
      <c r="B3188" t="s">
        <v>332</v>
      </c>
      <c r="C3188" t="s">
        <v>3518</v>
      </c>
      <c r="D3188" s="30">
        <v>0.54200231481481487</v>
      </c>
      <c r="E3188" t="s">
        <v>302</v>
      </c>
      <c r="F3188" t="s">
        <v>299</v>
      </c>
      <c r="G3188" t="s">
        <v>299</v>
      </c>
      <c r="H3188">
        <v>91</v>
      </c>
      <c r="I3188" s="30">
        <v>1.1342592592592593E-3</v>
      </c>
      <c r="J3188">
        <v>4</v>
      </c>
    </row>
    <row r="3189" spans="1:10" x14ac:dyDescent="0.35">
      <c r="A3189" t="s">
        <v>3553</v>
      </c>
      <c r="B3189" t="s">
        <v>332</v>
      </c>
      <c r="C3189" t="s">
        <v>3518</v>
      </c>
      <c r="D3189" s="30">
        <v>0.54200231481481487</v>
      </c>
      <c r="E3189" t="s">
        <v>317</v>
      </c>
      <c r="F3189" t="s">
        <v>299</v>
      </c>
      <c r="G3189" t="s">
        <v>299</v>
      </c>
      <c r="H3189">
        <v>20</v>
      </c>
      <c r="I3189" s="30">
        <v>1.6550925925925926E-3</v>
      </c>
      <c r="J3189">
        <v>5</v>
      </c>
    </row>
    <row r="3190" spans="1:10" x14ac:dyDescent="0.35">
      <c r="A3190" t="s">
        <v>3554</v>
      </c>
      <c r="B3190" t="s">
        <v>296</v>
      </c>
      <c r="C3190" t="s">
        <v>3518</v>
      </c>
      <c r="D3190" s="30">
        <v>0.59099537037037042</v>
      </c>
      <c r="E3190" t="s">
        <v>298</v>
      </c>
      <c r="F3190" t="s">
        <v>303</v>
      </c>
      <c r="G3190" t="s">
        <v>303</v>
      </c>
    </row>
    <row r="3191" spans="1:10" x14ac:dyDescent="0.35">
      <c r="A3191" t="s">
        <v>3555</v>
      </c>
      <c r="B3191" t="s">
        <v>319</v>
      </c>
      <c r="C3191" t="s">
        <v>3518</v>
      </c>
      <c r="D3191" s="30">
        <v>0.59099537037037042</v>
      </c>
      <c r="E3191" t="s">
        <v>309</v>
      </c>
      <c r="F3191" t="s">
        <v>299</v>
      </c>
      <c r="G3191" t="s">
        <v>299</v>
      </c>
      <c r="H3191">
        <v>125</v>
      </c>
      <c r="I3191" s="30">
        <v>4.363425925925926E-3</v>
      </c>
      <c r="J3191">
        <v>4</v>
      </c>
    </row>
    <row r="3192" spans="1:10" x14ac:dyDescent="0.35">
      <c r="A3192" t="s">
        <v>3556</v>
      </c>
      <c r="B3192" t="s">
        <v>323</v>
      </c>
      <c r="C3192" t="s">
        <v>3518</v>
      </c>
      <c r="D3192" s="30">
        <v>0.62299768518518517</v>
      </c>
      <c r="E3192" t="s">
        <v>309</v>
      </c>
      <c r="F3192" t="s">
        <v>299</v>
      </c>
      <c r="G3192" t="s">
        <v>299</v>
      </c>
      <c r="H3192">
        <v>46</v>
      </c>
      <c r="I3192" s="30">
        <v>2.1527777777777778E-3</v>
      </c>
      <c r="J3192">
        <v>2</v>
      </c>
    </row>
    <row r="3193" spans="1:10" x14ac:dyDescent="0.35">
      <c r="A3193" t="s">
        <v>3557</v>
      </c>
      <c r="B3193" t="s">
        <v>296</v>
      </c>
      <c r="C3193" t="s">
        <v>3518</v>
      </c>
      <c r="D3193" s="30">
        <v>0.62299768518518517</v>
      </c>
      <c r="E3193" t="s">
        <v>298</v>
      </c>
      <c r="F3193" t="s">
        <v>299</v>
      </c>
      <c r="G3193" t="s">
        <v>299</v>
      </c>
      <c r="H3193">
        <v>124</v>
      </c>
      <c r="I3193" s="30">
        <v>3.8078703703703703E-3</v>
      </c>
      <c r="J3193">
        <v>3</v>
      </c>
    </row>
    <row r="3194" spans="1:10" x14ac:dyDescent="0.35">
      <c r="A3194" t="s">
        <v>3558</v>
      </c>
      <c r="B3194" t="s">
        <v>332</v>
      </c>
      <c r="C3194" t="s">
        <v>3518</v>
      </c>
      <c r="D3194" s="30">
        <v>0.63500000000000001</v>
      </c>
      <c r="E3194" t="s">
        <v>302</v>
      </c>
      <c r="F3194" t="s">
        <v>299</v>
      </c>
      <c r="G3194" t="s">
        <v>299</v>
      </c>
      <c r="H3194">
        <v>29</v>
      </c>
      <c r="I3194" s="30">
        <v>2.8356481481481483E-3</v>
      </c>
      <c r="J3194">
        <v>3</v>
      </c>
    </row>
    <row r="3195" spans="1:10" x14ac:dyDescent="0.35">
      <c r="A3195" t="s">
        <v>3559</v>
      </c>
      <c r="B3195" t="s">
        <v>319</v>
      </c>
      <c r="C3195" t="s">
        <v>3518</v>
      </c>
      <c r="D3195" s="30">
        <v>0.63500000000000001</v>
      </c>
      <c r="E3195" t="s">
        <v>317</v>
      </c>
      <c r="F3195" t="s">
        <v>299</v>
      </c>
      <c r="G3195" t="s">
        <v>303</v>
      </c>
      <c r="H3195">
        <v>75</v>
      </c>
      <c r="I3195" s="30">
        <v>3.2060185185185186E-3</v>
      </c>
      <c r="J3195">
        <v>3</v>
      </c>
    </row>
    <row r="3196" spans="1:10" x14ac:dyDescent="0.35">
      <c r="A3196" t="s">
        <v>3560</v>
      </c>
      <c r="B3196" t="s">
        <v>323</v>
      </c>
      <c r="C3196" t="s">
        <v>3518</v>
      </c>
      <c r="D3196" s="30">
        <v>0.64400462962962968</v>
      </c>
      <c r="E3196" t="s">
        <v>302</v>
      </c>
      <c r="F3196" t="s">
        <v>299</v>
      </c>
      <c r="G3196" t="s">
        <v>299</v>
      </c>
      <c r="H3196">
        <v>57</v>
      </c>
      <c r="I3196" s="30">
        <v>2.9050925925925928E-3</v>
      </c>
      <c r="J3196">
        <v>4</v>
      </c>
    </row>
    <row r="3197" spans="1:10" x14ac:dyDescent="0.35">
      <c r="A3197" t="s">
        <v>3561</v>
      </c>
      <c r="B3197" t="s">
        <v>332</v>
      </c>
      <c r="C3197" t="s">
        <v>3518</v>
      </c>
      <c r="D3197" s="30">
        <v>0.64400462962962968</v>
      </c>
      <c r="E3197" t="s">
        <v>314</v>
      </c>
      <c r="F3197" t="s">
        <v>303</v>
      </c>
      <c r="G3197" t="s">
        <v>303</v>
      </c>
    </row>
    <row r="3198" spans="1:10" x14ac:dyDescent="0.35">
      <c r="A3198" t="s">
        <v>3562</v>
      </c>
      <c r="B3198" t="s">
        <v>316</v>
      </c>
      <c r="C3198" t="s">
        <v>3518</v>
      </c>
      <c r="D3198" s="30">
        <v>0.64599537037037036</v>
      </c>
      <c r="E3198" t="s">
        <v>317</v>
      </c>
      <c r="F3198" t="s">
        <v>299</v>
      </c>
      <c r="G3198" t="s">
        <v>299</v>
      </c>
      <c r="H3198">
        <v>106</v>
      </c>
      <c r="I3198" s="30">
        <v>1.3078703703703703E-3</v>
      </c>
      <c r="J3198">
        <v>4</v>
      </c>
    </row>
    <row r="3199" spans="1:10" x14ac:dyDescent="0.35">
      <c r="A3199" t="s">
        <v>3563</v>
      </c>
      <c r="B3199" t="s">
        <v>316</v>
      </c>
      <c r="C3199" t="s">
        <v>3518</v>
      </c>
      <c r="D3199" s="30">
        <v>0.64599537037037036</v>
      </c>
      <c r="E3199" t="s">
        <v>298</v>
      </c>
      <c r="F3199" t="s">
        <v>299</v>
      </c>
      <c r="G3199" t="s">
        <v>299</v>
      </c>
      <c r="H3199">
        <v>19</v>
      </c>
      <c r="I3199" s="30">
        <v>3.9814814814814817E-3</v>
      </c>
      <c r="J3199">
        <v>3</v>
      </c>
    </row>
    <row r="3200" spans="1:10" x14ac:dyDescent="0.35">
      <c r="A3200" t="s">
        <v>3564</v>
      </c>
      <c r="B3200" t="s">
        <v>316</v>
      </c>
      <c r="C3200" t="s">
        <v>3518</v>
      </c>
      <c r="D3200" s="30">
        <v>0.65400462962962957</v>
      </c>
      <c r="E3200" t="s">
        <v>302</v>
      </c>
      <c r="F3200" t="s">
        <v>299</v>
      </c>
      <c r="G3200" t="s">
        <v>299</v>
      </c>
      <c r="H3200">
        <v>94</v>
      </c>
      <c r="I3200" s="30">
        <v>8.2175925925925927E-4</v>
      </c>
      <c r="J3200">
        <v>4</v>
      </c>
    </row>
    <row r="3201" spans="1:10" x14ac:dyDescent="0.35">
      <c r="A3201" t="s">
        <v>3565</v>
      </c>
      <c r="B3201" t="s">
        <v>305</v>
      </c>
      <c r="C3201" t="s">
        <v>3518</v>
      </c>
      <c r="D3201" s="30">
        <v>0.65400462962962957</v>
      </c>
      <c r="E3201" t="s">
        <v>317</v>
      </c>
      <c r="F3201" t="s">
        <v>303</v>
      </c>
      <c r="G3201" t="s">
        <v>303</v>
      </c>
    </row>
    <row r="3202" spans="1:10" x14ac:dyDescent="0.35">
      <c r="A3202" t="s">
        <v>3566</v>
      </c>
      <c r="B3202" t="s">
        <v>296</v>
      </c>
      <c r="C3202" t="s">
        <v>3518</v>
      </c>
      <c r="D3202" s="30">
        <v>0.6629976851851852</v>
      </c>
      <c r="E3202" t="s">
        <v>314</v>
      </c>
      <c r="F3202" t="s">
        <v>299</v>
      </c>
      <c r="G3202" t="s">
        <v>299</v>
      </c>
      <c r="H3202">
        <v>28</v>
      </c>
      <c r="I3202" s="30">
        <v>2.0949074074074073E-3</v>
      </c>
      <c r="J3202">
        <v>3</v>
      </c>
    </row>
    <row r="3203" spans="1:10" x14ac:dyDescent="0.35">
      <c r="A3203" t="s">
        <v>3567</v>
      </c>
      <c r="B3203" t="s">
        <v>296</v>
      </c>
      <c r="C3203" t="s">
        <v>3518</v>
      </c>
      <c r="D3203" s="30">
        <v>0.6629976851851852</v>
      </c>
      <c r="E3203" t="s">
        <v>314</v>
      </c>
      <c r="F3203" t="s">
        <v>299</v>
      </c>
      <c r="G3203" t="s">
        <v>299</v>
      </c>
      <c r="H3203">
        <v>11</v>
      </c>
      <c r="I3203" s="30">
        <v>1.6203703703703703E-3</v>
      </c>
      <c r="J3203">
        <v>4</v>
      </c>
    </row>
    <row r="3204" spans="1:10" x14ac:dyDescent="0.35">
      <c r="A3204" t="s">
        <v>3568</v>
      </c>
      <c r="B3204" t="s">
        <v>305</v>
      </c>
      <c r="C3204" t="s">
        <v>3518</v>
      </c>
      <c r="D3204" s="30">
        <v>0.67</v>
      </c>
      <c r="E3204" t="s">
        <v>314</v>
      </c>
      <c r="F3204" t="s">
        <v>299</v>
      </c>
      <c r="G3204" t="s">
        <v>299</v>
      </c>
      <c r="H3204">
        <v>68</v>
      </c>
      <c r="I3204" s="30">
        <v>3.3680555555555556E-3</v>
      </c>
      <c r="J3204">
        <v>5</v>
      </c>
    </row>
    <row r="3205" spans="1:10" x14ac:dyDescent="0.35">
      <c r="A3205" t="s">
        <v>3569</v>
      </c>
      <c r="B3205" t="s">
        <v>332</v>
      </c>
      <c r="C3205" t="s">
        <v>3518</v>
      </c>
      <c r="D3205" s="30">
        <v>0.67</v>
      </c>
      <c r="E3205" t="s">
        <v>298</v>
      </c>
      <c r="F3205" t="s">
        <v>299</v>
      </c>
      <c r="G3205" t="s">
        <v>299</v>
      </c>
      <c r="H3205">
        <v>103</v>
      </c>
      <c r="I3205" s="30">
        <v>3.2638888888888891E-3</v>
      </c>
      <c r="J3205">
        <v>5</v>
      </c>
    </row>
    <row r="3206" spans="1:10" x14ac:dyDescent="0.35">
      <c r="A3206" t="s">
        <v>3570</v>
      </c>
      <c r="B3206" t="s">
        <v>305</v>
      </c>
      <c r="C3206" t="s">
        <v>3518</v>
      </c>
      <c r="D3206" s="30">
        <v>0.68500000000000005</v>
      </c>
      <c r="E3206" t="s">
        <v>317</v>
      </c>
      <c r="F3206" t="s">
        <v>299</v>
      </c>
      <c r="G3206" t="s">
        <v>299</v>
      </c>
      <c r="H3206">
        <v>28</v>
      </c>
      <c r="I3206" s="30">
        <v>4.2361111111111115E-3</v>
      </c>
      <c r="J3206">
        <v>2</v>
      </c>
    </row>
    <row r="3207" spans="1:10" x14ac:dyDescent="0.35">
      <c r="A3207" t="s">
        <v>3571</v>
      </c>
      <c r="B3207" t="s">
        <v>323</v>
      </c>
      <c r="C3207" t="s">
        <v>3518</v>
      </c>
      <c r="D3207" s="30">
        <v>0.68500000000000005</v>
      </c>
      <c r="E3207" t="s">
        <v>302</v>
      </c>
      <c r="F3207" t="s">
        <v>299</v>
      </c>
      <c r="G3207" t="s">
        <v>299</v>
      </c>
      <c r="H3207">
        <v>36</v>
      </c>
      <c r="I3207" s="30">
        <v>2.8819444444444444E-3</v>
      </c>
      <c r="J3207">
        <v>5</v>
      </c>
    </row>
    <row r="3208" spans="1:10" x14ac:dyDescent="0.35">
      <c r="A3208" t="s">
        <v>3572</v>
      </c>
      <c r="B3208" t="s">
        <v>332</v>
      </c>
      <c r="C3208" t="s">
        <v>3518</v>
      </c>
      <c r="D3208" s="30">
        <v>0.69499999999999995</v>
      </c>
      <c r="E3208" t="s">
        <v>302</v>
      </c>
      <c r="F3208" t="s">
        <v>299</v>
      </c>
      <c r="G3208" t="s">
        <v>299</v>
      </c>
      <c r="H3208">
        <v>63</v>
      </c>
      <c r="I3208" s="30">
        <v>3.9236111111111112E-3</v>
      </c>
      <c r="J3208">
        <v>5</v>
      </c>
    </row>
    <row r="3209" spans="1:10" x14ac:dyDescent="0.35">
      <c r="A3209" t="s">
        <v>3573</v>
      </c>
      <c r="B3209" t="s">
        <v>332</v>
      </c>
      <c r="C3209" t="s">
        <v>3518</v>
      </c>
      <c r="D3209" s="30">
        <v>0.69499999999999995</v>
      </c>
      <c r="E3209" t="s">
        <v>298</v>
      </c>
      <c r="F3209" t="s">
        <v>299</v>
      </c>
      <c r="G3209" t="s">
        <v>299</v>
      </c>
      <c r="H3209">
        <v>14</v>
      </c>
      <c r="I3209" s="30">
        <v>4.1666666666666669E-4</v>
      </c>
      <c r="J3209">
        <v>5</v>
      </c>
    </row>
    <row r="3210" spans="1:10" x14ac:dyDescent="0.35">
      <c r="A3210" t="s">
        <v>3574</v>
      </c>
      <c r="B3210" t="s">
        <v>332</v>
      </c>
      <c r="C3210" t="s">
        <v>3518</v>
      </c>
      <c r="D3210" s="30">
        <v>0.71299768518518514</v>
      </c>
      <c r="E3210" t="s">
        <v>317</v>
      </c>
      <c r="F3210" t="s">
        <v>299</v>
      </c>
      <c r="G3210" t="s">
        <v>299</v>
      </c>
      <c r="H3210">
        <v>82</v>
      </c>
      <c r="I3210" s="30">
        <v>3.6458333333333334E-3</v>
      </c>
      <c r="J3210">
        <v>1</v>
      </c>
    </row>
    <row r="3211" spans="1:10" x14ac:dyDescent="0.35">
      <c r="A3211" t="s">
        <v>3575</v>
      </c>
      <c r="B3211" t="s">
        <v>296</v>
      </c>
      <c r="C3211" t="s">
        <v>3518</v>
      </c>
      <c r="D3211" s="30">
        <v>0.71299768518518514</v>
      </c>
      <c r="E3211" t="s">
        <v>309</v>
      </c>
      <c r="F3211" t="s">
        <v>303</v>
      </c>
      <c r="G3211" t="s">
        <v>303</v>
      </c>
    </row>
    <row r="3212" spans="1:10" x14ac:dyDescent="0.35">
      <c r="A3212" t="s">
        <v>3576</v>
      </c>
      <c r="B3212" t="s">
        <v>323</v>
      </c>
      <c r="C3212" t="s">
        <v>3518</v>
      </c>
      <c r="D3212" s="30">
        <v>0.71299768518518514</v>
      </c>
      <c r="E3212" t="s">
        <v>314</v>
      </c>
      <c r="F3212" t="s">
        <v>299</v>
      </c>
      <c r="G3212" t="s">
        <v>299</v>
      </c>
      <c r="H3212">
        <v>15</v>
      </c>
      <c r="I3212" s="30">
        <v>3.9699074074074072E-3</v>
      </c>
      <c r="J3212">
        <v>3</v>
      </c>
    </row>
    <row r="3213" spans="1:10" x14ac:dyDescent="0.35">
      <c r="A3213" t="s">
        <v>3577</v>
      </c>
      <c r="B3213" t="s">
        <v>296</v>
      </c>
      <c r="C3213" t="s">
        <v>3518</v>
      </c>
      <c r="D3213" s="30">
        <v>0.71299768518518514</v>
      </c>
      <c r="E3213" t="s">
        <v>314</v>
      </c>
      <c r="F3213" t="s">
        <v>299</v>
      </c>
      <c r="G3213" t="s">
        <v>299</v>
      </c>
      <c r="H3213">
        <v>85</v>
      </c>
      <c r="I3213" s="30">
        <v>2.9861111111111113E-3</v>
      </c>
      <c r="J3213">
        <v>3</v>
      </c>
    </row>
    <row r="3214" spans="1:10" x14ac:dyDescent="0.35">
      <c r="A3214" t="s">
        <v>3578</v>
      </c>
      <c r="B3214" t="s">
        <v>301</v>
      </c>
      <c r="C3214" t="s">
        <v>3518</v>
      </c>
      <c r="D3214" s="30">
        <v>0.72499999999999998</v>
      </c>
      <c r="E3214" t="s">
        <v>314</v>
      </c>
      <c r="F3214" t="s">
        <v>303</v>
      </c>
      <c r="G3214" t="s">
        <v>303</v>
      </c>
    </row>
    <row r="3215" spans="1:10" x14ac:dyDescent="0.35">
      <c r="A3215" t="s">
        <v>3579</v>
      </c>
      <c r="B3215" t="s">
        <v>307</v>
      </c>
      <c r="C3215" t="s">
        <v>3518</v>
      </c>
      <c r="D3215" s="30">
        <v>0.72499999999999998</v>
      </c>
      <c r="E3215" t="s">
        <v>309</v>
      </c>
      <c r="F3215" t="s">
        <v>299</v>
      </c>
      <c r="G3215" t="s">
        <v>299</v>
      </c>
      <c r="H3215">
        <v>108</v>
      </c>
      <c r="I3215" s="30">
        <v>1.5277777777777779E-3</v>
      </c>
      <c r="J3215">
        <v>5</v>
      </c>
    </row>
    <row r="3216" spans="1:10" x14ac:dyDescent="0.35">
      <c r="A3216" t="s">
        <v>3580</v>
      </c>
      <c r="B3216" t="s">
        <v>323</v>
      </c>
      <c r="C3216" t="s">
        <v>3518</v>
      </c>
      <c r="D3216" s="30">
        <v>0.74099537037037033</v>
      </c>
      <c r="E3216" t="s">
        <v>317</v>
      </c>
      <c r="F3216" t="s">
        <v>299</v>
      </c>
      <c r="G3216" t="s">
        <v>299</v>
      </c>
      <c r="H3216">
        <v>45</v>
      </c>
      <c r="I3216" s="30">
        <v>2.0601851851851853E-3</v>
      </c>
      <c r="J3216">
        <v>3</v>
      </c>
    </row>
    <row r="3217" spans="1:10" x14ac:dyDescent="0.35">
      <c r="A3217" t="s">
        <v>3581</v>
      </c>
      <c r="B3217" t="s">
        <v>319</v>
      </c>
      <c r="C3217" t="s">
        <v>3518</v>
      </c>
      <c r="D3217" s="30">
        <v>0.74099537037037033</v>
      </c>
      <c r="E3217" t="s">
        <v>302</v>
      </c>
      <c r="F3217" t="s">
        <v>299</v>
      </c>
      <c r="G3217" t="s">
        <v>299</v>
      </c>
      <c r="H3217">
        <v>24</v>
      </c>
      <c r="I3217" s="30">
        <v>1.2962962962962963E-3</v>
      </c>
      <c r="J3217">
        <v>4</v>
      </c>
    </row>
    <row r="3218" spans="1:10" x14ac:dyDescent="0.35">
      <c r="A3218" t="s">
        <v>3582</v>
      </c>
      <c r="B3218" t="s">
        <v>307</v>
      </c>
      <c r="C3218" t="s">
        <v>3583</v>
      </c>
      <c r="D3218" s="30">
        <v>0.38200231481481484</v>
      </c>
      <c r="E3218" t="s">
        <v>317</v>
      </c>
      <c r="F3218" t="s">
        <v>299</v>
      </c>
      <c r="G3218" t="s">
        <v>299</v>
      </c>
      <c r="H3218">
        <v>75</v>
      </c>
      <c r="I3218" s="30">
        <v>3.1365740740740742E-3</v>
      </c>
      <c r="J3218">
        <v>2</v>
      </c>
    </row>
    <row r="3219" spans="1:10" x14ac:dyDescent="0.35">
      <c r="A3219" t="s">
        <v>3584</v>
      </c>
      <c r="B3219" t="s">
        <v>323</v>
      </c>
      <c r="C3219" t="s">
        <v>3583</v>
      </c>
      <c r="D3219" s="30">
        <v>0.38200231481481484</v>
      </c>
      <c r="E3219" t="s">
        <v>302</v>
      </c>
      <c r="F3219" t="s">
        <v>299</v>
      </c>
      <c r="G3219" t="s">
        <v>299</v>
      </c>
      <c r="H3219">
        <v>68</v>
      </c>
      <c r="I3219" s="30">
        <v>4.4444444444444444E-3</v>
      </c>
      <c r="J3219">
        <v>5</v>
      </c>
    </row>
    <row r="3220" spans="1:10" x14ac:dyDescent="0.35">
      <c r="A3220" t="s">
        <v>3585</v>
      </c>
      <c r="B3220" t="s">
        <v>316</v>
      </c>
      <c r="C3220" t="s">
        <v>3583</v>
      </c>
      <c r="D3220" s="30">
        <v>0.38799768518518518</v>
      </c>
      <c r="E3220" t="s">
        <v>309</v>
      </c>
      <c r="F3220" t="s">
        <v>299</v>
      </c>
      <c r="G3220" t="s">
        <v>303</v>
      </c>
      <c r="H3220">
        <v>104</v>
      </c>
      <c r="I3220" s="30">
        <v>9.3749999999999997E-4</v>
      </c>
      <c r="J3220">
        <v>4</v>
      </c>
    </row>
    <row r="3221" spans="1:10" x14ac:dyDescent="0.35">
      <c r="A3221" t="s">
        <v>3586</v>
      </c>
      <c r="B3221" t="s">
        <v>319</v>
      </c>
      <c r="C3221" t="s">
        <v>3583</v>
      </c>
      <c r="D3221" s="30">
        <v>0.38799768518518518</v>
      </c>
      <c r="E3221" t="s">
        <v>298</v>
      </c>
      <c r="F3221" t="s">
        <v>299</v>
      </c>
      <c r="G3221" t="s">
        <v>303</v>
      </c>
      <c r="H3221">
        <v>33</v>
      </c>
      <c r="I3221" s="30">
        <v>4.7453703703703698E-4</v>
      </c>
      <c r="J3221">
        <v>3</v>
      </c>
    </row>
    <row r="3222" spans="1:10" x14ac:dyDescent="0.35">
      <c r="A3222" t="s">
        <v>3587</v>
      </c>
      <c r="B3222" t="s">
        <v>332</v>
      </c>
      <c r="C3222" t="s">
        <v>3583</v>
      </c>
      <c r="D3222" s="30">
        <v>0.42499999999999999</v>
      </c>
      <c r="E3222" t="s">
        <v>302</v>
      </c>
      <c r="F3222" t="s">
        <v>299</v>
      </c>
      <c r="G3222" t="s">
        <v>299</v>
      </c>
      <c r="H3222">
        <v>101</v>
      </c>
      <c r="I3222" s="30">
        <v>2.662037037037037E-3</v>
      </c>
      <c r="J3222">
        <v>2</v>
      </c>
    </row>
    <row r="3223" spans="1:10" x14ac:dyDescent="0.35">
      <c r="A3223" t="s">
        <v>3588</v>
      </c>
      <c r="B3223" t="s">
        <v>316</v>
      </c>
      <c r="C3223" t="s">
        <v>3583</v>
      </c>
      <c r="D3223" s="30">
        <v>0.42499999999999999</v>
      </c>
      <c r="E3223" t="s">
        <v>314</v>
      </c>
      <c r="F3223" t="s">
        <v>303</v>
      </c>
      <c r="G3223" t="s">
        <v>303</v>
      </c>
    </row>
    <row r="3224" spans="1:10" x14ac:dyDescent="0.35">
      <c r="A3224" t="s">
        <v>3589</v>
      </c>
      <c r="B3224" t="s">
        <v>307</v>
      </c>
      <c r="C3224" t="s">
        <v>3583</v>
      </c>
      <c r="D3224" s="30">
        <v>0.43400462962962966</v>
      </c>
      <c r="E3224" t="s">
        <v>302</v>
      </c>
      <c r="F3224" t="s">
        <v>299</v>
      </c>
      <c r="G3224" t="s">
        <v>299</v>
      </c>
      <c r="H3224">
        <v>41</v>
      </c>
      <c r="I3224" s="30">
        <v>2.1296296296296298E-3</v>
      </c>
      <c r="J3224">
        <v>1</v>
      </c>
    </row>
    <row r="3225" spans="1:10" x14ac:dyDescent="0.35">
      <c r="A3225" t="s">
        <v>3590</v>
      </c>
      <c r="B3225" t="s">
        <v>323</v>
      </c>
      <c r="C3225" t="s">
        <v>3583</v>
      </c>
      <c r="D3225" s="30">
        <v>0.43400462962962966</v>
      </c>
      <c r="E3225" t="s">
        <v>317</v>
      </c>
      <c r="F3225" t="s">
        <v>303</v>
      </c>
      <c r="G3225" t="s">
        <v>303</v>
      </c>
    </row>
    <row r="3226" spans="1:10" x14ac:dyDescent="0.35">
      <c r="A3226" t="s">
        <v>3591</v>
      </c>
      <c r="B3226" t="s">
        <v>316</v>
      </c>
      <c r="C3226" t="s">
        <v>3583</v>
      </c>
      <c r="D3226" s="30">
        <v>0.44799768518518518</v>
      </c>
      <c r="E3226" t="s">
        <v>298</v>
      </c>
      <c r="F3226" t="s">
        <v>299</v>
      </c>
      <c r="G3226" t="s">
        <v>299</v>
      </c>
      <c r="H3226">
        <v>124</v>
      </c>
      <c r="I3226" s="30">
        <v>2.3958333333333331E-3</v>
      </c>
      <c r="J3226">
        <v>4</v>
      </c>
    </row>
    <row r="3227" spans="1:10" x14ac:dyDescent="0.35">
      <c r="A3227" t="s">
        <v>3592</v>
      </c>
      <c r="B3227" t="s">
        <v>316</v>
      </c>
      <c r="C3227" t="s">
        <v>3583</v>
      </c>
      <c r="D3227" s="30">
        <v>0.44799768518518518</v>
      </c>
      <c r="E3227" t="s">
        <v>317</v>
      </c>
      <c r="F3227" t="s">
        <v>299</v>
      </c>
      <c r="G3227" t="s">
        <v>303</v>
      </c>
      <c r="H3227">
        <v>98</v>
      </c>
      <c r="I3227" s="30">
        <v>3.8078703703703703E-3</v>
      </c>
      <c r="J3227">
        <v>2</v>
      </c>
    </row>
    <row r="3228" spans="1:10" x14ac:dyDescent="0.35">
      <c r="A3228" t="s">
        <v>3593</v>
      </c>
      <c r="B3228" t="s">
        <v>307</v>
      </c>
      <c r="C3228" t="s">
        <v>3583</v>
      </c>
      <c r="D3228" s="30">
        <v>0.46099537037037036</v>
      </c>
      <c r="E3228" t="s">
        <v>309</v>
      </c>
      <c r="F3228" t="s">
        <v>299</v>
      </c>
      <c r="G3228" t="s">
        <v>299</v>
      </c>
      <c r="H3228">
        <v>119</v>
      </c>
      <c r="I3228" s="30">
        <v>1.5162037037037036E-3</v>
      </c>
      <c r="J3228">
        <v>3</v>
      </c>
    </row>
    <row r="3229" spans="1:10" x14ac:dyDescent="0.35">
      <c r="A3229" t="s">
        <v>3594</v>
      </c>
      <c r="B3229" t="s">
        <v>316</v>
      </c>
      <c r="C3229" t="s">
        <v>3583</v>
      </c>
      <c r="D3229" s="30">
        <v>0.46099537037037036</v>
      </c>
      <c r="E3229" t="s">
        <v>317</v>
      </c>
      <c r="F3229" t="s">
        <v>299</v>
      </c>
      <c r="G3229" t="s">
        <v>299</v>
      </c>
      <c r="H3229">
        <v>40</v>
      </c>
      <c r="I3229" s="30">
        <v>1.6898148148148148E-3</v>
      </c>
      <c r="J3229">
        <v>1</v>
      </c>
    </row>
    <row r="3230" spans="1:10" x14ac:dyDescent="0.35">
      <c r="A3230" t="s">
        <v>3595</v>
      </c>
      <c r="B3230" t="s">
        <v>307</v>
      </c>
      <c r="C3230" t="s">
        <v>3583</v>
      </c>
      <c r="D3230" s="30">
        <v>0.48400462962962965</v>
      </c>
      <c r="E3230" t="s">
        <v>309</v>
      </c>
      <c r="F3230" t="s">
        <v>303</v>
      </c>
      <c r="G3230" t="s">
        <v>303</v>
      </c>
    </row>
    <row r="3231" spans="1:10" x14ac:dyDescent="0.35">
      <c r="A3231" t="s">
        <v>3596</v>
      </c>
      <c r="B3231" t="s">
        <v>301</v>
      </c>
      <c r="C3231" t="s">
        <v>3583</v>
      </c>
      <c r="D3231" s="30">
        <v>0.48400462962962965</v>
      </c>
      <c r="E3231" t="s">
        <v>309</v>
      </c>
      <c r="F3231" t="s">
        <v>299</v>
      </c>
      <c r="G3231" t="s">
        <v>299</v>
      </c>
      <c r="H3231">
        <v>97</v>
      </c>
      <c r="I3231" s="30">
        <v>3.8078703703703703E-3</v>
      </c>
      <c r="J3231">
        <v>2</v>
      </c>
    </row>
    <row r="3232" spans="1:10" x14ac:dyDescent="0.35">
      <c r="A3232" t="s">
        <v>3597</v>
      </c>
      <c r="B3232" t="s">
        <v>323</v>
      </c>
      <c r="C3232" t="s">
        <v>3583</v>
      </c>
      <c r="D3232" s="30">
        <v>0.48900462962962965</v>
      </c>
      <c r="E3232" t="s">
        <v>314</v>
      </c>
      <c r="F3232" t="s">
        <v>299</v>
      </c>
      <c r="G3232" t="s">
        <v>299</v>
      </c>
      <c r="H3232">
        <v>119</v>
      </c>
      <c r="I3232" s="30">
        <v>2.6157407407407405E-3</v>
      </c>
      <c r="J3232">
        <v>2</v>
      </c>
    </row>
    <row r="3233" spans="1:10" x14ac:dyDescent="0.35">
      <c r="A3233" t="s">
        <v>3598</v>
      </c>
      <c r="B3233" t="s">
        <v>301</v>
      </c>
      <c r="C3233" t="s">
        <v>3583</v>
      </c>
      <c r="D3233" s="30">
        <v>0.48900462962962965</v>
      </c>
      <c r="E3233" t="s">
        <v>302</v>
      </c>
      <c r="F3233" t="s">
        <v>303</v>
      </c>
      <c r="G3233" t="s">
        <v>303</v>
      </c>
    </row>
    <row r="3234" spans="1:10" x14ac:dyDescent="0.35">
      <c r="A3234" t="s">
        <v>3599</v>
      </c>
      <c r="B3234" t="s">
        <v>305</v>
      </c>
      <c r="C3234" t="s">
        <v>3583</v>
      </c>
      <c r="D3234" s="30">
        <v>0.49</v>
      </c>
      <c r="E3234" t="s">
        <v>317</v>
      </c>
      <c r="F3234" t="s">
        <v>299</v>
      </c>
      <c r="G3234" t="s">
        <v>299</v>
      </c>
      <c r="H3234">
        <v>26</v>
      </c>
      <c r="I3234" s="30">
        <v>4.861111111111111E-4</v>
      </c>
      <c r="J3234">
        <v>5</v>
      </c>
    </row>
    <row r="3235" spans="1:10" x14ac:dyDescent="0.35">
      <c r="A3235" t="s">
        <v>3600</v>
      </c>
      <c r="B3235" t="s">
        <v>307</v>
      </c>
      <c r="C3235" t="s">
        <v>3583</v>
      </c>
      <c r="D3235" s="30">
        <v>0.49</v>
      </c>
      <c r="E3235" t="s">
        <v>309</v>
      </c>
      <c r="F3235" t="s">
        <v>303</v>
      </c>
      <c r="G3235" t="s">
        <v>303</v>
      </c>
    </row>
    <row r="3236" spans="1:10" x14ac:dyDescent="0.35">
      <c r="A3236" t="s">
        <v>3601</v>
      </c>
      <c r="B3236" t="s">
        <v>316</v>
      </c>
      <c r="C3236" t="s">
        <v>3583</v>
      </c>
      <c r="D3236" s="30">
        <v>0.52799768518518519</v>
      </c>
      <c r="E3236" t="s">
        <v>309</v>
      </c>
      <c r="F3236" t="s">
        <v>299</v>
      </c>
      <c r="G3236" t="s">
        <v>299</v>
      </c>
      <c r="H3236">
        <v>77</v>
      </c>
      <c r="I3236" s="30">
        <v>1.2268518518518518E-3</v>
      </c>
      <c r="J3236">
        <v>4</v>
      </c>
    </row>
    <row r="3237" spans="1:10" x14ac:dyDescent="0.35">
      <c r="A3237" t="s">
        <v>3602</v>
      </c>
      <c r="B3237" t="s">
        <v>316</v>
      </c>
      <c r="C3237" t="s">
        <v>3583</v>
      </c>
      <c r="D3237" s="30">
        <v>0.52799768518518519</v>
      </c>
      <c r="E3237" t="s">
        <v>302</v>
      </c>
      <c r="F3237" t="s">
        <v>299</v>
      </c>
      <c r="G3237" t="s">
        <v>299</v>
      </c>
      <c r="H3237">
        <v>31</v>
      </c>
      <c r="I3237" s="30">
        <v>1.4467592592592592E-3</v>
      </c>
      <c r="J3237">
        <v>3</v>
      </c>
    </row>
    <row r="3238" spans="1:10" x14ac:dyDescent="0.35">
      <c r="A3238" t="s">
        <v>3603</v>
      </c>
      <c r="B3238" t="s">
        <v>301</v>
      </c>
      <c r="C3238" t="s">
        <v>3583</v>
      </c>
      <c r="D3238" s="30">
        <v>0.54299768518518521</v>
      </c>
      <c r="E3238" t="s">
        <v>314</v>
      </c>
      <c r="F3238" t="s">
        <v>303</v>
      </c>
      <c r="G3238" t="s">
        <v>303</v>
      </c>
    </row>
    <row r="3239" spans="1:10" x14ac:dyDescent="0.35">
      <c r="A3239" t="s">
        <v>3604</v>
      </c>
      <c r="B3239" t="s">
        <v>301</v>
      </c>
      <c r="C3239" t="s">
        <v>3583</v>
      </c>
      <c r="D3239" s="30">
        <v>0.54299768518518521</v>
      </c>
      <c r="E3239" t="s">
        <v>309</v>
      </c>
      <c r="F3239" t="s">
        <v>299</v>
      </c>
      <c r="G3239" t="s">
        <v>303</v>
      </c>
      <c r="H3239">
        <v>16</v>
      </c>
      <c r="I3239" s="30">
        <v>2.5462962962962965E-3</v>
      </c>
      <c r="J3239">
        <v>4</v>
      </c>
    </row>
    <row r="3240" spans="1:10" x14ac:dyDescent="0.35">
      <c r="A3240" t="s">
        <v>3605</v>
      </c>
      <c r="B3240" t="s">
        <v>296</v>
      </c>
      <c r="C3240" t="s">
        <v>3583</v>
      </c>
      <c r="D3240" s="30">
        <v>0.54599537037037038</v>
      </c>
      <c r="E3240" t="s">
        <v>314</v>
      </c>
      <c r="F3240" t="s">
        <v>299</v>
      </c>
      <c r="G3240" t="s">
        <v>299</v>
      </c>
      <c r="H3240">
        <v>117</v>
      </c>
      <c r="I3240" s="30">
        <v>4.5023148148148149E-3</v>
      </c>
      <c r="J3240">
        <v>4</v>
      </c>
    </row>
    <row r="3241" spans="1:10" x14ac:dyDescent="0.35">
      <c r="A3241" t="s">
        <v>3606</v>
      </c>
      <c r="B3241" t="s">
        <v>301</v>
      </c>
      <c r="C3241" t="s">
        <v>3583</v>
      </c>
      <c r="D3241" s="30">
        <v>0.54599537037037038</v>
      </c>
      <c r="E3241" t="s">
        <v>317</v>
      </c>
      <c r="F3241" t="s">
        <v>299</v>
      </c>
      <c r="G3241" t="s">
        <v>303</v>
      </c>
      <c r="H3241">
        <v>16</v>
      </c>
      <c r="I3241" s="30">
        <v>2.2916666666666667E-3</v>
      </c>
      <c r="J3241">
        <v>5</v>
      </c>
    </row>
    <row r="3242" spans="1:10" x14ac:dyDescent="0.35">
      <c r="A3242" t="s">
        <v>3607</v>
      </c>
      <c r="B3242" t="s">
        <v>305</v>
      </c>
      <c r="C3242" t="s">
        <v>3583</v>
      </c>
      <c r="D3242" s="30">
        <v>0.5870023148148148</v>
      </c>
      <c r="E3242" t="s">
        <v>309</v>
      </c>
      <c r="F3242" t="s">
        <v>299</v>
      </c>
      <c r="G3242" t="s">
        <v>303</v>
      </c>
      <c r="H3242">
        <v>35</v>
      </c>
      <c r="I3242" s="30">
        <v>2.3958333333333331E-3</v>
      </c>
      <c r="J3242">
        <v>4</v>
      </c>
    </row>
    <row r="3243" spans="1:10" x14ac:dyDescent="0.35">
      <c r="A3243" t="s">
        <v>3608</v>
      </c>
      <c r="B3243" t="s">
        <v>323</v>
      </c>
      <c r="C3243" t="s">
        <v>3583</v>
      </c>
      <c r="D3243" s="30">
        <v>0.5870023148148148</v>
      </c>
      <c r="E3243" t="s">
        <v>298</v>
      </c>
      <c r="F3243" t="s">
        <v>299</v>
      </c>
      <c r="G3243" t="s">
        <v>303</v>
      </c>
      <c r="H3243">
        <v>93</v>
      </c>
      <c r="I3243" s="30">
        <v>1.7592592592592592E-3</v>
      </c>
      <c r="J3243">
        <v>4</v>
      </c>
    </row>
    <row r="3244" spans="1:10" x14ac:dyDescent="0.35">
      <c r="A3244" t="s">
        <v>3609</v>
      </c>
      <c r="B3244" t="s">
        <v>319</v>
      </c>
      <c r="C3244" t="s">
        <v>3583</v>
      </c>
      <c r="D3244" s="30">
        <v>0.61900462962962965</v>
      </c>
      <c r="E3244" t="s">
        <v>317</v>
      </c>
      <c r="F3244" t="s">
        <v>299</v>
      </c>
      <c r="G3244" t="s">
        <v>299</v>
      </c>
      <c r="H3244">
        <v>39</v>
      </c>
      <c r="I3244" s="30">
        <v>2.0370370370370369E-3</v>
      </c>
      <c r="J3244">
        <v>1</v>
      </c>
    </row>
    <row r="3245" spans="1:10" x14ac:dyDescent="0.35">
      <c r="A3245" t="s">
        <v>3610</v>
      </c>
      <c r="B3245" t="s">
        <v>307</v>
      </c>
      <c r="C3245" t="s">
        <v>3583</v>
      </c>
      <c r="D3245" s="30">
        <v>0.61900462962962965</v>
      </c>
      <c r="E3245" t="s">
        <v>317</v>
      </c>
      <c r="F3245" t="s">
        <v>299</v>
      </c>
      <c r="G3245" t="s">
        <v>303</v>
      </c>
      <c r="H3245">
        <v>18</v>
      </c>
      <c r="I3245" s="30">
        <v>3.4027777777777776E-3</v>
      </c>
      <c r="J3245">
        <v>1</v>
      </c>
    </row>
    <row r="3246" spans="1:10" x14ac:dyDescent="0.35">
      <c r="A3246" t="s">
        <v>3611</v>
      </c>
      <c r="B3246" t="s">
        <v>307</v>
      </c>
      <c r="C3246" t="s">
        <v>3583</v>
      </c>
      <c r="D3246" s="30">
        <v>0.62099537037037034</v>
      </c>
      <c r="E3246" t="s">
        <v>298</v>
      </c>
      <c r="F3246" t="s">
        <v>299</v>
      </c>
      <c r="G3246" t="s">
        <v>299</v>
      </c>
      <c r="H3246">
        <v>124</v>
      </c>
      <c r="I3246" s="30">
        <v>3.7847222222222223E-3</v>
      </c>
      <c r="J3246">
        <v>4</v>
      </c>
    </row>
    <row r="3247" spans="1:10" x14ac:dyDescent="0.35">
      <c r="A3247" t="s">
        <v>3612</v>
      </c>
      <c r="B3247" t="s">
        <v>307</v>
      </c>
      <c r="C3247" t="s">
        <v>3583</v>
      </c>
      <c r="D3247" s="30">
        <v>0.62099537037037034</v>
      </c>
      <c r="E3247" t="s">
        <v>317</v>
      </c>
      <c r="F3247" t="s">
        <v>303</v>
      </c>
      <c r="G3247" t="s">
        <v>303</v>
      </c>
    </row>
    <row r="3248" spans="1:10" x14ac:dyDescent="0.35">
      <c r="A3248" t="s">
        <v>3613</v>
      </c>
      <c r="B3248" t="s">
        <v>301</v>
      </c>
      <c r="C3248" t="s">
        <v>3583</v>
      </c>
      <c r="D3248" s="30">
        <v>0.62599537037037034</v>
      </c>
      <c r="E3248" t="s">
        <v>317</v>
      </c>
      <c r="F3248" t="s">
        <v>299</v>
      </c>
      <c r="G3248" t="s">
        <v>299</v>
      </c>
      <c r="H3248">
        <v>10</v>
      </c>
      <c r="I3248" s="30">
        <v>2.7777777777777779E-3</v>
      </c>
      <c r="J3248">
        <v>1</v>
      </c>
    </row>
    <row r="3249" spans="1:10" x14ac:dyDescent="0.35">
      <c r="A3249" t="s">
        <v>3614</v>
      </c>
      <c r="B3249" t="s">
        <v>296</v>
      </c>
      <c r="C3249" t="s">
        <v>3583</v>
      </c>
      <c r="D3249" s="30">
        <v>0.62599537037037034</v>
      </c>
      <c r="E3249" t="s">
        <v>298</v>
      </c>
      <c r="F3249" t="s">
        <v>303</v>
      </c>
      <c r="G3249" t="s">
        <v>303</v>
      </c>
    </row>
    <row r="3250" spans="1:10" x14ac:dyDescent="0.35">
      <c r="A3250" t="s">
        <v>3615</v>
      </c>
      <c r="B3250" t="s">
        <v>301</v>
      </c>
      <c r="C3250" t="s">
        <v>3583</v>
      </c>
      <c r="D3250" s="30">
        <v>0.62900462962962966</v>
      </c>
      <c r="E3250" t="s">
        <v>317</v>
      </c>
      <c r="F3250" t="s">
        <v>299</v>
      </c>
      <c r="G3250" t="s">
        <v>299</v>
      </c>
      <c r="H3250">
        <v>99</v>
      </c>
      <c r="I3250" s="30">
        <v>3.5648148148148149E-3</v>
      </c>
      <c r="J3250">
        <v>4</v>
      </c>
    </row>
    <row r="3251" spans="1:10" x14ac:dyDescent="0.35">
      <c r="A3251" t="s">
        <v>3616</v>
      </c>
      <c r="B3251" t="s">
        <v>307</v>
      </c>
      <c r="C3251" t="s">
        <v>3583</v>
      </c>
      <c r="D3251" s="30">
        <v>0.62900462962962966</v>
      </c>
      <c r="E3251" t="s">
        <v>302</v>
      </c>
      <c r="F3251" t="s">
        <v>299</v>
      </c>
      <c r="G3251" t="s">
        <v>299</v>
      </c>
      <c r="H3251">
        <v>114</v>
      </c>
      <c r="I3251" s="30">
        <v>3.5416666666666665E-3</v>
      </c>
      <c r="J3251">
        <v>4</v>
      </c>
    </row>
    <row r="3252" spans="1:10" x14ac:dyDescent="0.35">
      <c r="A3252" t="s">
        <v>3617</v>
      </c>
      <c r="B3252" t="s">
        <v>307</v>
      </c>
      <c r="C3252" t="s">
        <v>3583</v>
      </c>
      <c r="D3252" s="30">
        <v>0.65400462962962957</v>
      </c>
      <c r="E3252" t="s">
        <v>302</v>
      </c>
      <c r="F3252" t="s">
        <v>299</v>
      </c>
      <c r="G3252" t="s">
        <v>299</v>
      </c>
      <c r="H3252">
        <v>122</v>
      </c>
      <c r="I3252" s="30">
        <v>3.1828703703703702E-3</v>
      </c>
      <c r="J3252">
        <v>1</v>
      </c>
    </row>
    <row r="3253" spans="1:10" x14ac:dyDescent="0.35">
      <c r="A3253" t="s">
        <v>3618</v>
      </c>
      <c r="B3253" t="s">
        <v>319</v>
      </c>
      <c r="C3253" t="s">
        <v>3583</v>
      </c>
      <c r="D3253" s="30">
        <v>0.65400462962962957</v>
      </c>
      <c r="E3253" t="s">
        <v>298</v>
      </c>
      <c r="F3253" t="s">
        <v>303</v>
      </c>
      <c r="G3253" t="s">
        <v>303</v>
      </c>
    </row>
    <row r="3254" spans="1:10" x14ac:dyDescent="0.35">
      <c r="A3254" t="s">
        <v>3619</v>
      </c>
      <c r="B3254" t="s">
        <v>301</v>
      </c>
      <c r="C3254" t="s">
        <v>3583</v>
      </c>
      <c r="D3254" s="30">
        <v>0.67</v>
      </c>
      <c r="E3254" t="s">
        <v>317</v>
      </c>
      <c r="F3254" t="s">
        <v>303</v>
      </c>
      <c r="G3254" t="s">
        <v>303</v>
      </c>
    </row>
    <row r="3255" spans="1:10" x14ac:dyDescent="0.35">
      <c r="A3255" t="s">
        <v>3620</v>
      </c>
      <c r="B3255" t="s">
        <v>296</v>
      </c>
      <c r="C3255" t="s">
        <v>3583</v>
      </c>
      <c r="D3255" s="30">
        <v>0.67</v>
      </c>
      <c r="E3255" t="s">
        <v>298</v>
      </c>
      <c r="F3255" t="s">
        <v>299</v>
      </c>
      <c r="G3255" t="s">
        <v>303</v>
      </c>
      <c r="H3255">
        <v>87</v>
      </c>
      <c r="I3255" s="30">
        <v>8.7962962962962962E-4</v>
      </c>
      <c r="J3255">
        <v>4</v>
      </c>
    </row>
    <row r="3256" spans="1:10" x14ac:dyDescent="0.35">
      <c r="A3256" t="s">
        <v>3621</v>
      </c>
      <c r="B3256" t="s">
        <v>332</v>
      </c>
      <c r="C3256" t="s">
        <v>3583</v>
      </c>
      <c r="D3256" s="30">
        <v>0.68700231481481477</v>
      </c>
      <c r="E3256" t="s">
        <v>317</v>
      </c>
      <c r="F3256" t="s">
        <v>299</v>
      </c>
      <c r="G3256" t="s">
        <v>299</v>
      </c>
      <c r="H3256">
        <v>63</v>
      </c>
      <c r="I3256" s="30">
        <v>2.3958333333333331E-3</v>
      </c>
      <c r="J3256">
        <v>3</v>
      </c>
    </row>
    <row r="3257" spans="1:10" x14ac:dyDescent="0.35">
      <c r="A3257" t="s">
        <v>3622</v>
      </c>
      <c r="B3257" t="s">
        <v>323</v>
      </c>
      <c r="C3257" t="s">
        <v>3583</v>
      </c>
      <c r="D3257" s="30">
        <v>0.68700231481481477</v>
      </c>
      <c r="E3257" t="s">
        <v>309</v>
      </c>
      <c r="F3257" t="s">
        <v>303</v>
      </c>
      <c r="G3257" t="s">
        <v>303</v>
      </c>
    </row>
    <row r="3258" spans="1:10" x14ac:dyDescent="0.35">
      <c r="A3258" t="s">
        <v>3623</v>
      </c>
      <c r="B3258" t="s">
        <v>305</v>
      </c>
      <c r="C3258" t="s">
        <v>3583</v>
      </c>
      <c r="D3258" s="30">
        <v>0.70099537037037041</v>
      </c>
      <c r="E3258" t="s">
        <v>317</v>
      </c>
      <c r="F3258" t="s">
        <v>299</v>
      </c>
      <c r="G3258" t="s">
        <v>299</v>
      </c>
      <c r="H3258">
        <v>120</v>
      </c>
      <c r="I3258" s="30">
        <v>4.6180555555555558E-3</v>
      </c>
      <c r="J3258">
        <v>4</v>
      </c>
    </row>
    <row r="3259" spans="1:10" x14ac:dyDescent="0.35">
      <c r="A3259" t="s">
        <v>3624</v>
      </c>
      <c r="B3259" t="s">
        <v>316</v>
      </c>
      <c r="C3259" t="s">
        <v>3583</v>
      </c>
      <c r="D3259" s="30">
        <v>0.70099537037037041</v>
      </c>
      <c r="E3259" t="s">
        <v>317</v>
      </c>
      <c r="F3259" t="s">
        <v>303</v>
      </c>
      <c r="G3259" t="s">
        <v>303</v>
      </c>
    </row>
    <row r="3260" spans="1:10" x14ac:dyDescent="0.35">
      <c r="A3260" t="s">
        <v>3625</v>
      </c>
      <c r="B3260" t="s">
        <v>305</v>
      </c>
      <c r="C3260" t="s">
        <v>3583</v>
      </c>
      <c r="D3260" s="30">
        <v>0.70700231481481479</v>
      </c>
      <c r="E3260" t="s">
        <v>317</v>
      </c>
      <c r="F3260" t="s">
        <v>303</v>
      </c>
      <c r="G3260" t="s">
        <v>303</v>
      </c>
    </row>
    <row r="3261" spans="1:10" x14ac:dyDescent="0.35">
      <c r="A3261" t="s">
        <v>3626</v>
      </c>
      <c r="B3261" t="s">
        <v>305</v>
      </c>
      <c r="C3261" t="s">
        <v>3583</v>
      </c>
      <c r="D3261" s="30">
        <v>0.70700231481481479</v>
      </c>
      <c r="E3261" t="s">
        <v>309</v>
      </c>
      <c r="F3261" t="s">
        <v>299</v>
      </c>
      <c r="G3261" t="s">
        <v>299</v>
      </c>
      <c r="H3261">
        <v>23</v>
      </c>
      <c r="I3261" s="30">
        <v>3.6921296296296298E-3</v>
      </c>
      <c r="J3261">
        <v>4</v>
      </c>
    </row>
    <row r="3262" spans="1:10" x14ac:dyDescent="0.35">
      <c r="A3262" t="s">
        <v>3627</v>
      </c>
      <c r="B3262" t="s">
        <v>323</v>
      </c>
      <c r="C3262" t="s">
        <v>3583</v>
      </c>
      <c r="D3262" s="30">
        <v>0.7120023148148148</v>
      </c>
      <c r="E3262" t="s">
        <v>302</v>
      </c>
      <c r="F3262" t="s">
        <v>299</v>
      </c>
      <c r="G3262" t="s">
        <v>303</v>
      </c>
      <c r="H3262">
        <v>122</v>
      </c>
      <c r="I3262" s="30">
        <v>2.650462962962963E-3</v>
      </c>
      <c r="J3262">
        <v>5</v>
      </c>
    </row>
    <row r="3263" spans="1:10" x14ac:dyDescent="0.35">
      <c r="A3263" t="s">
        <v>3628</v>
      </c>
      <c r="B3263" t="s">
        <v>319</v>
      </c>
      <c r="C3263" t="s">
        <v>3583</v>
      </c>
      <c r="D3263" s="30">
        <v>0.7120023148148148</v>
      </c>
      <c r="E3263" t="s">
        <v>298</v>
      </c>
      <c r="F3263" t="s">
        <v>299</v>
      </c>
      <c r="G3263" t="s">
        <v>299</v>
      </c>
      <c r="H3263">
        <v>60</v>
      </c>
      <c r="I3263" s="30">
        <v>2.4074074074074076E-3</v>
      </c>
      <c r="J3263">
        <v>1</v>
      </c>
    </row>
    <row r="3264" spans="1:10" x14ac:dyDescent="0.35">
      <c r="A3264" t="s">
        <v>3629</v>
      </c>
      <c r="B3264" t="s">
        <v>332</v>
      </c>
      <c r="C3264" t="s">
        <v>3583</v>
      </c>
      <c r="D3264" s="30">
        <v>0.73299768518518515</v>
      </c>
      <c r="E3264" t="s">
        <v>298</v>
      </c>
      <c r="F3264" t="s">
        <v>299</v>
      </c>
      <c r="G3264" t="s">
        <v>299</v>
      </c>
      <c r="H3264">
        <v>123</v>
      </c>
      <c r="I3264" s="30">
        <v>5.2083333333333333E-4</v>
      </c>
      <c r="J3264">
        <v>5</v>
      </c>
    </row>
    <row r="3265" spans="1:10" x14ac:dyDescent="0.35">
      <c r="A3265" t="s">
        <v>3630</v>
      </c>
      <c r="B3265" t="s">
        <v>332</v>
      </c>
      <c r="C3265" t="s">
        <v>3583</v>
      </c>
      <c r="D3265" s="30">
        <v>0.73299768518518515</v>
      </c>
      <c r="E3265" t="s">
        <v>302</v>
      </c>
      <c r="F3265" t="s">
        <v>299</v>
      </c>
      <c r="G3265" t="s">
        <v>299</v>
      </c>
      <c r="H3265">
        <v>64</v>
      </c>
      <c r="I3265" s="30">
        <v>3.6921296296296298E-3</v>
      </c>
      <c r="J3265">
        <v>1</v>
      </c>
    </row>
    <row r="3266" spans="1:10" x14ac:dyDescent="0.35">
      <c r="A3266" t="s">
        <v>3631</v>
      </c>
      <c r="B3266" t="s">
        <v>307</v>
      </c>
      <c r="C3266" t="s">
        <v>3583</v>
      </c>
      <c r="D3266" s="30">
        <v>0.73400462962962965</v>
      </c>
      <c r="E3266" t="s">
        <v>317</v>
      </c>
      <c r="F3266" t="s">
        <v>299</v>
      </c>
      <c r="G3266" t="s">
        <v>299</v>
      </c>
      <c r="H3266">
        <v>124</v>
      </c>
      <c r="I3266" s="30">
        <v>3.5185185185185185E-3</v>
      </c>
      <c r="J3266">
        <v>2</v>
      </c>
    </row>
    <row r="3267" spans="1:10" x14ac:dyDescent="0.35">
      <c r="A3267" t="s">
        <v>3632</v>
      </c>
      <c r="B3267" t="s">
        <v>296</v>
      </c>
      <c r="C3267" t="s">
        <v>3583</v>
      </c>
      <c r="D3267" s="30">
        <v>0.73400462962962965</v>
      </c>
      <c r="E3267" t="s">
        <v>298</v>
      </c>
      <c r="F3267" t="s">
        <v>299</v>
      </c>
      <c r="G3267" t="s">
        <v>299</v>
      </c>
      <c r="H3267">
        <v>102</v>
      </c>
      <c r="I3267" s="30">
        <v>1.6203703703703703E-3</v>
      </c>
      <c r="J3267">
        <v>4</v>
      </c>
    </row>
    <row r="3268" spans="1:10" x14ac:dyDescent="0.35">
      <c r="A3268" t="s">
        <v>3633</v>
      </c>
      <c r="B3268" t="s">
        <v>301</v>
      </c>
      <c r="C3268" t="s">
        <v>3583</v>
      </c>
      <c r="D3268" s="30">
        <v>0.73599537037037033</v>
      </c>
      <c r="E3268" t="s">
        <v>314</v>
      </c>
      <c r="F3268" t="s">
        <v>299</v>
      </c>
      <c r="G3268" t="s">
        <v>299</v>
      </c>
      <c r="H3268">
        <v>27</v>
      </c>
      <c r="I3268" s="30">
        <v>4.5370370370370373E-3</v>
      </c>
      <c r="J3268">
        <v>4</v>
      </c>
    </row>
    <row r="3269" spans="1:10" x14ac:dyDescent="0.35">
      <c r="A3269" t="s">
        <v>3634</v>
      </c>
      <c r="B3269" t="s">
        <v>301</v>
      </c>
      <c r="C3269" t="s">
        <v>3583</v>
      </c>
      <c r="D3269" s="30">
        <v>0.73599537037037033</v>
      </c>
      <c r="E3269" t="s">
        <v>314</v>
      </c>
      <c r="F3269" t="s">
        <v>299</v>
      </c>
      <c r="G3269" t="s">
        <v>299</v>
      </c>
      <c r="H3269">
        <v>26</v>
      </c>
      <c r="I3269" s="30">
        <v>4.0162037037037041E-3</v>
      </c>
      <c r="J3269">
        <v>4</v>
      </c>
    </row>
    <row r="3270" spans="1:10" x14ac:dyDescent="0.35">
      <c r="A3270" t="s">
        <v>3635</v>
      </c>
      <c r="B3270" t="s">
        <v>319</v>
      </c>
      <c r="C3270" t="s">
        <v>3583</v>
      </c>
      <c r="D3270" s="30">
        <v>0.73799768518518516</v>
      </c>
      <c r="E3270" t="s">
        <v>309</v>
      </c>
      <c r="F3270" t="s">
        <v>299</v>
      </c>
      <c r="G3270" t="s">
        <v>299</v>
      </c>
      <c r="H3270">
        <v>42</v>
      </c>
      <c r="I3270" s="30">
        <v>9.3749999999999997E-4</v>
      </c>
      <c r="J3270">
        <v>5</v>
      </c>
    </row>
    <row r="3271" spans="1:10" x14ac:dyDescent="0.35">
      <c r="A3271" t="s">
        <v>3636</v>
      </c>
      <c r="B3271" t="s">
        <v>332</v>
      </c>
      <c r="C3271" t="s">
        <v>3583</v>
      </c>
      <c r="D3271" s="30">
        <v>0.73799768518518516</v>
      </c>
      <c r="E3271" t="s">
        <v>302</v>
      </c>
      <c r="F3271" t="s">
        <v>299</v>
      </c>
      <c r="G3271" t="s">
        <v>299</v>
      </c>
      <c r="H3271">
        <v>121</v>
      </c>
      <c r="I3271" s="30">
        <v>3.0787037037037037E-3</v>
      </c>
      <c r="J3271">
        <v>4</v>
      </c>
    </row>
    <row r="3272" spans="1:10" x14ac:dyDescent="0.35">
      <c r="A3272" t="s">
        <v>3637</v>
      </c>
      <c r="B3272" t="s">
        <v>301</v>
      </c>
      <c r="C3272" t="s">
        <v>3583</v>
      </c>
      <c r="D3272" s="30">
        <v>0.74400462962962965</v>
      </c>
      <c r="E3272" t="s">
        <v>309</v>
      </c>
      <c r="F3272" t="s">
        <v>299</v>
      </c>
      <c r="G3272" t="s">
        <v>299</v>
      </c>
      <c r="H3272">
        <v>91</v>
      </c>
      <c r="I3272" s="30">
        <v>4.4675925925925924E-3</v>
      </c>
      <c r="J3272">
        <v>3</v>
      </c>
    </row>
    <row r="3273" spans="1:10" x14ac:dyDescent="0.35">
      <c r="A3273" t="s">
        <v>3638</v>
      </c>
      <c r="B3273" t="s">
        <v>305</v>
      </c>
      <c r="C3273" t="s">
        <v>3583</v>
      </c>
      <c r="D3273" s="30">
        <v>0.74400462962962965</v>
      </c>
      <c r="E3273" t="s">
        <v>302</v>
      </c>
      <c r="F3273" t="s">
        <v>299</v>
      </c>
      <c r="G3273" t="s">
        <v>299</v>
      </c>
      <c r="H3273">
        <v>79</v>
      </c>
      <c r="I3273" s="30">
        <v>2.7430555555555554E-3</v>
      </c>
      <c r="J3273">
        <v>5</v>
      </c>
    </row>
    <row r="3274" spans="1:10" x14ac:dyDescent="0.35">
      <c r="A3274" t="s">
        <v>3639</v>
      </c>
      <c r="B3274" t="s">
        <v>305</v>
      </c>
      <c r="C3274" t="s">
        <v>3640</v>
      </c>
      <c r="D3274" s="30">
        <v>0.38299768518518518</v>
      </c>
      <c r="E3274" t="s">
        <v>317</v>
      </c>
      <c r="F3274" t="s">
        <v>299</v>
      </c>
      <c r="G3274" t="s">
        <v>299</v>
      </c>
      <c r="H3274">
        <v>49</v>
      </c>
      <c r="I3274" s="30">
        <v>3.0324074074074073E-3</v>
      </c>
      <c r="J3274">
        <v>5</v>
      </c>
    </row>
    <row r="3275" spans="1:10" x14ac:dyDescent="0.35">
      <c r="A3275" t="s">
        <v>3641</v>
      </c>
      <c r="B3275" t="s">
        <v>323</v>
      </c>
      <c r="C3275" t="s">
        <v>3640</v>
      </c>
      <c r="D3275" s="30">
        <v>0.38299768518518518</v>
      </c>
      <c r="E3275" t="s">
        <v>317</v>
      </c>
      <c r="F3275" t="s">
        <v>303</v>
      </c>
      <c r="G3275" t="s">
        <v>303</v>
      </c>
    </row>
    <row r="3276" spans="1:10" x14ac:dyDescent="0.35">
      <c r="A3276" t="s">
        <v>3642</v>
      </c>
      <c r="B3276" t="s">
        <v>323</v>
      </c>
      <c r="C3276" t="s">
        <v>3640</v>
      </c>
      <c r="D3276" s="30">
        <v>0.38299768518518518</v>
      </c>
      <c r="E3276" t="s">
        <v>298</v>
      </c>
      <c r="F3276" t="s">
        <v>299</v>
      </c>
      <c r="G3276" t="s">
        <v>303</v>
      </c>
      <c r="H3276">
        <v>44</v>
      </c>
      <c r="I3276" s="30">
        <v>3.6574074074074074E-3</v>
      </c>
      <c r="J3276">
        <v>4</v>
      </c>
    </row>
    <row r="3277" spans="1:10" x14ac:dyDescent="0.35">
      <c r="A3277" t="s">
        <v>3643</v>
      </c>
      <c r="B3277" t="s">
        <v>301</v>
      </c>
      <c r="C3277" t="s">
        <v>3640</v>
      </c>
      <c r="D3277" s="30">
        <v>0.38299768518518518</v>
      </c>
      <c r="E3277" t="s">
        <v>298</v>
      </c>
      <c r="F3277" t="s">
        <v>303</v>
      </c>
      <c r="G3277" t="s">
        <v>303</v>
      </c>
    </row>
    <row r="3278" spans="1:10" x14ac:dyDescent="0.35">
      <c r="A3278" t="s">
        <v>3644</v>
      </c>
      <c r="B3278" t="s">
        <v>307</v>
      </c>
      <c r="C3278" t="s">
        <v>3640</v>
      </c>
      <c r="D3278" s="30">
        <v>0.4070023148148148</v>
      </c>
      <c r="E3278" t="s">
        <v>317</v>
      </c>
      <c r="F3278" t="s">
        <v>303</v>
      </c>
      <c r="G3278" t="s">
        <v>303</v>
      </c>
    </row>
    <row r="3279" spans="1:10" x14ac:dyDescent="0.35">
      <c r="A3279" t="s">
        <v>3645</v>
      </c>
      <c r="B3279" t="s">
        <v>307</v>
      </c>
      <c r="C3279" t="s">
        <v>3640</v>
      </c>
      <c r="D3279" s="30">
        <v>0.4070023148148148</v>
      </c>
      <c r="E3279" t="s">
        <v>317</v>
      </c>
      <c r="F3279" t="s">
        <v>299</v>
      </c>
      <c r="G3279" t="s">
        <v>299</v>
      </c>
      <c r="H3279">
        <v>47</v>
      </c>
      <c r="I3279" s="30">
        <v>4.2245370370370371E-3</v>
      </c>
      <c r="J3279">
        <v>3</v>
      </c>
    </row>
    <row r="3280" spans="1:10" x14ac:dyDescent="0.35">
      <c r="A3280" t="s">
        <v>3646</v>
      </c>
      <c r="B3280" t="s">
        <v>307</v>
      </c>
      <c r="C3280" t="s">
        <v>3640</v>
      </c>
      <c r="D3280" s="30">
        <v>0.41</v>
      </c>
      <c r="E3280" t="s">
        <v>317</v>
      </c>
      <c r="F3280" t="s">
        <v>303</v>
      </c>
      <c r="G3280" t="s">
        <v>303</v>
      </c>
    </row>
    <row r="3281" spans="1:10" x14ac:dyDescent="0.35">
      <c r="A3281" t="s">
        <v>3647</v>
      </c>
      <c r="B3281" t="s">
        <v>296</v>
      </c>
      <c r="C3281" t="s">
        <v>3640</v>
      </c>
      <c r="D3281" s="30">
        <v>0.41</v>
      </c>
      <c r="E3281" t="s">
        <v>309</v>
      </c>
      <c r="F3281" t="s">
        <v>303</v>
      </c>
      <c r="G3281" t="s">
        <v>303</v>
      </c>
    </row>
    <row r="3282" spans="1:10" x14ac:dyDescent="0.35">
      <c r="A3282" t="s">
        <v>3648</v>
      </c>
      <c r="B3282" t="s">
        <v>307</v>
      </c>
      <c r="C3282" t="s">
        <v>3640</v>
      </c>
      <c r="D3282" s="30">
        <v>0.41400462962962964</v>
      </c>
      <c r="E3282" t="s">
        <v>302</v>
      </c>
      <c r="F3282" t="s">
        <v>299</v>
      </c>
      <c r="G3282" t="s">
        <v>303</v>
      </c>
      <c r="H3282">
        <v>26</v>
      </c>
      <c r="I3282" s="30">
        <v>5.9027777777777778E-4</v>
      </c>
      <c r="J3282">
        <v>5</v>
      </c>
    </row>
    <row r="3283" spans="1:10" x14ac:dyDescent="0.35">
      <c r="A3283" t="s">
        <v>3649</v>
      </c>
      <c r="B3283" t="s">
        <v>307</v>
      </c>
      <c r="C3283" t="s">
        <v>3640</v>
      </c>
      <c r="D3283" s="30">
        <v>0.41400462962962964</v>
      </c>
      <c r="E3283" t="s">
        <v>314</v>
      </c>
      <c r="F3283" t="s">
        <v>303</v>
      </c>
      <c r="G3283" t="s">
        <v>303</v>
      </c>
    </row>
    <row r="3284" spans="1:10" x14ac:dyDescent="0.35">
      <c r="A3284" t="s">
        <v>3650</v>
      </c>
      <c r="B3284" t="s">
        <v>323</v>
      </c>
      <c r="C3284" t="s">
        <v>3640</v>
      </c>
      <c r="D3284" s="30">
        <v>0.42799768518518516</v>
      </c>
      <c r="E3284" t="s">
        <v>314</v>
      </c>
      <c r="F3284" t="s">
        <v>299</v>
      </c>
      <c r="G3284" t="s">
        <v>299</v>
      </c>
      <c r="H3284">
        <v>50</v>
      </c>
      <c r="I3284" s="30">
        <v>1.0763888888888889E-3</v>
      </c>
      <c r="J3284">
        <v>3</v>
      </c>
    </row>
    <row r="3285" spans="1:10" x14ac:dyDescent="0.35">
      <c r="A3285" t="s">
        <v>3651</v>
      </c>
      <c r="B3285" t="s">
        <v>305</v>
      </c>
      <c r="C3285" t="s">
        <v>3640</v>
      </c>
      <c r="D3285" s="30">
        <v>0.42799768518518516</v>
      </c>
      <c r="E3285" t="s">
        <v>317</v>
      </c>
      <c r="F3285" t="s">
        <v>299</v>
      </c>
      <c r="G3285" t="s">
        <v>299</v>
      </c>
      <c r="H3285">
        <v>121</v>
      </c>
      <c r="I3285" s="30">
        <v>3.7037037037037038E-3</v>
      </c>
      <c r="J3285">
        <v>1</v>
      </c>
    </row>
    <row r="3286" spans="1:10" x14ac:dyDescent="0.35">
      <c r="A3286" t="s">
        <v>3652</v>
      </c>
      <c r="B3286" t="s">
        <v>316</v>
      </c>
      <c r="C3286" t="s">
        <v>3640</v>
      </c>
      <c r="D3286" s="30">
        <v>0.45200231481481479</v>
      </c>
      <c r="E3286" t="s">
        <v>298</v>
      </c>
      <c r="F3286" t="s">
        <v>299</v>
      </c>
      <c r="G3286" t="s">
        <v>299</v>
      </c>
      <c r="H3286">
        <v>82</v>
      </c>
      <c r="I3286" s="30">
        <v>4.6874999999999998E-3</v>
      </c>
      <c r="J3286">
        <v>3</v>
      </c>
    </row>
    <row r="3287" spans="1:10" x14ac:dyDescent="0.35">
      <c r="A3287" t="s">
        <v>3653</v>
      </c>
      <c r="B3287" t="s">
        <v>296</v>
      </c>
      <c r="C3287" t="s">
        <v>3640</v>
      </c>
      <c r="D3287" s="30">
        <v>0.45200231481481479</v>
      </c>
      <c r="E3287" t="s">
        <v>314</v>
      </c>
      <c r="F3287" t="s">
        <v>299</v>
      </c>
      <c r="G3287" t="s">
        <v>299</v>
      </c>
      <c r="H3287">
        <v>41</v>
      </c>
      <c r="I3287" s="30">
        <v>3.2060185185185186E-3</v>
      </c>
      <c r="J3287">
        <v>4</v>
      </c>
    </row>
    <row r="3288" spans="1:10" x14ac:dyDescent="0.35">
      <c r="A3288" t="s">
        <v>3654</v>
      </c>
      <c r="B3288" t="s">
        <v>332</v>
      </c>
      <c r="C3288" t="s">
        <v>3640</v>
      </c>
      <c r="D3288" s="30">
        <v>0.49099537037037039</v>
      </c>
      <c r="E3288" t="s">
        <v>314</v>
      </c>
      <c r="F3288" t="s">
        <v>299</v>
      </c>
      <c r="G3288" t="s">
        <v>299</v>
      </c>
      <c r="H3288">
        <v>65</v>
      </c>
      <c r="I3288" s="30">
        <v>4.0625000000000001E-3</v>
      </c>
      <c r="J3288">
        <v>1</v>
      </c>
    </row>
    <row r="3289" spans="1:10" x14ac:dyDescent="0.35">
      <c r="A3289" t="s">
        <v>3655</v>
      </c>
      <c r="B3289" t="s">
        <v>332</v>
      </c>
      <c r="C3289" t="s">
        <v>3640</v>
      </c>
      <c r="D3289" s="30">
        <v>0.49099537037037039</v>
      </c>
      <c r="E3289" t="s">
        <v>298</v>
      </c>
      <c r="F3289" t="s">
        <v>299</v>
      </c>
      <c r="G3289" t="s">
        <v>299</v>
      </c>
      <c r="H3289">
        <v>100</v>
      </c>
      <c r="I3289" s="30">
        <v>4.0393518518518521E-3</v>
      </c>
      <c r="J3289">
        <v>3</v>
      </c>
    </row>
    <row r="3290" spans="1:10" x14ac:dyDescent="0.35">
      <c r="A3290" t="s">
        <v>3656</v>
      </c>
      <c r="B3290" t="s">
        <v>332</v>
      </c>
      <c r="C3290" t="s">
        <v>3640</v>
      </c>
      <c r="D3290" s="30">
        <v>0.51</v>
      </c>
      <c r="E3290" t="s">
        <v>317</v>
      </c>
      <c r="F3290" t="s">
        <v>299</v>
      </c>
      <c r="G3290" t="s">
        <v>299</v>
      </c>
      <c r="H3290">
        <v>72</v>
      </c>
      <c r="I3290" s="30">
        <v>3.449074074074074E-3</v>
      </c>
      <c r="J3290">
        <v>2</v>
      </c>
    </row>
    <row r="3291" spans="1:10" x14ac:dyDescent="0.35">
      <c r="A3291" t="s">
        <v>3657</v>
      </c>
      <c r="B3291" t="s">
        <v>332</v>
      </c>
      <c r="C3291" t="s">
        <v>3640</v>
      </c>
      <c r="D3291" s="30">
        <v>0.51</v>
      </c>
      <c r="E3291" t="s">
        <v>317</v>
      </c>
      <c r="F3291" t="s">
        <v>299</v>
      </c>
      <c r="G3291" t="s">
        <v>299</v>
      </c>
      <c r="H3291">
        <v>120</v>
      </c>
      <c r="I3291" s="30">
        <v>5.6712962962962967E-4</v>
      </c>
      <c r="J3291">
        <v>5</v>
      </c>
    </row>
    <row r="3292" spans="1:10" x14ac:dyDescent="0.35">
      <c r="A3292" t="s">
        <v>3658</v>
      </c>
      <c r="B3292" t="s">
        <v>305</v>
      </c>
      <c r="C3292" t="s">
        <v>3640</v>
      </c>
      <c r="D3292" s="30">
        <v>0.52400462962962968</v>
      </c>
      <c r="E3292" t="s">
        <v>298</v>
      </c>
      <c r="F3292" t="s">
        <v>299</v>
      </c>
      <c r="G3292" t="s">
        <v>299</v>
      </c>
      <c r="H3292">
        <v>59</v>
      </c>
      <c r="I3292" s="30">
        <v>8.4490740740740739E-4</v>
      </c>
      <c r="J3292">
        <v>3</v>
      </c>
    </row>
    <row r="3293" spans="1:10" x14ac:dyDescent="0.35">
      <c r="A3293" t="s">
        <v>3659</v>
      </c>
      <c r="B3293" t="s">
        <v>296</v>
      </c>
      <c r="C3293" t="s">
        <v>3640</v>
      </c>
      <c r="D3293" s="30">
        <v>0.52400462962962968</v>
      </c>
      <c r="E3293" t="s">
        <v>298</v>
      </c>
      <c r="F3293" t="s">
        <v>303</v>
      </c>
      <c r="G3293" t="s">
        <v>303</v>
      </c>
    </row>
    <row r="3294" spans="1:10" x14ac:dyDescent="0.35">
      <c r="A3294" t="s">
        <v>3660</v>
      </c>
      <c r="B3294" t="s">
        <v>316</v>
      </c>
      <c r="C3294" t="s">
        <v>3640</v>
      </c>
      <c r="D3294" s="30">
        <v>0.53099537037037037</v>
      </c>
      <c r="E3294" t="s">
        <v>298</v>
      </c>
      <c r="F3294" t="s">
        <v>299</v>
      </c>
      <c r="G3294" t="s">
        <v>299</v>
      </c>
      <c r="H3294">
        <v>25</v>
      </c>
      <c r="I3294" s="30">
        <v>2.8356481481481483E-3</v>
      </c>
      <c r="J3294">
        <v>2</v>
      </c>
    </row>
    <row r="3295" spans="1:10" x14ac:dyDescent="0.35">
      <c r="A3295" t="s">
        <v>3661</v>
      </c>
      <c r="B3295" t="s">
        <v>332</v>
      </c>
      <c r="C3295" t="s">
        <v>3640</v>
      </c>
      <c r="D3295" s="30">
        <v>0.53099537037037037</v>
      </c>
      <c r="E3295" t="s">
        <v>317</v>
      </c>
      <c r="F3295" t="s">
        <v>299</v>
      </c>
      <c r="G3295" t="s">
        <v>299</v>
      </c>
      <c r="H3295">
        <v>20</v>
      </c>
      <c r="I3295" s="30">
        <v>3.425925925925926E-3</v>
      </c>
      <c r="J3295">
        <v>3</v>
      </c>
    </row>
    <row r="3296" spans="1:10" x14ac:dyDescent="0.35">
      <c r="A3296" t="s">
        <v>3662</v>
      </c>
      <c r="B3296" t="s">
        <v>332</v>
      </c>
      <c r="C3296" t="s">
        <v>3640</v>
      </c>
      <c r="D3296" s="30">
        <v>0.53900462962962958</v>
      </c>
      <c r="E3296" t="s">
        <v>309</v>
      </c>
      <c r="F3296" t="s">
        <v>299</v>
      </c>
      <c r="G3296" t="s">
        <v>299</v>
      </c>
      <c r="H3296">
        <v>40</v>
      </c>
      <c r="I3296" s="30">
        <v>4.0972222222222226E-3</v>
      </c>
      <c r="J3296">
        <v>4</v>
      </c>
    </row>
    <row r="3297" spans="1:10" x14ac:dyDescent="0.35">
      <c r="A3297" t="s">
        <v>3663</v>
      </c>
      <c r="B3297" t="s">
        <v>301</v>
      </c>
      <c r="C3297" t="s">
        <v>3640</v>
      </c>
      <c r="D3297" s="30">
        <v>0.53900462962962958</v>
      </c>
      <c r="E3297" t="s">
        <v>317</v>
      </c>
      <c r="F3297" t="s">
        <v>299</v>
      </c>
      <c r="G3297" t="s">
        <v>299</v>
      </c>
      <c r="H3297">
        <v>34</v>
      </c>
      <c r="I3297" s="30">
        <v>3.5995370370370369E-3</v>
      </c>
      <c r="J3297">
        <v>5</v>
      </c>
    </row>
    <row r="3298" spans="1:10" x14ac:dyDescent="0.35">
      <c r="A3298" t="s">
        <v>3664</v>
      </c>
      <c r="B3298" t="s">
        <v>323</v>
      </c>
      <c r="C3298" t="s">
        <v>3640</v>
      </c>
      <c r="D3298" s="30">
        <v>0.54700231481481476</v>
      </c>
      <c r="E3298" t="s">
        <v>314</v>
      </c>
      <c r="F3298" t="s">
        <v>303</v>
      </c>
      <c r="G3298" t="s">
        <v>303</v>
      </c>
    </row>
    <row r="3299" spans="1:10" x14ac:dyDescent="0.35">
      <c r="A3299" t="s">
        <v>3665</v>
      </c>
      <c r="B3299" t="s">
        <v>323</v>
      </c>
      <c r="C3299" t="s">
        <v>3640</v>
      </c>
      <c r="D3299" s="30">
        <v>0.54700231481481476</v>
      </c>
      <c r="E3299" t="s">
        <v>298</v>
      </c>
      <c r="F3299" t="s">
        <v>299</v>
      </c>
      <c r="G3299" t="s">
        <v>299</v>
      </c>
      <c r="H3299">
        <v>27</v>
      </c>
      <c r="I3299" s="30">
        <v>1.5162037037037036E-3</v>
      </c>
      <c r="J3299">
        <v>5</v>
      </c>
    </row>
    <row r="3300" spans="1:10" x14ac:dyDescent="0.35">
      <c r="A3300" t="s">
        <v>3666</v>
      </c>
      <c r="B3300" t="s">
        <v>319</v>
      </c>
      <c r="C3300" t="s">
        <v>3640</v>
      </c>
      <c r="D3300" s="30">
        <v>0.56900462962962961</v>
      </c>
      <c r="E3300" t="s">
        <v>317</v>
      </c>
      <c r="F3300" t="s">
        <v>299</v>
      </c>
      <c r="G3300" t="s">
        <v>299</v>
      </c>
      <c r="H3300">
        <v>103</v>
      </c>
      <c r="I3300" s="30">
        <v>3.425925925925926E-3</v>
      </c>
      <c r="J3300">
        <v>1</v>
      </c>
    </row>
    <row r="3301" spans="1:10" x14ac:dyDescent="0.35">
      <c r="A3301" t="s">
        <v>3667</v>
      </c>
      <c r="B3301" t="s">
        <v>296</v>
      </c>
      <c r="C3301" t="s">
        <v>3640</v>
      </c>
      <c r="D3301" s="30">
        <v>0.56900462962962961</v>
      </c>
      <c r="E3301" t="s">
        <v>314</v>
      </c>
      <c r="F3301" t="s">
        <v>299</v>
      </c>
      <c r="G3301" t="s">
        <v>299</v>
      </c>
      <c r="H3301">
        <v>76</v>
      </c>
      <c r="I3301" s="30">
        <v>2.2800925925925927E-3</v>
      </c>
      <c r="J3301">
        <v>4</v>
      </c>
    </row>
    <row r="3302" spans="1:10" x14ac:dyDescent="0.35">
      <c r="A3302" t="s">
        <v>3668</v>
      </c>
      <c r="B3302" t="s">
        <v>316</v>
      </c>
      <c r="C3302" t="s">
        <v>3640</v>
      </c>
      <c r="D3302" s="30">
        <v>0.59099537037037042</v>
      </c>
      <c r="E3302" t="s">
        <v>298</v>
      </c>
      <c r="F3302" t="s">
        <v>303</v>
      </c>
      <c r="G3302" t="s">
        <v>303</v>
      </c>
    </row>
    <row r="3303" spans="1:10" x14ac:dyDescent="0.35">
      <c r="A3303" t="s">
        <v>3669</v>
      </c>
      <c r="B3303" t="s">
        <v>323</v>
      </c>
      <c r="C3303" t="s">
        <v>3640</v>
      </c>
      <c r="D3303" s="30">
        <v>0.59099537037037042</v>
      </c>
      <c r="E3303" t="s">
        <v>314</v>
      </c>
      <c r="F3303" t="s">
        <v>299</v>
      </c>
      <c r="G3303" t="s">
        <v>299</v>
      </c>
      <c r="H3303">
        <v>23</v>
      </c>
      <c r="I3303" s="30">
        <v>1.8749999999999999E-3</v>
      </c>
      <c r="J3303">
        <v>4</v>
      </c>
    </row>
    <row r="3304" spans="1:10" x14ac:dyDescent="0.35">
      <c r="A3304" t="s">
        <v>3670</v>
      </c>
      <c r="B3304" t="s">
        <v>307</v>
      </c>
      <c r="C3304" t="s">
        <v>3640</v>
      </c>
      <c r="D3304" s="30">
        <v>0.61</v>
      </c>
      <c r="E3304" t="s">
        <v>314</v>
      </c>
      <c r="F3304" t="s">
        <v>299</v>
      </c>
      <c r="G3304" t="s">
        <v>299</v>
      </c>
      <c r="H3304">
        <v>94</v>
      </c>
      <c r="I3304" s="30">
        <v>4.8263888888888887E-3</v>
      </c>
      <c r="J3304">
        <v>4</v>
      </c>
    </row>
    <row r="3305" spans="1:10" x14ac:dyDescent="0.35">
      <c r="A3305" t="s">
        <v>3671</v>
      </c>
      <c r="B3305" t="s">
        <v>332</v>
      </c>
      <c r="C3305" t="s">
        <v>3640</v>
      </c>
      <c r="D3305" s="30">
        <v>0.61</v>
      </c>
      <c r="E3305" t="s">
        <v>302</v>
      </c>
      <c r="F3305" t="s">
        <v>299</v>
      </c>
      <c r="G3305" t="s">
        <v>299</v>
      </c>
      <c r="H3305">
        <v>115</v>
      </c>
      <c r="I3305" s="30">
        <v>4.3750000000000004E-3</v>
      </c>
      <c r="J3305">
        <v>5</v>
      </c>
    </row>
    <row r="3306" spans="1:10" x14ac:dyDescent="0.35">
      <c r="A3306" t="s">
        <v>3672</v>
      </c>
      <c r="B3306" t="s">
        <v>323</v>
      </c>
      <c r="C3306" t="s">
        <v>3640</v>
      </c>
      <c r="D3306" s="30">
        <v>0.62400462962962966</v>
      </c>
      <c r="E3306" t="s">
        <v>302</v>
      </c>
      <c r="F3306" t="s">
        <v>299</v>
      </c>
      <c r="G3306" t="s">
        <v>303</v>
      </c>
      <c r="H3306">
        <v>11</v>
      </c>
      <c r="I3306" s="30">
        <v>2.1990740740740742E-3</v>
      </c>
      <c r="J3306">
        <v>3</v>
      </c>
    </row>
    <row r="3307" spans="1:10" x14ac:dyDescent="0.35">
      <c r="A3307" t="s">
        <v>3673</v>
      </c>
      <c r="B3307" t="s">
        <v>296</v>
      </c>
      <c r="C3307" t="s">
        <v>3640</v>
      </c>
      <c r="D3307" s="30">
        <v>0.62400462962962966</v>
      </c>
      <c r="E3307" t="s">
        <v>309</v>
      </c>
      <c r="F3307" t="s">
        <v>299</v>
      </c>
      <c r="G3307" t="s">
        <v>299</v>
      </c>
      <c r="H3307">
        <v>117</v>
      </c>
      <c r="I3307" s="30">
        <v>1.4467592592592592E-3</v>
      </c>
      <c r="J3307">
        <v>5</v>
      </c>
    </row>
    <row r="3308" spans="1:10" x14ac:dyDescent="0.35">
      <c r="A3308" t="s">
        <v>3674</v>
      </c>
      <c r="B3308" t="s">
        <v>296</v>
      </c>
      <c r="C3308" t="s">
        <v>3640</v>
      </c>
      <c r="D3308" s="30">
        <v>0.625</v>
      </c>
      <c r="E3308" t="s">
        <v>298</v>
      </c>
      <c r="F3308" t="s">
        <v>299</v>
      </c>
      <c r="G3308" t="s">
        <v>299</v>
      </c>
      <c r="H3308">
        <v>110</v>
      </c>
      <c r="I3308" s="30">
        <v>4.5486111111111109E-3</v>
      </c>
      <c r="J3308">
        <v>5</v>
      </c>
    </row>
    <row r="3309" spans="1:10" x14ac:dyDescent="0.35">
      <c r="A3309" t="s">
        <v>3675</v>
      </c>
      <c r="B3309" t="s">
        <v>332</v>
      </c>
      <c r="C3309" t="s">
        <v>3640</v>
      </c>
      <c r="D3309" s="30">
        <v>0.625</v>
      </c>
      <c r="E3309" t="s">
        <v>314</v>
      </c>
      <c r="F3309" t="s">
        <v>299</v>
      </c>
      <c r="G3309" t="s">
        <v>299</v>
      </c>
      <c r="H3309">
        <v>24</v>
      </c>
      <c r="I3309" s="30">
        <v>1.9328703703703704E-3</v>
      </c>
      <c r="J3309">
        <v>3</v>
      </c>
    </row>
    <row r="3310" spans="1:10" x14ac:dyDescent="0.35">
      <c r="A3310" t="s">
        <v>3676</v>
      </c>
      <c r="B3310" t="s">
        <v>316</v>
      </c>
      <c r="C3310" t="s">
        <v>3640</v>
      </c>
      <c r="D3310" s="30">
        <v>0.63099537037037035</v>
      </c>
      <c r="E3310" t="s">
        <v>317</v>
      </c>
      <c r="F3310" t="s">
        <v>299</v>
      </c>
      <c r="G3310" t="s">
        <v>299</v>
      </c>
      <c r="H3310">
        <v>31</v>
      </c>
      <c r="I3310" s="30">
        <v>3.2175925925925926E-3</v>
      </c>
      <c r="J3310">
        <v>3</v>
      </c>
    </row>
    <row r="3311" spans="1:10" x14ac:dyDescent="0.35">
      <c r="A3311" t="s">
        <v>3677</v>
      </c>
      <c r="B3311" t="s">
        <v>301</v>
      </c>
      <c r="C3311" t="s">
        <v>3640</v>
      </c>
      <c r="D3311" s="30">
        <v>0.63099537037037035</v>
      </c>
      <c r="E3311" t="s">
        <v>314</v>
      </c>
      <c r="F3311" t="s">
        <v>299</v>
      </c>
      <c r="G3311" t="s">
        <v>299</v>
      </c>
      <c r="H3311">
        <v>25</v>
      </c>
      <c r="I3311" s="30">
        <v>3.5416666666666665E-3</v>
      </c>
      <c r="J3311">
        <v>3</v>
      </c>
    </row>
    <row r="3312" spans="1:10" x14ac:dyDescent="0.35">
      <c r="A3312" t="s">
        <v>3678</v>
      </c>
      <c r="B3312" t="s">
        <v>305</v>
      </c>
      <c r="C3312" t="s">
        <v>3640</v>
      </c>
      <c r="D3312" s="30">
        <v>0.64299768518518519</v>
      </c>
      <c r="E3312" t="s">
        <v>298</v>
      </c>
      <c r="F3312" t="s">
        <v>299</v>
      </c>
      <c r="G3312" t="s">
        <v>299</v>
      </c>
      <c r="H3312">
        <v>96</v>
      </c>
      <c r="I3312" s="30">
        <v>3.8310185185185183E-3</v>
      </c>
      <c r="J3312">
        <v>3</v>
      </c>
    </row>
    <row r="3313" spans="1:10" x14ac:dyDescent="0.35">
      <c r="A3313" t="s">
        <v>3679</v>
      </c>
      <c r="B3313" t="s">
        <v>301</v>
      </c>
      <c r="C3313" t="s">
        <v>3640</v>
      </c>
      <c r="D3313" s="30">
        <v>0.64299768518518519</v>
      </c>
      <c r="E3313" t="s">
        <v>317</v>
      </c>
      <c r="F3313" t="s">
        <v>299</v>
      </c>
      <c r="G3313" t="s">
        <v>299</v>
      </c>
      <c r="H3313">
        <v>48</v>
      </c>
      <c r="I3313" s="30">
        <v>5.0925925925925921E-4</v>
      </c>
      <c r="J3313">
        <v>2</v>
      </c>
    </row>
    <row r="3314" spans="1:10" x14ac:dyDescent="0.35">
      <c r="A3314" t="s">
        <v>3680</v>
      </c>
      <c r="B3314" t="s">
        <v>332</v>
      </c>
      <c r="C3314" t="s">
        <v>3640</v>
      </c>
      <c r="D3314" s="30">
        <v>0.66700231481481487</v>
      </c>
      <c r="E3314" t="s">
        <v>314</v>
      </c>
      <c r="F3314" t="s">
        <v>299</v>
      </c>
      <c r="G3314" t="s">
        <v>303</v>
      </c>
      <c r="H3314">
        <v>110</v>
      </c>
      <c r="I3314" s="30">
        <v>1.8055555555555555E-3</v>
      </c>
      <c r="J3314">
        <v>5</v>
      </c>
    </row>
    <row r="3315" spans="1:10" x14ac:dyDescent="0.35">
      <c r="A3315" t="s">
        <v>3681</v>
      </c>
      <c r="B3315" t="s">
        <v>316</v>
      </c>
      <c r="C3315" t="s">
        <v>3640</v>
      </c>
      <c r="D3315" s="30">
        <v>0.66700231481481487</v>
      </c>
      <c r="E3315" t="s">
        <v>298</v>
      </c>
      <c r="F3315" t="s">
        <v>299</v>
      </c>
      <c r="G3315" t="s">
        <v>303</v>
      </c>
      <c r="H3315">
        <v>19</v>
      </c>
      <c r="I3315" s="30">
        <v>3.414351851851852E-3</v>
      </c>
      <c r="J3315">
        <v>3</v>
      </c>
    </row>
    <row r="3316" spans="1:10" x14ac:dyDescent="0.35">
      <c r="A3316" t="s">
        <v>3682</v>
      </c>
      <c r="B3316" t="s">
        <v>296</v>
      </c>
      <c r="C3316" t="s">
        <v>3640</v>
      </c>
      <c r="D3316" s="30">
        <v>0.68099537037037039</v>
      </c>
      <c r="E3316" t="s">
        <v>314</v>
      </c>
      <c r="F3316" t="s">
        <v>303</v>
      </c>
      <c r="G3316" t="s">
        <v>303</v>
      </c>
    </row>
    <row r="3317" spans="1:10" x14ac:dyDescent="0.35">
      <c r="A3317" t="s">
        <v>3683</v>
      </c>
      <c r="B3317" t="s">
        <v>296</v>
      </c>
      <c r="C3317" t="s">
        <v>3640</v>
      </c>
      <c r="D3317" s="30">
        <v>0.68099537037037039</v>
      </c>
      <c r="E3317" t="s">
        <v>298</v>
      </c>
      <c r="F3317" t="s">
        <v>299</v>
      </c>
      <c r="G3317" t="s">
        <v>299</v>
      </c>
      <c r="H3317">
        <v>88</v>
      </c>
      <c r="I3317" s="30">
        <v>2.5578703703703705E-3</v>
      </c>
      <c r="J3317">
        <v>1</v>
      </c>
    </row>
    <row r="3318" spans="1:10" x14ac:dyDescent="0.35">
      <c r="A3318" t="s">
        <v>3684</v>
      </c>
      <c r="B3318" t="s">
        <v>316</v>
      </c>
      <c r="C3318" t="s">
        <v>3640</v>
      </c>
      <c r="D3318" s="30">
        <v>0.69299768518518523</v>
      </c>
      <c r="E3318" t="s">
        <v>298</v>
      </c>
      <c r="F3318" t="s">
        <v>299</v>
      </c>
      <c r="G3318" t="s">
        <v>299</v>
      </c>
      <c r="H3318">
        <v>42</v>
      </c>
      <c r="I3318" s="30">
        <v>4.409722222222222E-3</v>
      </c>
      <c r="J3318">
        <v>3</v>
      </c>
    </row>
    <row r="3319" spans="1:10" x14ac:dyDescent="0.35">
      <c r="A3319" t="s">
        <v>3685</v>
      </c>
      <c r="B3319" t="s">
        <v>305</v>
      </c>
      <c r="C3319" t="s">
        <v>3640</v>
      </c>
      <c r="D3319" s="30">
        <v>0.69299768518518523</v>
      </c>
      <c r="E3319" t="s">
        <v>309</v>
      </c>
      <c r="F3319" t="s">
        <v>299</v>
      </c>
      <c r="G3319" t="s">
        <v>299</v>
      </c>
      <c r="H3319">
        <v>111</v>
      </c>
      <c r="I3319" s="30">
        <v>4.6180555555555558E-3</v>
      </c>
      <c r="J3319">
        <v>4</v>
      </c>
    </row>
    <row r="3320" spans="1:10" x14ac:dyDescent="0.35">
      <c r="A3320" t="s">
        <v>3686</v>
      </c>
      <c r="B3320" t="s">
        <v>305</v>
      </c>
      <c r="C3320" t="s">
        <v>3640</v>
      </c>
      <c r="D3320" s="30">
        <v>0.69900462962962961</v>
      </c>
      <c r="E3320" t="s">
        <v>302</v>
      </c>
      <c r="F3320" t="s">
        <v>299</v>
      </c>
      <c r="G3320" t="s">
        <v>299</v>
      </c>
      <c r="H3320">
        <v>89</v>
      </c>
      <c r="I3320" s="30">
        <v>2.6041666666666665E-3</v>
      </c>
      <c r="J3320">
        <v>5</v>
      </c>
    </row>
    <row r="3321" spans="1:10" x14ac:dyDescent="0.35">
      <c r="A3321" t="s">
        <v>3687</v>
      </c>
      <c r="B3321" t="s">
        <v>332</v>
      </c>
      <c r="C3321" t="s">
        <v>3640</v>
      </c>
      <c r="D3321" s="30">
        <v>0.69900462962962961</v>
      </c>
      <c r="E3321" t="s">
        <v>317</v>
      </c>
      <c r="F3321" t="s">
        <v>299</v>
      </c>
      <c r="G3321" t="s">
        <v>299</v>
      </c>
      <c r="H3321">
        <v>32</v>
      </c>
      <c r="I3321" s="30">
        <v>3.9351851851851848E-3</v>
      </c>
      <c r="J3321">
        <v>2</v>
      </c>
    </row>
    <row r="3322" spans="1:10" x14ac:dyDescent="0.35">
      <c r="A3322" t="s">
        <v>3688</v>
      </c>
      <c r="B3322" t="s">
        <v>307</v>
      </c>
      <c r="C3322" t="s">
        <v>3640</v>
      </c>
      <c r="D3322" s="30">
        <v>0.70299768518518524</v>
      </c>
      <c r="E3322" t="s">
        <v>302</v>
      </c>
      <c r="F3322" t="s">
        <v>299</v>
      </c>
      <c r="G3322" t="s">
        <v>299</v>
      </c>
      <c r="H3322">
        <v>118</v>
      </c>
      <c r="I3322" s="30">
        <v>4.1435185185185186E-3</v>
      </c>
      <c r="J3322">
        <v>3</v>
      </c>
    </row>
    <row r="3323" spans="1:10" x14ac:dyDescent="0.35">
      <c r="A3323" t="s">
        <v>3689</v>
      </c>
      <c r="B3323" t="s">
        <v>319</v>
      </c>
      <c r="C3323" t="s">
        <v>3640</v>
      </c>
      <c r="D3323" s="30">
        <v>0.70299768518518524</v>
      </c>
      <c r="E3323" t="s">
        <v>302</v>
      </c>
      <c r="F3323" t="s">
        <v>299</v>
      </c>
      <c r="G3323" t="s">
        <v>299</v>
      </c>
      <c r="H3323">
        <v>21</v>
      </c>
      <c r="I3323" s="30">
        <v>5.3240740740740744E-4</v>
      </c>
      <c r="J3323">
        <v>4</v>
      </c>
    </row>
    <row r="3324" spans="1:10" x14ac:dyDescent="0.35">
      <c r="A3324" t="s">
        <v>3690</v>
      </c>
      <c r="B3324" t="s">
        <v>316</v>
      </c>
      <c r="C3324" t="s">
        <v>3640</v>
      </c>
      <c r="D3324" s="30">
        <v>0.71299768518518514</v>
      </c>
      <c r="E3324" t="s">
        <v>298</v>
      </c>
      <c r="F3324" t="s">
        <v>299</v>
      </c>
      <c r="G3324" t="s">
        <v>299</v>
      </c>
      <c r="H3324">
        <v>15</v>
      </c>
      <c r="I3324" s="30">
        <v>1.1689814814814816E-3</v>
      </c>
      <c r="J3324">
        <v>2</v>
      </c>
    </row>
    <row r="3325" spans="1:10" x14ac:dyDescent="0.35">
      <c r="A3325" t="s">
        <v>3691</v>
      </c>
      <c r="B3325" t="s">
        <v>332</v>
      </c>
      <c r="C3325" t="s">
        <v>3640</v>
      </c>
      <c r="D3325" s="30">
        <v>0.71299768518518514</v>
      </c>
      <c r="E3325" t="s">
        <v>302</v>
      </c>
      <c r="F3325" t="s">
        <v>299</v>
      </c>
      <c r="G3325" t="s">
        <v>299</v>
      </c>
      <c r="H3325">
        <v>87</v>
      </c>
      <c r="I3325" s="30">
        <v>1.9675925925925924E-3</v>
      </c>
      <c r="J3325">
        <v>4</v>
      </c>
    </row>
    <row r="3326" spans="1:10" x14ac:dyDescent="0.35">
      <c r="A3326" t="s">
        <v>3692</v>
      </c>
      <c r="B3326" t="s">
        <v>301</v>
      </c>
      <c r="C3326" t="s">
        <v>3640</v>
      </c>
      <c r="D3326" s="30">
        <v>0.71499999999999997</v>
      </c>
      <c r="E3326" t="s">
        <v>314</v>
      </c>
      <c r="F3326" t="s">
        <v>299</v>
      </c>
      <c r="G3326" t="s">
        <v>299</v>
      </c>
      <c r="H3326">
        <v>18</v>
      </c>
      <c r="I3326" s="30">
        <v>4.3518518518518515E-3</v>
      </c>
      <c r="J3326">
        <v>1</v>
      </c>
    </row>
    <row r="3327" spans="1:10" x14ac:dyDescent="0.35">
      <c r="A3327" t="s">
        <v>3693</v>
      </c>
      <c r="B3327" t="s">
        <v>301</v>
      </c>
      <c r="C3327" t="s">
        <v>3640</v>
      </c>
      <c r="D3327" s="30">
        <v>0.71499999999999997</v>
      </c>
      <c r="E3327" t="s">
        <v>309</v>
      </c>
      <c r="F3327" t="s">
        <v>303</v>
      </c>
      <c r="G3327" t="s">
        <v>303</v>
      </c>
    </row>
    <row r="3328" spans="1:10" x14ac:dyDescent="0.35">
      <c r="A3328" t="s">
        <v>3694</v>
      </c>
      <c r="B3328" t="s">
        <v>296</v>
      </c>
      <c r="C3328" t="s">
        <v>3695</v>
      </c>
      <c r="D3328" s="30">
        <v>0.38</v>
      </c>
      <c r="E3328" t="s">
        <v>302</v>
      </c>
      <c r="F3328" t="s">
        <v>299</v>
      </c>
      <c r="G3328" t="s">
        <v>299</v>
      </c>
      <c r="H3328">
        <v>15</v>
      </c>
      <c r="I3328" s="30">
        <v>2.1527777777777778E-3</v>
      </c>
      <c r="J3328">
        <v>3</v>
      </c>
    </row>
    <row r="3329" spans="1:10" x14ac:dyDescent="0.35">
      <c r="A3329" t="s">
        <v>3696</v>
      </c>
      <c r="B3329" t="s">
        <v>296</v>
      </c>
      <c r="C3329" t="s">
        <v>3695</v>
      </c>
      <c r="D3329" s="30">
        <v>0.38</v>
      </c>
      <c r="E3329" t="s">
        <v>298</v>
      </c>
      <c r="F3329" t="s">
        <v>299</v>
      </c>
      <c r="G3329" t="s">
        <v>299</v>
      </c>
      <c r="H3329">
        <v>12</v>
      </c>
      <c r="I3329" s="30">
        <v>4.0393518518518521E-3</v>
      </c>
      <c r="J3329">
        <v>5</v>
      </c>
    </row>
    <row r="3330" spans="1:10" x14ac:dyDescent="0.35">
      <c r="A3330" t="s">
        <v>3697</v>
      </c>
      <c r="B3330" t="s">
        <v>305</v>
      </c>
      <c r="C3330" t="s">
        <v>3695</v>
      </c>
      <c r="D3330" s="30">
        <v>0.38500000000000001</v>
      </c>
      <c r="E3330" t="s">
        <v>298</v>
      </c>
      <c r="F3330" t="s">
        <v>303</v>
      </c>
      <c r="G3330" t="s">
        <v>303</v>
      </c>
    </row>
    <row r="3331" spans="1:10" x14ac:dyDescent="0.35">
      <c r="A3331" t="s">
        <v>3698</v>
      </c>
      <c r="B3331" t="s">
        <v>301</v>
      </c>
      <c r="C3331" t="s">
        <v>3695</v>
      </c>
      <c r="D3331" s="30">
        <v>0.38500000000000001</v>
      </c>
      <c r="E3331" t="s">
        <v>314</v>
      </c>
      <c r="F3331" t="s">
        <v>299</v>
      </c>
      <c r="G3331" t="s">
        <v>299</v>
      </c>
      <c r="H3331">
        <v>84</v>
      </c>
      <c r="I3331" s="30">
        <v>1.6898148148148148E-3</v>
      </c>
      <c r="J3331">
        <v>3</v>
      </c>
    </row>
    <row r="3332" spans="1:10" x14ac:dyDescent="0.35">
      <c r="A3332" t="s">
        <v>3699</v>
      </c>
      <c r="B3332" t="s">
        <v>296</v>
      </c>
      <c r="C3332" t="s">
        <v>3695</v>
      </c>
      <c r="D3332" s="30">
        <v>0.38599537037037035</v>
      </c>
      <c r="E3332" t="s">
        <v>298</v>
      </c>
      <c r="F3332" t="s">
        <v>303</v>
      </c>
      <c r="G3332" t="s">
        <v>303</v>
      </c>
    </row>
    <row r="3333" spans="1:10" x14ac:dyDescent="0.35">
      <c r="A3333" t="s">
        <v>3700</v>
      </c>
      <c r="B3333" t="s">
        <v>319</v>
      </c>
      <c r="C3333" t="s">
        <v>3695</v>
      </c>
      <c r="D3333" s="30">
        <v>0.38599537037037035</v>
      </c>
      <c r="E3333" t="s">
        <v>314</v>
      </c>
      <c r="F3333" t="s">
        <v>303</v>
      </c>
      <c r="G3333" t="s">
        <v>303</v>
      </c>
    </row>
    <row r="3334" spans="1:10" x14ac:dyDescent="0.35">
      <c r="A3334" t="s">
        <v>3701</v>
      </c>
      <c r="B3334" t="s">
        <v>332</v>
      </c>
      <c r="C3334" t="s">
        <v>3695</v>
      </c>
      <c r="D3334" s="30">
        <v>0.39599537037037036</v>
      </c>
      <c r="E3334" t="s">
        <v>317</v>
      </c>
      <c r="F3334" t="s">
        <v>299</v>
      </c>
      <c r="G3334" t="s">
        <v>299</v>
      </c>
      <c r="H3334">
        <v>55</v>
      </c>
      <c r="I3334" s="30">
        <v>2.627314814814815E-3</v>
      </c>
      <c r="J3334">
        <v>4</v>
      </c>
    </row>
    <row r="3335" spans="1:10" x14ac:dyDescent="0.35">
      <c r="A3335" t="s">
        <v>3702</v>
      </c>
      <c r="B3335" t="s">
        <v>316</v>
      </c>
      <c r="C3335" t="s">
        <v>3695</v>
      </c>
      <c r="D3335" s="30">
        <v>0.39599537037037036</v>
      </c>
      <c r="E3335" t="s">
        <v>317</v>
      </c>
      <c r="F3335" t="s">
        <v>303</v>
      </c>
      <c r="G3335" t="s">
        <v>303</v>
      </c>
    </row>
    <row r="3336" spans="1:10" x14ac:dyDescent="0.35">
      <c r="A3336" t="s">
        <v>3703</v>
      </c>
      <c r="B3336" t="s">
        <v>323</v>
      </c>
      <c r="C3336" t="s">
        <v>3695</v>
      </c>
      <c r="D3336" s="30">
        <v>0.42200231481481482</v>
      </c>
      <c r="E3336" t="s">
        <v>302</v>
      </c>
      <c r="F3336" t="s">
        <v>299</v>
      </c>
      <c r="G3336" t="s">
        <v>299</v>
      </c>
      <c r="H3336">
        <v>63</v>
      </c>
      <c r="I3336" s="30">
        <v>2.4305555555555556E-3</v>
      </c>
      <c r="J3336">
        <v>5</v>
      </c>
    </row>
    <row r="3337" spans="1:10" x14ac:dyDescent="0.35">
      <c r="A3337" t="s">
        <v>3704</v>
      </c>
      <c r="B3337" t="s">
        <v>332</v>
      </c>
      <c r="C3337" t="s">
        <v>3695</v>
      </c>
      <c r="D3337" s="30">
        <v>0.42200231481481482</v>
      </c>
      <c r="E3337" t="s">
        <v>309</v>
      </c>
      <c r="F3337" t="s">
        <v>303</v>
      </c>
      <c r="G3337" t="s">
        <v>303</v>
      </c>
    </row>
    <row r="3338" spans="1:10" x14ac:dyDescent="0.35">
      <c r="A3338" t="s">
        <v>3705</v>
      </c>
      <c r="B3338" t="s">
        <v>319</v>
      </c>
      <c r="C3338" t="s">
        <v>3695</v>
      </c>
      <c r="D3338" s="30">
        <v>0.43599537037037039</v>
      </c>
      <c r="E3338" t="s">
        <v>317</v>
      </c>
      <c r="F3338" t="s">
        <v>299</v>
      </c>
      <c r="G3338" t="s">
        <v>299</v>
      </c>
      <c r="H3338">
        <v>121</v>
      </c>
      <c r="I3338" s="30">
        <v>2.4189814814814816E-3</v>
      </c>
      <c r="J3338">
        <v>3</v>
      </c>
    </row>
    <row r="3339" spans="1:10" x14ac:dyDescent="0.35">
      <c r="A3339" t="s">
        <v>3706</v>
      </c>
      <c r="B3339" t="s">
        <v>319</v>
      </c>
      <c r="C3339" t="s">
        <v>3695</v>
      </c>
      <c r="D3339" s="30">
        <v>0.43599537037037039</v>
      </c>
      <c r="E3339" t="s">
        <v>314</v>
      </c>
      <c r="F3339" t="s">
        <v>299</v>
      </c>
      <c r="G3339" t="s">
        <v>299</v>
      </c>
      <c r="H3339">
        <v>53</v>
      </c>
      <c r="I3339" s="30">
        <v>4.2361111111111115E-3</v>
      </c>
      <c r="J3339">
        <v>4</v>
      </c>
    </row>
    <row r="3340" spans="1:10" x14ac:dyDescent="0.35">
      <c r="A3340" t="s">
        <v>3707</v>
      </c>
      <c r="B3340" t="s">
        <v>307</v>
      </c>
      <c r="C3340" t="s">
        <v>3695</v>
      </c>
      <c r="D3340" s="30">
        <v>0.44</v>
      </c>
      <c r="E3340" t="s">
        <v>317</v>
      </c>
      <c r="F3340" t="s">
        <v>299</v>
      </c>
      <c r="G3340" t="s">
        <v>299</v>
      </c>
      <c r="H3340">
        <v>102</v>
      </c>
      <c r="I3340" s="30">
        <v>4.0509259259259258E-4</v>
      </c>
      <c r="J3340">
        <v>3</v>
      </c>
    </row>
    <row r="3341" spans="1:10" x14ac:dyDescent="0.35">
      <c r="A3341" t="s">
        <v>3708</v>
      </c>
      <c r="B3341" t="s">
        <v>319</v>
      </c>
      <c r="C3341" t="s">
        <v>3695</v>
      </c>
      <c r="D3341" s="30">
        <v>0.44</v>
      </c>
      <c r="E3341" t="s">
        <v>298</v>
      </c>
      <c r="F3341" t="s">
        <v>299</v>
      </c>
      <c r="G3341" t="s">
        <v>299</v>
      </c>
      <c r="H3341">
        <v>92</v>
      </c>
      <c r="I3341" s="30">
        <v>4.3055555555555555E-3</v>
      </c>
      <c r="J3341">
        <v>2</v>
      </c>
    </row>
    <row r="3342" spans="1:10" x14ac:dyDescent="0.35">
      <c r="A3342" t="s">
        <v>3709</v>
      </c>
      <c r="B3342" t="s">
        <v>323</v>
      </c>
      <c r="C3342" t="s">
        <v>3695</v>
      </c>
      <c r="D3342" s="30">
        <v>0.45900462962962962</v>
      </c>
      <c r="E3342" t="s">
        <v>298</v>
      </c>
      <c r="F3342" t="s">
        <v>299</v>
      </c>
      <c r="G3342" t="s">
        <v>299</v>
      </c>
      <c r="H3342">
        <v>32</v>
      </c>
      <c r="I3342" s="30">
        <v>5.3240740740740744E-4</v>
      </c>
      <c r="J3342">
        <v>5</v>
      </c>
    </row>
    <row r="3343" spans="1:10" x14ac:dyDescent="0.35">
      <c r="A3343" t="s">
        <v>3710</v>
      </c>
      <c r="B3343" t="s">
        <v>305</v>
      </c>
      <c r="C3343" t="s">
        <v>3695</v>
      </c>
      <c r="D3343" s="30">
        <v>0.45900462962962962</v>
      </c>
      <c r="E3343" t="s">
        <v>314</v>
      </c>
      <c r="F3343" t="s">
        <v>299</v>
      </c>
      <c r="G3343" t="s">
        <v>299</v>
      </c>
      <c r="H3343">
        <v>107</v>
      </c>
      <c r="I3343" s="30">
        <v>3.2986111111111111E-3</v>
      </c>
      <c r="J3343">
        <v>5</v>
      </c>
    </row>
    <row r="3344" spans="1:10" x14ac:dyDescent="0.35">
      <c r="A3344" t="s">
        <v>3711</v>
      </c>
      <c r="B3344" t="s">
        <v>296</v>
      </c>
      <c r="C3344" t="s">
        <v>3695</v>
      </c>
      <c r="D3344" s="30">
        <v>0.45900462962962962</v>
      </c>
      <c r="E3344" t="s">
        <v>314</v>
      </c>
      <c r="F3344" t="s">
        <v>299</v>
      </c>
      <c r="G3344" t="s">
        <v>299</v>
      </c>
      <c r="H3344">
        <v>106</v>
      </c>
      <c r="I3344" s="30">
        <v>3.3564814814814816E-3</v>
      </c>
      <c r="J3344">
        <v>1</v>
      </c>
    </row>
    <row r="3345" spans="1:10" x14ac:dyDescent="0.35">
      <c r="A3345" t="s">
        <v>3712</v>
      </c>
      <c r="B3345" t="s">
        <v>316</v>
      </c>
      <c r="C3345" t="s">
        <v>3695</v>
      </c>
      <c r="D3345" s="30">
        <v>0.45900462962962962</v>
      </c>
      <c r="E3345" t="s">
        <v>298</v>
      </c>
      <c r="F3345" t="s">
        <v>299</v>
      </c>
      <c r="G3345" t="s">
        <v>299</v>
      </c>
      <c r="H3345">
        <v>114</v>
      </c>
      <c r="I3345" s="30">
        <v>2.3032407407407407E-3</v>
      </c>
      <c r="J3345">
        <v>5</v>
      </c>
    </row>
    <row r="3346" spans="1:10" x14ac:dyDescent="0.35">
      <c r="A3346" t="s">
        <v>3713</v>
      </c>
      <c r="B3346" t="s">
        <v>296</v>
      </c>
      <c r="C3346" t="s">
        <v>3695</v>
      </c>
      <c r="D3346" s="30">
        <v>0.4670023148148148</v>
      </c>
      <c r="E3346" t="s">
        <v>309</v>
      </c>
      <c r="F3346" t="s">
        <v>299</v>
      </c>
      <c r="G3346" t="s">
        <v>303</v>
      </c>
      <c r="H3346">
        <v>62</v>
      </c>
      <c r="I3346" s="30">
        <v>1.5393518518518519E-3</v>
      </c>
      <c r="J3346">
        <v>5</v>
      </c>
    </row>
    <row r="3347" spans="1:10" x14ac:dyDescent="0.35">
      <c r="A3347" t="s">
        <v>3714</v>
      </c>
      <c r="B3347" t="s">
        <v>332</v>
      </c>
      <c r="C3347" t="s">
        <v>3695</v>
      </c>
      <c r="D3347" s="30">
        <v>0.4670023148148148</v>
      </c>
      <c r="E3347" t="s">
        <v>309</v>
      </c>
      <c r="F3347" t="s">
        <v>299</v>
      </c>
      <c r="G3347" t="s">
        <v>299</v>
      </c>
      <c r="H3347">
        <v>37</v>
      </c>
      <c r="I3347" s="30">
        <v>2.8935185185185184E-3</v>
      </c>
      <c r="J3347">
        <v>5</v>
      </c>
    </row>
    <row r="3348" spans="1:10" x14ac:dyDescent="0.35">
      <c r="A3348" t="s">
        <v>3715</v>
      </c>
      <c r="B3348" t="s">
        <v>301</v>
      </c>
      <c r="C3348" t="s">
        <v>3695</v>
      </c>
      <c r="D3348" s="30">
        <v>0.47700231481481481</v>
      </c>
      <c r="E3348" t="s">
        <v>298</v>
      </c>
      <c r="F3348" t="s">
        <v>299</v>
      </c>
      <c r="G3348" t="s">
        <v>303</v>
      </c>
      <c r="H3348">
        <v>116</v>
      </c>
      <c r="I3348" s="30">
        <v>4.178240740740741E-3</v>
      </c>
      <c r="J3348">
        <v>4</v>
      </c>
    </row>
    <row r="3349" spans="1:10" x14ac:dyDescent="0.35">
      <c r="A3349" t="s">
        <v>3716</v>
      </c>
      <c r="B3349" t="s">
        <v>301</v>
      </c>
      <c r="C3349" t="s">
        <v>3695</v>
      </c>
      <c r="D3349" s="30">
        <v>0.47700231481481481</v>
      </c>
      <c r="E3349" t="s">
        <v>309</v>
      </c>
      <c r="F3349" t="s">
        <v>299</v>
      </c>
      <c r="G3349" t="s">
        <v>299</v>
      </c>
      <c r="H3349">
        <v>89</v>
      </c>
      <c r="I3349" s="30">
        <v>1.5393518518518519E-3</v>
      </c>
      <c r="J3349">
        <v>4</v>
      </c>
    </row>
    <row r="3350" spans="1:10" x14ac:dyDescent="0.35">
      <c r="A3350" t="s">
        <v>3717</v>
      </c>
      <c r="B3350" t="s">
        <v>316</v>
      </c>
      <c r="C3350" t="s">
        <v>3695</v>
      </c>
      <c r="D3350" s="30">
        <v>0.48200231481481481</v>
      </c>
      <c r="E3350" t="s">
        <v>298</v>
      </c>
      <c r="F3350" t="s">
        <v>299</v>
      </c>
      <c r="G3350" t="s">
        <v>299</v>
      </c>
      <c r="H3350">
        <v>37</v>
      </c>
      <c r="I3350" s="30">
        <v>3.2986111111111111E-3</v>
      </c>
      <c r="J3350">
        <v>4</v>
      </c>
    </row>
    <row r="3351" spans="1:10" x14ac:dyDescent="0.35">
      <c r="A3351" t="s">
        <v>3718</v>
      </c>
      <c r="B3351" t="s">
        <v>316</v>
      </c>
      <c r="C3351" t="s">
        <v>3695</v>
      </c>
      <c r="D3351" s="30">
        <v>0.48200231481481481</v>
      </c>
      <c r="E3351" t="s">
        <v>298</v>
      </c>
      <c r="F3351" t="s">
        <v>299</v>
      </c>
      <c r="G3351" t="s">
        <v>299</v>
      </c>
      <c r="H3351">
        <v>120</v>
      </c>
      <c r="I3351" s="30">
        <v>3.8078703703703703E-3</v>
      </c>
      <c r="J3351">
        <v>3</v>
      </c>
    </row>
    <row r="3352" spans="1:10" x14ac:dyDescent="0.35">
      <c r="A3352" t="s">
        <v>3719</v>
      </c>
      <c r="B3352" t="s">
        <v>332</v>
      </c>
      <c r="C3352" t="s">
        <v>3695</v>
      </c>
      <c r="D3352" s="30">
        <v>0.48200231481481481</v>
      </c>
      <c r="E3352" t="s">
        <v>298</v>
      </c>
      <c r="F3352" t="s">
        <v>299</v>
      </c>
      <c r="G3352" t="s">
        <v>299</v>
      </c>
      <c r="H3352">
        <v>46</v>
      </c>
      <c r="I3352" s="30">
        <v>3.9699074074074072E-3</v>
      </c>
      <c r="J3352">
        <v>1</v>
      </c>
    </row>
    <row r="3353" spans="1:10" x14ac:dyDescent="0.35">
      <c r="A3353" t="s">
        <v>3720</v>
      </c>
      <c r="B3353" t="s">
        <v>301</v>
      </c>
      <c r="C3353" t="s">
        <v>3695</v>
      </c>
      <c r="D3353" s="30">
        <v>0.48200231481481481</v>
      </c>
      <c r="E3353" t="s">
        <v>317</v>
      </c>
      <c r="F3353" t="s">
        <v>299</v>
      </c>
      <c r="G3353" t="s">
        <v>299</v>
      </c>
      <c r="H3353">
        <v>70</v>
      </c>
      <c r="I3353" s="30">
        <v>6.9444444444444447E-4</v>
      </c>
      <c r="J3353">
        <v>4</v>
      </c>
    </row>
    <row r="3354" spans="1:10" x14ac:dyDescent="0.35">
      <c r="A3354" t="s">
        <v>3721</v>
      </c>
      <c r="B3354" t="s">
        <v>296</v>
      </c>
      <c r="C3354" t="s">
        <v>3695</v>
      </c>
      <c r="D3354" s="30">
        <v>0.48799768518518516</v>
      </c>
      <c r="E3354" t="s">
        <v>302</v>
      </c>
      <c r="F3354" t="s">
        <v>299</v>
      </c>
      <c r="G3354" t="s">
        <v>299</v>
      </c>
      <c r="H3354">
        <v>21</v>
      </c>
      <c r="I3354" s="30">
        <v>1.5393518518518519E-3</v>
      </c>
      <c r="J3354">
        <v>4</v>
      </c>
    </row>
    <row r="3355" spans="1:10" x14ac:dyDescent="0.35">
      <c r="A3355" t="s">
        <v>3722</v>
      </c>
      <c r="B3355" t="s">
        <v>319</v>
      </c>
      <c r="C3355" t="s">
        <v>3695</v>
      </c>
      <c r="D3355" s="30">
        <v>0.48799768518518516</v>
      </c>
      <c r="E3355" t="s">
        <v>314</v>
      </c>
      <c r="F3355" t="s">
        <v>299</v>
      </c>
      <c r="G3355" t="s">
        <v>299</v>
      </c>
      <c r="H3355">
        <v>86</v>
      </c>
      <c r="I3355" s="30">
        <v>5.9027777777777778E-4</v>
      </c>
      <c r="J3355">
        <v>4</v>
      </c>
    </row>
    <row r="3356" spans="1:10" x14ac:dyDescent="0.35">
      <c r="A3356" t="s">
        <v>3723</v>
      </c>
      <c r="B3356" t="s">
        <v>301</v>
      </c>
      <c r="C3356" t="s">
        <v>3695</v>
      </c>
      <c r="D3356" s="30">
        <v>0.52799768518518519</v>
      </c>
      <c r="E3356" t="s">
        <v>317</v>
      </c>
      <c r="F3356" t="s">
        <v>299</v>
      </c>
      <c r="G3356" t="s">
        <v>303</v>
      </c>
      <c r="H3356">
        <v>54</v>
      </c>
      <c r="I3356" s="30">
        <v>3.8194444444444443E-3</v>
      </c>
      <c r="J3356">
        <v>2</v>
      </c>
    </row>
    <row r="3357" spans="1:10" x14ac:dyDescent="0.35">
      <c r="A3357" t="s">
        <v>3724</v>
      </c>
      <c r="B3357" t="s">
        <v>323</v>
      </c>
      <c r="C3357" t="s">
        <v>3695</v>
      </c>
      <c r="D3357" s="30">
        <v>0.52799768518518519</v>
      </c>
      <c r="E3357" t="s">
        <v>314</v>
      </c>
      <c r="F3357" t="s">
        <v>299</v>
      </c>
      <c r="G3357" t="s">
        <v>299</v>
      </c>
      <c r="H3357">
        <v>117</v>
      </c>
      <c r="I3357" s="30">
        <v>3.9236111111111112E-3</v>
      </c>
      <c r="J3357">
        <v>4</v>
      </c>
    </row>
    <row r="3358" spans="1:10" x14ac:dyDescent="0.35">
      <c r="A3358" t="s">
        <v>3725</v>
      </c>
      <c r="B3358" t="s">
        <v>307</v>
      </c>
      <c r="C3358" t="s">
        <v>3695</v>
      </c>
      <c r="D3358" s="30">
        <v>0.52799768518518519</v>
      </c>
      <c r="E3358" t="s">
        <v>314</v>
      </c>
      <c r="F3358" t="s">
        <v>303</v>
      </c>
      <c r="G3358" t="s">
        <v>303</v>
      </c>
    </row>
    <row r="3359" spans="1:10" x14ac:dyDescent="0.35">
      <c r="A3359" t="s">
        <v>3726</v>
      </c>
      <c r="B3359" t="s">
        <v>301</v>
      </c>
      <c r="C3359" t="s">
        <v>3695</v>
      </c>
      <c r="D3359" s="30">
        <v>0.52799768518518519</v>
      </c>
      <c r="E3359" t="s">
        <v>317</v>
      </c>
      <c r="F3359" t="s">
        <v>299</v>
      </c>
      <c r="G3359" t="s">
        <v>299</v>
      </c>
      <c r="H3359">
        <v>101</v>
      </c>
      <c r="I3359" s="30">
        <v>3.5416666666666665E-3</v>
      </c>
      <c r="J3359">
        <v>1</v>
      </c>
    </row>
    <row r="3360" spans="1:10" x14ac:dyDescent="0.35">
      <c r="A3360" t="s">
        <v>3727</v>
      </c>
      <c r="B3360" t="s">
        <v>323</v>
      </c>
      <c r="C3360" t="s">
        <v>3695</v>
      </c>
      <c r="D3360" s="30">
        <v>0.54799768518518521</v>
      </c>
      <c r="E3360" t="s">
        <v>309</v>
      </c>
      <c r="F3360" t="s">
        <v>299</v>
      </c>
      <c r="G3360" t="s">
        <v>299</v>
      </c>
      <c r="H3360">
        <v>52</v>
      </c>
      <c r="I3360" s="30">
        <v>1.238425925925926E-3</v>
      </c>
      <c r="J3360">
        <v>2</v>
      </c>
    </row>
    <row r="3361" spans="1:10" x14ac:dyDescent="0.35">
      <c r="A3361" t="s">
        <v>3728</v>
      </c>
      <c r="B3361" t="s">
        <v>332</v>
      </c>
      <c r="C3361" t="s">
        <v>3695</v>
      </c>
      <c r="D3361" s="30">
        <v>0.54799768518518521</v>
      </c>
      <c r="E3361" t="s">
        <v>302</v>
      </c>
      <c r="F3361" t="s">
        <v>299</v>
      </c>
      <c r="G3361" t="s">
        <v>299</v>
      </c>
      <c r="H3361">
        <v>65</v>
      </c>
      <c r="I3361" s="30">
        <v>1.5625000000000001E-3</v>
      </c>
      <c r="J3361">
        <v>5</v>
      </c>
    </row>
    <row r="3362" spans="1:10" x14ac:dyDescent="0.35">
      <c r="A3362" t="s">
        <v>3729</v>
      </c>
      <c r="B3362" t="s">
        <v>307</v>
      </c>
      <c r="C3362" t="s">
        <v>3695</v>
      </c>
      <c r="D3362" s="30">
        <v>0.55200231481481477</v>
      </c>
      <c r="E3362" t="s">
        <v>309</v>
      </c>
      <c r="F3362" t="s">
        <v>299</v>
      </c>
      <c r="G3362" t="s">
        <v>299</v>
      </c>
      <c r="H3362">
        <v>84</v>
      </c>
      <c r="I3362" s="30">
        <v>3.5763888888888889E-3</v>
      </c>
      <c r="J3362">
        <v>5</v>
      </c>
    </row>
    <row r="3363" spans="1:10" x14ac:dyDescent="0.35">
      <c r="A3363" t="s">
        <v>3730</v>
      </c>
      <c r="B3363" t="s">
        <v>319</v>
      </c>
      <c r="C3363" t="s">
        <v>3695</v>
      </c>
      <c r="D3363" s="30">
        <v>0.55200231481481477</v>
      </c>
      <c r="E3363" t="s">
        <v>302</v>
      </c>
      <c r="F3363" t="s">
        <v>299</v>
      </c>
      <c r="G3363" t="s">
        <v>303</v>
      </c>
      <c r="H3363">
        <v>115</v>
      </c>
      <c r="I3363" s="30">
        <v>4.5138888888888885E-3</v>
      </c>
      <c r="J3363">
        <v>2</v>
      </c>
    </row>
    <row r="3364" spans="1:10" x14ac:dyDescent="0.35">
      <c r="A3364" t="s">
        <v>3731</v>
      </c>
      <c r="B3364" t="s">
        <v>301</v>
      </c>
      <c r="C3364" t="s">
        <v>3695</v>
      </c>
      <c r="D3364" s="30">
        <v>0.55599537037037039</v>
      </c>
      <c r="E3364" t="s">
        <v>298</v>
      </c>
      <c r="F3364" t="s">
        <v>303</v>
      </c>
      <c r="G3364" t="s">
        <v>303</v>
      </c>
    </row>
    <row r="3365" spans="1:10" x14ac:dyDescent="0.35">
      <c r="A3365" t="s">
        <v>3732</v>
      </c>
      <c r="B3365" t="s">
        <v>296</v>
      </c>
      <c r="C3365" t="s">
        <v>3695</v>
      </c>
      <c r="D3365" s="30">
        <v>0.55599537037037039</v>
      </c>
      <c r="E3365" t="s">
        <v>314</v>
      </c>
      <c r="F3365" t="s">
        <v>299</v>
      </c>
      <c r="G3365" t="s">
        <v>299</v>
      </c>
      <c r="H3365">
        <v>22</v>
      </c>
      <c r="I3365" s="30">
        <v>2.3842592592592591E-3</v>
      </c>
      <c r="J3365">
        <v>4</v>
      </c>
    </row>
    <row r="3366" spans="1:10" x14ac:dyDescent="0.35">
      <c r="A3366" t="s">
        <v>3733</v>
      </c>
      <c r="B3366" t="s">
        <v>307</v>
      </c>
      <c r="C3366" t="s">
        <v>3695</v>
      </c>
      <c r="D3366" s="30">
        <v>0.55799768518518522</v>
      </c>
      <c r="E3366" t="s">
        <v>314</v>
      </c>
      <c r="F3366" t="s">
        <v>299</v>
      </c>
      <c r="G3366" t="s">
        <v>299</v>
      </c>
      <c r="H3366">
        <v>45</v>
      </c>
      <c r="I3366" s="30">
        <v>4.861111111111111E-4</v>
      </c>
      <c r="J3366">
        <v>4</v>
      </c>
    </row>
    <row r="3367" spans="1:10" x14ac:dyDescent="0.35">
      <c r="A3367" t="s">
        <v>3734</v>
      </c>
      <c r="B3367" t="s">
        <v>316</v>
      </c>
      <c r="C3367" t="s">
        <v>3695</v>
      </c>
      <c r="D3367" s="30">
        <v>0.55799768518518522</v>
      </c>
      <c r="E3367" t="s">
        <v>314</v>
      </c>
      <c r="F3367" t="s">
        <v>303</v>
      </c>
      <c r="G3367" t="s">
        <v>303</v>
      </c>
    </row>
    <row r="3368" spans="1:10" x14ac:dyDescent="0.35">
      <c r="A3368" t="s">
        <v>3735</v>
      </c>
      <c r="B3368" t="s">
        <v>296</v>
      </c>
      <c r="C3368" t="s">
        <v>3695</v>
      </c>
      <c r="D3368" s="30">
        <v>0.56999999999999995</v>
      </c>
      <c r="E3368" t="s">
        <v>298</v>
      </c>
      <c r="F3368" t="s">
        <v>303</v>
      </c>
      <c r="G3368" t="s">
        <v>303</v>
      </c>
    </row>
    <row r="3369" spans="1:10" x14ac:dyDescent="0.35">
      <c r="A3369" t="s">
        <v>3736</v>
      </c>
      <c r="B3369" t="s">
        <v>307</v>
      </c>
      <c r="C3369" t="s">
        <v>3695</v>
      </c>
      <c r="D3369" s="30">
        <v>0.56999999999999995</v>
      </c>
      <c r="E3369" t="s">
        <v>298</v>
      </c>
      <c r="F3369" t="s">
        <v>299</v>
      </c>
      <c r="G3369" t="s">
        <v>299</v>
      </c>
      <c r="H3369">
        <v>23</v>
      </c>
      <c r="I3369" s="30">
        <v>3.449074074074074E-3</v>
      </c>
      <c r="J3369">
        <v>5</v>
      </c>
    </row>
    <row r="3370" spans="1:10" x14ac:dyDescent="0.35">
      <c r="A3370" t="s">
        <v>3737</v>
      </c>
      <c r="B3370" t="s">
        <v>307</v>
      </c>
      <c r="C3370" t="s">
        <v>3695</v>
      </c>
      <c r="D3370" s="30">
        <v>0.58599537037037042</v>
      </c>
      <c r="E3370" t="s">
        <v>302</v>
      </c>
      <c r="F3370" t="s">
        <v>299</v>
      </c>
      <c r="G3370" t="s">
        <v>299</v>
      </c>
      <c r="H3370">
        <v>45</v>
      </c>
      <c r="I3370" s="30">
        <v>1.724537037037037E-3</v>
      </c>
      <c r="J3370">
        <v>3</v>
      </c>
    </row>
    <row r="3371" spans="1:10" x14ac:dyDescent="0.35">
      <c r="A3371" t="s">
        <v>3738</v>
      </c>
      <c r="B3371" t="s">
        <v>316</v>
      </c>
      <c r="C3371" t="s">
        <v>3695</v>
      </c>
      <c r="D3371" s="30">
        <v>0.58599537037037042</v>
      </c>
      <c r="E3371" t="s">
        <v>298</v>
      </c>
      <c r="F3371" t="s">
        <v>303</v>
      </c>
      <c r="G3371" t="s">
        <v>303</v>
      </c>
    </row>
    <row r="3372" spans="1:10" x14ac:dyDescent="0.35">
      <c r="A3372" t="s">
        <v>3739</v>
      </c>
      <c r="B3372" t="s">
        <v>296</v>
      </c>
      <c r="C3372" t="s">
        <v>3695</v>
      </c>
      <c r="D3372" s="30">
        <v>0.61700231481481482</v>
      </c>
      <c r="E3372" t="s">
        <v>298</v>
      </c>
      <c r="F3372" t="s">
        <v>299</v>
      </c>
      <c r="G3372" t="s">
        <v>299</v>
      </c>
      <c r="H3372">
        <v>53</v>
      </c>
      <c r="I3372" s="30">
        <v>5.4398148148148144E-4</v>
      </c>
      <c r="J3372">
        <v>4</v>
      </c>
    </row>
    <row r="3373" spans="1:10" x14ac:dyDescent="0.35">
      <c r="A3373" t="s">
        <v>3740</v>
      </c>
      <c r="B3373" t="s">
        <v>307</v>
      </c>
      <c r="C3373" t="s">
        <v>3695</v>
      </c>
      <c r="D3373" s="30">
        <v>0.61700231481481482</v>
      </c>
      <c r="E3373" t="s">
        <v>298</v>
      </c>
      <c r="F3373" t="s">
        <v>299</v>
      </c>
      <c r="G3373" t="s">
        <v>299</v>
      </c>
      <c r="H3373">
        <v>76</v>
      </c>
      <c r="I3373" s="30">
        <v>3.5300925925925925E-3</v>
      </c>
      <c r="J3373">
        <v>4</v>
      </c>
    </row>
    <row r="3374" spans="1:10" x14ac:dyDescent="0.35">
      <c r="A3374" t="s">
        <v>3741</v>
      </c>
      <c r="B3374" t="s">
        <v>296</v>
      </c>
      <c r="C3374" t="s">
        <v>3695</v>
      </c>
      <c r="D3374" s="30">
        <v>0.62</v>
      </c>
      <c r="E3374" t="s">
        <v>314</v>
      </c>
      <c r="F3374" t="s">
        <v>299</v>
      </c>
      <c r="G3374" t="s">
        <v>299</v>
      </c>
      <c r="H3374">
        <v>62</v>
      </c>
      <c r="I3374" s="30">
        <v>2.0601851851851853E-3</v>
      </c>
      <c r="J3374">
        <v>3</v>
      </c>
    </row>
    <row r="3375" spans="1:10" x14ac:dyDescent="0.35">
      <c r="A3375" t="s">
        <v>3742</v>
      </c>
      <c r="B3375" t="s">
        <v>323</v>
      </c>
      <c r="C3375" t="s">
        <v>3695</v>
      </c>
      <c r="D3375" s="30">
        <v>0.62</v>
      </c>
      <c r="E3375" t="s">
        <v>317</v>
      </c>
      <c r="F3375" t="s">
        <v>299</v>
      </c>
      <c r="G3375" t="s">
        <v>303</v>
      </c>
      <c r="H3375">
        <v>104</v>
      </c>
      <c r="I3375" s="30">
        <v>1.8634259259259259E-3</v>
      </c>
      <c r="J3375">
        <v>3</v>
      </c>
    </row>
    <row r="3376" spans="1:10" x14ac:dyDescent="0.35">
      <c r="A3376" t="s">
        <v>3743</v>
      </c>
      <c r="B3376" t="s">
        <v>323</v>
      </c>
      <c r="C3376" t="s">
        <v>3695</v>
      </c>
      <c r="D3376" s="30">
        <v>0.64</v>
      </c>
      <c r="E3376" t="s">
        <v>314</v>
      </c>
      <c r="F3376" t="s">
        <v>303</v>
      </c>
      <c r="G3376" t="s">
        <v>303</v>
      </c>
    </row>
    <row r="3377" spans="1:10" x14ac:dyDescent="0.35">
      <c r="A3377" t="s">
        <v>3744</v>
      </c>
      <c r="B3377" t="s">
        <v>323</v>
      </c>
      <c r="C3377" t="s">
        <v>3695</v>
      </c>
      <c r="D3377" s="30">
        <v>0.64</v>
      </c>
      <c r="E3377" t="s">
        <v>298</v>
      </c>
      <c r="F3377" t="s">
        <v>299</v>
      </c>
      <c r="G3377" t="s">
        <v>299</v>
      </c>
      <c r="H3377">
        <v>72</v>
      </c>
      <c r="I3377" s="30">
        <v>4.340277777777778E-3</v>
      </c>
      <c r="J3377">
        <v>1</v>
      </c>
    </row>
    <row r="3378" spans="1:10" x14ac:dyDescent="0.35">
      <c r="A3378" t="s">
        <v>3745</v>
      </c>
      <c r="B3378" t="s">
        <v>319</v>
      </c>
      <c r="C3378" t="s">
        <v>3695</v>
      </c>
      <c r="D3378" s="30">
        <v>0.64299768518518519</v>
      </c>
      <c r="E3378" t="s">
        <v>302</v>
      </c>
      <c r="F3378" t="s">
        <v>303</v>
      </c>
      <c r="G3378" t="s">
        <v>303</v>
      </c>
    </row>
    <row r="3379" spans="1:10" x14ac:dyDescent="0.35">
      <c r="A3379" t="s">
        <v>3746</v>
      </c>
      <c r="B3379" t="s">
        <v>307</v>
      </c>
      <c r="C3379" t="s">
        <v>3695</v>
      </c>
      <c r="D3379" s="30">
        <v>0.64299768518518519</v>
      </c>
      <c r="E3379" t="s">
        <v>314</v>
      </c>
      <c r="F3379" t="s">
        <v>299</v>
      </c>
      <c r="G3379" t="s">
        <v>299</v>
      </c>
      <c r="H3379">
        <v>74</v>
      </c>
      <c r="I3379" s="30">
        <v>4.3981481481481484E-3</v>
      </c>
      <c r="J3379">
        <v>4</v>
      </c>
    </row>
    <row r="3380" spans="1:10" x14ac:dyDescent="0.35">
      <c r="A3380" t="s">
        <v>3747</v>
      </c>
      <c r="B3380" t="s">
        <v>319</v>
      </c>
      <c r="C3380" t="s">
        <v>3695</v>
      </c>
      <c r="D3380" s="30">
        <v>0.67099537037037038</v>
      </c>
      <c r="E3380" t="s">
        <v>309</v>
      </c>
      <c r="F3380" t="s">
        <v>299</v>
      </c>
      <c r="G3380" t="s">
        <v>299</v>
      </c>
      <c r="H3380">
        <v>64</v>
      </c>
      <c r="I3380" s="30">
        <v>5.6712962962962967E-4</v>
      </c>
      <c r="J3380">
        <v>4</v>
      </c>
    </row>
    <row r="3381" spans="1:10" x14ac:dyDescent="0.35">
      <c r="A3381" t="s">
        <v>3748</v>
      </c>
      <c r="B3381" t="s">
        <v>296</v>
      </c>
      <c r="C3381" t="s">
        <v>3695</v>
      </c>
      <c r="D3381" s="30">
        <v>0.67099537037037038</v>
      </c>
      <c r="E3381" t="s">
        <v>317</v>
      </c>
      <c r="F3381" t="s">
        <v>299</v>
      </c>
      <c r="G3381" t="s">
        <v>299</v>
      </c>
      <c r="H3381">
        <v>44</v>
      </c>
      <c r="I3381" s="30">
        <v>2.1875000000000002E-3</v>
      </c>
      <c r="J3381">
        <v>4</v>
      </c>
    </row>
    <row r="3382" spans="1:10" x14ac:dyDescent="0.35">
      <c r="A3382" t="s">
        <v>3749</v>
      </c>
      <c r="B3382" t="s">
        <v>305</v>
      </c>
      <c r="C3382" t="s">
        <v>3695</v>
      </c>
      <c r="D3382" s="30">
        <v>0.67200231481481476</v>
      </c>
      <c r="E3382" t="s">
        <v>302</v>
      </c>
      <c r="F3382" t="s">
        <v>299</v>
      </c>
      <c r="G3382" t="s">
        <v>299</v>
      </c>
      <c r="H3382">
        <v>50</v>
      </c>
      <c r="I3382" s="30">
        <v>3.6111111111111109E-3</v>
      </c>
      <c r="J3382">
        <v>4</v>
      </c>
    </row>
    <row r="3383" spans="1:10" x14ac:dyDescent="0.35">
      <c r="A3383" t="s">
        <v>3750</v>
      </c>
      <c r="B3383" t="s">
        <v>332</v>
      </c>
      <c r="C3383" t="s">
        <v>3695</v>
      </c>
      <c r="D3383" s="30">
        <v>0.67200231481481476</v>
      </c>
      <c r="E3383" t="s">
        <v>302</v>
      </c>
      <c r="F3383" t="s">
        <v>299</v>
      </c>
      <c r="G3383" t="s">
        <v>299</v>
      </c>
      <c r="H3383">
        <v>73</v>
      </c>
      <c r="I3383" s="30">
        <v>2.7314814814814814E-3</v>
      </c>
      <c r="J3383">
        <v>3</v>
      </c>
    </row>
    <row r="3384" spans="1:10" x14ac:dyDescent="0.35">
      <c r="A3384" t="s">
        <v>3751</v>
      </c>
      <c r="B3384" t="s">
        <v>319</v>
      </c>
      <c r="C3384" t="s">
        <v>3695</v>
      </c>
      <c r="D3384" s="30">
        <v>0.70200231481481479</v>
      </c>
      <c r="E3384" t="s">
        <v>302</v>
      </c>
      <c r="F3384" t="s">
        <v>299</v>
      </c>
      <c r="G3384" t="s">
        <v>299</v>
      </c>
      <c r="H3384">
        <v>34</v>
      </c>
      <c r="I3384" s="30">
        <v>2.3726851851851851E-3</v>
      </c>
      <c r="J3384">
        <v>1</v>
      </c>
    </row>
    <row r="3385" spans="1:10" x14ac:dyDescent="0.35">
      <c r="A3385" t="s">
        <v>3752</v>
      </c>
      <c r="B3385" t="s">
        <v>332</v>
      </c>
      <c r="C3385" t="s">
        <v>3695</v>
      </c>
      <c r="D3385" s="30">
        <v>0.70200231481481479</v>
      </c>
      <c r="E3385" t="s">
        <v>309</v>
      </c>
      <c r="F3385" t="s">
        <v>299</v>
      </c>
      <c r="G3385" t="s">
        <v>299</v>
      </c>
      <c r="H3385">
        <v>118</v>
      </c>
      <c r="I3385" s="30">
        <v>4.5254629629629629E-3</v>
      </c>
      <c r="J3385">
        <v>3</v>
      </c>
    </row>
    <row r="3386" spans="1:10" x14ac:dyDescent="0.35">
      <c r="A3386" t="s">
        <v>3753</v>
      </c>
      <c r="B3386" t="s">
        <v>301</v>
      </c>
      <c r="C3386" t="s">
        <v>3695</v>
      </c>
      <c r="D3386" s="30">
        <v>0.73099537037037032</v>
      </c>
      <c r="E3386" t="s">
        <v>314</v>
      </c>
      <c r="F3386" t="s">
        <v>299</v>
      </c>
      <c r="G3386" t="s">
        <v>299</v>
      </c>
      <c r="H3386">
        <v>44</v>
      </c>
      <c r="I3386" s="30">
        <v>4.7453703703703703E-3</v>
      </c>
      <c r="J3386">
        <v>3</v>
      </c>
    </row>
    <row r="3387" spans="1:10" x14ac:dyDescent="0.35">
      <c r="A3387" t="s">
        <v>3754</v>
      </c>
      <c r="B3387" t="s">
        <v>307</v>
      </c>
      <c r="C3387" t="s">
        <v>3695</v>
      </c>
      <c r="D3387" s="30">
        <v>0.73099537037037032</v>
      </c>
      <c r="E3387" t="s">
        <v>298</v>
      </c>
      <c r="F3387" t="s">
        <v>299</v>
      </c>
      <c r="G3387" t="s">
        <v>299</v>
      </c>
      <c r="H3387">
        <v>38</v>
      </c>
      <c r="I3387" s="30">
        <v>1.1111111111111111E-3</v>
      </c>
      <c r="J3387">
        <v>3</v>
      </c>
    </row>
    <row r="3388" spans="1:10" x14ac:dyDescent="0.35">
      <c r="A3388" t="s">
        <v>3755</v>
      </c>
      <c r="B3388" t="s">
        <v>316</v>
      </c>
      <c r="C3388" t="s">
        <v>3695</v>
      </c>
      <c r="D3388" s="30">
        <v>0.75</v>
      </c>
      <c r="E3388" t="s">
        <v>317</v>
      </c>
      <c r="F3388" t="s">
        <v>299</v>
      </c>
      <c r="G3388" t="s">
        <v>299</v>
      </c>
      <c r="H3388">
        <v>56</v>
      </c>
      <c r="I3388" s="30">
        <v>1.7824074074074075E-3</v>
      </c>
      <c r="J3388">
        <v>4</v>
      </c>
    </row>
    <row r="3389" spans="1:10" x14ac:dyDescent="0.35">
      <c r="A3389" t="s">
        <v>3756</v>
      </c>
      <c r="B3389" t="s">
        <v>319</v>
      </c>
      <c r="C3389" t="s">
        <v>3695</v>
      </c>
      <c r="D3389" s="30">
        <v>0.75</v>
      </c>
      <c r="E3389" t="s">
        <v>302</v>
      </c>
      <c r="F3389" t="s">
        <v>299</v>
      </c>
      <c r="G3389" t="s">
        <v>299</v>
      </c>
      <c r="H3389">
        <v>79</v>
      </c>
      <c r="I3389" s="30">
        <v>4.386574074074074E-3</v>
      </c>
      <c r="J3389">
        <v>4</v>
      </c>
    </row>
    <row r="3390" spans="1:10" x14ac:dyDescent="0.35">
      <c r="A3390" t="s">
        <v>3757</v>
      </c>
      <c r="B3390" t="s">
        <v>305</v>
      </c>
      <c r="C3390" t="s">
        <v>3758</v>
      </c>
      <c r="D3390" s="30">
        <v>0.38</v>
      </c>
      <c r="E3390" t="s">
        <v>309</v>
      </c>
      <c r="F3390" t="s">
        <v>299</v>
      </c>
      <c r="G3390" t="s">
        <v>299</v>
      </c>
      <c r="H3390">
        <v>111</v>
      </c>
      <c r="I3390" s="30">
        <v>3.1481481481481482E-3</v>
      </c>
      <c r="J3390">
        <v>5</v>
      </c>
    </row>
    <row r="3391" spans="1:10" x14ac:dyDescent="0.35">
      <c r="A3391" t="s">
        <v>3759</v>
      </c>
      <c r="B3391" t="s">
        <v>319</v>
      </c>
      <c r="C3391" t="s">
        <v>3758</v>
      </c>
      <c r="D3391" s="30">
        <v>0.38</v>
      </c>
      <c r="E3391" t="s">
        <v>298</v>
      </c>
      <c r="F3391" t="s">
        <v>299</v>
      </c>
      <c r="G3391" t="s">
        <v>303</v>
      </c>
      <c r="H3391">
        <v>62</v>
      </c>
      <c r="I3391" s="30">
        <v>3.5648148148148149E-3</v>
      </c>
      <c r="J3391">
        <v>5</v>
      </c>
    </row>
    <row r="3392" spans="1:10" x14ac:dyDescent="0.35">
      <c r="A3392" t="s">
        <v>3760</v>
      </c>
      <c r="B3392" t="s">
        <v>323</v>
      </c>
      <c r="C3392" t="s">
        <v>3758</v>
      </c>
      <c r="D3392" s="30">
        <v>0.38599537037037035</v>
      </c>
      <c r="E3392" t="s">
        <v>317</v>
      </c>
      <c r="F3392" t="s">
        <v>299</v>
      </c>
      <c r="G3392" t="s">
        <v>299</v>
      </c>
      <c r="H3392">
        <v>112</v>
      </c>
      <c r="I3392" s="30">
        <v>3.0092592592592593E-3</v>
      </c>
      <c r="J3392">
        <v>1</v>
      </c>
    </row>
    <row r="3393" spans="1:10" x14ac:dyDescent="0.35">
      <c r="A3393" t="s">
        <v>3761</v>
      </c>
      <c r="B3393" t="s">
        <v>332</v>
      </c>
      <c r="C3393" t="s">
        <v>3758</v>
      </c>
      <c r="D3393" s="30">
        <v>0.38599537037037035</v>
      </c>
      <c r="E3393" t="s">
        <v>314</v>
      </c>
      <c r="F3393" t="s">
        <v>299</v>
      </c>
      <c r="G3393" t="s">
        <v>299</v>
      </c>
      <c r="H3393">
        <v>55</v>
      </c>
      <c r="I3393" s="30">
        <v>3.8310185185185183E-3</v>
      </c>
      <c r="J3393">
        <v>4</v>
      </c>
    </row>
    <row r="3394" spans="1:10" x14ac:dyDescent="0.35">
      <c r="A3394" t="s">
        <v>3762</v>
      </c>
      <c r="B3394" t="s">
        <v>316</v>
      </c>
      <c r="C3394" t="s">
        <v>3758</v>
      </c>
      <c r="D3394" s="30">
        <v>0.39799768518518519</v>
      </c>
      <c r="E3394" t="s">
        <v>314</v>
      </c>
      <c r="F3394" t="s">
        <v>299</v>
      </c>
      <c r="G3394" t="s">
        <v>299</v>
      </c>
      <c r="H3394">
        <v>107</v>
      </c>
      <c r="I3394" s="30">
        <v>2.6041666666666665E-3</v>
      </c>
      <c r="J3394">
        <v>5</v>
      </c>
    </row>
    <row r="3395" spans="1:10" x14ac:dyDescent="0.35">
      <c r="A3395" t="s">
        <v>3763</v>
      </c>
      <c r="B3395" t="s">
        <v>323</v>
      </c>
      <c r="C3395" t="s">
        <v>3758</v>
      </c>
      <c r="D3395" s="30">
        <v>0.39799768518518519</v>
      </c>
      <c r="E3395" t="s">
        <v>314</v>
      </c>
      <c r="F3395" t="s">
        <v>303</v>
      </c>
      <c r="G3395" t="s">
        <v>303</v>
      </c>
    </row>
    <row r="3396" spans="1:10" x14ac:dyDescent="0.35">
      <c r="A3396" t="s">
        <v>3764</v>
      </c>
      <c r="B3396" t="s">
        <v>296</v>
      </c>
      <c r="C3396" t="s">
        <v>3758</v>
      </c>
      <c r="D3396" s="30">
        <v>0.41499999999999998</v>
      </c>
      <c r="E3396" t="s">
        <v>302</v>
      </c>
      <c r="F3396" t="s">
        <v>303</v>
      </c>
      <c r="G3396" t="s">
        <v>303</v>
      </c>
    </row>
    <row r="3397" spans="1:10" x14ac:dyDescent="0.35">
      <c r="A3397" t="s">
        <v>3765</v>
      </c>
      <c r="B3397" t="s">
        <v>301</v>
      </c>
      <c r="C3397" t="s">
        <v>3758</v>
      </c>
      <c r="D3397" s="30">
        <v>0.41499999999999998</v>
      </c>
      <c r="E3397" t="s">
        <v>314</v>
      </c>
      <c r="F3397" t="s">
        <v>299</v>
      </c>
      <c r="G3397" t="s">
        <v>299</v>
      </c>
      <c r="H3397">
        <v>81</v>
      </c>
      <c r="I3397" s="30">
        <v>4.0393518518518521E-3</v>
      </c>
      <c r="J3397">
        <v>4</v>
      </c>
    </row>
    <row r="3398" spans="1:10" x14ac:dyDescent="0.35">
      <c r="A3398" t="s">
        <v>3766</v>
      </c>
      <c r="B3398" t="s">
        <v>319</v>
      </c>
      <c r="C3398" t="s">
        <v>3758</v>
      </c>
      <c r="D3398" s="30">
        <v>0.41799768518518521</v>
      </c>
      <c r="E3398" t="s">
        <v>317</v>
      </c>
      <c r="F3398" t="s">
        <v>299</v>
      </c>
      <c r="G3398" t="s">
        <v>303</v>
      </c>
      <c r="H3398">
        <v>120</v>
      </c>
      <c r="I3398" s="30">
        <v>1.7476851851851852E-3</v>
      </c>
      <c r="J3398">
        <v>4</v>
      </c>
    </row>
    <row r="3399" spans="1:10" x14ac:dyDescent="0.35">
      <c r="A3399" t="s">
        <v>3767</v>
      </c>
      <c r="B3399" t="s">
        <v>296</v>
      </c>
      <c r="C3399" t="s">
        <v>3758</v>
      </c>
      <c r="D3399" s="30">
        <v>0.41799768518518521</v>
      </c>
      <c r="E3399" t="s">
        <v>314</v>
      </c>
      <c r="F3399" t="s">
        <v>303</v>
      </c>
      <c r="G3399" t="s">
        <v>303</v>
      </c>
    </row>
    <row r="3400" spans="1:10" x14ac:dyDescent="0.35">
      <c r="A3400" t="s">
        <v>3768</v>
      </c>
      <c r="B3400" t="s">
        <v>301</v>
      </c>
      <c r="C3400" t="s">
        <v>3758</v>
      </c>
      <c r="D3400" s="30">
        <v>0.44</v>
      </c>
      <c r="E3400" t="s">
        <v>298</v>
      </c>
      <c r="F3400" t="s">
        <v>303</v>
      </c>
      <c r="G3400" t="s">
        <v>303</v>
      </c>
    </row>
    <row r="3401" spans="1:10" x14ac:dyDescent="0.35">
      <c r="A3401" t="s">
        <v>3769</v>
      </c>
      <c r="B3401" t="s">
        <v>316</v>
      </c>
      <c r="C3401" t="s">
        <v>3758</v>
      </c>
      <c r="D3401" s="30">
        <v>0.44</v>
      </c>
      <c r="E3401" t="s">
        <v>302</v>
      </c>
      <c r="F3401" t="s">
        <v>299</v>
      </c>
      <c r="G3401" t="s">
        <v>299</v>
      </c>
      <c r="H3401">
        <v>68</v>
      </c>
      <c r="I3401" s="30">
        <v>7.407407407407407E-4</v>
      </c>
      <c r="J3401">
        <v>3</v>
      </c>
    </row>
    <row r="3402" spans="1:10" x14ac:dyDescent="0.35">
      <c r="A3402" t="s">
        <v>3770</v>
      </c>
      <c r="B3402" t="s">
        <v>307</v>
      </c>
      <c r="C3402" t="s">
        <v>3758</v>
      </c>
      <c r="D3402" s="30">
        <v>0.4679976851851852</v>
      </c>
      <c r="E3402" t="s">
        <v>302</v>
      </c>
      <c r="F3402" t="s">
        <v>303</v>
      </c>
      <c r="G3402" t="s">
        <v>303</v>
      </c>
    </row>
    <row r="3403" spans="1:10" x14ac:dyDescent="0.35">
      <c r="A3403" t="s">
        <v>3771</v>
      </c>
      <c r="B3403" t="s">
        <v>305</v>
      </c>
      <c r="C3403" t="s">
        <v>3758</v>
      </c>
      <c r="D3403" s="30">
        <v>0.4679976851851852</v>
      </c>
      <c r="E3403" t="s">
        <v>309</v>
      </c>
      <c r="F3403" t="s">
        <v>299</v>
      </c>
      <c r="G3403" t="s">
        <v>299</v>
      </c>
      <c r="H3403">
        <v>40</v>
      </c>
      <c r="I3403" s="30">
        <v>9.7222222222222219E-4</v>
      </c>
      <c r="J3403">
        <v>4</v>
      </c>
    </row>
    <row r="3404" spans="1:10" x14ac:dyDescent="0.35">
      <c r="A3404" t="s">
        <v>3772</v>
      </c>
      <c r="B3404" t="s">
        <v>316</v>
      </c>
      <c r="C3404" t="s">
        <v>3758</v>
      </c>
      <c r="D3404" s="30">
        <v>0.51500000000000001</v>
      </c>
      <c r="E3404" t="s">
        <v>302</v>
      </c>
      <c r="F3404" t="s">
        <v>299</v>
      </c>
      <c r="G3404" t="s">
        <v>299</v>
      </c>
      <c r="H3404">
        <v>60</v>
      </c>
      <c r="I3404" s="30">
        <v>3.3217592592592591E-3</v>
      </c>
      <c r="J3404">
        <v>4</v>
      </c>
    </row>
    <row r="3405" spans="1:10" x14ac:dyDescent="0.35">
      <c r="A3405" t="s">
        <v>3773</v>
      </c>
      <c r="B3405" t="s">
        <v>316</v>
      </c>
      <c r="C3405" t="s">
        <v>3758</v>
      </c>
      <c r="D3405" s="30">
        <v>0.51500000000000001</v>
      </c>
      <c r="E3405" t="s">
        <v>317</v>
      </c>
      <c r="F3405" t="s">
        <v>299</v>
      </c>
      <c r="G3405" t="s">
        <v>299</v>
      </c>
      <c r="H3405">
        <v>53</v>
      </c>
      <c r="I3405" s="30">
        <v>2.7199074074074074E-3</v>
      </c>
      <c r="J3405">
        <v>3</v>
      </c>
    </row>
    <row r="3406" spans="1:10" x14ac:dyDescent="0.35">
      <c r="A3406" t="s">
        <v>3774</v>
      </c>
      <c r="B3406" t="s">
        <v>323</v>
      </c>
      <c r="C3406" t="s">
        <v>3758</v>
      </c>
      <c r="D3406" s="30">
        <v>0.52500000000000002</v>
      </c>
      <c r="E3406" t="s">
        <v>298</v>
      </c>
      <c r="F3406" t="s">
        <v>299</v>
      </c>
      <c r="G3406" t="s">
        <v>299</v>
      </c>
      <c r="H3406">
        <v>72</v>
      </c>
      <c r="I3406" s="30">
        <v>1.9097222222222222E-3</v>
      </c>
      <c r="J3406">
        <v>3</v>
      </c>
    </row>
    <row r="3407" spans="1:10" x14ac:dyDescent="0.35">
      <c r="A3407" t="s">
        <v>3775</v>
      </c>
      <c r="B3407" t="s">
        <v>316</v>
      </c>
      <c r="C3407" t="s">
        <v>3758</v>
      </c>
      <c r="D3407" s="30">
        <v>0.52500000000000002</v>
      </c>
      <c r="E3407" t="s">
        <v>302</v>
      </c>
      <c r="F3407" t="s">
        <v>303</v>
      </c>
      <c r="G3407" t="s">
        <v>303</v>
      </c>
    </row>
    <row r="3408" spans="1:10" x14ac:dyDescent="0.35">
      <c r="A3408" t="s">
        <v>3776</v>
      </c>
      <c r="B3408" t="s">
        <v>307</v>
      </c>
      <c r="C3408" t="s">
        <v>3758</v>
      </c>
      <c r="D3408" s="30">
        <v>0.53200231481481486</v>
      </c>
      <c r="E3408" t="s">
        <v>317</v>
      </c>
      <c r="F3408" t="s">
        <v>299</v>
      </c>
      <c r="G3408" t="s">
        <v>299</v>
      </c>
      <c r="H3408">
        <v>100</v>
      </c>
      <c r="I3408" s="30">
        <v>3.0671296296296297E-3</v>
      </c>
      <c r="J3408">
        <v>1</v>
      </c>
    </row>
    <row r="3409" spans="1:10" x14ac:dyDescent="0.35">
      <c r="A3409" t="s">
        <v>3777</v>
      </c>
      <c r="B3409" t="s">
        <v>305</v>
      </c>
      <c r="C3409" t="s">
        <v>3758</v>
      </c>
      <c r="D3409" s="30">
        <v>0.53200231481481486</v>
      </c>
      <c r="E3409" t="s">
        <v>309</v>
      </c>
      <c r="F3409" t="s">
        <v>299</v>
      </c>
      <c r="G3409" t="s">
        <v>299</v>
      </c>
      <c r="H3409">
        <v>99</v>
      </c>
      <c r="I3409" s="30">
        <v>1.6550925925925926E-3</v>
      </c>
      <c r="J3409">
        <v>3</v>
      </c>
    </row>
    <row r="3410" spans="1:10" x14ac:dyDescent="0.35">
      <c r="A3410" t="s">
        <v>3778</v>
      </c>
      <c r="B3410" t="s">
        <v>301</v>
      </c>
      <c r="C3410" t="s">
        <v>3758</v>
      </c>
      <c r="D3410" s="30">
        <v>0.54599537037037038</v>
      </c>
      <c r="E3410" t="s">
        <v>309</v>
      </c>
      <c r="F3410" t="s">
        <v>299</v>
      </c>
      <c r="G3410" t="s">
        <v>299</v>
      </c>
      <c r="H3410">
        <v>96</v>
      </c>
      <c r="I3410" s="30">
        <v>4.8611111111111112E-3</v>
      </c>
      <c r="J3410">
        <v>4</v>
      </c>
    </row>
    <row r="3411" spans="1:10" x14ac:dyDescent="0.35">
      <c r="A3411" t="s">
        <v>3779</v>
      </c>
      <c r="B3411" t="s">
        <v>301</v>
      </c>
      <c r="C3411" t="s">
        <v>3758</v>
      </c>
      <c r="D3411" s="30">
        <v>0.54599537037037038</v>
      </c>
      <c r="E3411" t="s">
        <v>309</v>
      </c>
      <c r="F3411" t="s">
        <v>299</v>
      </c>
      <c r="G3411" t="s">
        <v>299</v>
      </c>
      <c r="H3411">
        <v>33</v>
      </c>
      <c r="I3411" s="30">
        <v>1.6666666666666668E-3</v>
      </c>
      <c r="J3411">
        <v>2</v>
      </c>
    </row>
    <row r="3412" spans="1:10" x14ac:dyDescent="0.35">
      <c r="A3412" t="s">
        <v>3780</v>
      </c>
      <c r="B3412" t="s">
        <v>316</v>
      </c>
      <c r="C3412" t="s">
        <v>3758</v>
      </c>
      <c r="D3412" s="30">
        <v>0.54900462962962959</v>
      </c>
      <c r="E3412" t="s">
        <v>298</v>
      </c>
      <c r="F3412" t="s">
        <v>299</v>
      </c>
      <c r="G3412" t="s">
        <v>299</v>
      </c>
      <c r="H3412">
        <v>92</v>
      </c>
      <c r="I3412" s="30">
        <v>2.5347222222222221E-3</v>
      </c>
      <c r="J3412">
        <v>4</v>
      </c>
    </row>
    <row r="3413" spans="1:10" x14ac:dyDescent="0.35">
      <c r="A3413" t="s">
        <v>3781</v>
      </c>
      <c r="B3413" t="s">
        <v>307</v>
      </c>
      <c r="C3413" t="s">
        <v>3758</v>
      </c>
      <c r="D3413" s="30">
        <v>0.54900462962962959</v>
      </c>
      <c r="E3413" t="s">
        <v>309</v>
      </c>
      <c r="F3413" t="s">
        <v>299</v>
      </c>
      <c r="G3413" t="s">
        <v>299</v>
      </c>
      <c r="H3413">
        <v>96</v>
      </c>
      <c r="I3413" s="30">
        <v>3.1828703703703702E-3</v>
      </c>
      <c r="J3413">
        <v>4</v>
      </c>
    </row>
    <row r="3414" spans="1:10" x14ac:dyDescent="0.35">
      <c r="A3414" t="s">
        <v>3782</v>
      </c>
      <c r="B3414" t="s">
        <v>332</v>
      </c>
      <c r="C3414" t="s">
        <v>3758</v>
      </c>
      <c r="D3414" s="30">
        <v>0.55200231481481477</v>
      </c>
      <c r="E3414" t="s">
        <v>298</v>
      </c>
      <c r="F3414" t="s">
        <v>299</v>
      </c>
      <c r="G3414" t="s">
        <v>303</v>
      </c>
      <c r="H3414">
        <v>116</v>
      </c>
      <c r="I3414" s="30">
        <v>4.5370370370370373E-3</v>
      </c>
      <c r="J3414">
        <v>3</v>
      </c>
    </row>
    <row r="3415" spans="1:10" x14ac:dyDescent="0.35">
      <c r="A3415" t="s">
        <v>3783</v>
      </c>
      <c r="B3415" t="s">
        <v>319</v>
      </c>
      <c r="C3415" t="s">
        <v>3758</v>
      </c>
      <c r="D3415" s="30">
        <v>0.55200231481481477</v>
      </c>
      <c r="E3415" t="s">
        <v>317</v>
      </c>
      <c r="F3415" t="s">
        <v>299</v>
      </c>
      <c r="G3415" t="s">
        <v>299</v>
      </c>
      <c r="H3415">
        <v>29</v>
      </c>
      <c r="I3415" s="30">
        <v>4.1435185185185186E-3</v>
      </c>
      <c r="J3415">
        <v>5</v>
      </c>
    </row>
    <row r="3416" spans="1:10" x14ac:dyDescent="0.35">
      <c r="A3416" t="s">
        <v>3784</v>
      </c>
      <c r="B3416" t="s">
        <v>296</v>
      </c>
      <c r="C3416" t="s">
        <v>3758</v>
      </c>
      <c r="D3416" s="30">
        <v>0.55200231481481477</v>
      </c>
      <c r="E3416" t="s">
        <v>314</v>
      </c>
      <c r="F3416" t="s">
        <v>299</v>
      </c>
      <c r="G3416" t="s">
        <v>299</v>
      </c>
      <c r="H3416">
        <v>40</v>
      </c>
      <c r="I3416" s="30">
        <v>1.4120370370370369E-3</v>
      </c>
      <c r="J3416">
        <v>4</v>
      </c>
    </row>
    <row r="3417" spans="1:10" x14ac:dyDescent="0.35">
      <c r="A3417" t="s">
        <v>3785</v>
      </c>
      <c r="B3417" t="s">
        <v>301</v>
      </c>
      <c r="C3417" t="s">
        <v>3758</v>
      </c>
      <c r="D3417" s="30">
        <v>0.55200231481481477</v>
      </c>
      <c r="E3417" t="s">
        <v>309</v>
      </c>
      <c r="F3417" t="s">
        <v>299</v>
      </c>
      <c r="G3417" t="s">
        <v>299</v>
      </c>
      <c r="H3417">
        <v>62</v>
      </c>
      <c r="I3417" s="30">
        <v>9.0277777777777774E-4</v>
      </c>
      <c r="J3417">
        <v>4</v>
      </c>
    </row>
    <row r="3418" spans="1:10" x14ac:dyDescent="0.35">
      <c r="A3418" t="s">
        <v>3786</v>
      </c>
      <c r="B3418" t="s">
        <v>323</v>
      </c>
      <c r="C3418" t="s">
        <v>3758</v>
      </c>
      <c r="D3418" s="30">
        <v>0.55299768518518522</v>
      </c>
      <c r="E3418" t="s">
        <v>309</v>
      </c>
      <c r="F3418" t="s">
        <v>299</v>
      </c>
      <c r="G3418" t="s">
        <v>299</v>
      </c>
      <c r="H3418">
        <v>111</v>
      </c>
      <c r="I3418" s="30">
        <v>1.8981481481481482E-3</v>
      </c>
      <c r="J3418">
        <v>1</v>
      </c>
    </row>
    <row r="3419" spans="1:10" x14ac:dyDescent="0.35">
      <c r="A3419" t="s">
        <v>3787</v>
      </c>
      <c r="B3419" t="s">
        <v>305</v>
      </c>
      <c r="C3419" t="s">
        <v>3758</v>
      </c>
      <c r="D3419" s="30">
        <v>0.55299768518518522</v>
      </c>
      <c r="E3419" t="s">
        <v>317</v>
      </c>
      <c r="F3419" t="s">
        <v>299</v>
      </c>
      <c r="G3419" t="s">
        <v>299</v>
      </c>
      <c r="H3419">
        <v>66</v>
      </c>
      <c r="I3419" s="30">
        <v>5.2083333333333333E-4</v>
      </c>
      <c r="J3419">
        <v>3</v>
      </c>
    </row>
    <row r="3420" spans="1:10" x14ac:dyDescent="0.35">
      <c r="A3420" t="s">
        <v>3788</v>
      </c>
      <c r="B3420" t="s">
        <v>316</v>
      </c>
      <c r="C3420" t="s">
        <v>3758</v>
      </c>
      <c r="D3420" s="30">
        <v>0.55599537037037039</v>
      </c>
      <c r="E3420" t="s">
        <v>309</v>
      </c>
      <c r="F3420" t="s">
        <v>299</v>
      </c>
      <c r="G3420" t="s">
        <v>299</v>
      </c>
      <c r="H3420">
        <v>79</v>
      </c>
      <c r="I3420" s="30">
        <v>2.1296296296296298E-3</v>
      </c>
      <c r="J3420">
        <v>3</v>
      </c>
    </row>
    <row r="3421" spans="1:10" x14ac:dyDescent="0.35">
      <c r="A3421" t="s">
        <v>3789</v>
      </c>
      <c r="B3421" t="s">
        <v>305</v>
      </c>
      <c r="C3421" t="s">
        <v>3758</v>
      </c>
      <c r="D3421" s="30">
        <v>0.55599537037037039</v>
      </c>
      <c r="E3421" t="s">
        <v>302</v>
      </c>
      <c r="F3421" t="s">
        <v>303</v>
      </c>
      <c r="G3421" t="s">
        <v>303</v>
      </c>
    </row>
    <row r="3422" spans="1:10" x14ac:dyDescent="0.35">
      <c r="A3422" t="s">
        <v>3790</v>
      </c>
      <c r="B3422" t="s">
        <v>301</v>
      </c>
      <c r="C3422" t="s">
        <v>3758</v>
      </c>
      <c r="D3422" s="30">
        <v>0.56700231481481478</v>
      </c>
      <c r="E3422" t="s">
        <v>309</v>
      </c>
      <c r="F3422" t="s">
        <v>299</v>
      </c>
      <c r="G3422" t="s">
        <v>299</v>
      </c>
      <c r="H3422">
        <v>69</v>
      </c>
      <c r="I3422" s="30">
        <v>4.2824074074074081E-4</v>
      </c>
      <c r="J3422">
        <v>5</v>
      </c>
    </row>
    <row r="3423" spans="1:10" x14ac:dyDescent="0.35">
      <c r="A3423" t="s">
        <v>3791</v>
      </c>
      <c r="B3423" t="s">
        <v>305</v>
      </c>
      <c r="C3423" t="s">
        <v>3758</v>
      </c>
      <c r="D3423" s="30">
        <v>0.56700231481481478</v>
      </c>
      <c r="E3423" t="s">
        <v>317</v>
      </c>
      <c r="F3423" t="s">
        <v>299</v>
      </c>
      <c r="G3423" t="s">
        <v>299</v>
      </c>
      <c r="H3423">
        <v>49</v>
      </c>
      <c r="I3423" s="30">
        <v>1.6087962962962963E-3</v>
      </c>
      <c r="J3423">
        <v>2</v>
      </c>
    </row>
    <row r="3424" spans="1:10" x14ac:dyDescent="0.35">
      <c r="A3424" t="s">
        <v>3792</v>
      </c>
      <c r="B3424" t="s">
        <v>301</v>
      </c>
      <c r="C3424" t="s">
        <v>3758</v>
      </c>
      <c r="D3424" s="30">
        <v>0.56799768518518523</v>
      </c>
      <c r="E3424" t="s">
        <v>317</v>
      </c>
      <c r="F3424" t="s">
        <v>299</v>
      </c>
      <c r="G3424" t="s">
        <v>299</v>
      </c>
      <c r="H3424">
        <v>80</v>
      </c>
      <c r="I3424" s="30">
        <v>3.0092592592592593E-3</v>
      </c>
      <c r="J3424">
        <v>4</v>
      </c>
    </row>
    <row r="3425" spans="1:10" x14ac:dyDescent="0.35">
      <c r="A3425" t="s">
        <v>3793</v>
      </c>
      <c r="B3425" t="s">
        <v>301</v>
      </c>
      <c r="C3425" t="s">
        <v>3758</v>
      </c>
      <c r="D3425" s="30">
        <v>0.56799768518518523</v>
      </c>
      <c r="E3425" t="s">
        <v>298</v>
      </c>
      <c r="F3425" t="s">
        <v>299</v>
      </c>
      <c r="G3425" t="s">
        <v>299</v>
      </c>
      <c r="H3425">
        <v>101</v>
      </c>
      <c r="I3425" s="30">
        <v>5.6712962962962967E-4</v>
      </c>
      <c r="J3425">
        <v>5</v>
      </c>
    </row>
    <row r="3426" spans="1:10" x14ac:dyDescent="0.35">
      <c r="A3426" t="s">
        <v>3794</v>
      </c>
      <c r="B3426" t="s">
        <v>301</v>
      </c>
      <c r="C3426" t="s">
        <v>3758</v>
      </c>
      <c r="D3426" s="30">
        <v>0.58200231481481479</v>
      </c>
      <c r="E3426" t="s">
        <v>314</v>
      </c>
      <c r="F3426" t="s">
        <v>299</v>
      </c>
      <c r="G3426" t="s">
        <v>299</v>
      </c>
      <c r="H3426">
        <v>99</v>
      </c>
      <c r="I3426" s="30">
        <v>1.2847222222222223E-3</v>
      </c>
      <c r="J3426">
        <v>5</v>
      </c>
    </row>
    <row r="3427" spans="1:10" x14ac:dyDescent="0.35">
      <c r="A3427" t="s">
        <v>3795</v>
      </c>
      <c r="B3427" t="s">
        <v>296</v>
      </c>
      <c r="C3427" t="s">
        <v>3758</v>
      </c>
      <c r="D3427" s="30">
        <v>0.58200231481481479</v>
      </c>
      <c r="E3427" t="s">
        <v>317</v>
      </c>
      <c r="F3427" t="s">
        <v>299</v>
      </c>
      <c r="G3427" t="s">
        <v>299</v>
      </c>
      <c r="H3427">
        <v>111</v>
      </c>
      <c r="I3427" s="30">
        <v>3.5763888888888889E-3</v>
      </c>
      <c r="J3427">
        <v>5</v>
      </c>
    </row>
    <row r="3428" spans="1:10" x14ac:dyDescent="0.35">
      <c r="A3428" t="s">
        <v>3796</v>
      </c>
      <c r="B3428" t="s">
        <v>319</v>
      </c>
      <c r="C3428" t="s">
        <v>3758</v>
      </c>
      <c r="D3428" s="30">
        <v>0.5920023148148148</v>
      </c>
      <c r="E3428" t="s">
        <v>298</v>
      </c>
      <c r="F3428" t="s">
        <v>303</v>
      </c>
      <c r="G3428" t="s">
        <v>303</v>
      </c>
    </row>
    <row r="3429" spans="1:10" x14ac:dyDescent="0.35">
      <c r="A3429" t="s">
        <v>3797</v>
      </c>
      <c r="B3429" t="s">
        <v>323</v>
      </c>
      <c r="C3429" t="s">
        <v>3758</v>
      </c>
      <c r="D3429" s="30">
        <v>0.5920023148148148</v>
      </c>
      <c r="E3429" t="s">
        <v>314</v>
      </c>
      <c r="F3429" t="s">
        <v>299</v>
      </c>
      <c r="G3429" t="s">
        <v>299</v>
      </c>
      <c r="H3429">
        <v>83</v>
      </c>
      <c r="I3429" s="30">
        <v>3.5185185185185185E-3</v>
      </c>
      <c r="J3429">
        <v>5</v>
      </c>
    </row>
    <row r="3430" spans="1:10" x14ac:dyDescent="0.35">
      <c r="A3430" t="s">
        <v>3798</v>
      </c>
      <c r="B3430" t="s">
        <v>307</v>
      </c>
      <c r="C3430" t="s">
        <v>3758</v>
      </c>
      <c r="D3430" s="30">
        <v>0.59400462962962963</v>
      </c>
      <c r="E3430" t="s">
        <v>314</v>
      </c>
      <c r="F3430" t="s">
        <v>299</v>
      </c>
      <c r="G3430" t="s">
        <v>299</v>
      </c>
      <c r="H3430">
        <v>14</v>
      </c>
      <c r="I3430" s="30">
        <v>3.449074074074074E-3</v>
      </c>
      <c r="J3430">
        <v>3</v>
      </c>
    </row>
    <row r="3431" spans="1:10" x14ac:dyDescent="0.35">
      <c r="A3431" t="s">
        <v>3799</v>
      </c>
      <c r="B3431" t="s">
        <v>305</v>
      </c>
      <c r="C3431" t="s">
        <v>3758</v>
      </c>
      <c r="D3431" s="30">
        <v>0.59400462962962963</v>
      </c>
      <c r="E3431" t="s">
        <v>298</v>
      </c>
      <c r="F3431" t="s">
        <v>299</v>
      </c>
      <c r="G3431" t="s">
        <v>299</v>
      </c>
      <c r="H3431">
        <v>120</v>
      </c>
      <c r="I3431" s="30">
        <v>4.0393518518518521E-3</v>
      </c>
      <c r="J3431">
        <v>3</v>
      </c>
    </row>
    <row r="3432" spans="1:10" x14ac:dyDescent="0.35">
      <c r="A3432" t="s">
        <v>3800</v>
      </c>
      <c r="B3432" t="s">
        <v>301</v>
      </c>
      <c r="C3432" t="s">
        <v>3758</v>
      </c>
      <c r="D3432" s="30">
        <v>0.59499999999999997</v>
      </c>
      <c r="E3432" t="s">
        <v>298</v>
      </c>
      <c r="F3432" t="s">
        <v>299</v>
      </c>
      <c r="G3432" t="s">
        <v>299</v>
      </c>
      <c r="H3432">
        <v>38</v>
      </c>
      <c r="I3432" s="30">
        <v>1.3888888888888889E-3</v>
      </c>
      <c r="J3432">
        <v>5</v>
      </c>
    </row>
    <row r="3433" spans="1:10" x14ac:dyDescent="0.35">
      <c r="A3433" t="s">
        <v>3801</v>
      </c>
      <c r="B3433" t="s">
        <v>332</v>
      </c>
      <c r="C3433" t="s">
        <v>3758</v>
      </c>
      <c r="D3433" s="30">
        <v>0.59499999999999997</v>
      </c>
      <c r="E3433" t="s">
        <v>317</v>
      </c>
      <c r="F3433" t="s">
        <v>299</v>
      </c>
      <c r="G3433" t="s">
        <v>303</v>
      </c>
      <c r="H3433">
        <v>88</v>
      </c>
      <c r="I3433" s="30">
        <v>3.6805555555555554E-3</v>
      </c>
      <c r="J3433">
        <v>1</v>
      </c>
    </row>
    <row r="3434" spans="1:10" x14ac:dyDescent="0.35">
      <c r="A3434" t="s">
        <v>3802</v>
      </c>
      <c r="B3434" t="s">
        <v>301</v>
      </c>
      <c r="C3434" t="s">
        <v>3758</v>
      </c>
      <c r="D3434" s="30">
        <v>0.61900462962962965</v>
      </c>
      <c r="E3434" t="s">
        <v>317</v>
      </c>
      <c r="F3434" t="s">
        <v>299</v>
      </c>
      <c r="G3434" t="s">
        <v>299</v>
      </c>
      <c r="H3434">
        <v>26</v>
      </c>
      <c r="I3434" s="30">
        <v>9.0277777777777774E-4</v>
      </c>
      <c r="J3434">
        <v>4</v>
      </c>
    </row>
    <row r="3435" spans="1:10" x14ac:dyDescent="0.35">
      <c r="A3435" t="s">
        <v>3803</v>
      </c>
      <c r="B3435" t="s">
        <v>332</v>
      </c>
      <c r="C3435" t="s">
        <v>3758</v>
      </c>
      <c r="D3435" s="30">
        <v>0.61900462962962965</v>
      </c>
      <c r="E3435" t="s">
        <v>302</v>
      </c>
      <c r="F3435" t="s">
        <v>299</v>
      </c>
      <c r="G3435" t="s">
        <v>299</v>
      </c>
      <c r="H3435">
        <v>94</v>
      </c>
      <c r="I3435" s="30">
        <v>2.3263888888888887E-3</v>
      </c>
      <c r="J3435">
        <v>3</v>
      </c>
    </row>
    <row r="3436" spans="1:10" x14ac:dyDescent="0.35">
      <c r="A3436" t="s">
        <v>3804</v>
      </c>
      <c r="B3436" t="s">
        <v>316</v>
      </c>
      <c r="C3436" t="s">
        <v>3758</v>
      </c>
      <c r="D3436" s="30">
        <v>0.62200231481481483</v>
      </c>
      <c r="E3436" t="s">
        <v>314</v>
      </c>
      <c r="F3436" t="s">
        <v>303</v>
      </c>
      <c r="G3436" t="s">
        <v>303</v>
      </c>
    </row>
    <row r="3437" spans="1:10" x14ac:dyDescent="0.35">
      <c r="A3437" t="s">
        <v>3805</v>
      </c>
      <c r="B3437" t="s">
        <v>332</v>
      </c>
      <c r="C3437" t="s">
        <v>3758</v>
      </c>
      <c r="D3437" s="30">
        <v>0.62200231481481483</v>
      </c>
      <c r="E3437" t="s">
        <v>309</v>
      </c>
      <c r="F3437" t="s">
        <v>303</v>
      </c>
      <c r="G3437" t="s">
        <v>303</v>
      </c>
    </row>
    <row r="3438" spans="1:10" x14ac:dyDescent="0.35">
      <c r="A3438" t="s">
        <v>3806</v>
      </c>
      <c r="B3438" t="s">
        <v>305</v>
      </c>
      <c r="C3438" t="s">
        <v>3758</v>
      </c>
      <c r="D3438" s="30">
        <v>0.64799768518518519</v>
      </c>
      <c r="E3438" t="s">
        <v>314</v>
      </c>
      <c r="F3438" t="s">
        <v>299</v>
      </c>
      <c r="G3438" t="s">
        <v>299</v>
      </c>
      <c r="H3438">
        <v>29</v>
      </c>
      <c r="I3438" s="30">
        <v>4.3518518518518515E-3</v>
      </c>
      <c r="J3438">
        <v>3</v>
      </c>
    </row>
    <row r="3439" spans="1:10" x14ac:dyDescent="0.35">
      <c r="A3439" t="s">
        <v>3807</v>
      </c>
      <c r="B3439" t="s">
        <v>319</v>
      </c>
      <c r="C3439" t="s">
        <v>3758</v>
      </c>
      <c r="D3439" s="30">
        <v>0.64799768518518519</v>
      </c>
      <c r="E3439" t="s">
        <v>314</v>
      </c>
      <c r="F3439" t="s">
        <v>299</v>
      </c>
      <c r="G3439" t="s">
        <v>299</v>
      </c>
      <c r="H3439">
        <v>49</v>
      </c>
      <c r="I3439" s="30">
        <v>1.9907407407407408E-3</v>
      </c>
      <c r="J3439">
        <v>3</v>
      </c>
    </row>
    <row r="3440" spans="1:10" x14ac:dyDescent="0.35">
      <c r="A3440" t="s">
        <v>3808</v>
      </c>
      <c r="B3440" t="s">
        <v>296</v>
      </c>
      <c r="C3440" t="s">
        <v>3758</v>
      </c>
      <c r="D3440" s="30">
        <v>0.65500000000000003</v>
      </c>
      <c r="E3440" t="s">
        <v>302</v>
      </c>
      <c r="F3440" t="s">
        <v>299</v>
      </c>
      <c r="G3440" t="s">
        <v>299</v>
      </c>
      <c r="H3440">
        <v>104</v>
      </c>
      <c r="I3440" s="30">
        <v>1.5856481481481481E-3</v>
      </c>
      <c r="J3440">
        <v>4</v>
      </c>
    </row>
    <row r="3441" spans="1:10" x14ac:dyDescent="0.35">
      <c r="A3441" t="s">
        <v>3809</v>
      </c>
      <c r="B3441" t="s">
        <v>301</v>
      </c>
      <c r="C3441" t="s">
        <v>3758</v>
      </c>
      <c r="D3441" s="30">
        <v>0.65500000000000003</v>
      </c>
      <c r="E3441" t="s">
        <v>314</v>
      </c>
      <c r="F3441" t="s">
        <v>299</v>
      </c>
      <c r="G3441" t="s">
        <v>299</v>
      </c>
      <c r="H3441">
        <v>62</v>
      </c>
      <c r="I3441" s="30">
        <v>7.291666666666667E-4</v>
      </c>
      <c r="J3441">
        <v>4</v>
      </c>
    </row>
    <row r="3442" spans="1:10" x14ac:dyDescent="0.35">
      <c r="A3442" t="s">
        <v>3810</v>
      </c>
      <c r="B3442" t="s">
        <v>301</v>
      </c>
      <c r="C3442" t="s">
        <v>3758</v>
      </c>
      <c r="D3442" s="30">
        <v>0.69</v>
      </c>
      <c r="E3442" t="s">
        <v>314</v>
      </c>
      <c r="F3442" t="s">
        <v>299</v>
      </c>
      <c r="G3442" t="s">
        <v>299</v>
      </c>
      <c r="H3442">
        <v>123</v>
      </c>
      <c r="I3442" s="30">
        <v>3.9583333333333337E-3</v>
      </c>
      <c r="J3442">
        <v>5</v>
      </c>
    </row>
    <row r="3443" spans="1:10" x14ac:dyDescent="0.35">
      <c r="A3443" t="s">
        <v>3811</v>
      </c>
      <c r="B3443" t="s">
        <v>301</v>
      </c>
      <c r="C3443" t="s">
        <v>3758</v>
      </c>
      <c r="D3443" s="30">
        <v>0.69</v>
      </c>
      <c r="E3443" t="s">
        <v>298</v>
      </c>
      <c r="F3443" t="s">
        <v>299</v>
      </c>
      <c r="G3443" t="s">
        <v>299</v>
      </c>
      <c r="H3443">
        <v>114</v>
      </c>
      <c r="I3443" s="30">
        <v>1.2962962962962963E-3</v>
      </c>
      <c r="J3443">
        <v>5</v>
      </c>
    </row>
    <row r="3444" spans="1:10" x14ac:dyDescent="0.35">
      <c r="A3444" t="s">
        <v>3812</v>
      </c>
      <c r="B3444" t="s">
        <v>301</v>
      </c>
      <c r="C3444" t="s">
        <v>3758</v>
      </c>
      <c r="D3444" s="30">
        <v>0.7</v>
      </c>
      <c r="E3444" t="s">
        <v>298</v>
      </c>
      <c r="F3444" t="s">
        <v>303</v>
      </c>
      <c r="G3444" t="s">
        <v>303</v>
      </c>
    </row>
    <row r="3445" spans="1:10" x14ac:dyDescent="0.35">
      <c r="A3445" t="s">
        <v>3813</v>
      </c>
      <c r="B3445" t="s">
        <v>316</v>
      </c>
      <c r="C3445" t="s">
        <v>3758</v>
      </c>
      <c r="D3445" s="30">
        <v>0.7</v>
      </c>
      <c r="E3445" t="s">
        <v>314</v>
      </c>
      <c r="F3445" t="s">
        <v>299</v>
      </c>
      <c r="G3445" t="s">
        <v>299</v>
      </c>
      <c r="H3445">
        <v>12</v>
      </c>
      <c r="I3445" s="30">
        <v>3.6805555555555554E-3</v>
      </c>
      <c r="J3445">
        <v>4</v>
      </c>
    </row>
    <row r="3446" spans="1:10" x14ac:dyDescent="0.35">
      <c r="A3446" t="s">
        <v>3814</v>
      </c>
      <c r="B3446" t="s">
        <v>316</v>
      </c>
      <c r="C3446" t="s">
        <v>3758</v>
      </c>
      <c r="D3446" s="30">
        <v>0.71099537037037042</v>
      </c>
      <c r="E3446" t="s">
        <v>309</v>
      </c>
      <c r="F3446" t="s">
        <v>299</v>
      </c>
      <c r="G3446" t="s">
        <v>299</v>
      </c>
      <c r="H3446">
        <v>116</v>
      </c>
      <c r="I3446" s="30">
        <v>3.7037037037037041E-4</v>
      </c>
      <c r="J3446">
        <v>4</v>
      </c>
    </row>
    <row r="3447" spans="1:10" x14ac:dyDescent="0.35">
      <c r="A3447" t="s">
        <v>3815</v>
      </c>
      <c r="B3447" t="s">
        <v>301</v>
      </c>
      <c r="C3447" t="s">
        <v>3758</v>
      </c>
      <c r="D3447" s="30">
        <v>0.71099537037037042</v>
      </c>
      <c r="E3447" t="s">
        <v>309</v>
      </c>
      <c r="F3447" t="s">
        <v>299</v>
      </c>
      <c r="G3447" t="s">
        <v>299</v>
      </c>
      <c r="H3447">
        <v>31</v>
      </c>
      <c r="I3447" s="30">
        <v>1.1574074074074073E-3</v>
      </c>
      <c r="J3447">
        <v>2</v>
      </c>
    </row>
    <row r="3448" spans="1:10" x14ac:dyDescent="0.35">
      <c r="A3448" t="s">
        <v>3816</v>
      </c>
      <c r="B3448" t="s">
        <v>301</v>
      </c>
      <c r="C3448" t="s">
        <v>3758</v>
      </c>
      <c r="D3448" s="30">
        <v>0.72</v>
      </c>
      <c r="E3448" t="s">
        <v>298</v>
      </c>
      <c r="F3448" t="s">
        <v>303</v>
      </c>
      <c r="G3448" t="s">
        <v>303</v>
      </c>
    </row>
    <row r="3449" spans="1:10" x14ac:dyDescent="0.35">
      <c r="A3449" t="s">
        <v>3817</v>
      </c>
      <c r="B3449" t="s">
        <v>323</v>
      </c>
      <c r="C3449" t="s">
        <v>3758</v>
      </c>
      <c r="D3449" s="30">
        <v>0.72</v>
      </c>
      <c r="E3449" t="s">
        <v>309</v>
      </c>
      <c r="F3449" t="s">
        <v>299</v>
      </c>
      <c r="G3449" t="s">
        <v>299</v>
      </c>
      <c r="H3449">
        <v>39</v>
      </c>
      <c r="I3449" s="30">
        <v>1.2962962962962963E-3</v>
      </c>
      <c r="J3449">
        <v>3</v>
      </c>
    </row>
    <row r="3450" spans="1:10" x14ac:dyDescent="0.35">
      <c r="A3450" t="s">
        <v>3818</v>
      </c>
      <c r="B3450" t="s">
        <v>332</v>
      </c>
      <c r="C3450" t="s">
        <v>3758</v>
      </c>
      <c r="D3450" s="30">
        <v>0.73499999999999999</v>
      </c>
      <c r="E3450" t="s">
        <v>309</v>
      </c>
      <c r="F3450" t="s">
        <v>299</v>
      </c>
      <c r="G3450" t="s">
        <v>299</v>
      </c>
      <c r="H3450">
        <v>81</v>
      </c>
      <c r="I3450" s="30">
        <v>3.7268518518518519E-3</v>
      </c>
      <c r="J3450">
        <v>4</v>
      </c>
    </row>
    <row r="3451" spans="1:10" x14ac:dyDescent="0.35">
      <c r="A3451" t="s">
        <v>3819</v>
      </c>
      <c r="B3451" t="s">
        <v>323</v>
      </c>
      <c r="C3451" t="s">
        <v>3758</v>
      </c>
      <c r="D3451" s="30">
        <v>0.73499999999999999</v>
      </c>
      <c r="E3451" t="s">
        <v>309</v>
      </c>
      <c r="F3451" t="s">
        <v>299</v>
      </c>
      <c r="G3451" t="s">
        <v>299</v>
      </c>
      <c r="H3451">
        <v>34</v>
      </c>
      <c r="I3451" s="30">
        <v>1.9675925925925924E-3</v>
      </c>
      <c r="J3451">
        <v>3</v>
      </c>
    </row>
    <row r="3452" spans="1:10" x14ac:dyDescent="0.35">
      <c r="A3452" t="s">
        <v>3820</v>
      </c>
      <c r="B3452" t="s">
        <v>316</v>
      </c>
      <c r="C3452" t="s">
        <v>3758</v>
      </c>
      <c r="D3452" s="30">
        <v>0.73599537037037033</v>
      </c>
      <c r="E3452" t="s">
        <v>302</v>
      </c>
      <c r="F3452" t="s">
        <v>299</v>
      </c>
      <c r="G3452" t="s">
        <v>299</v>
      </c>
      <c r="H3452">
        <v>33</v>
      </c>
      <c r="I3452" s="30">
        <v>2.3958333333333331E-3</v>
      </c>
      <c r="J3452">
        <v>3</v>
      </c>
    </row>
    <row r="3453" spans="1:10" x14ac:dyDescent="0.35">
      <c r="A3453" t="s">
        <v>3821</v>
      </c>
      <c r="B3453" t="s">
        <v>301</v>
      </c>
      <c r="C3453" t="s">
        <v>3758</v>
      </c>
      <c r="D3453" s="30">
        <v>0.73599537037037033</v>
      </c>
      <c r="E3453" t="s">
        <v>302</v>
      </c>
      <c r="F3453" t="s">
        <v>299</v>
      </c>
      <c r="G3453" t="s">
        <v>299</v>
      </c>
      <c r="H3453">
        <v>37</v>
      </c>
      <c r="I3453" s="30">
        <v>8.564814814814815E-4</v>
      </c>
      <c r="J3453">
        <v>1</v>
      </c>
    </row>
    <row r="3454" spans="1:10" x14ac:dyDescent="0.35">
      <c r="A3454" t="s">
        <v>3822</v>
      </c>
      <c r="B3454" t="s">
        <v>319</v>
      </c>
      <c r="C3454" t="s">
        <v>3823</v>
      </c>
      <c r="D3454" s="30">
        <v>0.39200231481481479</v>
      </c>
      <c r="E3454" t="s">
        <v>317</v>
      </c>
      <c r="F3454" t="s">
        <v>299</v>
      </c>
      <c r="G3454" t="s">
        <v>299</v>
      </c>
      <c r="H3454">
        <v>92</v>
      </c>
      <c r="I3454" s="30">
        <v>1.3773148148148147E-3</v>
      </c>
      <c r="J3454">
        <v>2</v>
      </c>
    </row>
    <row r="3455" spans="1:10" x14ac:dyDescent="0.35">
      <c r="A3455" t="s">
        <v>3824</v>
      </c>
      <c r="B3455" t="s">
        <v>316</v>
      </c>
      <c r="C3455" t="s">
        <v>3823</v>
      </c>
      <c r="D3455" s="30">
        <v>0.39200231481481479</v>
      </c>
      <c r="E3455" t="s">
        <v>309</v>
      </c>
      <c r="F3455" t="s">
        <v>299</v>
      </c>
      <c r="G3455" t="s">
        <v>299</v>
      </c>
      <c r="H3455">
        <v>117</v>
      </c>
      <c r="I3455" s="30">
        <v>4.1550925925925922E-3</v>
      </c>
      <c r="J3455">
        <v>3</v>
      </c>
    </row>
    <row r="3456" spans="1:10" x14ac:dyDescent="0.35">
      <c r="A3456" t="s">
        <v>3825</v>
      </c>
      <c r="B3456" t="s">
        <v>301</v>
      </c>
      <c r="C3456" t="s">
        <v>3823</v>
      </c>
      <c r="D3456" s="30">
        <v>0.40599537037037037</v>
      </c>
      <c r="E3456" t="s">
        <v>317</v>
      </c>
      <c r="F3456" t="s">
        <v>299</v>
      </c>
      <c r="G3456" t="s">
        <v>299</v>
      </c>
      <c r="H3456">
        <v>53</v>
      </c>
      <c r="I3456" s="30">
        <v>3.1481481481481482E-3</v>
      </c>
      <c r="J3456">
        <v>3</v>
      </c>
    </row>
    <row r="3457" spans="1:10" x14ac:dyDescent="0.35">
      <c r="A3457" t="s">
        <v>3826</v>
      </c>
      <c r="B3457" t="s">
        <v>305</v>
      </c>
      <c r="C3457" t="s">
        <v>3823</v>
      </c>
      <c r="D3457" s="30">
        <v>0.40599537037037037</v>
      </c>
      <c r="E3457" t="s">
        <v>298</v>
      </c>
      <c r="F3457" t="s">
        <v>299</v>
      </c>
      <c r="G3457" t="s">
        <v>299</v>
      </c>
      <c r="H3457">
        <v>61</v>
      </c>
      <c r="I3457" s="30">
        <v>3.0324074074074073E-3</v>
      </c>
      <c r="J3457">
        <v>5</v>
      </c>
    </row>
    <row r="3458" spans="1:10" x14ac:dyDescent="0.35">
      <c r="A3458" t="s">
        <v>3827</v>
      </c>
      <c r="B3458" t="s">
        <v>323</v>
      </c>
      <c r="C3458" t="s">
        <v>3823</v>
      </c>
      <c r="D3458" s="30">
        <v>0.42299768518518521</v>
      </c>
      <c r="E3458" t="s">
        <v>302</v>
      </c>
      <c r="F3458" t="s">
        <v>303</v>
      </c>
      <c r="G3458" t="s">
        <v>303</v>
      </c>
    </row>
    <row r="3459" spans="1:10" x14ac:dyDescent="0.35">
      <c r="A3459" t="s">
        <v>3828</v>
      </c>
      <c r="B3459" t="s">
        <v>296</v>
      </c>
      <c r="C3459" t="s">
        <v>3823</v>
      </c>
      <c r="D3459" s="30">
        <v>0.42299768518518521</v>
      </c>
      <c r="E3459" t="s">
        <v>302</v>
      </c>
      <c r="F3459" t="s">
        <v>299</v>
      </c>
      <c r="G3459" t="s">
        <v>299</v>
      </c>
      <c r="H3459">
        <v>72</v>
      </c>
      <c r="I3459" s="30">
        <v>1.5856481481481481E-3</v>
      </c>
      <c r="J3459">
        <v>4</v>
      </c>
    </row>
    <row r="3460" spans="1:10" x14ac:dyDescent="0.35">
      <c r="A3460" t="s">
        <v>3829</v>
      </c>
      <c r="B3460" t="s">
        <v>332</v>
      </c>
      <c r="C3460" t="s">
        <v>3823</v>
      </c>
      <c r="D3460" s="30">
        <v>0.43299768518518517</v>
      </c>
      <c r="E3460" t="s">
        <v>309</v>
      </c>
      <c r="F3460" t="s">
        <v>303</v>
      </c>
      <c r="G3460" t="s">
        <v>303</v>
      </c>
    </row>
    <row r="3461" spans="1:10" x14ac:dyDescent="0.35">
      <c r="A3461" t="s">
        <v>3830</v>
      </c>
      <c r="B3461" t="s">
        <v>307</v>
      </c>
      <c r="C3461" t="s">
        <v>3823</v>
      </c>
      <c r="D3461" s="30">
        <v>0.43299768518518517</v>
      </c>
      <c r="E3461" t="s">
        <v>314</v>
      </c>
      <c r="F3461" t="s">
        <v>299</v>
      </c>
      <c r="G3461" t="s">
        <v>299</v>
      </c>
      <c r="H3461">
        <v>82</v>
      </c>
      <c r="I3461" s="30">
        <v>3.7037037037037038E-3</v>
      </c>
      <c r="J3461">
        <v>3</v>
      </c>
    </row>
    <row r="3462" spans="1:10" x14ac:dyDescent="0.35">
      <c r="A3462" t="s">
        <v>3831</v>
      </c>
      <c r="B3462" t="s">
        <v>323</v>
      </c>
      <c r="C3462" t="s">
        <v>3823</v>
      </c>
      <c r="D3462" s="30">
        <v>0.43700231481481483</v>
      </c>
      <c r="E3462" t="s">
        <v>309</v>
      </c>
      <c r="F3462" t="s">
        <v>299</v>
      </c>
      <c r="G3462" t="s">
        <v>299</v>
      </c>
      <c r="H3462">
        <v>86</v>
      </c>
      <c r="I3462" s="30">
        <v>3.6458333333333334E-3</v>
      </c>
      <c r="J3462">
        <v>5</v>
      </c>
    </row>
    <row r="3463" spans="1:10" x14ac:dyDescent="0.35">
      <c r="A3463" t="s">
        <v>3832</v>
      </c>
      <c r="B3463" t="s">
        <v>301</v>
      </c>
      <c r="C3463" t="s">
        <v>3823</v>
      </c>
      <c r="D3463" s="30">
        <v>0.43700231481481483</v>
      </c>
      <c r="E3463" t="s">
        <v>302</v>
      </c>
      <c r="F3463" t="s">
        <v>299</v>
      </c>
      <c r="G3463" t="s">
        <v>299</v>
      </c>
      <c r="H3463">
        <v>35</v>
      </c>
      <c r="I3463" s="30">
        <v>1.5509259259259259E-3</v>
      </c>
      <c r="J3463">
        <v>3</v>
      </c>
    </row>
    <row r="3464" spans="1:10" x14ac:dyDescent="0.35">
      <c r="A3464" t="s">
        <v>3833</v>
      </c>
      <c r="B3464" t="s">
        <v>307</v>
      </c>
      <c r="C3464" t="s">
        <v>3823</v>
      </c>
      <c r="D3464" s="30">
        <v>0.45099537037037035</v>
      </c>
      <c r="E3464" t="s">
        <v>317</v>
      </c>
      <c r="F3464" t="s">
        <v>299</v>
      </c>
      <c r="G3464" t="s">
        <v>299</v>
      </c>
      <c r="H3464">
        <v>83</v>
      </c>
      <c r="I3464" s="30">
        <v>1.3310185185185185E-3</v>
      </c>
      <c r="J3464">
        <v>5</v>
      </c>
    </row>
    <row r="3465" spans="1:10" x14ac:dyDescent="0.35">
      <c r="A3465" t="s">
        <v>3834</v>
      </c>
      <c r="B3465" t="s">
        <v>305</v>
      </c>
      <c r="C3465" t="s">
        <v>3823</v>
      </c>
      <c r="D3465" s="30">
        <v>0.45099537037037035</v>
      </c>
      <c r="E3465" t="s">
        <v>314</v>
      </c>
      <c r="F3465" t="s">
        <v>299</v>
      </c>
      <c r="G3465" t="s">
        <v>299</v>
      </c>
      <c r="H3465">
        <v>42</v>
      </c>
      <c r="I3465" s="30">
        <v>2.5925925925925925E-3</v>
      </c>
      <c r="J3465">
        <v>4</v>
      </c>
    </row>
    <row r="3466" spans="1:10" x14ac:dyDescent="0.35">
      <c r="A3466" t="s">
        <v>3835</v>
      </c>
      <c r="B3466" t="s">
        <v>305</v>
      </c>
      <c r="C3466" t="s">
        <v>3823</v>
      </c>
      <c r="D3466" s="30">
        <v>0.45400462962962962</v>
      </c>
      <c r="E3466" t="s">
        <v>302</v>
      </c>
      <c r="F3466" t="s">
        <v>299</v>
      </c>
      <c r="G3466" t="s">
        <v>299</v>
      </c>
      <c r="H3466">
        <v>82</v>
      </c>
      <c r="I3466" s="30">
        <v>3.9583333333333337E-3</v>
      </c>
      <c r="J3466">
        <v>5</v>
      </c>
    </row>
    <row r="3467" spans="1:10" x14ac:dyDescent="0.35">
      <c r="A3467" t="s">
        <v>3836</v>
      </c>
      <c r="B3467" t="s">
        <v>296</v>
      </c>
      <c r="C3467" t="s">
        <v>3823</v>
      </c>
      <c r="D3467" s="30">
        <v>0.45400462962962962</v>
      </c>
      <c r="E3467" t="s">
        <v>302</v>
      </c>
      <c r="F3467" t="s">
        <v>299</v>
      </c>
      <c r="G3467" t="s">
        <v>299</v>
      </c>
      <c r="H3467">
        <v>42</v>
      </c>
      <c r="I3467" s="30">
        <v>5.6712962962962967E-4</v>
      </c>
      <c r="J3467">
        <v>4</v>
      </c>
    </row>
    <row r="3468" spans="1:10" x14ac:dyDescent="0.35">
      <c r="A3468" t="s">
        <v>3837</v>
      </c>
      <c r="B3468" t="s">
        <v>316</v>
      </c>
      <c r="C3468" t="s">
        <v>3823</v>
      </c>
      <c r="D3468" s="30">
        <v>0.46400462962962963</v>
      </c>
      <c r="E3468" t="s">
        <v>317</v>
      </c>
      <c r="F3468" t="s">
        <v>303</v>
      </c>
      <c r="G3468" t="s">
        <v>303</v>
      </c>
    </row>
    <row r="3469" spans="1:10" x14ac:dyDescent="0.35">
      <c r="A3469" t="s">
        <v>3838</v>
      </c>
      <c r="B3469" t="s">
        <v>301</v>
      </c>
      <c r="C3469" t="s">
        <v>3823</v>
      </c>
      <c r="D3469" s="30">
        <v>0.46400462962962963</v>
      </c>
      <c r="E3469" t="s">
        <v>309</v>
      </c>
      <c r="F3469" t="s">
        <v>299</v>
      </c>
      <c r="G3469" t="s">
        <v>303</v>
      </c>
      <c r="H3469">
        <v>106</v>
      </c>
      <c r="I3469" s="30">
        <v>4.7222222222222223E-3</v>
      </c>
      <c r="J3469">
        <v>3</v>
      </c>
    </row>
    <row r="3470" spans="1:10" x14ac:dyDescent="0.35">
      <c r="A3470" t="s">
        <v>3839</v>
      </c>
      <c r="B3470" t="s">
        <v>319</v>
      </c>
      <c r="C3470" t="s">
        <v>3823</v>
      </c>
      <c r="D3470" s="30">
        <v>0.48099537037037038</v>
      </c>
      <c r="E3470" t="s">
        <v>317</v>
      </c>
      <c r="F3470" t="s">
        <v>303</v>
      </c>
      <c r="G3470" t="s">
        <v>303</v>
      </c>
    </row>
    <row r="3471" spans="1:10" x14ac:dyDescent="0.35">
      <c r="A3471" t="s">
        <v>3840</v>
      </c>
      <c r="B3471" t="s">
        <v>296</v>
      </c>
      <c r="C3471" t="s">
        <v>3823</v>
      </c>
      <c r="D3471" s="30">
        <v>0.48099537037037038</v>
      </c>
      <c r="E3471" t="s">
        <v>314</v>
      </c>
      <c r="F3471" t="s">
        <v>299</v>
      </c>
      <c r="G3471" t="s">
        <v>299</v>
      </c>
      <c r="H3471">
        <v>89</v>
      </c>
      <c r="I3471" s="30">
        <v>6.018518518518519E-4</v>
      </c>
      <c r="J3471">
        <v>4</v>
      </c>
    </row>
    <row r="3472" spans="1:10" x14ac:dyDescent="0.35">
      <c r="A3472" t="s">
        <v>3841</v>
      </c>
      <c r="B3472" t="s">
        <v>307</v>
      </c>
      <c r="C3472" t="s">
        <v>3823</v>
      </c>
      <c r="D3472" s="30">
        <v>0.49799768518518517</v>
      </c>
      <c r="E3472" t="s">
        <v>302</v>
      </c>
      <c r="F3472" t="s">
        <v>303</v>
      </c>
      <c r="G3472" t="s">
        <v>303</v>
      </c>
    </row>
    <row r="3473" spans="1:10" x14ac:dyDescent="0.35">
      <c r="A3473" t="s">
        <v>3842</v>
      </c>
      <c r="B3473" t="s">
        <v>301</v>
      </c>
      <c r="C3473" t="s">
        <v>3823</v>
      </c>
      <c r="D3473" s="30">
        <v>0.49799768518518517</v>
      </c>
      <c r="E3473" t="s">
        <v>309</v>
      </c>
      <c r="F3473" t="s">
        <v>299</v>
      </c>
      <c r="G3473" t="s">
        <v>299</v>
      </c>
      <c r="H3473">
        <v>112</v>
      </c>
      <c r="I3473" s="30">
        <v>3.6226851851851854E-3</v>
      </c>
      <c r="J3473">
        <v>4</v>
      </c>
    </row>
    <row r="3474" spans="1:10" x14ac:dyDescent="0.35">
      <c r="A3474" t="s">
        <v>3843</v>
      </c>
      <c r="B3474" t="s">
        <v>323</v>
      </c>
      <c r="C3474" t="s">
        <v>3823</v>
      </c>
      <c r="D3474" s="30">
        <v>0.5329976851851852</v>
      </c>
      <c r="E3474" t="s">
        <v>309</v>
      </c>
      <c r="F3474" t="s">
        <v>299</v>
      </c>
      <c r="G3474" t="s">
        <v>299</v>
      </c>
      <c r="H3474">
        <v>67</v>
      </c>
      <c r="I3474" s="30">
        <v>3.1944444444444446E-3</v>
      </c>
      <c r="J3474">
        <v>4</v>
      </c>
    </row>
    <row r="3475" spans="1:10" x14ac:dyDescent="0.35">
      <c r="A3475" t="s">
        <v>3844</v>
      </c>
      <c r="B3475" t="s">
        <v>319</v>
      </c>
      <c r="C3475" t="s">
        <v>3823</v>
      </c>
      <c r="D3475" s="30">
        <v>0.5329976851851852</v>
      </c>
      <c r="E3475" t="s">
        <v>317</v>
      </c>
      <c r="F3475" t="s">
        <v>299</v>
      </c>
      <c r="G3475" t="s">
        <v>299</v>
      </c>
      <c r="H3475">
        <v>77</v>
      </c>
      <c r="I3475" s="30">
        <v>2.7430555555555554E-3</v>
      </c>
      <c r="J3475">
        <v>5</v>
      </c>
    </row>
    <row r="3476" spans="1:10" x14ac:dyDescent="0.35">
      <c r="A3476" t="s">
        <v>3845</v>
      </c>
      <c r="B3476" t="s">
        <v>323</v>
      </c>
      <c r="C3476" t="s">
        <v>3823</v>
      </c>
      <c r="D3476" s="30">
        <v>0.54200231481481487</v>
      </c>
      <c r="E3476" t="s">
        <v>309</v>
      </c>
      <c r="F3476" t="s">
        <v>299</v>
      </c>
      <c r="G3476" t="s">
        <v>299</v>
      </c>
      <c r="H3476">
        <v>54</v>
      </c>
      <c r="I3476" s="30">
        <v>7.407407407407407E-4</v>
      </c>
      <c r="J3476">
        <v>5</v>
      </c>
    </row>
    <row r="3477" spans="1:10" x14ac:dyDescent="0.35">
      <c r="A3477" t="s">
        <v>3846</v>
      </c>
      <c r="B3477" t="s">
        <v>332</v>
      </c>
      <c r="C3477" t="s">
        <v>3823</v>
      </c>
      <c r="D3477" s="30">
        <v>0.54200231481481487</v>
      </c>
      <c r="E3477" t="s">
        <v>314</v>
      </c>
      <c r="F3477" t="s">
        <v>299</v>
      </c>
      <c r="G3477" t="s">
        <v>299</v>
      </c>
      <c r="H3477">
        <v>83</v>
      </c>
      <c r="I3477" s="30">
        <v>2.2800925925925927E-3</v>
      </c>
      <c r="J3477">
        <v>3</v>
      </c>
    </row>
    <row r="3478" spans="1:10" x14ac:dyDescent="0.35">
      <c r="A3478" t="s">
        <v>3847</v>
      </c>
      <c r="B3478" t="s">
        <v>316</v>
      </c>
      <c r="C3478" t="s">
        <v>3823</v>
      </c>
      <c r="D3478" s="30">
        <v>0.54700231481481476</v>
      </c>
      <c r="E3478" t="s">
        <v>309</v>
      </c>
      <c r="F3478" t="s">
        <v>299</v>
      </c>
      <c r="G3478" t="s">
        <v>299</v>
      </c>
      <c r="H3478">
        <v>56</v>
      </c>
      <c r="I3478" s="30">
        <v>3.472222222222222E-3</v>
      </c>
      <c r="J3478">
        <v>5</v>
      </c>
    </row>
    <row r="3479" spans="1:10" x14ac:dyDescent="0.35">
      <c r="A3479" t="s">
        <v>3848</v>
      </c>
      <c r="B3479" t="s">
        <v>307</v>
      </c>
      <c r="C3479" t="s">
        <v>3823</v>
      </c>
      <c r="D3479" s="30">
        <v>0.54700231481481476</v>
      </c>
      <c r="E3479" t="s">
        <v>309</v>
      </c>
      <c r="F3479" t="s">
        <v>303</v>
      </c>
      <c r="G3479" t="s">
        <v>303</v>
      </c>
    </row>
    <row r="3480" spans="1:10" x14ac:dyDescent="0.35">
      <c r="A3480" t="s">
        <v>3849</v>
      </c>
      <c r="B3480" t="s">
        <v>319</v>
      </c>
      <c r="C3480" t="s">
        <v>3823</v>
      </c>
      <c r="D3480" s="30">
        <v>0.55799768518518522</v>
      </c>
      <c r="E3480" t="s">
        <v>309</v>
      </c>
      <c r="F3480" t="s">
        <v>299</v>
      </c>
      <c r="G3480" t="s">
        <v>303</v>
      </c>
      <c r="H3480">
        <v>19</v>
      </c>
      <c r="I3480" s="30">
        <v>4.4560185185185189E-3</v>
      </c>
      <c r="J3480">
        <v>2</v>
      </c>
    </row>
    <row r="3481" spans="1:10" x14ac:dyDescent="0.35">
      <c r="A3481" t="s">
        <v>3850</v>
      </c>
      <c r="B3481" t="s">
        <v>305</v>
      </c>
      <c r="C3481" t="s">
        <v>3823</v>
      </c>
      <c r="D3481" s="30">
        <v>0.55799768518518522</v>
      </c>
      <c r="E3481" t="s">
        <v>314</v>
      </c>
      <c r="F3481" t="s">
        <v>303</v>
      </c>
      <c r="G3481" t="s">
        <v>303</v>
      </c>
    </row>
    <row r="3482" spans="1:10" x14ac:dyDescent="0.35">
      <c r="A3482" t="s">
        <v>3851</v>
      </c>
      <c r="B3482" t="s">
        <v>323</v>
      </c>
      <c r="C3482" t="s">
        <v>3823</v>
      </c>
      <c r="D3482" s="30">
        <v>0.55799768518518522</v>
      </c>
      <c r="E3482" t="s">
        <v>317</v>
      </c>
      <c r="F3482" t="s">
        <v>299</v>
      </c>
      <c r="G3482" t="s">
        <v>299</v>
      </c>
      <c r="H3482">
        <v>47</v>
      </c>
      <c r="I3482" s="30">
        <v>2.8819444444444444E-3</v>
      </c>
      <c r="J3482">
        <v>4</v>
      </c>
    </row>
    <row r="3483" spans="1:10" x14ac:dyDescent="0.35">
      <c r="A3483" t="s">
        <v>3852</v>
      </c>
      <c r="B3483" t="s">
        <v>296</v>
      </c>
      <c r="C3483" t="s">
        <v>3823</v>
      </c>
      <c r="D3483" s="30">
        <v>0.55799768518518522</v>
      </c>
      <c r="E3483" t="s">
        <v>309</v>
      </c>
      <c r="F3483" t="s">
        <v>299</v>
      </c>
      <c r="G3483" t="s">
        <v>299</v>
      </c>
      <c r="H3483">
        <v>89</v>
      </c>
      <c r="I3483" s="30">
        <v>2.3495370370370371E-3</v>
      </c>
      <c r="J3483">
        <v>1</v>
      </c>
    </row>
    <row r="3484" spans="1:10" x14ac:dyDescent="0.35">
      <c r="A3484" t="s">
        <v>3853</v>
      </c>
      <c r="B3484" t="s">
        <v>319</v>
      </c>
      <c r="C3484" t="s">
        <v>3823</v>
      </c>
      <c r="D3484" s="30">
        <v>0.58799768518518514</v>
      </c>
      <c r="E3484" t="s">
        <v>317</v>
      </c>
      <c r="F3484" t="s">
        <v>303</v>
      </c>
      <c r="G3484" t="s">
        <v>303</v>
      </c>
    </row>
    <row r="3485" spans="1:10" x14ac:dyDescent="0.35">
      <c r="A3485" t="s">
        <v>3854</v>
      </c>
      <c r="B3485" t="s">
        <v>323</v>
      </c>
      <c r="C3485" t="s">
        <v>3823</v>
      </c>
      <c r="D3485" s="30">
        <v>0.58799768518518514</v>
      </c>
      <c r="E3485" t="s">
        <v>309</v>
      </c>
      <c r="F3485" t="s">
        <v>299</v>
      </c>
      <c r="G3485" t="s">
        <v>299</v>
      </c>
      <c r="H3485">
        <v>44</v>
      </c>
      <c r="I3485" s="30">
        <v>3.1250000000000002E-3</v>
      </c>
      <c r="J3485">
        <v>3</v>
      </c>
    </row>
    <row r="3486" spans="1:10" x14ac:dyDescent="0.35">
      <c r="A3486" t="s">
        <v>3855</v>
      </c>
      <c r="B3486" t="s">
        <v>301</v>
      </c>
      <c r="C3486" t="s">
        <v>3823</v>
      </c>
      <c r="D3486" s="30">
        <v>0.60700231481481481</v>
      </c>
      <c r="E3486" t="s">
        <v>309</v>
      </c>
      <c r="F3486" t="s">
        <v>299</v>
      </c>
      <c r="G3486" t="s">
        <v>299</v>
      </c>
      <c r="H3486">
        <v>91</v>
      </c>
      <c r="I3486" s="30">
        <v>2.5810185185185185E-3</v>
      </c>
      <c r="J3486">
        <v>5</v>
      </c>
    </row>
    <row r="3487" spans="1:10" x14ac:dyDescent="0.35">
      <c r="A3487" t="s">
        <v>3856</v>
      </c>
      <c r="B3487" t="s">
        <v>307</v>
      </c>
      <c r="C3487" t="s">
        <v>3823</v>
      </c>
      <c r="D3487" s="30">
        <v>0.60700231481481481</v>
      </c>
      <c r="E3487" t="s">
        <v>314</v>
      </c>
      <c r="F3487" t="s">
        <v>303</v>
      </c>
      <c r="G3487" t="s">
        <v>303</v>
      </c>
    </row>
    <row r="3488" spans="1:10" x14ac:dyDescent="0.35">
      <c r="A3488" t="s">
        <v>3857</v>
      </c>
      <c r="B3488" t="s">
        <v>323</v>
      </c>
      <c r="C3488" t="s">
        <v>3823</v>
      </c>
      <c r="D3488" s="30">
        <v>0.62299768518518517</v>
      </c>
      <c r="E3488" t="s">
        <v>309</v>
      </c>
      <c r="F3488" t="s">
        <v>299</v>
      </c>
      <c r="G3488" t="s">
        <v>299</v>
      </c>
      <c r="H3488">
        <v>75</v>
      </c>
      <c r="I3488" s="30">
        <v>4.8495370370370368E-3</v>
      </c>
      <c r="J3488">
        <v>4</v>
      </c>
    </row>
    <row r="3489" spans="1:10" x14ac:dyDescent="0.35">
      <c r="A3489" t="s">
        <v>3858</v>
      </c>
      <c r="B3489" t="s">
        <v>307</v>
      </c>
      <c r="C3489" t="s">
        <v>3823</v>
      </c>
      <c r="D3489" s="30">
        <v>0.62299768518518517</v>
      </c>
      <c r="E3489" t="s">
        <v>298</v>
      </c>
      <c r="F3489" t="s">
        <v>299</v>
      </c>
      <c r="G3489" t="s">
        <v>299</v>
      </c>
      <c r="H3489">
        <v>62</v>
      </c>
      <c r="I3489" s="30">
        <v>2.5347222222222221E-3</v>
      </c>
      <c r="J3489">
        <v>4</v>
      </c>
    </row>
    <row r="3490" spans="1:10" x14ac:dyDescent="0.35">
      <c r="A3490" t="s">
        <v>3859</v>
      </c>
      <c r="B3490" t="s">
        <v>323</v>
      </c>
      <c r="C3490" t="s">
        <v>3823</v>
      </c>
      <c r="D3490" s="30">
        <v>0.64099537037037035</v>
      </c>
      <c r="E3490" t="s">
        <v>302</v>
      </c>
      <c r="F3490" t="s">
        <v>299</v>
      </c>
      <c r="G3490" t="s">
        <v>299</v>
      </c>
      <c r="H3490">
        <v>31</v>
      </c>
      <c r="I3490" s="30">
        <v>3.4722222222222218E-4</v>
      </c>
      <c r="J3490">
        <v>4</v>
      </c>
    </row>
    <row r="3491" spans="1:10" x14ac:dyDescent="0.35">
      <c r="A3491" t="s">
        <v>3860</v>
      </c>
      <c r="B3491" t="s">
        <v>332</v>
      </c>
      <c r="C3491" t="s">
        <v>3823</v>
      </c>
      <c r="D3491" s="30">
        <v>0.64099537037037035</v>
      </c>
      <c r="E3491" t="s">
        <v>298</v>
      </c>
      <c r="F3491" t="s">
        <v>299</v>
      </c>
      <c r="G3491" t="s">
        <v>299</v>
      </c>
      <c r="H3491">
        <v>122</v>
      </c>
      <c r="I3491" s="30">
        <v>3.0555555555555557E-3</v>
      </c>
      <c r="J3491">
        <v>1</v>
      </c>
    </row>
    <row r="3492" spans="1:10" x14ac:dyDescent="0.35">
      <c r="A3492" t="s">
        <v>3861</v>
      </c>
      <c r="B3492" t="s">
        <v>323</v>
      </c>
      <c r="C3492" t="s">
        <v>3823</v>
      </c>
      <c r="D3492" s="30">
        <v>0.65</v>
      </c>
      <c r="E3492" t="s">
        <v>302</v>
      </c>
      <c r="F3492" t="s">
        <v>299</v>
      </c>
      <c r="G3492" t="s">
        <v>299</v>
      </c>
      <c r="H3492">
        <v>80</v>
      </c>
      <c r="I3492" s="30">
        <v>1.5625000000000001E-3</v>
      </c>
      <c r="J3492">
        <v>3</v>
      </c>
    </row>
    <row r="3493" spans="1:10" x14ac:dyDescent="0.35">
      <c r="A3493" t="s">
        <v>3862</v>
      </c>
      <c r="B3493" t="s">
        <v>319</v>
      </c>
      <c r="C3493" t="s">
        <v>3823</v>
      </c>
      <c r="D3493" s="30">
        <v>0.65</v>
      </c>
      <c r="E3493" t="s">
        <v>302</v>
      </c>
      <c r="F3493" t="s">
        <v>299</v>
      </c>
      <c r="G3493" t="s">
        <v>299</v>
      </c>
      <c r="H3493">
        <v>105</v>
      </c>
      <c r="I3493" s="30">
        <v>3.8310185185185183E-3</v>
      </c>
      <c r="J3493">
        <v>5</v>
      </c>
    </row>
    <row r="3494" spans="1:10" x14ac:dyDescent="0.35">
      <c r="A3494" t="s">
        <v>3863</v>
      </c>
      <c r="B3494" t="s">
        <v>307</v>
      </c>
      <c r="C3494" t="s">
        <v>3823</v>
      </c>
      <c r="D3494" s="30">
        <v>0.6579976851851852</v>
      </c>
      <c r="E3494" t="s">
        <v>317</v>
      </c>
      <c r="F3494" t="s">
        <v>299</v>
      </c>
      <c r="G3494" t="s">
        <v>299</v>
      </c>
      <c r="H3494">
        <v>91</v>
      </c>
      <c r="I3494" s="30">
        <v>4.6180555555555558E-3</v>
      </c>
      <c r="J3494">
        <v>3</v>
      </c>
    </row>
    <row r="3495" spans="1:10" x14ac:dyDescent="0.35">
      <c r="A3495" t="s">
        <v>3864</v>
      </c>
      <c r="B3495" t="s">
        <v>307</v>
      </c>
      <c r="C3495" t="s">
        <v>3823</v>
      </c>
      <c r="D3495" s="30">
        <v>0.6579976851851852</v>
      </c>
      <c r="E3495" t="s">
        <v>309</v>
      </c>
      <c r="F3495" t="s">
        <v>299</v>
      </c>
      <c r="G3495" t="s">
        <v>299</v>
      </c>
      <c r="H3495">
        <v>66</v>
      </c>
      <c r="I3495" s="30">
        <v>9.4907407407407408E-4</v>
      </c>
      <c r="J3495">
        <v>4</v>
      </c>
    </row>
    <row r="3496" spans="1:10" x14ac:dyDescent="0.35">
      <c r="A3496" t="s">
        <v>3865</v>
      </c>
      <c r="B3496" t="s">
        <v>323</v>
      </c>
      <c r="C3496" t="s">
        <v>3823</v>
      </c>
      <c r="D3496" s="30">
        <v>0.67200231481481476</v>
      </c>
      <c r="E3496" t="s">
        <v>309</v>
      </c>
      <c r="F3496" t="s">
        <v>299</v>
      </c>
      <c r="G3496" t="s">
        <v>299</v>
      </c>
      <c r="H3496">
        <v>26</v>
      </c>
      <c r="I3496" s="30">
        <v>1.736111111111111E-3</v>
      </c>
      <c r="J3496">
        <v>3</v>
      </c>
    </row>
    <row r="3497" spans="1:10" x14ac:dyDescent="0.35">
      <c r="A3497" t="s">
        <v>3866</v>
      </c>
      <c r="B3497" t="s">
        <v>305</v>
      </c>
      <c r="C3497" t="s">
        <v>3823</v>
      </c>
      <c r="D3497" s="30">
        <v>0.67200231481481476</v>
      </c>
      <c r="E3497" t="s">
        <v>309</v>
      </c>
      <c r="F3497" t="s">
        <v>299</v>
      </c>
      <c r="G3497" t="s">
        <v>299</v>
      </c>
      <c r="H3497">
        <v>72</v>
      </c>
      <c r="I3497" s="30">
        <v>2.1643518518518518E-3</v>
      </c>
      <c r="J3497">
        <v>3</v>
      </c>
    </row>
    <row r="3498" spans="1:10" x14ac:dyDescent="0.35">
      <c r="A3498" t="s">
        <v>3867</v>
      </c>
      <c r="B3498" t="s">
        <v>296</v>
      </c>
      <c r="C3498" t="s">
        <v>3823</v>
      </c>
      <c r="D3498" s="30">
        <v>0.68500000000000005</v>
      </c>
      <c r="E3498" t="s">
        <v>302</v>
      </c>
      <c r="F3498" t="s">
        <v>299</v>
      </c>
      <c r="G3498" t="s">
        <v>299</v>
      </c>
      <c r="H3498">
        <v>71</v>
      </c>
      <c r="I3498" s="30">
        <v>3.7847222222222223E-3</v>
      </c>
      <c r="J3498">
        <v>3</v>
      </c>
    </row>
    <row r="3499" spans="1:10" x14ac:dyDescent="0.35">
      <c r="A3499" t="s">
        <v>3868</v>
      </c>
      <c r="B3499" t="s">
        <v>316</v>
      </c>
      <c r="C3499" t="s">
        <v>3823</v>
      </c>
      <c r="D3499" s="30">
        <v>0.68500000000000005</v>
      </c>
      <c r="E3499" t="s">
        <v>298</v>
      </c>
      <c r="F3499" t="s">
        <v>303</v>
      </c>
      <c r="G3499" t="s">
        <v>303</v>
      </c>
    </row>
    <row r="3500" spans="1:10" x14ac:dyDescent="0.35">
      <c r="A3500" t="s">
        <v>3869</v>
      </c>
      <c r="B3500" t="s">
        <v>319</v>
      </c>
      <c r="C3500" t="s">
        <v>3823</v>
      </c>
      <c r="D3500" s="30">
        <v>0.68799768518518523</v>
      </c>
      <c r="E3500" t="s">
        <v>314</v>
      </c>
      <c r="F3500" t="s">
        <v>299</v>
      </c>
      <c r="G3500" t="s">
        <v>299</v>
      </c>
      <c r="H3500">
        <v>115</v>
      </c>
      <c r="I3500" s="30">
        <v>3.2754629629629631E-3</v>
      </c>
      <c r="J3500">
        <v>5</v>
      </c>
    </row>
    <row r="3501" spans="1:10" x14ac:dyDescent="0.35">
      <c r="A3501" t="s">
        <v>3870</v>
      </c>
      <c r="B3501" t="s">
        <v>332</v>
      </c>
      <c r="C3501" t="s">
        <v>3823</v>
      </c>
      <c r="D3501" s="30">
        <v>0.68799768518518523</v>
      </c>
      <c r="E3501" t="s">
        <v>314</v>
      </c>
      <c r="F3501" t="s">
        <v>299</v>
      </c>
      <c r="G3501" t="s">
        <v>299</v>
      </c>
      <c r="H3501">
        <v>69</v>
      </c>
      <c r="I3501" s="30">
        <v>2.5347222222222221E-3</v>
      </c>
      <c r="J3501">
        <v>2</v>
      </c>
    </row>
    <row r="3502" spans="1:10" x14ac:dyDescent="0.35">
      <c r="A3502" t="s">
        <v>3871</v>
      </c>
      <c r="B3502" t="s">
        <v>319</v>
      </c>
      <c r="C3502" t="s">
        <v>3823</v>
      </c>
      <c r="D3502" s="30">
        <v>0.68799768518518523</v>
      </c>
      <c r="E3502" t="s">
        <v>317</v>
      </c>
      <c r="F3502" t="s">
        <v>299</v>
      </c>
      <c r="G3502" t="s">
        <v>299</v>
      </c>
      <c r="H3502">
        <v>30</v>
      </c>
      <c r="I3502" s="30">
        <v>1.0300925925925926E-3</v>
      </c>
      <c r="J3502">
        <v>4</v>
      </c>
    </row>
    <row r="3503" spans="1:10" x14ac:dyDescent="0.35">
      <c r="A3503" t="s">
        <v>3872</v>
      </c>
      <c r="B3503" t="s">
        <v>305</v>
      </c>
      <c r="C3503" t="s">
        <v>3823</v>
      </c>
      <c r="D3503" s="30">
        <v>0.68799768518518523</v>
      </c>
      <c r="E3503" t="s">
        <v>298</v>
      </c>
      <c r="F3503" t="s">
        <v>299</v>
      </c>
      <c r="G3503" t="s">
        <v>299</v>
      </c>
      <c r="H3503">
        <v>85</v>
      </c>
      <c r="I3503" s="30">
        <v>2.673611111111111E-3</v>
      </c>
      <c r="J3503">
        <v>3</v>
      </c>
    </row>
    <row r="3504" spans="1:10" x14ac:dyDescent="0.35">
      <c r="A3504" t="s">
        <v>3873</v>
      </c>
      <c r="B3504" t="s">
        <v>307</v>
      </c>
      <c r="C3504" t="s">
        <v>3823</v>
      </c>
      <c r="D3504" s="30">
        <v>0.6959953703703704</v>
      </c>
      <c r="E3504" t="s">
        <v>314</v>
      </c>
      <c r="F3504" t="s">
        <v>299</v>
      </c>
      <c r="G3504" t="s">
        <v>299</v>
      </c>
      <c r="H3504">
        <v>54</v>
      </c>
      <c r="I3504" s="30">
        <v>4.31712962962963E-3</v>
      </c>
      <c r="J3504">
        <v>4</v>
      </c>
    </row>
    <row r="3505" spans="1:10" x14ac:dyDescent="0.35">
      <c r="A3505" t="s">
        <v>3874</v>
      </c>
      <c r="B3505" t="s">
        <v>332</v>
      </c>
      <c r="C3505" t="s">
        <v>3823</v>
      </c>
      <c r="D3505" s="30">
        <v>0.6959953703703704</v>
      </c>
      <c r="E3505" t="s">
        <v>298</v>
      </c>
      <c r="F3505" t="s">
        <v>303</v>
      </c>
      <c r="G3505" t="s">
        <v>303</v>
      </c>
    </row>
    <row r="3506" spans="1:10" x14ac:dyDescent="0.35">
      <c r="A3506" t="s">
        <v>3875</v>
      </c>
      <c r="B3506" t="s">
        <v>296</v>
      </c>
      <c r="C3506" t="s">
        <v>3823</v>
      </c>
      <c r="D3506" s="30">
        <v>0.69799768518518523</v>
      </c>
      <c r="E3506" t="s">
        <v>298</v>
      </c>
      <c r="F3506" t="s">
        <v>303</v>
      </c>
      <c r="G3506" t="s">
        <v>303</v>
      </c>
    </row>
    <row r="3507" spans="1:10" x14ac:dyDescent="0.35">
      <c r="A3507" t="s">
        <v>3876</v>
      </c>
      <c r="B3507" t="s">
        <v>316</v>
      </c>
      <c r="C3507" t="s">
        <v>3823</v>
      </c>
      <c r="D3507" s="30">
        <v>0.69799768518518523</v>
      </c>
      <c r="E3507" t="s">
        <v>302</v>
      </c>
      <c r="F3507" t="s">
        <v>299</v>
      </c>
      <c r="G3507" t="s">
        <v>299</v>
      </c>
      <c r="H3507">
        <v>122</v>
      </c>
      <c r="I3507" s="30">
        <v>1.7476851851851852E-3</v>
      </c>
      <c r="J3507">
        <v>3</v>
      </c>
    </row>
    <row r="3508" spans="1:10" x14ac:dyDescent="0.35">
      <c r="A3508" t="s">
        <v>3877</v>
      </c>
      <c r="B3508" t="s">
        <v>323</v>
      </c>
      <c r="C3508" t="s">
        <v>3823</v>
      </c>
      <c r="D3508" s="30">
        <v>0.7120023148148148</v>
      </c>
      <c r="E3508" t="s">
        <v>314</v>
      </c>
      <c r="F3508" t="s">
        <v>299</v>
      </c>
      <c r="G3508" t="s">
        <v>299</v>
      </c>
      <c r="H3508">
        <v>48</v>
      </c>
      <c r="I3508" s="30">
        <v>4.0277777777777777E-3</v>
      </c>
      <c r="J3508">
        <v>3</v>
      </c>
    </row>
    <row r="3509" spans="1:10" x14ac:dyDescent="0.35">
      <c r="A3509" t="s">
        <v>3878</v>
      </c>
      <c r="B3509" t="s">
        <v>316</v>
      </c>
      <c r="C3509" t="s">
        <v>3823</v>
      </c>
      <c r="D3509" s="30">
        <v>0.7120023148148148</v>
      </c>
      <c r="E3509" t="s">
        <v>317</v>
      </c>
      <c r="F3509" t="s">
        <v>299</v>
      </c>
      <c r="G3509" t="s">
        <v>299</v>
      </c>
      <c r="H3509">
        <v>13</v>
      </c>
      <c r="I3509" s="30">
        <v>2.0486111111111113E-3</v>
      </c>
      <c r="J3509">
        <v>1</v>
      </c>
    </row>
    <row r="3510" spans="1:10" x14ac:dyDescent="0.35">
      <c r="A3510" t="s">
        <v>3879</v>
      </c>
      <c r="B3510" t="s">
        <v>296</v>
      </c>
      <c r="C3510" t="s">
        <v>3823</v>
      </c>
      <c r="D3510" s="30">
        <v>0.7170023148148148</v>
      </c>
      <c r="E3510" t="s">
        <v>314</v>
      </c>
      <c r="F3510" t="s">
        <v>299</v>
      </c>
      <c r="G3510" t="s">
        <v>299</v>
      </c>
      <c r="H3510">
        <v>23</v>
      </c>
      <c r="I3510" s="30">
        <v>2.5347222222222221E-3</v>
      </c>
      <c r="J3510">
        <v>3</v>
      </c>
    </row>
    <row r="3511" spans="1:10" x14ac:dyDescent="0.35">
      <c r="A3511" t="s">
        <v>3880</v>
      </c>
      <c r="B3511" t="s">
        <v>332</v>
      </c>
      <c r="C3511" t="s">
        <v>3823</v>
      </c>
      <c r="D3511" s="30">
        <v>0.7170023148148148</v>
      </c>
      <c r="E3511" t="s">
        <v>317</v>
      </c>
      <c r="F3511" t="s">
        <v>299</v>
      </c>
      <c r="G3511" t="s">
        <v>299</v>
      </c>
      <c r="H3511">
        <v>13</v>
      </c>
      <c r="I3511" s="30">
        <v>7.9861111111111116E-4</v>
      </c>
      <c r="J3511">
        <v>4</v>
      </c>
    </row>
    <row r="3512" spans="1:10" x14ac:dyDescent="0.35">
      <c r="A3512" t="s">
        <v>3881</v>
      </c>
      <c r="B3512" t="s">
        <v>316</v>
      </c>
      <c r="C3512" t="s">
        <v>3823</v>
      </c>
      <c r="D3512" s="30">
        <v>0.72099537037037043</v>
      </c>
      <c r="E3512" t="s">
        <v>302</v>
      </c>
      <c r="F3512" t="s">
        <v>299</v>
      </c>
      <c r="G3512" t="s">
        <v>299</v>
      </c>
      <c r="H3512">
        <v>16</v>
      </c>
      <c r="I3512" s="30">
        <v>4.1435185185185186E-3</v>
      </c>
      <c r="J3512">
        <v>3</v>
      </c>
    </row>
    <row r="3513" spans="1:10" x14ac:dyDescent="0.35">
      <c r="A3513" t="s">
        <v>3882</v>
      </c>
      <c r="B3513" t="s">
        <v>316</v>
      </c>
      <c r="C3513" t="s">
        <v>3823</v>
      </c>
      <c r="D3513" s="30">
        <v>0.72099537037037043</v>
      </c>
      <c r="E3513" t="s">
        <v>298</v>
      </c>
      <c r="F3513" t="s">
        <v>303</v>
      </c>
      <c r="G3513" t="s">
        <v>303</v>
      </c>
    </row>
    <row r="3514" spans="1:10" x14ac:dyDescent="0.35">
      <c r="A3514" t="s">
        <v>3883</v>
      </c>
      <c r="B3514" t="s">
        <v>301</v>
      </c>
      <c r="C3514" t="s">
        <v>3823</v>
      </c>
      <c r="D3514" s="30">
        <v>0.72900462962962964</v>
      </c>
      <c r="E3514" t="s">
        <v>317</v>
      </c>
      <c r="F3514" t="s">
        <v>299</v>
      </c>
      <c r="G3514" t="s">
        <v>299</v>
      </c>
      <c r="H3514">
        <v>49</v>
      </c>
      <c r="I3514" s="30">
        <v>2.9513888888888888E-3</v>
      </c>
      <c r="J3514">
        <v>3</v>
      </c>
    </row>
    <row r="3515" spans="1:10" x14ac:dyDescent="0.35">
      <c r="A3515" t="s">
        <v>3884</v>
      </c>
      <c r="B3515" t="s">
        <v>301</v>
      </c>
      <c r="C3515" t="s">
        <v>3823</v>
      </c>
      <c r="D3515" s="30">
        <v>0.72900462962962964</v>
      </c>
      <c r="E3515" t="s">
        <v>298</v>
      </c>
      <c r="F3515" t="s">
        <v>299</v>
      </c>
      <c r="G3515" t="s">
        <v>299</v>
      </c>
      <c r="H3515">
        <v>76</v>
      </c>
      <c r="I3515" s="30">
        <v>9.837962962962962E-4</v>
      </c>
      <c r="J3515">
        <v>3</v>
      </c>
    </row>
    <row r="3516" spans="1:10" x14ac:dyDescent="0.35">
      <c r="A3516" t="s">
        <v>3885</v>
      </c>
      <c r="B3516" t="s">
        <v>307</v>
      </c>
      <c r="C3516" t="s">
        <v>3886</v>
      </c>
      <c r="D3516" s="30">
        <v>0.38900462962962962</v>
      </c>
      <c r="E3516" t="s">
        <v>302</v>
      </c>
      <c r="F3516" t="s">
        <v>303</v>
      </c>
      <c r="G3516" t="s">
        <v>303</v>
      </c>
    </row>
    <row r="3517" spans="1:10" x14ac:dyDescent="0.35">
      <c r="A3517" t="s">
        <v>3887</v>
      </c>
      <c r="B3517" t="s">
        <v>296</v>
      </c>
      <c r="C3517" t="s">
        <v>3886</v>
      </c>
      <c r="D3517" s="30">
        <v>0.38900462962962962</v>
      </c>
      <c r="E3517" t="s">
        <v>317</v>
      </c>
      <c r="F3517" t="s">
        <v>303</v>
      </c>
      <c r="G3517" t="s">
        <v>303</v>
      </c>
    </row>
    <row r="3518" spans="1:10" x14ac:dyDescent="0.35">
      <c r="A3518" t="s">
        <v>3888</v>
      </c>
      <c r="B3518" t="s">
        <v>319</v>
      </c>
      <c r="C3518" t="s">
        <v>3886</v>
      </c>
      <c r="D3518" s="30">
        <v>0.40299768518518519</v>
      </c>
      <c r="E3518" t="s">
        <v>298</v>
      </c>
      <c r="F3518" t="s">
        <v>303</v>
      </c>
      <c r="G3518" t="s">
        <v>303</v>
      </c>
    </row>
    <row r="3519" spans="1:10" x14ac:dyDescent="0.35">
      <c r="A3519" t="s">
        <v>3889</v>
      </c>
      <c r="B3519" t="s">
        <v>316</v>
      </c>
      <c r="C3519" t="s">
        <v>3886</v>
      </c>
      <c r="D3519" s="30">
        <v>0.40299768518518519</v>
      </c>
      <c r="E3519" t="s">
        <v>317</v>
      </c>
      <c r="F3519" t="s">
        <v>299</v>
      </c>
      <c r="G3519" t="s">
        <v>299</v>
      </c>
      <c r="H3519">
        <v>43</v>
      </c>
      <c r="I3519" s="30">
        <v>2.2569444444444442E-3</v>
      </c>
      <c r="J3519">
        <v>4</v>
      </c>
    </row>
    <row r="3520" spans="1:10" x14ac:dyDescent="0.35">
      <c r="A3520" t="s">
        <v>3890</v>
      </c>
      <c r="B3520" t="s">
        <v>323</v>
      </c>
      <c r="C3520" t="s">
        <v>3886</v>
      </c>
      <c r="D3520" s="30">
        <v>0.41</v>
      </c>
      <c r="E3520" t="s">
        <v>317</v>
      </c>
      <c r="F3520" t="s">
        <v>299</v>
      </c>
      <c r="G3520" t="s">
        <v>303</v>
      </c>
      <c r="H3520">
        <v>118</v>
      </c>
      <c r="I3520" s="30">
        <v>1.0069444444444444E-3</v>
      </c>
      <c r="J3520">
        <v>5</v>
      </c>
    </row>
    <row r="3521" spans="1:10" x14ac:dyDescent="0.35">
      <c r="A3521" t="s">
        <v>3891</v>
      </c>
      <c r="B3521" t="s">
        <v>307</v>
      </c>
      <c r="C3521" t="s">
        <v>3886</v>
      </c>
      <c r="D3521" s="30">
        <v>0.41</v>
      </c>
      <c r="E3521" t="s">
        <v>317</v>
      </c>
      <c r="F3521" t="s">
        <v>299</v>
      </c>
      <c r="G3521" t="s">
        <v>299</v>
      </c>
      <c r="H3521">
        <v>57</v>
      </c>
      <c r="I3521" s="30">
        <v>9.837962962962962E-4</v>
      </c>
      <c r="J3521">
        <v>4</v>
      </c>
    </row>
    <row r="3522" spans="1:10" x14ac:dyDescent="0.35">
      <c r="A3522" t="s">
        <v>3892</v>
      </c>
      <c r="B3522" t="s">
        <v>296</v>
      </c>
      <c r="C3522" t="s">
        <v>3886</v>
      </c>
      <c r="D3522" s="30">
        <v>0.42200231481481482</v>
      </c>
      <c r="E3522" t="s">
        <v>314</v>
      </c>
      <c r="F3522" t="s">
        <v>299</v>
      </c>
      <c r="G3522" t="s">
        <v>299</v>
      </c>
      <c r="H3522">
        <v>79</v>
      </c>
      <c r="I3522" s="30">
        <v>2.5115740740740741E-3</v>
      </c>
      <c r="J3522">
        <v>2</v>
      </c>
    </row>
    <row r="3523" spans="1:10" x14ac:dyDescent="0.35">
      <c r="A3523" t="s">
        <v>3893</v>
      </c>
      <c r="B3523" t="s">
        <v>332</v>
      </c>
      <c r="C3523" t="s">
        <v>3886</v>
      </c>
      <c r="D3523" s="30">
        <v>0.42200231481481482</v>
      </c>
      <c r="E3523" t="s">
        <v>298</v>
      </c>
      <c r="F3523" t="s">
        <v>299</v>
      </c>
      <c r="G3523" t="s">
        <v>299</v>
      </c>
      <c r="H3523">
        <v>39</v>
      </c>
      <c r="I3523" s="30">
        <v>4.7453703703703703E-3</v>
      </c>
      <c r="J3523">
        <v>1</v>
      </c>
    </row>
    <row r="3524" spans="1:10" x14ac:dyDescent="0.35">
      <c r="A3524" t="s">
        <v>3894</v>
      </c>
      <c r="B3524" t="s">
        <v>307</v>
      </c>
      <c r="C3524" t="s">
        <v>3886</v>
      </c>
      <c r="D3524" s="30">
        <v>0.44700231481481484</v>
      </c>
      <c r="E3524" t="s">
        <v>314</v>
      </c>
      <c r="F3524" t="s">
        <v>299</v>
      </c>
      <c r="G3524" t="s">
        <v>299</v>
      </c>
      <c r="H3524">
        <v>62</v>
      </c>
      <c r="I3524" s="30">
        <v>1.9675925925925924E-3</v>
      </c>
      <c r="J3524">
        <v>4</v>
      </c>
    </row>
    <row r="3525" spans="1:10" x14ac:dyDescent="0.35">
      <c r="A3525" t="s">
        <v>3895</v>
      </c>
      <c r="B3525" t="s">
        <v>305</v>
      </c>
      <c r="C3525" t="s">
        <v>3886</v>
      </c>
      <c r="D3525" s="30">
        <v>0.44700231481481484</v>
      </c>
      <c r="E3525" t="s">
        <v>298</v>
      </c>
      <c r="F3525" t="s">
        <v>299</v>
      </c>
      <c r="G3525" t="s">
        <v>299</v>
      </c>
      <c r="H3525">
        <v>38</v>
      </c>
      <c r="I3525" s="30">
        <v>2.7314814814814814E-3</v>
      </c>
      <c r="J3525">
        <v>5</v>
      </c>
    </row>
    <row r="3526" spans="1:10" x14ac:dyDescent="0.35">
      <c r="A3526" t="s">
        <v>3896</v>
      </c>
      <c r="B3526" t="s">
        <v>305</v>
      </c>
      <c r="C3526" t="s">
        <v>3886</v>
      </c>
      <c r="D3526" s="30">
        <v>0.45799768518518519</v>
      </c>
      <c r="E3526" t="s">
        <v>302</v>
      </c>
      <c r="F3526" t="s">
        <v>299</v>
      </c>
      <c r="G3526" t="s">
        <v>299</v>
      </c>
      <c r="H3526">
        <v>85</v>
      </c>
      <c r="I3526" s="30">
        <v>3.9004629629629628E-3</v>
      </c>
      <c r="J3526">
        <v>5</v>
      </c>
    </row>
    <row r="3527" spans="1:10" x14ac:dyDescent="0.35">
      <c r="A3527" t="s">
        <v>3897</v>
      </c>
      <c r="B3527" t="s">
        <v>319</v>
      </c>
      <c r="C3527" t="s">
        <v>3886</v>
      </c>
      <c r="D3527" s="30">
        <v>0.45799768518518519</v>
      </c>
      <c r="E3527" t="s">
        <v>317</v>
      </c>
      <c r="F3527" t="s">
        <v>299</v>
      </c>
      <c r="G3527" t="s">
        <v>299</v>
      </c>
      <c r="H3527">
        <v>56</v>
      </c>
      <c r="I3527" s="30">
        <v>1.9444444444444444E-3</v>
      </c>
      <c r="J3527">
        <v>1</v>
      </c>
    </row>
    <row r="3528" spans="1:10" x14ac:dyDescent="0.35">
      <c r="A3528" t="s">
        <v>3898</v>
      </c>
      <c r="B3528" t="s">
        <v>296</v>
      </c>
      <c r="C3528" t="s">
        <v>3886</v>
      </c>
      <c r="D3528" s="30">
        <v>0.52900462962962957</v>
      </c>
      <c r="E3528" t="s">
        <v>298</v>
      </c>
      <c r="F3528" t="s">
        <v>299</v>
      </c>
      <c r="G3528" t="s">
        <v>299</v>
      </c>
      <c r="H3528">
        <v>38</v>
      </c>
      <c r="I3528" s="30">
        <v>3.7384259259259259E-3</v>
      </c>
      <c r="J3528">
        <v>1</v>
      </c>
    </row>
    <row r="3529" spans="1:10" x14ac:dyDescent="0.35">
      <c r="A3529" t="s">
        <v>3899</v>
      </c>
      <c r="B3529" t="s">
        <v>323</v>
      </c>
      <c r="C3529" t="s">
        <v>3886</v>
      </c>
      <c r="D3529" s="30">
        <v>0.52900462962962957</v>
      </c>
      <c r="E3529" t="s">
        <v>298</v>
      </c>
      <c r="F3529" t="s">
        <v>299</v>
      </c>
      <c r="G3529" t="s">
        <v>299</v>
      </c>
      <c r="H3529">
        <v>21</v>
      </c>
      <c r="I3529" s="30">
        <v>2.1643518518518518E-3</v>
      </c>
      <c r="J3529">
        <v>3</v>
      </c>
    </row>
    <row r="3530" spans="1:10" x14ac:dyDescent="0.35">
      <c r="A3530" t="s">
        <v>3900</v>
      </c>
      <c r="B3530" t="s">
        <v>305</v>
      </c>
      <c r="C3530" t="s">
        <v>3886</v>
      </c>
      <c r="D3530" s="30">
        <v>0.54</v>
      </c>
      <c r="E3530" t="s">
        <v>317</v>
      </c>
      <c r="F3530" t="s">
        <v>299</v>
      </c>
      <c r="G3530" t="s">
        <v>299</v>
      </c>
      <c r="H3530">
        <v>36</v>
      </c>
      <c r="I3530" s="30">
        <v>2.8240740740740739E-3</v>
      </c>
      <c r="J3530">
        <v>1</v>
      </c>
    </row>
    <row r="3531" spans="1:10" x14ac:dyDescent="0.35">
      <c r="A3531" t="s">
        <v>3901</v>
      </c>
      <c r="B3531" t="s">
        <v>307</v>
      </c>
      <c r="C3531" t="s">
        <v>3886</v>
      </c>
      <c r="D3531" s="30">
        <v>0.54</v>
      </c>
      <c r="E3531" t="s">
        <v>309</v>
      </c>
      <c r="F3531" t="s">
        <v>299</v>
      </c>
      <c r="G3531" t="s">
        <v>299</v>
      </c>
      <c r="H3531">
        <v>77</v>
      </c>
      <c r="I3531" s="30">
        <v>4.3287037037037035E-3</v>
      </c>
      <c r="J3531">
        <v>4</v>
      </c>
    </row>
    <row r="3532" spans="1:10" x14ac:dyDescent="0.35">
      <c r="A3532" t="s">
        <v>3902</v>
      </c>
      <c r="B3532" t="s">
        <v>307</v>
      </c>
      <c r="C3532" t="s">
        <v>3886</v>
      </c>
      <c r="D3532" s="30">
        <v>0.55000000000000004</v>
      </c>
      <c r="E3532" t="s">
        <v>298</v>
      </c>
      <c r="F3532" t="s">
        <v>299</v>
      </c>
      <c r="G3532" t="s">
        <v>299</v>
      </c>
      <c r="H3532">
        <v>64</v>
      </c>
      <c r="I3532" s="30">
        <v>9.3749999999999997E-4</v>
      </c>
      <c r="J3532">
        <v>3</v>
      </c>
    </row>
    <row r="3533" spans="1:10" x14ac:dyDescent="0.35">
      <c r="A3533" t="s">
        <v>3903</v>
      </c>
      <c r="B3533" t="s">
        <v>305</v>
      </c>
      <c r="C3533" t="s">
        <v>3886</v>
      </c>
      <c r="D3533" s="30">
        <v>0.55000000000000004</v>
      </c>
      <c r="E3533" t="s">
        <v>309</v>
      </c>
      <c r="F3533" t="s">
        <v>303</v>
      </c>
      <c r="G3533" t="s">
        <v>303</v>
      </c>
    </row>
    <row r="3534" spans="1:10" x14ac:dyDescent="0.35">
      <c r="A3534" t="s">
        <v>3904</v>
      </c>
      <c r="B3534" t="s">
        <v>296</v>
      </c>
      <c r="C3534" t="s">
        <v>3886</v>
      </c>
      <c r="D3534" s="30">
        <v>0.55299768518518522</v>
      </c>
      <c r="E3534" t="s">
        <v>302</v>
      </c>
      <c r="F3534" t="s">
        <v>299</v>
      </c>
      <c r="G3534" t="s">
        <v>299</v>
      </c>
      <c r="H3534">
        <v>72</v>
      </c>
      <c r="I3534" s="30">
        <v>1.5393518518518519E-3</v>
      </c>
      <c r="J3534">
        <v>1</v>
      </c>
    </row>
    <row r="3535" spans="1:10" x14ac:dyDescent="0.35">
      <c r="A3535" t="s">
        <v>3905</v>
      </c>
      <c r="B3535" t="s">
        <v>305</v>
      </c>
      <c r="C3535" t="s">
        <v>3886</v>
      </c>
      <c r="D3535" s="30">
        <v>0.55299768518518522</v>
      </c>
      <c r="E3535" t="s">
        <v>302</v>
      </c>
      <c r="F3535" t="s">
        <v>299</v>
      </c>
      <c r="G3535" t="s">
        <v>299</v>
      </c>
      <c r="H3535">
        <v>84</v>
      </c>
      <c r="I3535" s="30">
        <v>1.1689814814814816E-3</v>
      </c>
      <c r="J3535">
        <v>4</v>
      </c>
    </row>
    <row r="3536" spans="1:10" x14ac:dyDescent="0.35">
      <c r="A3536" t="s">
        <v>3906</v>
      </c>
      <c r="B3536" t="s">
        <v>301</v>
      </c>
      <c r="C3536" t="s">
        <v>3886</v>
      </c>
      <c r="D3536" s="30">
        <v>0.58900462962962963</v>
      </c>
      <c r="E3536" t="s">
        <v>298</v>
      </c>
      <c r="F3536" t="s">
        <v>299</v>
      </c>
      <c r="G3536" t="s">
        <v>299</v>
      </c>
      <c r="H3536">
        <v>59</v>
      </c>
      <c r="I3536" s="30">
        <v>2.0138888888888888E-3</v>
      </c>
      <c r="J3536">
        <v>5</v>
      </c>
    </row>
    <row r="3537" spans="1:10" x14ac:dyDescent="0.35">
      <c r="A3537" t="s">
        <v>3907</v>
      </c>
      <c r="B3537" t="s">
        <v>296</v>
      </c>
      <c r="C3537" t="s">
        <v>3886</v>
      </c>
      <c r="D3537" s="30">
        <v>0.58900462962962963</v>
      </c>
      <c r="E3537" t="s">
        <v>314</v>
      </c>
      <c r="F3537" t="s">
        <v>299</v>
      </c>
      <c r="G3537" t="s">
        <v>299</v>
      </c>
      <c r="H3537">
        <v>10</v>
      </c>
      <c r="I3537" s="30">
        <v>4.2129629629629626E-3</v>
      </c>
      <c r="J3537">
        <v>3</v>
      </c>
    </row>
    <row r="3538" spans="1:10" x14ac:dyDescent="0.35">
      <c r="A3538" t="s">
        <v>3908</v>
      </c>
      <c r="B3538" t="s">
        <v>323</v>
      </c>
      <c r="C3538" t="s">
        <v>3886</v>
      </c>
      <c r="D3538" s="30">
        <v>0.61400462962962965</v>
      </c>
      <c r="E3538" t="s">
        <v>314</v>
      </c>
      <c r="F3538" t="s">
        <v>299</v>
      </c>
      <c r="G3538" t="s">
        <v>299</v>
      </c>
      <c r="H3538">
        <v>64</v>
      </c>
      <c r="I3538" s="30">
        <v>4.2361111111111115E-3</v>
      </c>
      <c r="J3538">
        <v>1</v>
      </c>
    </row>
    <row r="3539" spans="1:10" x14ac:dyDescent="0.35">
      <c r="A3539" t="s">
        <v>3909</v>
      </c>
      <c r="B3539" t="s">
        <v>332</v>
      </c>
      <c r="C3539" t="s">
        <v>3886</v>
      </c>
      <c r="D3539" s="30">
        <v>0.61400462962962965</v>
      </c>
      <c r="E3539" t="s">
        <v>314</v>
      </c>
      <c r="F3539" t="s">
        <v>299</v>
      </c>
      <c r="G3539" t="s">
        <v>299</v>
      </c>
      <c r="H3539">
        <v>60</v>
      </c>
      <c r="I3539" s="30">
        <v>6.018518518518519E-4</v>
      </c>
      <c r="J3539">
        <v>3</v>
      </c>
    </row>
    <row r="3540" spans="1:10" x14ac:dyDescent="0.35">
      <c r="A3540" t="s">
        <v>3910</v>
      </c>
      <c r="B3540" t="s">
        <v>316</v>
      </c>
      <c r="C3540" t="s">
        <v>3886</v>
      </c>
      <c r="D3540" s="30">
        <v>0.61900462962962965</v>
      </c>
      <c r="E3540" t="s">
        <v>314</v>
      </c>
      <c r="F3540" t="s">
        <v>299</v>
      </c>
      <c r="G3540" t="s">
        <v>299</v>
      </c>
      <c r="H3540">
        <v>44</v>
      </c>
      <c r="I3540" s="30">
        <v>4.2939814814814811E-3</v>
      </c>
      <c r="J3540">
        <v>4</v>
      </c>
    </row>
    <row r="3541" spans="1:10" x14ac:dyDescent="0.35">
      <c r="A3541" t="s">
        <v>3911</v>
      </c>
      <c r="B3541" t="s">
        <v>332</v>
      </c>
      <c r="C3541" t="s">
        <v>3886</v>
      </c>
      <c r="D3541" s="30">
        <v>0.61900462962962965</v>
      </c>
      <c r="E3541" t="s">
        <v>314</v>
      </c>
      <c r="F3541" t="s">
        <v>303</v>
      </c>
      <c r="G3541" t="s">
        <v>303</v>
      </c>
    </row>
    <row r="3542" spans="1:10" x14ac:dyDescent="0.35">
      <c r="A3542" t="s">
        <v>3912</v>
      </c>
      <c r="B3542" t="s">
        <v>301</v>
      </c>
      <c r="C3542" t="s">
        <v>3886</v>
      </c>
      <c r="D3542" s="30">
        <v>0.64299768518518519</v>
      </c>
      <c r="E3542" t="s">
        <v>309</v>
      </c>
      <c r="F3542" t="s">
        <v>303</v>
      </c>
      <c r="G3542" t="s">
        <v>303</v>
      </c>
    </row>
    <row r="3543" spans="1:10" x14ac:dyDescent="0.35">
      <c r="A3543" t="s">
        <v>3913</v>
      </c>
      <c r="B3543" t="s">
        <v>319</v>
      </c>
      <c r="C3543" t="s">
        <v>3886</v>
      </c>
      <c r="D3543" s="30">
        <v>0.64299768518518519</v>
      </c>
      <c r="E3543" t="s">
        <v>298</v>
      </c>
      <c r="F3543" t="s">
        <v>299</v>
      </c>
      <c r="G3543" t="s">
        <v>299</v>
      </c>
      <c r="H3543">
        <v>70</v>
      </c>
      <c r="I3543" s="30">
        <v>5.3240740740740744E-4</v>
      </c>
      <c r="J3543">
        <v>2</v>
      </c>
    </row>
    <row r="3544" spans="1:10" x14ac:dyDescent="0.35">
      <c r="A3544" t="s">
        <v>3914</v>
      </c>
      <c r="B3544" t="s">
        <v>319</v>
      </c>
      <c r="C3544" t="s">
        <v>3886</v>
      </c>
      <c r="D3544" s="30">
        <v>0.64400462962962968</v>
      </c>
      <c r="E3544" t="s">
        <v>309</v>
      </c>
      <c r="F3544" t="s">
        <v>303</v>
      </c>
      <c r="G3544" t="s">
        <v>303</v>
      </c>
    </row>
    <row r="3545" spans="1:10" x14ac:dyDescent="0.35">
      <c r="A3545" t="s">
        <v>3915</v>
      </c>
      <c r="B3545" t="s">
        <v>319</v>
      </c>
      <c r="C3545" t="s">
        <v>3886</v>
      </c>
      <c r="D3545" s="30">
        <v>0.64400462962962968</v>
      </c>
      <c r="E3545" t="s">
        <v>298</v>
      </c>
      <c r="F3545" t="s">
        <v>299</v>
      </c>
      <c r="G3545" t="s">
        <v>299</v>
      </c>
      <c r="H3545">
        <v>51</v>
      </c>
      <c r="I3545" s="30">
        <v>2.8240740740740739E-3</v>
      </c>
      <c r="J3545">
        <v>1</v>
      </c>
    </row>
    <row r="3546" spans="1:10" x14ac:dyDescent="0.35">
      <c r="A3546" t="s">
        <v>3916</v>
      </c>
      <c r="B3546" t="s">
        <v>316</v>
      </c>
      <c r="C3546" t="s">
        <v>3886</v>
      </c>
      <c r="D3546" s="30">
        <v>0.64700231481481485</v>
      </c>
      <c r="E3546" t="s">
        <v>302</v>
      </c>
      <c r="F3546" t="s">
        <v>299</v>
      </c>
      <c r="G3546" t="s">
        <v>299</v>
      </c>
      <c r="H3546">
        <v>31</v>
      </c>
      <c r="I3546" s="30">
        <v>3.1250000000000002E-3</v>
      </c>
      <c r="J3546">
        <v>5</v>
      </c>
    </row>
    <row r="3547" spans="1:10" x14ac:dyDescent="0.35">
      <c r="A3547" t="s">
        <v>3917</v>
      </c>
      <c r="B3547" t="s">
        <v>323</v>
      </c>
      <c r="C3547" t="s">
        <v>3886</v>
      </c>
      <c r="D3547" s="30">
        <v>0.64700231481481485</v>
      </c>
      <c r="E3547" t="s">
        <v>302</v>
      </c>
      <c r="F3547" t="s">
        <v>299</v>
      </c>
      <c r="G3547" t="s">
        <v>299</v>
      </c>
      <c r="H3547">
        <v>51</v>
      </c>
      <c r="I3547" s="30">
        <v>4.4675925925925924E-3</v>
      </c>
      <c r="J3547">
        <v>4</v>
      </c>
    </row>
    <row r="3548" spans="1:10" x14ac:dyDescent="0.35">
      <c r="A3548" t="s">
        <v>3918</v>
      </c>
      <c r="B3548" t="s">
        <v>301</v>
      </c>
      <c r="C3548" t="s">
        <v>3886</v>
      </c>
      <c r="D3548" s="30">
        <v>0.64799768518518519</v>
      </c>
      <c r="E3548" t="s">
        <v>309</v>
      </c>
      <c r="F3548" t="s">
        <v>299</v>
      </c>
      <c r="G3548" t="s">
        <v>299</v>
      </c>
      <c r="H3548">
        <v>36</v>
      </c>
      <c r="I3548" s="30">
        <v>1.1921296296296296E-3</v>
      </c>
      <c r="J3548">
        <v>1</v>
      </c>
    </row>
    <row r="3549" spans="1:10" x14ac:dyDescent="0.35">
      <c r="A3549" t="s">
        <v>3919</v>
      </c>
      <c r="B3549" t="s">
        <v>332</v>
      </c>
      <c r="C3549" t="s">
        <v>3886</v>
      </c>
      <c r="D3549" s="30">
        <v>0.64799768518518519</v>
      </c>
      <c r="E3549" t="s">
        <v>314</v>
      </c>
      <c r="F3549" t="s">
        <v>299</v>
      </c>
      <c r="G3549" t="s">
        <v>303</v>
      </c>
      <c r="H3549">
        <v>18</v>
      </c>
      <c r="I3549" s="30">
        <v>4.31712962962963E-3</v>
      </c>
      <c r="J3549">
        <v>5</v>
      </c>
    </row>
    <row r="3550" spans="1:10" x14ac:dyDescent="0.35">
      <c r="A3550" t="s">
        <v>3920</v>
      </c>
      <c r="B3550" t="s">
        <v>323</v>
      </c>
      <c r="C3550" t="s">
        <v>3886</v>
      </c>
      <c r="D3550" s="30">
        <v>0.66</v>
      </c>
      <c r="E3550" t="s">
        <v>309</v>
      </c>
      <c r="F3550" t="s">
        <v>299</v>
      </c>
      <c r="G3550" t="s">
        <v>299</v>
      </c>
      <c r="H3550">
        <v>89</v>
      </c>
      <c r="I3550" s="30">
        <v>3.5648148148148149E-3</v>
      </c>
      <c r="J3550">
        <v>4</v>
      </c>
    </row>
    <row r="3551" spans="1:10" x14ac:dyDescent="0.35">
      <c r="A3551" t="s">
        <v>3921</v>
      </c>
      <c r="B3551" t="s">
        <v>296</v>
      </c>
      <c r="C3551" t="s">
        <v>3886</v>
      </c>
      <c r="D3551" s="30">
        <v>0.66</v>
      </c>
      <c r="E3551" t="s">
        <v>302</v>
      </c>
      <c r="F3551" t="s">
        <v>299</v>
      </c>
      <c r="G3551" t="s">
        <v>299</v>
      </c>
      <c r="H3551">
        <v>90</v>
      </c>
      <c r="I3551" s="30">
        <v>2.488425925925926E-3</v>
      </c>
      <c r="J3551">
        <v>5</v>
      </c>
    </row>
    <row r="3552" spans="1:10" x14ac:dyDescent="0.35">
      <c r="A3552" t="s">
        <v>3922</v>
      </c>
      <c r="B3552" t="s">
        <v>301</v>
      </c>
      <c r="C3552" t="s">
        <v>3886</v>
      </c>
      <c r="D3552" s="30">
        <v>0.6629976851851852</v>
      </c>
      <c r="E3552" t="s">
        <v>309</v>
      </c>
      <c r="F3552" t="s">
        <v>299</v>
      </c>
      <c r="G3552" t="s">
        <v>299</v>
      </c>
      <c r="H3552">
        <v>94</v>
      </c>
      <c r="I3552" s="30">
        <v>2.2222222222222222E-3</v>
      </c>
      <c r="J3552">
        <v>4</v>
      </c>
    </row>
    <row r="3553" spans="1:10" x14ac:dyDescent="0.35">
      <c r="A3553" t="s">
        <v>3923</v>
      </c>
      <c r="B3553" t="s">
        <v>305</v>
      </c>
      <c r="C3553" t="s">
        <v>3886</v>
      </c>
      <c r="D3553" s="30">
        <v>0.6629976851851852</v>
      </c>
      <c r="E3553" t="s">
        <v>309</v>
      </c>
      <c r="F3553" t="s">
        <v>299</v>
      </c>
      <c r="G3553" t="s">
        <v>299</v>
      </c>
      <c r="H3553">
        <v>121</v>
      </c>
      <c r="I3553" s="30">
        <v>1.1458333333333333E-3</v>
      </c>
      <c r="J3553">
        <v>5</v>
      </c>
    </row>
    <row r="3554" spans="1:10" x14ac:dyDescent="0.35">
      <c r="A3554" t="s">
        <v>3924</v>
      </c>
      <c r="B3554" t="s">
        <v>305</v>
      </c>
      <c r="C3554" t="s">
        <v>3886</v>
      </c>
      <c r="D3554" s="30">
        <v>0.66400462962962958</v>
      </c>
      <c r="E3554" t="s">
        <v>314</v>
      </c>
      <c r="F3554" t="s">
        <v>299</v>
      </c>
      <c r="G3554" t="s">
        <v>299</v>
      </c>
      <c r="H3554">
        <v>46</v>
      </c>
      <c r="I3554" s="30">
        <v>3.1250000000000002E-3</v>
      </c>
      <c r="J3554">
        <v>2</v>
      </c>
    </row>
    <row r="3555" spans="1:10" x14ac:dyDescent="0.35">
      <c r="A3555" t="s">
        <v>3925</v>
      </c>
      <c r="B3555" t="s">
        <v>323</v>
      </c>
      <c r="C3555" t="s">
        <v>3886</v>
      </c>
      <c r="D3555" s="30">
        <v>0.66400462962962958</v>
      </c>
      <c r="E3555" t="s">
        <v>298</v>
      </c>
      <c r="F3555" t="s">
        <v>299</v>
      </c>
      <c r="G3555" t="s">
        <v>299</v>
      </c>
      <c r="H3555">
        <v>117</v>
      </c>
      <c r="I3555" s="30">
        <v>2.685185185185185E-3</v>
      </c>
      <c r="J3555">
        <v>1</v>
      </c>
    </row>
    <row r="3556" spans="1:10" x14ac:dyDescent="0.35">
      <c r="A3556" t="s">
        <v>3926</v>
      </c>
      <c r="B3556" t="s">
        <v>296</v>
      </c>
      <c r="C3556" t="s">
        <v>3886</v>
      </c>
      <c r="D3556" s="30">
        <v>0.66500000000000004</v>
      </c>
      <c r="E3556" t="s">
        <v>317</v>
      </c>
      <c r="F3556" t="s">
        <v>299</v>
      </c>
      <c r="G3556" t="s">
        <v>303</v>
      </c>
      <c r="H3556">
        <v>114</v>
      </c>
      <c r="I3556" s="30">
        <v>2.1527777777777778E-3</v>
      </c>
      <c r="J3556">
        <v>5</v>
      </c>
    </row>
    <row r="3557" spans="1:10" x14ac:dyDescent="0.35">
      <c r="A3557" t="s">
        <v>3927</v>
      </c>
      <c r="B3557" t="s">
        <v>296</v>
      </c>
      <c r="C3557" t="s">
        <v>3886</v>
      </c>
      <c r="D3557" s="30">
        <v>0.66500000000000004</v>
      </c>
      <c r="E3557" t="s">
        <v>298</v>
      </c>
      <c r="F3557" t="s">
        <v>303</v>
      </c>
      <c r="G3557" t="s">
        <v>303</v>
      </c>
    </row>
    <row r="3558" spans="1:10" x14ac:dyDescent="0.35">
      <c r="A3558" t="s">
        <v>3928</v>
      </c>
      <c r="B3558" t="s">
        <v>323</v>
      </c>
      <c r="C3558" t="s">
        <v>3886</v>
      </c>
      <c r="D3558" s="30">
        <v>0.67099537037037038</v>
      </c>
      <c r="E3558" t="s">
        <v>309</v>
      </c>
      <c r="F3558" t="s">
        <v>299</v>
      </c>
      <c r="G3558" t="s">
        <v>299</v>
      </c>
      <c r="H3558">
        <v>65</v>
      </c>
      <c r="I3558" s="30">
        <v>3.2754629629629631E-3</v>
      </c>
      <c r="J3558">
        <v>4</v>
      </c>
    </row>
    <row r="3559" spans="1:10" x14ac:dyDescent="0.35">
      <c r="A3559" t="s">
        <v>3929</v>
      </c>
      <c r="B3559" t="s">
        <v>296</v>
      </c>
      <c r="C3559" t="s">
        <v>3886</v>
      </c>
      <c r="D3559" s="30">
        <v>0.67099537037037038</v>
      </c>
      <c r="E3559" t="s">
        <v>314</v>
      </c>
      <c r="F3559" t="s">
        <v>303</v>
      </c>
      <c r="G3559" t="s">
        <v>303</v>
      </c>
    </row>
    <row r="3560" spans="1:10" x14ac:dyDescent="0.35">
      <c r="A3560" t="s">
        <v>3930</v>
      </c>
      <c r="B3560" t="s">
        <v>301</v>
      </c>
      <c r="C3560" t="s">
        <v>3886</v>
      </c>
      <c r="D3560" s="30">
        <v>0.6790046296296296</v>
      </c>
      <c r="E3560" t="s">
        <v>302</v>
      </c>
      <c r="F3560" t="s">
        <v>299</v>
      </c>
      <c r="G3560" t="s">
        <v>299</v>
      </c>
      <c r="H3560">
        <v>100</v>
      </c>
      <c r="I3560" s="30">
        <v>3.8194444444444452E-4</v>
      </c>
      <c r="J3560">
        <v>1</v>
      </c>
    </row>
    <row r="3561" spans="1:10" x14ac:dyDescent="0.35">
      <c r="A3561" t="s">
        <v>3931</v>
      </c>
      <c r="B3561" t="s">
        <v>332</v>
      </c>
      <c r="C3561" t="s">
        <v>3886</v>
      </c>
      <c r="D3561" s="30">
        <v>0.6790046296296296</v>
      </c>
      <c r="E3561" t="s">
        <v>314</v>
      </c>
      <c r="F3561" t="s">
        <v>299</v>
      </c>
      <c r="G3561" t="s">
        <v>299</v>
      </c>
      <c r="H3561">
        <v>67</v>
      </c>
      <c r="I3561" s="30">
        <v>4.5717592592592589E-3</v>
      </c>
      <c r="J3561">
        <v>4</v>
      </c>
    </row>
    <row r="3562" spans="1:10" x14ac:dyDescent="0.35">
      <c r="A3562" t="s">
        <v>3932</v>
      </c>
      <c r="B3562" t="s">
        <v>332</v>
      </c>
      <c r="C3562" t="s">
        <v>3886</v>
      </c>
      <c r="D3562" s="30">
        <v>0.6790046296296296</v>
      </c>
      <c r="E3562" t="s">
        <v>298</v>
      </c>
      <c r="F3562" t="s">
        <v>299</v>
      </c>
      <c r="G3562" t="s">
        <v>299</v>
      </c>
      <c r="H3562">
        <v>46</v>
      </c>
      <c r="I3562" s="30">
        <v>1.4351851851851852E-3</v>
      </c>
      <c r="J3562">
        <v>4</v>
      </c>
    </row>
    <row r="3563" spans="1:10" x14ac:dyDescent="0.35">
      <c r="A3563" t="s">
        <v>3933</v>
      </c>
      <c r="B3563" t="s">
        <v>296</v>
      </c>
      <c r="C3563" t="s">
        <v>3886</v>
      </c>
      <c r="D3563" s="30">
        <v>0.6790046296296296</v>
      </c>
      <c r="E3563" t="s">
        <v>302</v>
      </c>
      <c r="F3563" t="s">
        <v>299</v>
      </c>
      <c r="G3563" t="s">
        <v>299</v>
      </c>
      <c r="H3563">
        <v>117</v>
      </c>
      <c r="I3563" s="30">
        <v>1.6666666666666668E-3</v>
      </c>
      <c r="J3563">
        <v>3</v>
      </c>
    </row>
    <row r="3564" spans="1:10" x14ac:dyDescent="0.35">
      <c r="A3564" t="s">
        <v>3934</v>
      </c>
      <c r="B3564" t="s">
        <v>307</v>
      </c>
      <c r="C3564" t="s">
        <v>3886</v>
      </c>
      <c r="D3564" s="30">
        <v>0.71799768518518514</v>
      </c>
      <c r="E3564" t="s">
        <v>302</v>
      </c>
      <c r="F3564" t="s">
        <v>299</v>
      </c>
      <c r="G3564" t="s">
        <v>299</v>
      </c>
      <c r="H3564">
        <v>34</v>
      </c>
      <c r="I3564" s="30">
        <v>4.5833333333333334E-3</v>
      </c>
      <c r="J3564">
        <v>4</v>
      </c>
    </row>
    <row r="3565" spans="1:10" x14ac:dyDescent="0.35">
      <c r="A3565" t="s">
        <v>3935</v>
      </c>
      <c r="B3565" t="s">
        <v>307</v>
      </c>
      <c r="C3565" t="s">
        <v>3886</v>
      </c>
      <c r="D3565" s="30">
        <v>0.71799768518518514</v>
      </c>
      <c r="E3565" t="s">
        <v>309</v>
      </c>
      <c r="F3565" t="s">
        <v>299</v>
      </c>
      <c r="G3565" t="s">
        <v>299</v>
      </c>
      <c r="H3565">
        <v>120</v>
      </c>
      <c r="I3565" s="30">
        <v>1.6550925925925926E-3</v>
      </c>
      <c r="J3565">
        <v>4</v>
      </c>
    </row>
    <row r="3566" spans="1:10" x14ac:dyDescent="0.35">
      <c r="A3566" t="s">
        <v>3936</v>
      </c>
      <c r="B3566" t="s">
        <v>316</v>
      </c>
      <c r="C3566" t="s">
        <v>3886</v>
      </c>
      <c r="D3566" s="30">
        <v>0.72400462962962964</v>
      </c>
      <c r="E3566" t="s">
        <v>298</v>
      </c>
      <c r="F3566" t="s">
        <v>299</v>
      </c>
      <c r="G3566" t="s">
        <v>299</v>
      </c>
      <c r="H3566">
        <v>67</v>
      </c>
      <c r="I3566" s="30">
        <v>1.5393518518518519E-3</v>
      </c>
      <c r="J3566">
        <v>4</v>
      </c>
    </row>
    <row r="3567" spans="1:10" x14ac:dyDescent="0.35">
      <c r="A3567" t="s">
        <v>3937</v>
      </c>
      <c r="B3567" t="s">
        <v>316</v>
      </c>
      <c r="C3567" t="s">
        <v>3886</v>
      </c>
      <c r="D3567" s="30">
        <v>0.72400462962962964</v>
      </c>
      <c r="E3567" t="s">
        <v>317</v>
      </c>
      <c r="F3567" t="s">
        <v>299</v>
      </c>
      <c r="G3567" t="s">
        <v>303</v>
      </c>
      <c r="H3567">
        <v>44</v>
      </c>
      <c r="I3567" s="30">
        <v>2.4189814814814816E-3</v>
      </c>
      <c r="J3567">
        <v>2</v>
      </c>
    </row>
    <row r="3568" spans="1:10" x14ac:dyDescent="0.35">
      <c r="A3568" t="s">
        <v>3938</v>
      </c>
      <c r="B3568" t="s">
        <v>323</v>
      </c>
      <c r="C3568" t="s">
        <v>3939</v>
      </c>
      <c r="D3568" s="30">
        <v>0.40299768518518519</v>
      </c>
      <c r="E3568" t="s">
        <v>314</v>
      </c>
      <c r="F3568" t="s">
        <v>299</v>
      </c>
      <c r="G3568" t="s">
        <v>299</v>
      </c>
      <c r="H3568">
        <v>91</v>
      </c>
      <c r="I3568" s="30">
        <v>3.5532407407407409E-3</v>
      </c>
      <c r="J3568">
        <v>2</v>
      </c>
    </row>
    <row r="3569" spans="1:10" x14ac:dyDescent="0.35">
      <c r="A3569" t="s">
        <v>3940</v>
      </c>
      <c r="B3569" t="s">
        <v>305</v>
      </c>
      <c r="C3569" t="s">
        <v>3939</v>
      </c>
      <c r="D3569" s="30">
        <v>0.40299768518518519</v>
      </c>
      <c r="E3569" t="s">
        <v>309</v>
      </c>
      <c r="F3569" t="s">
        <v>299</v>
      </c>
      <c r="G3569" t="s">
        <v>299</v>
      </c>
      <c r="H3569">
        <v>44</v>
      </c>
      <c r="I3569" s="30">
        <v>3.2638888888888891E-3</v>
      </c>
      <c r="J3569">
        <v>4</v>
      </c>
    </row>
    <row r="3570" spans="1:10" x14ac:dyDescent="0.35">
      <c r="A3570" t="s">
        <v>3941</v>
      </c>
      <c r="B3570" t="s">
        <v>296</v>
      </c>
      <c r="C3570" t="s">
        <v>3939</v>
      </c>
      <c r="D3570" s="30">
        <v>0.40500000000000003</v>
      </c>
      <c r="E3570" t="s">
        <v>302</v>
      </c>
      <c r="F3570" t="s">
        <v>303</v>
      </c>
      <c r="G3570" t="s">
        <v>303</v>
      </c>
    </row>
    <row r="3571" spans="1:10" x14ac:dyDescent="0.35">
      <c r="A3571" t="s">
        <v>3942</v>
      </c>
      <c r="B3571" t="s">
        <v>316</v>
      </c>
      <c r="C3571" t="s">
        <v>3939</v>
      </c>
      <c r="D3571" s="30">
        <v>0.40500000000000003</v>
      </c>
      <c r="E3571" t="s">
        <v>298</v>
      </c>
      <c r="F3571" t="s">
        <v>299</v>
      </c>
      <c r="G3571" t="s">
        <v>303</v>
      </c>
      <c r="H3571">
        <v>24</v>
      </c>
      <c r="I3571" s="30">
        <v>1.4120370370370369E-3</v>
      </c>
      <c r="J3571">
        <v>5</v>
      </c>
    </row>
    <row r="3572" spans="1:10" x14ac:dyDescent="0.35">
      <c r="A3572" t="s">
        <v>3943</v>
      </c>
      <c r="B3572" t="s">
        <v>332</v>
      </c>
      <c r="C3572" t="s">
        <v>3939</v>
      </c>
      <c r="D3572" s="30">
        <v>0.40599537037037037</v>
      </c>
      <c r="E3572" t="s">
        <v>298</v>
      </c>
      <c r="F3572" t="s">
        <v>299</v>
      </c>
      <c r="G3572" t="s">
        <v>299</v>
      </c>
      <c r="H3572">
        <v>11</v>
      </c>
      <c r="I3572" s="30">
        <v>2.7662037037037039E-3</v>
      </c>
      <c r="J3572">
        <v>3</v>
      </c>
    </row>
    <row r="3573" spans="1:10" x14ac:dyDescent="0.35">
      <c r="A3573" t="s">
        <v>3944</v>
      </c>
      <c r="B3573" t="s">
        <v>323</v>
      </c>
      <c r="C3573" t="s">
        <v>3939</v>
      </c>
      <c r="D3573" s="30">
        <v>0.40599537037037037</v>
      </c>
      <c r="E3573" t="s">
        <v>314</v>
      </c>
      <c r="F3573" t="s">
        <v>299</v>
      </c>
      <c r="G3573" t="s">
        <v>299</v>
      </c>
      <c r="H3573">
        <v>75</v>
      </c>
      <c r="I3573" s="30">
        <v>2.3495370370370371E-3</v>
      </c>
      <c r="J3573">
        <v>4</v>
      </c>
    </row>
    <row r="3574" spans="1:10" x14ac:dyDescent="0.35">
      <c r="A3574" t="s">
        <v>3945</v>
      </c>
      <c r="B3574" t="s">
        <v>319</v>
      </c>
      <c r="C3574" t="s">
        <v>3939</v>
      </c>
      <c r="D3574" s="30">
        <v>0.4079976851851852</v>
      </c>
      <c r="E3574" t="s">
        <v>317</v>
      </c>
      <c r="F3574" t="s">
        <v>299</v>
      </c>
      <c r="G3574" t="s">
        <v>299</v>
      </c>
      <c r="H3574">
        <v>58</v>
      </c>
      <c r="I3574" s="30">
        <v>2.1527777777777778E-3</v>
      </c>
      <c r="J3574">
        <v>2</v>
      </c>
    </row>
    <row r="3575" spans="1:10" x14ac:dyDescent="0.35">
      <c r="A3575" t="s">
        <v>3946</v>
      </c>
      <c r="B3575" t="s">
        <v>323</v>
      </c>
      <c r="C3575" t="s">
        <v>3939</v>
      </c>
      <c r="D3575" s="30">
        <v>0.4079976851851852</v>
      </c>
      <c r="E3575" t="s">
        <v>314</v>
      </c>
      <c r="F3575" t="s">
        <v>299</v>
      </c>
      <c r="G3575" t="s">
        <v>299</v>
      </c>
      <c r="H3575">
        <v>123</v>
      </c>
      <c r="I3575" s="30">
        <v>3.472222222222222E-3</v>
      </c>
      <c r="J3575">
        <v>5</v>
      </c>
    </row>
    <row r="3576" spans="1:10" x14ac:dyDescent="0.35">
      <c r="A3576" t="s">
        <v>3947</v>
      </c>
      <c r="B3576" t="s">
        <v>332</v>
      </c>
      <c r="C3576" t="s">
        <v>3939</v>
      </c>
      <c r="D3576" s="30">
        <v>0.4129976851851852</v>
      </c>
      <c r="E3576" t="s">
        <v>314</v>
      </c>
      <c r="F3576" t="s">
        <v>303</v>
      </c>
      <c r="G3576" t="s">
        <v>303</v>
      </c>
    </row>
    <row r="3577" spans="1:10" x14ac:dyDescent="0.35">
      <c r="A3577" t="s">
        <v>3948</v>
      </c>
      <c r="B3577" t="s">
        <v>319</v>
      </c>
      <c r="C3577" t="s">
        <v>3939</v>
      </c>
      <c r="D3577" s="30">
        <v>0.4129976851851852</v>
      </c>
      <c r="E3577" t="s">
        <v>309</v>
      </c>
      <c r="F3577" t="s">
        <v>303</v>
      </c>
      <c r="G3577" t="s">
        <v>303</v>
      </c>
    </row>
    <row r="3578" spans="1:10" x14ac:dyDescent="0.35">
      <c r="A3578" t="s">
        <v>3949</v>
      </c>
      <c r="B3578" t="s">
        <v>307</v>
      </c>
      <c r="C3578" t="s">
        <v>3939</v>
      </c>
      <c r="D3578" s="30">
        <v>0.42400462962962965</v>
      </c>
      <c r="E3578" t="s">
        <v>314</v>
      </c>
      <c r="F3578" t="s">
        <v>299</v>
      </c>
      <c r="G3578" t="s">
        <v>299</v>
      </c>
      <c r="H3578">
        <v>45</v>
      </c>
      <c r="I3578" s="30">
        <v>3.5763888888888889E-3</v>
      </c>
      <c r="J3578">
        <v>1</v>
      </c>
    </row>
    <row r="3579" spans="1:10" x14ac:dyDescent="0.35">
      <c r="A3579" t="s">
        <v>3950</v>
      </c>
      <c r="B3579" t="s">
        <v>323</v>
      </c>
      <c r="C3579" t="s">
        <v>3939</v>
      </c>
      <c r="D3579" s="30">
        <v>0.42400462962962965</v>
      </c>
      <c r="E3579" t="s">
        <v>309</v>
      </c>
      <c r="F3579" t="s">
        <v>299</v>
      </c>
      <c r="G3579" t="s">
        <v>299</v>
      </c>
      <c r="H3579">
        <v>38</v>
      </c>
      <c r="I3579" s="30">
        <v>6.5972222222222224E-4</v>
      </c>
      <c r="J3579">
        <v>3</v>
      </c>
    </row>
    <row r="3580" spans="1:10" x14ac:dyDescent="0.35">
      <c r="A3580" t="s">
        <v>3951</v>
      </c>
      <c r="B3580" t="s">
        <v>305</v>
      </c>
      <c r="C3580" t="s">
        <v>3939</v>
      </c>
      <c r="D3580" s="30">
        <v>0.43</v>
      </c>
      <c r="E3580" t="s">
        <v>298</v>
      </c>
      <c r="F3580" t="s">
        <v>299</v>
      </c>
      <c r="G3580" t="s">
        <v>299</v>
      </c>
      <c r="H3580">
        <v>37</v>
      </c>
      <c r="I3580" s="30">
        <v>2.8819444444444444E-3</v>
      </c>
      <c r="J3580">
        <v>4</v>
      </c>
    </row>
    <row r="3581" spans="1:10" x14ac:dyDescent="0.35">
      <c r="A3581" t="s">
        <v>3952</v>
      </c>
      <c r="B3581" t="s">
        <v>296</v>
      </c>
      <c r="C3581" t="s">
        <v>3939</v>
      </c>
      <c r="D3581" s="30">
        <v>0.43</v>
      </c>
      <c r="E3581" t="s">
        <v>317</v>
      </c>
      <c r="F3581" t="s">
        <v>299</v>
      </c>
      <c r="G3581" t="s">
        <v>299</v>
      </c>
      <c r="H3581">
        <v>90</v>
      </c>
      <c r="I3581" s="30">
        <v>1.3888888888888889E-3</v>
      </c>
      <c r="J3581">
        <v>4</v>
      </c>
    </row>
    <row r="3582" spans="1:10" x14ac:dyDescent="0.35">
      <c r="A3582" t="s">
        <v>3953</v>
      </c>
      <c r="B3582" t="s">
        <v>332</v>
      </c>
      <c r="C3582" t="s">
        <v>3939</v>
      </c>
      <c r="D3582" s="30">
        <v>0.43799768518518517</v>
      </c>
      <c r="E3582" t="s">
        <v>317</v>
      </c>
      <c r="F3582" t="s">
        <v>299</v>
      </c>
      <c r="G3582" t="s">
        <v>299</v>
      </c>
      <c r="H3582">
        <v>90</v>
      </c>
      <c r="I3582" s="30">
        <v>2.6967592592592594E-3</v>
      </c>
      <c r="J3582">
        <v>3</v>
      </c>
    </row>
    <row r="3583" spans="1:10" x14ac:dyDescent="0.35">
      <c r="A3583" t="s">
        <v>3954</v>
      </c>
      <c r="B3583" t="s">
        <v>307</v>
      </c>
      <c r="C3583" t="s">
        <v>3939</v>
      </c>
      <c r="D3583" s="30">
        <v>0.43799768518518517</v>
      </c>
      <c r="E3583" t="s">
        <v>314</v>
      </c>
      <c r="F3583" t="s">
        <v>303</v>
      </c>
      <c r="G3583" t="s">
        <v>303</v>
      </c>
    </row>
    <row r="3584" spans="1:10" x14ac:dyDescent="0.35">
      <c r="A3584" t="s">
        <v>3955</v>
      </c>
      <c r="B3584" t="s">
        <v>316</v>
      </c>
      <c r="C3584" t="s">
        <v>3939</v>
      </c>
      <c r="D3584" s="30">
        <v>0.44700231481481484</v>
      </c>
      <c r="E3584" t="s">
        <v>317</v>
      </c>
      <c r="F3584" t="s">
        <v>299</v>
      </c>
      <c r="G3584" t="s">
        <v>299</v>
      </c>
      <c r="H3584">
        <v>74</v>
      </c>
      <c r="I3584" s="30">
        <v>2.4305555555555556E-3</v>
      </c>
      <c r="J3584">
        <v>3</v>
      </c>
    </row>
    <row r="3585" spans="1:10" x14ac:dyDescent="0.35">
      <c r="A3585" t="s">
        <v>3956</v>
      </c>
      <c r="B3585" t="s">
        <v>323</v>
      </c>
      <c r="C3585" t="s">
        <v>3939</v>
      </c>
      <c r="D3585" s="30">
        <v>0.44700231481481484</v>
      </c>
      <c r="E3585" t="s">
        <v>317</v>
      </c>
      <c r="F3585" t="s">
        <v>303</v>
      </c>
      <c r="G3585" t="s">
        <v>303</v>
      </c>
    </row>
    <row r="3586" spans="1:10" x14ac:dyDescent="0.35">
      <c r="A3586" t="s">
        <v>3957</v>
      </c>
      <c r="B3586" t="s">
        <v>296</v>
      </c>
      <c r="C3586" t="s">
        <v>3939</v>
      </c>
      <c r="D3586" s="30">
        <v>0.45799768518518519</v>
      </c>
      <c r="E3586" t="s">
        <v>302</v>
      </c>
      <c r="F3586" t="s">
        <v>299</v>
      </c>
      <c r="G3586" t="s">
        <v>303</v>
      </c>
      <c r="H3586">
        <v>101</v>
      </c>
      <c r="I3586" s="30">
        <v>1.6782407407407408E-3</v>
      </c>
      <c r="J3586">
        <v>4</v>
      </c>
    </row>
    <row r="3587" spans="1:10" x14ac:dyDescent="0.35">
      <c r="A3587" t="s">
        <v>3958</v>
      </c>
      <c r="B3587" t="s">
        <v>319</v>
      </c>
      <c r="C3587" t="s">
        <v>3939</v>
      </c>
      <c r="D3587" s="30">
        <v>0.45799768518518519</v>
      </c>
      <c r="E3587" t="s">
        <v>314</v>
      </c>
      <c r="F3587" t="s">
        <v>303</v>
      </c>
      <c r="G3587" t="s">
        <v>303</v>
      </c>
    </row>
    <row r="3588" spans="1:10" x14ac:dyDescent="0.35">
      <c r="A3588" t="s">
        <v>3959</v>
      </c>
      <c r="B3588" t="s">
        <v>307</v>
      </c>
      <c r="C3588" t="s">
        <v>3939</v>
      </c>
      <c r="D3588" s="30">
        <v>0.46500000000000002</v>
      </c>
      <c r="E3588" t="s">
        <v>298</v>
      </c>
      <c r="F3588" t="s">
        <v>299</v>
      </c>
      <c r="G3588" t="s">
        <v>299</v>
      </c>
      <c r="H3588">
        <v>105</v>
      </c>
      <c r="I3588" s="30">
        <v>3.8657407407407408E-3</v>
      </c>
      <c r="J3588">
        <v>4</v>
      </c>
    </row>
    <row r="3589" spans="1:10" x14ac:dyDescent="0.35">
      <c r="A3589" t="s">
        <v>3960</v>
      </c>
      <c r="B3589" t="s">
        <v>305</v>
      </c>
      <c r="C3589" t="s">
        <v>3939</v>
      </c>
      <c r="D3589" s="30">
        <v>0.46500000000000002</v>
      </c>
      <c r="E3589" t="s">
        <v>317</v>
      </c>
      <c r="F3589" t="s">
        <v>299</v>
      </c>
      <c r="G3589" t="s">
        <v>299</v>
      </c>
      <c r="H3589">
        <v>11</v>
      </c>
      <c r="I3589" s="30">
        <v>1.4930555555555556E-3</v>
      </c>
      <c r="J3589">
        <v>1</v>
      </c>
    </row>
    <row r="3590" spans="1:10" x14ac:dyDescent="0.35">
      <c r="A3590" t="s">
        <v>3961</v>
      </c>
      <c r="B3590" t="s">
        <v>301</v>
      </c>
      <c r="C3590" t="s">
        <v>3939</v>
      </c>
      <c r="D3590" s="30">
        <v>0.46599537037037037</v>
      </c>
      <c r="E3590" t="s">
        <v>314</v>
      </c>
      <c r="F3590" t="s">
        <v>303</v>
      </c>
      <c r="G3590" t="s">
        <v>303</v>
      </c>
    </row>
    <row r="3591" spans="1:10" x14ac:dyDescent="0.35">
      <c r="A3591" t="s">
        <v>3962</v>
      </c>
      <c r="B3591" t="s">
        <v>296</v>
      </c>
      <c r="C3591" t="s">
        <v>3939</v>
      </c>
      <c r="D3591" s="30">
        <v>0.46599537037037037</v>
      </c>
      <c r="E3591" t="s">
        <v>302</v>
      </c>
      <c r="F3591" t="s">
        <v>299</v>
      </c>
      <c r="G3591" t="s">
        <v>299</v>
      </c>
      <c r="H3591">
        <v>89</v>
      </c>
      <c r="I3591" s="30">
        <v>3.5069444444444445E-3</v>
      </c>
      <c r="J3591">
        <v>3</v>
      </c>
    </row>
    <row r="3592" spans="1:10" x14ac:dyDescent="0.35">
      <c r="A3592" t="s">
        <v>3963</v>
      </c>
      <c r="B3592" t="s">
        <v>301</v>
      </c>
      <c r="C3592" t="s">
        <v>3939</v>
      </c>
      <c r="D3592" s="30">
        <v>0.48099537037037038</v>
      </c>
      <c r="E3592" t="s">
        <v>298</v>
      </c>
      <c r="F3592" t="s">
        <v>299</v>
      </c>
      <c r="G3592" t="s">
        <v>299</v>
      </c>
      <c r="H3592">
        <v>90</v>
      </c>
      <c r="I3592" s="30">
        <v>1.6550925925925926E-3</v>
      </c>
      <c r="J3592">
        <v>3</v>
      </c>
    </row>
    <row r="3593" spans="1:10" x14ac:dyDescent="0.35">
      <c r="A3593" t="s">
        <v>3964</v>
      </c>
      <c r="B3593" t="s">
        <v>301</v>
      </c>
      <c r="C3593" t="s">
        <v>3939</v>
      </c>
      <c r="D3593" s="30">
        <v>0.48099537037037038</v>
      </c>
      <c r="E3593" t="s">
        <v>302</v>
      </c>
      <c r="F3593" t="s">
        <v>299</v>
      </c>
      <c r="G3593" t="s">
        <v>299</v>
      </c>
      <c r="H3593">
        <v>106</v>
      </c>
      <c r="I3593" s="30">
        <v>3.2407407407407406E-3</v>
      </c>
      <c r="J3593">
        <v>5</v>
      </c>
    </row>
    <row r="3594" spans="1:10" x14ac:dyDescent="0.35">
      <c r="A3594" t="s">
        <v>3965</v>
      </c>
      <c r="B3594" t="s">
        <v>307</v>
      </c>
      <c r="C3594" t="s">
        <v>3939</v>
      </c>
      <c r="D3594" s="30">
        <v>0.48400462962962965</v>
      </c>
      <c r="E3594" t="s">
        <v>302</v>
      </c>
      <c r="F3594" t="s">
        <v>299</v>
      </c>
      <c r="G3594" t="s">
        <v>299</v>
      </c>
      <c r="H3594">
        <v>113</v>
      </c>
      <c r="I3594" s="30">
        <v>2.4537037037037036E-3</v>
      </c>
      <c r="J3594">
        <v>4</v>
      </c>
    </row>
    <row r="3595" spans="1:10" x14ac:dyDescent="0.35">
      <c r="A3595" t="s">
        <v>3966</v>
      </c>
      <c r="B3595" t="s">
        <v>316</v>
      </c>
      <c r="C3595" t="s">
        <v>3939</v>
      </c>
      <c r="D3595" s="30">
        <v>0.48400462962962965</v>
      </c>
      <c r="E3595" t="s">
        <v>317</v>
      </c>
      <c r="F3595" t="s">
        <v>299</v>
      </c>
      <c r="G3595" t="s">
        <v>299</v>
      </c>
      <c r="H3595">
        <v>44</v>
      </c>
      <c r="I3595" s="30">
        <v>2.0949074074074073E-3</v>
      </c>
      <c r="J3595">
        <v>5</v>
      </c>
    </row>
    <row r="3596" spans="1:10" x14ac:dyDescent="0.35">
      <c r="A3596" t="s">
        <v>3967</v>
      </c>
      <c r="B3596" t="s">
        <v>301</v>
      </c>
      <c r="C3596" t="s">
        <v>3939</v>
      </c>
      <c r="D3596" s="30">
        <v>0.5</v>
      </c>
      <c r="E3596" t="s">
        <v>309</v>
      </c>
      <c r="F3596" t="s">
        <v>299</v>
      </c>
      <c r="G3596" t="s">
        <v>299</v>
      </c>
      <c r="H3596">
        <v>50</v>
      </c>
      <c r="I3596" s="30">
        <v>9.2592592592592596E-4</v>
      </c>
      <c r="J3596">
        <v>3</v>
      </c>
    </row>
    <row r="3597" spans="1:10" x14ac:dyDescent="0.35">
      <c r="A3597" t="s">
        <v>3968</v>
      </c>
      <c r="B3597" t="s">
        <v>316</v>
      </c>
      <c r="C3597" t="s">
        <v>3939</v>
      </c>
      <c r="D3597" s="30">
        <v>0.5</v>
      </c>
      <c r="E3597" t="s">
        <v>298</v>
      </c>
      <c r="F3597" t="s">
        <v>299</v>
      </c>
      <c r="G3597" t="s">
        <v>299</v>
      </c>
      <c r="H3597">
        <v>111</v>
      </c>
      <c r="I3597" s="30">
        <v>3.2638888888888891E-3</v>
      </c>
      <c r="J3597">
        <v>4</v>
      </c>
    </row>
    <row r="3598" spans="1:10" x14ac:dyDescent="0.35">
      <c r="A3598" t="s">
        <v>3969</v>
      </c>
      <c r="B3598" t="s">
        <v>319</v>
      </c>
      <c r="C3598" t="s">
        <v>3939</v>
      </c>
      <c r="D3598" s="30">
        <v>0.51</v>
      </c>
      <c r="E3598" t="s">
        <v>314</v>
      </c>
      <c r="F3598" t="s">
        <v>299</v>
      </c>
      <c r="G3598" t="s">
        <v>299</v>
      </c>
      <c r="H3598">
        <v>46</v>
      </c>
      <c r="I3598" s="30">
        <v>1.6435185185185185E-3</v>
      </c>
      <c r="J3598">
        <v>1</v>
      </c>
    </row>
    <row r="3599" spans="1:10" x14ac:dyDescent="0.35">
      <c r="A3599" t="s">
        <v>3970</v>
      </c>
      <c r="B3599" t="s">
        <v>332</v>
      </c>
      <c r="C3599" t="s">
        <v>3939</v>
      </c>
      <c r="D3599" s="30">
        <v>0.51</v>
      </c>
      <c r="E3599" t="s">
        <v>317</v>
      </c>
      <c r="F3599" t="s">
        <v>299</v>
      </c>
      <c r="G3599" t="s">
        <v>299</v>
      </c>
      <c r="H3599">
        <v>96</v>
      </c>
      <c r="I3599" s="30">
        <v>1.8981481481481482E-3</v>
      </c>
      <c r="J3599">
        <v>5</v>
      </c>
    </row>
    <row r="3600" spans="1:10" x14ac:dyDescent="0.35">
      <c r="A3600" t="s">
        <v>3971</v>
      </c>
      <c r="B3600" t="s">
        <v>307</v>
      </c>
      <c r="C3600" t="s">
        <v>3939</v>
      </c>
      <c r="D3600" s="30">
        <v>0.53200231481481486</v>
      </c>
      <c r="E3600" t="s">
        <v>309</v>
      </c>
      <c r="F3600" t="s">
        <v>299</v>
      </c>
      <c r="G3600" t="s">
        <v>299</v>
      </c>
      <c r="H3600">
        <v>102</v>
      </c>
      <c r="I3600" s="30">
        <v>1.9907407407407408E-3</v>
      </c>
      <c r="J3600">
        <v>3</v>
      </c>
    </row>
    <row r="3601" spans="1:10" x14ac:dyDescent="0.35">
      <c r="A3601" t="s">
        <v>3972</v>
      </c>
      <c r="B3601" t="s">
        <v>323</v>
      </c>
      <c r="C3601" t="s">
        <v>3939</v>
      </c>
      <c r="D3601" s="30">
        <v>0.53200231481481486</v>
      </c>
      <c r="E3601" t="s">
        <v>298</v>
      </c>
      <c r="F3601" t="s">
        <v>299</v>
      </c>
      <c r="G3601" t="s">
        <v>303</v>
      </c>
      <c r="H3601">
        <v>30</v>
      </c>
      <c r="I3601" s="30">
        <v>3.5995370370370369E-3</v>
      </c>
      <c r="J3601">
        <v>5</v>
      </c>
    </row>
    <row r="3602" spans="1:10" x14ac:dyDescent="0.35">
      <c r="A3602" t="s">
        <v>3973</v>
      </c>
      <c r="B3602" t="s">
        <v>305</v>
      </c>
      <c r="C3602" t="s">
        <v>3939</v>
      </c>
      <c r="D3602" s="30">
        <v>0.54799768518518521</v>
      </c>
      <c r="E3602" t="s">
        <v>317</v>
      </c>
      <c r="F3602" t="s">
        <v>299</v>
      </c>
      <c r="G3602" t="s">
        <v>299</v>
      </c>
      <c r="H3602">
        <v>91</v>
      </c>
      <c r="I3602" s="30">
        <v>3.8078703703703703E-3</v>
      </c>
      <c r="J3602">
        <v>5</v>
      </c>
    </row>
    <row r="3603" spans="1:10" x14ac:dyDescent="0.35">
      <c r="A3603" t="s">
        <v>3974</v>
      </c>
      <c r="B3603" t="s">
        <v>307</v>
      </c>
      <c r="C3603" t="s">
        <v>3939</v>
      </c>
      <c r="D3603" s="30">
        <v>0.54799768518518521</v>
      </c>
      <c r="E3603" t="s">
        <v>302</v>
      </c>
      <c r="F3603" t="s">
        <v>299</v>
      </c>
      <c r="G3603" t="s">
        <v>299</v>
      </c>
      <c r="H3603">
        <v>111</v>
      </c>
      <c r="I3603" s="30">
        <v>3.2523148148148147E-3</v>
      </c>
      <c r="J3603">
        <v>4</v>
      </c>
    </row>
    <row r="3604" spans="1:10" x14ac:dyDescent="0.35">
      <c r="A3604" t="s">
        <v>3975</v>
      </c>
      <c r="B3604" t="s">
        <v>307</v>
      </c>
      <c r="C3604" t="s">
        <v>3939</v>
      </c>
      <c r="D3604" s="30">
        <v>0.56700231481481478</v>
      </c>
      <c r="E3604" t="s">
        <v>317</v>
      </c>
      <c r="F3604" t="s">
        <v>303</v>
      </c>
      <c r="G3604" t="s">
        <v>303</v>
      </c>
    </row>
    <row r="3605" spans="1:10" x14ac:dyDescent="0.35">
      <c r="A3605" t="s">
        <v>3976</v>
      </c>
      <c r="B3605" t="s">
        <v>296</v>
      </c>
      <c r="C3605" t="s">
        <v>3939</v>
      </c>
      <c r="D3605" s="30">
        <v>0.56700231481481478</v>
      </c>
      <c r="E3605" t="s">
        <v>317</v>
      </c>
      <c r="F3605" t="s">
        <v>299</v>
      </c>
      <c r="G3605" t="s">
        <v>299</v>
      </c>
      <c r="H3605">
        <v>99</v>
      </c>
      <c r="I3605" s="30">
        <v>2.1180555555555558E-3</v>
      </c>
      <c r="J3605">
        <v>4</v>
      </c>
    </row>
    <row r="3606" spans="1:10" x14ac:dyDescent="0.35">
      <c r="A3606" t="s">
        <v>3977</v>
      </c>
      <c r="B3606" t="s">
        <v>319</v>
      </c>
      <c r="C3606" t="s">
        <v>3939</v>
      </c>
      <c r="D3606" s="30">
        <v>0.56999999999999995</v>
      </c>
      <c r="E3606" t="s">
        <v>302</v>
      </c>
      <c r="F3606" t="s">
        <v>299</v>
      </c>
      <c r="G3606" t="s">
        <v>299</v>
      </c>
      <c r="H3606">
        <v>125</v>
      </c>
      <c r="I3606" s="30">
        <v>5.3240740740740744E-4</v>
      </c>
      <c r="J3606">
        <v>3</v>
      </c>
    </row>
    <row r="3607" spans="1:10" x14ac:dyDescent="0.35">
      <c r="A3607" t="s">
        <v>3978</v>
      </c>
      <c r="B3607" t="s">
        <v>319</v>
      </c>
      <c r="C3607" t="s">
        <v>3939</v>
      </c>
      <c r="D3607" s="30">
        <v>0.56999999999999995</v>
      </c>
      <c r="E3607" t="s">
        <v>309</v>
      </c>
      <c r="F3607" t="s">
        <v>299</v>
      </c>
      <c r="G3607" t="s">
        <v>299</v>
      </c>
      <c r="H3607">
        <v>11</v>
      </c>
      <c r="I3607" s="30">
        <v>4.31712962962963E-3</v>
      </c>
      <c r="J3607">
        <v>3</v>
      </c>
    </row>
    <row r="3608" spans="1:10" x14ac:dyDescent="0.35">
      <c r="A3608" t="s">
        <v>3979</v>
      </c>
      <c r="B3608" t="s">
        <v>323</v>
      </c>
      <c r="C3608" t="s">
        <v>3939</v>
      </c>
      <c r="D3608" s="30">
        <v>0.59499999999999997</v>
      </c>
      <c r="E3608" t="s">
        <v>298</v>
      </c>
      <c r="F3608" t="s">
        <v>299</v>
      </c>
      <c r="G3608" t="s">
        <v>299</v>
      </c>
      <c r="H3608">
        <v>79</v>
      </c>
      <c r="I3608" s="30">
        <v>6.134259259259259E-4</v>
      </c>
      <c r="J3608">
        <v>2</v>
      </c>
    </row>
    <row r="3609" spans="1:10" x14ac:dyDescent="0.35">
      <c r="A3609" t="s">
        <v>3980</v>
      </c>
      <c r="B3609" t="s">
        <v>305</v>
      </c>
      <c r="C3609" t="s">
        <v>3939</v>
      </c>
      <c r="D3609" s="30">
        <v>0.59499999999999997</v>
      </c>
      <c r="E3609" t="s">
        <v>302</v>
      </c>
      <c r="F3609" t="s">
        <v>299</v>
      </c>
      <c r="G3609" t="s">
        <v>299</v>
      </c>
      <c r="H3609">
        <v>92</v>
      </c>
      <c r="I3609" s="30">
        <v>3.0902777777777777E-3</v>
      </c>
      <c r="J3609">
        <v>1</v>
      </c>
    </row>
    <row r="3610" spans="1:10" x14ac:dyDescent="0.35">
      <c r="A3610" t="s">
        <v>3981</v>
      </c>
      <c r="B3610" t="s">
        <v>332</v>
      </c>
      <c r="C3610" t="s">
        <v>3939</v>
      </c>
      <c r="D3610" s="30">
        <v>0.61799768518518516</v>
      </c>
      <c r="E3610" t="s">
        <v>302</v>
      </c>
      <c r="F3610" t="s">
        <v>303</v>
      </c>
      <c r="G3610" t="s">
        <v>303</v>
      </c>
    </row>
    <row r="3611" spans="1:10" x14ac:dyDescent="0.35">
      <c r="A3611" t="s">
        <v>3982</v>
      </c>
      <c r="B3611" t="s">
        <v>319</v>
      </c>
      <c r="C3611" t="s">
        <v>3939</v>
      </c>
      <c r="D3611" s="30">
        <v>0.61799768518518516</v>
      </c>
      <c r="E3611" t="s">
        <v>317</v>
      </c>
      <c r="F3611" t="s">
        <v>299</v>
      </c>
      <c r="G3611" t="s">
        <v>299</v>
      </c>
      <c r="H3611">
        <v>119</v>
      </c>
      <c r="I3611" s="30">
        <v>3.7268518518518519E-3</v>
      </c>
      <c r="J3611">
        <v>3</v>
      </c>
    </row>
    <row r="3612" spans="1:10" x14ac:dyDescent="0.35">
      <c r="A3612" t="s">
        <v>3983</v>
      </c>
      <c r="B3612" t="s">
        <v>316</v>
      </c>
      <c r="C3612" t="s">
        <v>3939</v>
      </c>
      <c r="D3612" s="30">
        <v>0.625</v>
      </c>
      <c r="E3612" t="s">
        <v>302</v>
      </c>
      <c r="F3612" t="s">
        <v>299</v>
      </c>
      <c r="G3612" t="s">
        <v>299</v>
      </c>
      <c r="H3612">
        <v>15</v>
      </c>
      <c r="I3612" s="30">
        <v>3.1944444444444446E-3</v>
      </c>
      <c r="J3612">
        <v>4</v>
      </c>
    </row>
    <row r="3613" spans="1:10" x14ac:dyDescent="0.35">
      <c r="A3613" t="s">
        <v>3984</v>
      </c>
      <c r="B3613" t="s">
        <v>316</v>
      </c>
      <c r="C3613" t="s">
        <v>3939</v>
      </c>
      <c r="D3613" s="30">
        <v>0.625</v>
      </c>
      <c r="E3613" t="s">
        <v>302</v>
      </c>
      <c r="F3613" t="s">
        <v>299</v>
      </c>
      <c r="G3613" t="s">
        <v>299</v>
      </c>
      <c r="H3613">
        <v>15</v>
      </c>
      <c r="I3613" s="30">
        <v>1.5509259259259259E-3</v>
      </c>
      <c r="J3613">
        <v>4</v>
      </c>
    </row>
    <row r="3614" spans="1:10" x14ac:dyDescent="0.35">
      <c r="A3614" t="s">
        <v>3985</v>
      </c>
      <c r="B3614" t="s">
        <v>323</v>
      </c>
      <c r="C3614" t="s">
        <v>3939</v>
      </c>
      <c r="D3614" s="30">
        <v>0.64599537037037036</v>
      </c>
      <c r="E3614" t="s">
        <v>314</v>
      </c>
      <c r="F3614" t="s">
        <v>299</v>
      </c>
      <c r="G3614" t="s">
        <v>299</v>
      </c>
      <c r="H3614">
        <v>61</v>
      </c>
      <c r="I3614" s="30">
        <v>4.6990740740740743E-3</v>
      </c>
      <c r="J3614">
        <v>5</v>
      </c>
    </row>
    <row r="3615" spans="1:10" x14ac:dyDescent="0.35">
      <c r="A3615" t="s">
        <v>3986</v>
      </c>
      <c r="B3615" t="s">
        <v>319</v>
      </c>
      <c r="C3615" t="s">
        <v>3939</v>
      </c>
      <c r="D3615" s="30">
        <v>0.64599537037037036</v>
      </c>
      <c r="E3615" t="s">
        <v>298</v>
      </c>
      <c r="F3615" t="s">
        <v>299</v>
      </c>
      <c r="G3615" t="s">
        <v>299</v>
      </c>
      <c r="H3615">
        <v>92</v>
      </c>
      <c r="I3615" s="30">
        <v>3.0208333333333333E-3</v>
      </c>
      <c r="J3615">
        <v>3</v>
      </c>
    </row>
    <row r="3616" spans="1:10" x14ac:dyDescent="0.35">
      <c r="A3616" t="s">
        <v>3987</v>
      </c>
      <c r="B3616" t="s">
        <v>319</v>
      </c>
      <c r="C3616" t="s">
        <v>3939</v>
      </c>
      <c r="D3616" s="30">
        <v>0.65</v>
      </c>
      <c r="E3616" t="s">
        <v>317</v>
      </c>
      <c r="F3616" t="s">
        <v>299</v>
      </c>
      <c r="G3616" t="s">
        <v>303</v>
      </c>
      <c r="H3616">
        <v>69</v>
      </c>
      <c r="I3616" s="30">
        <v>1.5393518518518519E-3</v>
      </c>
      <c r="J3616">
        <v>4</v>
      </c>
    </row>
    <row r="3617" spans="1:10" x14ac:dyDescent="0.35">
      <c r="A3617" t="s">
        <v>3988</v>
      </c>
      <c r="B3617" t="s">
        <v>301</v>
      </c>
      <c r="C3617" t="s">
        <v>3939</v>
      </c>
      <c r="D3617" s="30">
        <v>0.65</v>
      </c>
      <c r="E3617" t="s">
        <v>309</v>
      </c>
      <c r="F3617" t="s">
        <v>299</v>
      </c>
      <c r="G3617" t="s">
        <v>299</v>
      </c>
      <c r="H3617">
        <v>32</v>
      </c>
      <c r="I3617" s="30">
        <v>4.4675925925925924E-3</v>
      </c>
      <c r="J3617">
        <v>3</v>
      </c>
    </row>
    <row r="3618" spans="1:10" x14ac:dyDescent="0.35">
      <c r="A3618" t="s">
        <v>3989</v>
      </c>
      <c r="B3618" t="s">
        <v>296</v>
      </c>
      <c r="C3618" t="s">
        <v>3939</v>
      </c>
      <c r="D3618" s="30">
        <v>0.65</v>
      </c>
      <c r="E3618" t="s">
        <v>309</v>
      </c>
      <c r="F3618" t="s">
        <v>299</v>
      </c>
      <c r="G3618" t="s">
        <v>299</v>
      </c>
      <c r="H3618">
        <v>119</v>
      </c>
      <c r="I3618" s="30">
        <v>3.1597222222222222E-3</v>
      </c>
      <c r="J3618">
        <v>4</v>
      </c>
    </row>
    <row r="3619" spans="1:10" x14ac:dyDescent="0.35">
      <c r="A3619" t="s">
        <v>3990</v>
      </c>
      <c r="B3619" t="s">
        <v>296</v>
      </c>
      <c r="C3619" t="s">
        <v>3939</v>
      </c>
      <c r="D3619" s="30">
        <v>0.65</v>
      </c>
      <c r="E3619" t="s">
        <v>298</v>
      </c>
      <c r="F3619" t="s">
        <v>299</v>
      </c>
      <c r="G3619" t="s">
        <v>303</v>
      </c>
      <c r="H3619">
        <v>11</v>
      </c>
      <c r="I3619" s="30">
        <v>3.5763888888888889E-3</v>
      </c>
      <c r="J3619">
        <v>4</v>
      </c>
    </row>
    <row r="3620" spans="1:10" x14ac:dyDescent="0.35">
      <c r="A3620" t="s">
        <v>3991</v>
      </c>
      <c r="B3620" t="s">
        <v>307</v>
      </c>
      <c r="C3620" t="s">
        <v>3939</v>
      </c>
      <c r="D3620" s="30">
        <v>0.67099537037037038</v>
      </c>
      <c r="E3620" t="s">
        <v>302</v>
      </c>
      <c r="F3620" t="s">
        <v>299</v>
      </c>
      <c r="G3620" t="s">
        <v>299</v>
      </c>
      <c r="H3620">
        <v>81</v>
      </c>
      <c r="I3620" s="30">
        <v>2.0023148148148148E-3</v>
      </c>
      <c r="J3620">
        <v>4</v>
      </c>
    </row>
    <row r="3621" spans="1:10" x14ac:dyDescent="0.35">
      <c r="A3621" t="s">
        <v>3992</v>
      </c>
      <c r="B3621" t="s">
        <v>301</v>
      </c>
      <c r="C3621" t="s">
        <v>3939</v>
      </c>
      <c r="D3621" s="30">
        <v>0.67099537037037038</v>
      </c>
      <c r="E3621" t="s">
        <v>317</v>
      </c>
      <c r="F3621" t="s">
        <v>299</v>
      </c>
      <c r="G3621" t="s">
        <v>299</v>
      </c>
      <c r="H3621">
        <v>23</v>
      </c>
      <c r="I3621" s="30">
        <v>3.5879629629629629E-4</v>
      </c>
      <c r="J3621">
        <v>3</v>
      </c>
    </row>
    <row r="3622" spans="1:10" x14ac:dyDescent="0.35">
      <c r="A3622" t="s">
        <v>3993</v>
      </c>
      <c r="B3622" t="s">
        <v>307</v>
      </c>
      <c r="C3622" t="s">
        <v>3939</v>
      </c>
      <c r="D3622" s="30">
        <v>0.6790046296296296</v>
      </c>
      <c r="E3622" t="s">
        <v>317</v>
      </c>
      <c r="F3622" t="s">
        <v>299</v>
      </c>
      <c r="G3622" t="s">
        <v>299</v>
      </c>
      <c r="H3622">
        <v>54</v>
      </c>
      <c r="I3622" s="30">
        <v>5.4398148148148144E-4</v>
      </c>
      <c r="J3622">
        <v>2</v>
      </c>
    </row>
    <row r="3623" spans="1:10" x14ac:dyDescent="0.35">
      <c r="A3623" t="s">
        <v>3994</v>
      </c>
      <c r="B3623" t="s">
        <v>323</v>
      </c>
      <c r="C3623" t="s">
        <v>3939</v>
      </c>
      <c r="D3623" s="30">
        <v>0.6790046296296296</v>
      </c>
      <c r="E3623" t="s">
        <v>317</v>
      </c>
      <c r="F3623" t="s">
        <v>299</v>
      </c>
      <c r="G3623" t="s">
        <v>299</v>
      </c>
      <c r="H3623">
        <v>61</v>
      </c>
      <c r="I3623" s="30">
        <v>3.9814814814814817E-3</v>
      </c>
      <c r="J3623">
        <v>5</v>
      </c>
    </row>
    <row r="3624" spans="1:10" x14ac:dyDescent="0.35">
      <c r="A3624" t="s">
        <v>3995</v>
      </c>
      <c r="B3624" t="s">
        <v>296</v>
      </c>
      <c r="C3624" t="s">
        <v>3939</v>
      </c>
      <c r="D3624" s="30">
        <v>0.68799768518518523</v>
      </c>
      <c r="E3624" t="s">
        <v>302</v>
      </c>
      <c r="F3624" t="s">
        <v>299</v>
      </c>
      <c r="G3624" t="s">
        <v>299</v>
      </c>
      <c r="H3624">
        <v>62</v>
      </c>
      <c r="I3624" s="30">
        <v>2.8124999999999999E-3</v>
      </c>
      <c r="J3624">
        <v>4</v>
      </c>
    </row>
    <row r="3625" spans="1:10" x14ac:dyDescent="0.35">
      <c r="A3625" t="s">
        <v>3996</v>
      </c>
      <c r="B3625" t="s">
        <v>323</v>
      </c>
      <c r="C3625" t="s">
        <v>3939</v>
      </c>
      <c r="D3625" s="30">
        <v>0.68799768518518523</v>
      </c>
      <c r="E3625" t="s">
        <v>309</v>
      </c>
      <c r="F3625" t="s">
        <v>299</v>
      </c>
      <c r="G3625" t="s">
        <v>299</v>
      </c>
      <c r="H3625">
        <v>105</v>
      </c>
      <c r="I3625" s="30">
        <v>4.1435185185185186E-3</v>
      </c>
      <c r="J3625">
        <v>4</v>
      </c>
    </row>
    <row r="3626" spans="1:10" x14ac:dyDescent="0.35">
      <c r="A3626" t="s">
        <v>3997</v>
      </c>
      <c r="B3626" t="s">
        <v>332</v>
      </c>
      <c r="C3626" t="s">
        <v>3939</v>
      </c>
      <c r="D3626" s="30">
        <v>0.69200231481481478</v>
      </c>
      <c r="E3626" t="s">
        <v>298</v>
      </c>
      <c r="F3626" t="s">
        <v>303</v>
      </c>
      <c r="G3626" t="s">
        <v>303</v>
      </c>
    </row>
    <row r="3627" spans="1:10" x14ac:dyDescent="0.35">
      <c r="A3627" t="s">
        <v>3998</v>
      </c>
      <c r="B3627" t="s">
        <v>301</v>
      </c>
      <c r="C3627" t="s">
        <v>3939</v>
      </c>
      <c r="D3627" s="30">
        <v>0.69200231481481478</v>
      </c>
      <c r="E3627" t="s">
        <v>298</v>
      </c>
      <c r="F3627" t="s">
        <v>299</v>
      </c>
      <c r="G3627" t="s">
        <v>299</v>
      </c>
      <c r="H3627">
        <v>83</v>
      </c>
      <c r="I3627" s="30">
        <v>4.0740740740740737E-3</v>
      </c>
      <c r="J3627">
        <v>4</v>
      </c>
    </row>
    <row r="3628" spans="1:10" x14ac:dyDescent="0.35">
      <c r="A3628" t="s">
        <v>3999</v>
      </c>
      <c r="B3628" t="s">
        <v>332</v>
      </c>
      <c r="C3628" t="s">
        <v>3939</v>
      </c>
      <c r="D3628" s="30">
        <v>0.70599537037037041</v>
      </c>
      <c r="E3628" t="s">
        <v>317</v>
      </c>
      <c r="F3628" t="s">
        <v>299</v>
      </c>
      <c r="G3628" t="s">
        <v>299</v>
      </c>
      <c r="H3628">
        <v>31</v>
      </c>
      <c r="I3628" s="30">
        <v>1.9560185185185184E-3</v>
      </c>
      <c r="J3628">
        <v>4</v>
      </c>
    </row>
    <row r="3629" spans="1:10" x14ac:dyDescent="0.35">
      <c r="A3629" t="s">
        <v>4000</v>
      </c>
      <c r="B3629" t="s">
        <v>316</v>
      </c>
      <c r="C3629" t="s">
        <v>3939</v>
      </c>
      <c r="D3629" s="30">
        <v>0.70599537037037041</v>
      </c>
      <c r="E3629" t="s">
        <v>309</v>
      </c>
      <c r="F3629" t="s">
        <v>299</v>
      </c>
      <c r="G3629" t="s">
        <v>303</v>
      </c>
      <c r="H3629">
        <v>57</v>
      </c>
      <c r="I3629" s="30">
        <v>3.4375E-3</v>
      </c>
      <c r="J3629">
        <v>1</v>
      </c>
    </row>
    <row r="3630" spans="1:10" x14ac:dyDescent="0.35">
      <c r="A3630" t="s">
        <v>4001</v>
      </c>
      <c r="B3630" t="s">
        <v>307</v>
      </c>
      <c r="C3630" t="s">
        <v>3939</v>
      </c>
      <c r="D3630" s="30">
        <v>0.71900462962962963</v>
      </c>
      <c r="E3630" t="s">
        <v>298</v>
      </c>
      <c r="F3630" t="s">
        <v>299</v>
      </c>
      <c r="G3630" t="s">
        <v>299</v>
      </c>
      <c r="H3630">
        <v>54</v>
      </c>
      <c r="I3630" s="30">
        <v>2.9976851851851853E-3</v>
      </c>
      <c r="J3630">
        <v>5</v>
      </c>
    </row>
    <row r="3631" spans="1:10" x14ac:dyDescent="0.35">
      <c r="A3631" t="s">
        <v>4002</v>
      </c>
      <c r="B3631" t="s">
        <v>316</v>
      </c>
      <c r="C3631" t="s">
        <v>3939</v>
      </c>
      <c r="D3631" s="30">
        <v>0.71900462962962963</v>
      </c>
      <c r="E3631" t="s">
        <v>298</v>
      </c>
      <c r="F3631" t="s">
        <v>299</v>
      </c>
      <c r="G3631" t="s">
        <v>303</v>
      </c>
      <c r="H3631">
        <v>91</v>
      </c>
      <c r="I3631" s="30">
        <v>3.9814814814814817E-3</v>
      </c>
      <c r="J3631">
        <v>5</v>
      </c>
    </row>
    <row r="3632" spans="1:10" x14ac:dyDescent="0.35">
      <c r="A3632" t="s">
        <v>4003</v>
      </c>
      <c r="B3632" t="s">
        <v>323</v>
      </c>
      <c r="C3632" t="s">
        <v>3939</v>
      </c>
      <c r="D3632" s="30">
        <v>0.72400462962962964</v>
      </c>
      <c r="E3632" t="s">
        <v>298</v>
      </c>
      <c r="F3632" t="s">
        <v>299</v>
      </c>
      <c r="G3632" t="s">
        <v>299</v>
      </c>
      <c r="H3632">
        <v>96</v>
      </c>
      <c r="I3632" s="30">
        <v>5.0925925925925921E-4</v>
      </c>
      <c r="J3632">
        <v>1</v>
      </c>
    </row>
    <row r="3633" spans="1:10" x14ac:dyDescent="0.35">
      <c r="A3633" t="s">
        <v>4004</v>
      </c>
      <c r="B3633" t="s">
        <v>305</v>
      </c>
      <c r="C3633" t="s">
        <v>3939</v>
      </c>
      <c r="D3633" s="30">
        <v>0.72400462962962964</v>
      </c>
      <c r="E3633" t="s">
        <v>302</v>
      </c>
      <c r="F3633" t="s">
        <v>303</v>
      </c>
      <c r="G3633" t="s">
        <v>303</v>
      </c>
    </row>
    <row r="3634" spans="1:10" x14ac:dyDescent="0.35">
      <c r="A3634" t="s">
        <v>4005</v>
      </c>
      <c r="B3634" t="s">
        <v>301</v>
      </c>
      <c r="C3634" t="s">
        <v>3939</v>
      </c>
      <c r="D3634" s="30">
        <v>0.72599537037037032</v>
      </c>
      <c r="E3634" t="s">
        <v>314</v>
      </c>
      <c r="F3634" t="s">
        <v>299</v>
      </c>
      <c r="G3634" t="s">
        <v>299</v>
      </c>
      <c r="H3634">
        <v>46</v>
      </c>
      <c r="I3634" s="30">
        <v>3.1481481481481482E-3</v>
      </c>
      <c r="J3634">
        <v>4</v>
      </c>
    </row>
    <row r="3635" spans="1:10" x14ac:dyDescent="0.35">
      <c r="A3635" t="s">
        <v>4006</v>
      </c>
      <c r="B3635" t="s">
        <v>323</v>
      </c>
      <c r="C3635" t="s">
        <v>3939</v>
      </c>
      <c r="D3635" s="30">
        <v>0.72599537037037032</v>
      </c>
      <c r="E3635" t="s">
        <v>314</v>
      </c>
      <c r="F3635" t="s">
        <v>299</v>
      </c>
      <c r="G3635" t="s">
        <v>299</v>
      </c>
      <c r="H3635">
        <v>94</v>
      </c>
      <c r="I3635" s="30">
        <v>3.6458333333333334E-3</v>
      </c>
      <c r="J3635">
        <v>4</v>
      </c>
    </row>
    <row r="3636" spans="1:10" x14ac:dyDescent="0.35">
      <c r="A3636" t="s">
        <v>4007</v>
      </c>
      <c r="B3636" t="s">
        <v>301</v>
      </c>
      <c r="C3636" t="s">
        <v>3939</v>
      </c>
      <c r="D3636" s="30">
        <v>0.73599537037037033</v>
      </c>
      <c r="E3636" t="s">
        <v>317</v>
      </c>
      <c r="F3636" t="s">
        <v>299</v>
      </c>
      <c r="G3636" t="s">
        <v>299</v>
      </c>
      <c r="H3636">
        <v>48</v>
      </c>
      <c r="I3636" s="30">
        <v>4.1087962962962962E-3</v>
      </c>
      <c r="J3636">
        <v>4</v>
      </c>
    </row>
    <row r="3637" spans="1:10" x14ac:dyDescent="0.35">
      <c r="A3637" t="s">
        <v>4008</v>
      </c>
      <c r="B3637" t="s">
        <v>316</v>
      </c>
      <c r="C3637" t="s">
        <v>3939</v>
      </c>
      <c r="D3637" s="30">
        <v>0.73599537037037033</v>
      </c>
      <c r="E3637" t="s">
        <v>302</v>
      </c>
      <c r="F3637" t="s">
        <v>299</v>
      </c>
      <c r="G3637" t="s">
        <v>299</v>
      </c>
      <c r="H3637">
        <v>38</v>
      </c>
      <c r="I3637" s="30">
        <v>2.5925925925925925E-3</v>
      </c>
      <c r="J3637">
        <v>3</v>
      </c>
    </row>
    <row r="3638" spans="1:10" x14ac:dyDescent="0.35">
      <c r="A3638" t="s">
        <v>4009</v>
      </c>
      <c r="B3638" t="s">
        <v>301</v>
      </c>
      <c r="C3638" t="s">
        <v>4010</v>
      </c>
      <c r="D3638" s="30">
        <v>0.43400462962962966</v>
      </c>
      <c r="E3638" t="s">
        <v>309</v>
      </c>
      <c r="F3638" t="s">
        <v>299</v>
      </c>
      <c r="G3638" t="s">
        <v>303</v>
      </c>
      <c r="H3638">
        <v>98</v>
      </c>
      <c r="I3638" s="30">
        <v>6.8287037037037036E-4</v>
      </c>
      <c r="J3638">
        <v>5</v>
      </c>
    </row>
    <row r="3639" spans="1:10" x14ac:dyDescent="0.35">
      <c r="A3639" t="s">
        <v>4011</v>
      </c>
      <c r="B3639" t="s">
        <v>301</v>
      </c>
      <c r="C3639" t="s">
        <v>4010</v>
      </c>
      <c r="D3639" s="30">
        <v>0.43400462962962966</v>
      </c>
      <c r="E3639" t="s">
        <v>314</v>
      </c>
      <c r="F3639" t="s">
        <v>299</v>
      </c>
      <c r="G3639" t="s">
        <v>299</v>
      </c>
      <c r="H3639">
        <v>59</v>
      </c>
      <c r="I3639" s="30">
        <v>3.7268518518518519E-3</v>
      </c>
      <c r="J3639">
        <v>5</v>
      </c>
    </row>
    <row r="3640" spans="1:10" x14ac:dyDescent="0.35">
      <c r="A3640" t="s">
        <v>4012</v>
      </c>
      <c r="B3640" t="s">
        <v>296</v>
      </c>
      <c r="C3640" t="s">
        <v>4010</v>
      </c>
      <c r="D3640" s="30">
        <v>0.44900462962962961</v>
      </c>
      <c r="E3640" t="s">
        <v>302</v>
      </c>
      <c r="F3640" t="s">
        <v>299</v>
      </c>
      <c r="G3640" t="s">
        <v>299</v>
      </c>
      <c r="H3640">
        <v>18</v>
      </c>
      <c r="I3640" s="30">
        <v>2.9513888888888888E-3</v>
      </c>
      <c r="J3640">
        <v>4</v>
      </c>
    </row>
    <row r="3641" spans="1:10" x14ac:dyDescent="0.35">
      <c r="A3641" t="s">
        <v>4013</v>
      </c>
      <c r="B3641" t="s">
        <v>296</v>
      </c>
      <c r="C3641" t="s">
        <v>4010</v>
      </c>
      <c r="D3641" s="30">
        <v>0.44900462962962961</v>
      </c>
      <c r="E3641" t="s">
        <v>317</v>
      </c>
      <c r="F3641" t="s">
        <v>299</v>
      </c>
      <c r="G3641" t="s">
        <v>299</v>
      </c>
      <c r="H3641">
        <v>118</v>
      </c>
      <c r="I3641" s="30">
        <v>4.7453703703703698E-4</v>
      </c>
      <c r="J3641">
        <v>2</v>
      </c>
    </row>
    <row r="3642" spans="1:10" x14ac:dyDescent="0.35">
      <c r="A3642" t="s">
        <v>4014</v>
      </c>
      <c r="B3642" t="s">
        <v>307</v>
      </c>
      <c r="C3642" t="s">
        <v>4010</v>
      </c>
      <c r="D3642" s="30">
        <v>0.45299768518518518</v>
      </c>
      <c r="E3642" t="s">
        <v>309</v>
      </c>
      <c r="F3642" t="s">
        <v>299</v>
      </c>
      <c r="G3642" t="s">
        <v>299</v>
      </c>
      <c r="H3642">
        <v>97</v>
      </c>
      <c r="I3642" s="30">
        <v>3.9351851851851852E-4</v>
      </c>
      <c r="J3642">
        <v>4</v>
      </c>
    </row>
    <row r="3643" spans="1:10" x14ac:dyDescent="0.35">
      <c r="A3643" t="s">
        <v>4015</v>
      </c>
      <c r="B3643" t="s">
        <v>316</v>
      </c>
      <c r="C3643" t="s">
        <v>4010</v>
      </c>
      <c r="D3643" s="30">
        <v>0.45299768518518518</v>
      </c>
      <c r="E3643" t="s">
        <v>302</v>
      </c>
      <c r="F3643" t="s">
        <v>299</v>
      </c>
      <c r="G3643" t="s">
        <v>299</v>
      </c>
      <c r="H3643">
        <v>41</v>
      </c>
      <c r="I3643" s="30">
        <v>2.7777777777777779E-3</v>
      </c>
      <c r="J3643">
        <v>3</v>
      </c>
    </row>
    <row r="3644" spans="1:10" x14ac:dyDescent="0.35">
      <c r="A3644" t="s">
        <v>4016</v>
      </c>
      <c r="B3644" t="s">
        <v>307</v>
      </c>
      <c r="C3644" t="s">
        <v>4010</v>
      </c>
      <c r="D3644" s="30">
        <v>0.46900462962962963</v>
      </c>
      <c r="E3644" t="s">
        <v>317</v>
      </c>
      <c r="F3644" t="s">
        <v>299</v>
      </c>
      <c r="G3644" t="s">
        <v>299</v>
      </c>
      <c r="H3644">
        <v>24</v>
      </c>
      <c r="I3644" s="30">
        <v>3.2754629629629631E-3</v>
      </c>
      <c r="J3644">
        <v>3</v>
      </c>
    </row>
    <row r="3645" spans="1:10" x14ac:dyDescent="0.35">
      <c r="A3645" t="s">
        <v>4017</v>
      </c>
      <c r="B3645" t="s">
        <v>301</v>
      </c>
      <c r="C3645" t="s">
        <v>4010</v>
      </c>
      <c r="D3645" s="30">
        <v>0.46900462962962963</v>
      </c>
      <c r="E3645" t="s">
        <v>317</v>
      </c>
      <c r="F3645" t="s">
        <v>299</v>
      </c>
      <c r="G3645" t="s">
        <v>299</v>
      </c>
      <c r="H3645">
        <v>112</v>
      </c>
      <c r="I3645" s="30">
        <v>6.8287037037037036E-4</v>
      </c>
      <c r="J3645">
        <v>3</v>
      </c>
    </row>
    <row r="3646" spans="1:10" x14ac:dyDescent="0.35">
      <c r="A3646" t="s">
        <v>4018</v>
      </c>
      <c r="B3646" t="s">
        <v>323</v>
      </c>
      <c r="C3646" t="s">
        <v>4010</v>
      </c>
      <c r="D3646" s="30">
        <v>0.47499999999999998</v>
      </c>
      <c r="E3646" t="s">
        <v>302</v>
      </c>
      <c r="F3646" t="s">
        <v>299</v>
      </c>
      <c r="G3646" t="s">
        <v>299</v>
      </c>
      <c r="H3646">
        <v>104</v>
      </c>
      <c r="I3646" s="30">
        <v>1.7939814814814815E-3</v>
      </c>
      <c r="J3646">
        <v>2</v>
      </c>
    </row>
    <row r="3647" spans="1:10" x14ac:dyDescent="0.35">
      <c r="A3647" t="s">
        <v>4019</v>
      </c>
      <c r="B3647" t="s">
        <v>296</v>
      </c>
      <c r="C3647" t="s">
        <v>4010</v>
      </c>
      <c r="D3647" s="30">
        <v>0.47499999999999998</v>
      </c>
      <c r="E3647" t="s">
        <v>309</v>
      </c>
      <c r="F3647" t="s">
        <v>299</v>
      </c>
      <c r="G3647" t="s">
        <v>303</v>
      </c>
      <c r="H3647">
        <v>117</v>
      </c>
      <c r="I3647" s="30">
        <v>1.5162037037037036E-3</v>
      </c>
      <c r="J3647">
        <v>4</v>
      </c>
    </row>
    <row r="3648" spans="1:10" x14ac:dyDescent="0.35">
      <c r="A3648" t="s">
        <v>4020</v>
      </c>
      <c r="B3648" t="s">
        <v>316</v>
      </c>
      <c r="C3648" t="s">
        <v>4010</v>
      </c>
      <c r="D3648" s="30">
        <v>0.48900462962962965</v>
      </c>
      <c r="E3648" t="s">
        <v>302</v>
      </c>
      <c r="F3648" t="s">
        <v>299</v>
      </c>
      <c r="G3648" t="s">
        <v>299</v>
      </c>
      <c r="H3648">
        <v>51</v>
      </c>
      <c r="I3648" s="30">
        <v>3.0324074074074073E-3</v>
      </c>
      <c r="J3648">
        <v>4</v>
      </c>
    </row>
    <row r="3649" spans="1:10" x14ac:dyDescent="0.35">
      <c r="A3649" t="s">
        <v>4021</v>
      </c>
      <c r="B3649" t="s">
        <v>301</v>
      </c>
      <c r="C3649" t="s">
        <v>4010</v>
      </c>
      <c r="D3649" s="30">
        <v>0.48900462962962965</v>
      </c>
      <c r="E3649" t="s">
        <v>314</v>
      </c>
      <c r="F3649" t="s">
        <v>299</v>
      </c>
      <c r="G3649" t="s">
        <v>299</v>
      </c>
      <c r="H3649">
        <v>62</v>
      </c>
      <c r="I3649" s="30">
        <v>4.1550925925925922E-3</v>
      </c>
      <c r="J3649">
        <v>4</v>
      </c>
    </row>
    <row r="3650" spans="1:10" x14ac:dyDescent="0.35">
      <c r="A3650" t="s">
        <v>4022</v>
      </c>
      <c r="B3650" t="s">
        <v>296</v>
      </c>
      <c r="C3650" t="s">
        <v>4010</v>
      </c>
      <c r="D3650" s="30">
        <v>0.50799768518518518</v>
      </c>
      <c r="E3650" t="s">
        <v>309</v>
      </c>
      <c r="F3650" t="s">
        <v>303</v>
      </c>
      <c r="G3650" t="s">
        <v>303</v>
      </c>
    </row>
    <row r="3651" spans="1:10" x14ac:dyDescent="0.35">
      <c r="A3651" t="s">
        <v>4023</v>
      </c>
      <c r="B3651" t="s">
        <v>305</v>
      </c>
      <c r="C3651" t="s">
        <v>4010</v>
      </c>
      <c r="D3651" s="30">
        <v>0.50799768518518518</v>
      </c>
      <c r="E3651" t="s">
        <v>302</v>
      </c>
      <c r="F3651" t="s">
        <v>299</v>
      </c>
      <c r="G3651" t="s">
        <v>299</v>
      </c>
      <c r="H3651">
        <v>56</v>
      </c>
      <c r="I3651" s="30">
        <v>2.9976851851851853E-3</v>
      </c>
      <c r="J3651">
        <v>4</v>
      </c>
    </row>
    <row r="3652" spans="1:10" x14ac:dyDescent="0.35">
      <c r="A3652" t="s">
        <v>4024</v>
      </c>
      <c r="B3652" t="s">
        <v>319</v>
      </c>
      <c r="C3652" t="s">
        <v>4010</v>
      </c>
      <c r="D3652" s="30">
        <v>0.52200231481481485</v>
      </c>
      <c r="E3652" t="s">
        <v>298</v>
      </c>
      <c r="F3652" t="s">
        <v>299</v>
      </c>
      <c r="G3652" t="s">
        <v>299</v>
      </c>
      <c r="H3652">
        <v>72</v>
      </c>
      <c r="I3652" s="30">
        <v>1.0995370370370371E-3</v>
      </c>
      <c r="J3652">
        <v>4</v>
      </c>
    </row>
    <row r="3653" spans="1:10" x14ac:dyDescent="0.35">
      <c r="A3653" t="s">
        <v>4025</v>
      </c>
      <c r="B3653" t="s">
        <v>316</v>
      </c>
      <c r="C3653" t="s">
        <v>4010</v>
      </c>
      <c r="D3653" s="30">
        <v>0.52200231481481485</v>
      </c>
      <c r="E3653" t="s">
        <v>302</v>
      </c>
      <c r="F3653" t="s">
        <v>299</v>
      </c>
      <c r="G3653" t="s">
        <v>299</v>
      </c>
      <c r="H3653">
        <v>115</v>
      </c>
      <c r="I3653" s="30">
        <v>3.3449074074074076E-3</v>
      </c>
      <c r="J3653">
        <v>1</v>
      </c>
    </row>
    <row r="3654" spans="1:10" x14ac:dyDescent="0.35">
      <c r="A3654" t="s">
        <v>4026</v>
      </c>
      <c r="B3654" t="s">
        <v>319</v>
      </c>
      <c r="C3654" t="s">
        <v>4010</v>
      </c>
      <c r="D3654" s="30">
        <v>0.52900462962962957</v>
      </c>
      <c r="E3654" t="s">
        <v>314</v>
      </c>
      <c r="F3654" t="s">
        <v>299</v>
      </c>
      <c r="G3654" t="s">
        <v>303</v>
      </c>
      <c r="H3654">
        <v>118</v>
      </c>
      <c r="I3654" s="30">
        <v>2.0833333333333333E-3</v>
      </c>
      <c r="J3654">
        <v>3</v>
      </c>
    </row>
    <row r="3655" spans="1:10" x14ac:dyDescent="0.35">
      <c r="A3655" t="s">
        <v>4027</v>
      </c>
      <c r="B3655" t="s">
        <v>305</v>
      </c>
      <c r="C3655" t="s">
        <v>4010</v>
      </c>
      <c r="D3655" s="30">
        <v>0.52900462962962957</v>
      </c>
      <c r="E3655" t="s">
        <v>309</v>
      </c>
      <c r="F3655" t="s">
        <v>299</v>
      </c>
      <c r="G3655" t="s">
        <v>299</v>
      </c>
      <c r="H3655">
        <v>98</v>
      </c>
      <c r="I3655" s="30">
        <v>1.7476851851851852E-3</v>
      </c>
      <c r="J3655">
        <v>3</v>
      </c>
    </row>
    <row r="3656" spans="1:10" x14ac:dyDescent="0.35">
      <c r="A3656" t="s">
        <v>4028</v>
      </c>
      <c r="B3656" t="s">
        <v>296</v>
      </c>
      <c r="C3656" t="s">
        <v>4010</v>
      </c>
      <c r="D3656" s="30">
        <v>0.5329976851851852</v>
      </c>
      <c r="E3656" t="s">
        <v>317</v>
      </c>
      <c r="F3656" t="s">
        <v>299</v>
      </c>
      <c r="G3656" t="s">
        <v>299</v>
      </c>
      <c r="H3656">
        <v>112</v>
      </c>
      <c r="I3656" s="30">
        <v>1.238425925925926E-3</v>
      </c>
      <c r="J3656">
        <v>4</v>
      </c>
    </row>
    <row r="3657" spans="1:10" x14ac:dyDescent="0.35">
      <c r="A3657" t="s">
        <v>4029</v>
      </c>
      <c r="B3657" t="s">
        <v>305</v>
      </c>
      <c r="C3657" t="s">
        <v>4010</v>
      </c>
      <c r="D3657" s="30">
        <v>0.5329976851851852</v>
      </c>
      <c r="E3657" t="s">
        <v>302</v>
      </c>
      <c r="F3657" t="s">
        <v>299</v>
      </c>
      <c r="G3657" t="s">
        <v>299</v>
      </c>
      <c r="H3657">
        <v>75</v>
      </c>
      <c r="I3657" s="30">
        <v>2.3495370370370371E-3</v>
      </c>
      <c r="J3657">
        <v>1</v>
      </c>
    </row>
    <row r="3658" spans="1:10" x14ac:dyDescent="0.35">
      <c r="A3658" t="s">
        <v>4030</v>
      </c>
      <c r="B3658" t="s">
        <v>301</v>
      </c>
      <c r="C3658" t="s">
        <v>4010</v>
      </c>
      <c r="D3658" s="30">
        <v>0.53500000000000003</v>
      </c>
      <c r="E3658" t="s">
        <v>309</v>
      </c>
      <c r="F3658" t="s">
        <v>299</v>
      </c>
      <c r="G3658" t="s">
        <v>299</v>
      </c>
      <c r="H3658">
        <v>34</v>
      </c>
      <c r="I3658" s="30">
        <v>1.3078703703703703E-3</v>
      </c>
      <c r="J3658">
        <v>3</v>
      </c>
    </row>
    <row r="3659" spans="1:10" x14ac:dyDescent="0.35">
      <c r="A3659" t="s">
        <v>4031</v>
      </c>
      <c r="B3659" t="s">
        <v>316</v>
      </c>
      <c r="C3659" t="s">
        <v>4010</v>
      </c>
      <c r="D3659" s="30">
        <v>0.53500000000000003</v>
      </c>
      <c r="E3659" t="s">
        <v>314</v>
      </c>
      <c r="F3659" t="s">
        <v>303</v>
      </c>
      <c r="G3659" t="s">
        <v>303</v>
      </c>
    </row>
    <row r="3660" spans="1:10" x14ac:dyDescent="0.35">
      <c r="A3660" t="s">
        <v>4032</v>
      </c>
      <c r="B3660" t="s">
        <v>305</v>
      </c>
      <c r="C3660" t="s">
        <v>4010</v>
      </c>
      <c r="D3660" s="30">
        <v>0.56000000000000005</v>
      </c>
      <c r="E3660" t="s">
        <v>309</v>
      </c>
      <c r="F3660" t="s">
        <v>299</v>
      </c>
      <c r="G3660" t="s">
        <v>299</v>
      </c>
      <c r="H3660">
        <v>111</v>
      </c>
      <c r="I3660" s="30">
        <v>3.8194444444444443E-3</v>
      </c>
      <c r="J3660">
        <v>4</v>
      </c>
    </row>
    <row r="3661" spans="1:10" x14ac:dyDescent="0.35">
      <c r="A3661" t="s">
        <v>4033</v>
      </c>
      <c r="B3661" t="s">
        <v>323</v>
      </c>
      <c r="C3661" t="s">
        <v>4010</v>
      </c>
      <c r="D3661" s="30">
        <v>0.56000000000000005</v>
      </c>
      <c r="E3661" t="s">
        <v>317</v>
      </c>
      <c r="F3661" t="s">
        <v>299</v>
      </c>
      <c r="G3661" t="s">
        <v>299</v>
      </c>
      <c r="H3661">
        <v>81</v>
      </c>
      <c r="I3661" s="30">
        <v>2.0254629629629629E-3</v>
      </c>
      <c r="J3661">
        <v>4</v>
      </c>
    </row>
    <row r="3662" spans="1:10" x14ac:dyDescent="0.35">
      <c r="A3662" t="s">
        <v>4034</v>
      </c>
      <c r="B3662" t="s">
        <v>319</v>
      </c>
      <c r="C3662" t="s">
        <v>4010</v>
      </c>
      <c r="D3662" s="30">
        <v>0.5709953703703704</v>
      </c>
      <c r="E3662" t="s">
        <v>302</v>
      </c>
      <c r="F3662" t="s">
        <v>299</v>
      </c>
      <c r="G3662" t="s">
        <v>299</v>
      </c>
      <c r="H3662">
        <v>16</v>
      </c>
      <c r="I3662" s="30">
        <v>1.8287037037037037E-3</v>
      </c>
      <c r="J3662">
        <v>3</v>
      </c>
    </row>
    <row r="3663" spans="1:10" x14ac:dyDescent="0.35">
      <c r="A3663" t="s">
        <v>4035</v>
      </c>
      <c r="B3663" t="s">
        <v>332</v>
      </c>
      <c r="C3663" t="s">
        <v>4010</v>
      </c>
      <c r="D3663" s="30">
        <v>0.5709953703703704</v>
      </c>
      <c r="E3663" t="s">
        <v>309</v>
      </c>
      <c r="F3663" t="s">
        <v>299</v>
      </c>
      <c r="G3663" t="s">
        <v>299</v>
      </c>
      <c r="H3663">
        <v>75</v>
      </c>
      <c r="I3663" s="30">
        <v>2.2337962962962962E-3</v>
      </c>
      <c r="J3663">
        <v>3</v>
      </c>
    </row>
    <row r="3664" spans="1:10" x14ac:dyDescent="0.35">
      <c r="A3664" t="s">
        <v>4036</v>
      </c>
      <c r="B3664" t="s">
        <v>301</v>
      </c>
      <c r="C3664" t="s">
        <v>4010</v>
      </c>
      <c r="D3664" s="30">
        <v>0.59299768518518514</v>
      </c>
      <c r="E3664" t="s">
        <v>317</v>
      </c>
      <c r="F3664" t="s">
        <v>299</v>
      </c>
      <c r="G3664" t="s">
        <v>299</v>
      </c>
      <c r="H3664">
        <v>11</v>
      </c>
      <c r="I3664" s="30">
        <v>4.7222222222222223E-3</v>
      </c>
      <c r="J3664">
        <v>4</v>
      </c>
    </row>
    <row r="3665" spans="1:10" x14ac:dyDescent="0.35">
      <c r="A3665" t="s">
        <v>4037</v>
      </c>
      <c r="B3665" t="s">
        <v>332</v>
      </c>
      <c r="C3665" t="s">
        <v>4010</v>
      </c>
      <c r="D3665" s="30">
        <v>0.59299768518518514</v>
      </c>
      <c r="E3665" t="s">
        <v>309</v>
      </c>
      <c r="F3665" t="s">
        <v>299</v>
      </c>
      <c r="G3665" t="s">
        <v>299</v>
      </c>
      <c r="H3665">
        <v>65</v>
      </c>
      <c r="I3665" s="30">
        <v>3.2870370370370371E-3</v>
      </c>
      <c r="J3665">
        <v>3</v>
      </c>
    </row>
    <row r="3666" spans="1:10" x14ac:dyDescent="0.35">
      <c r="A3666" t="s">
        <v>4038</v>
      </c>
      <c r="B3666" t="s">
        <v>305</v>
      </c>
      <c r="C3666" t="s">
        <v>4010</v>
      </c>
      <c r="D3666" s="30">
        <v>0.59900462962962964</v>
      </c>
      <c r="E3666" t="s">
        <v>298</v>
      </c>
      <c r="F3666" t="s">
        <v>299</v>
      </c>
      <c r="G3666" t="s">
        <v>299</v>
      </c>
      <c r="H3666">
        <v>36</v>
      </c>
      <c r="I3666" s="30">
        <v>2.9398148148148148E-3</v>
      </c>
      <c r="J3666">
        <v>3</v>
      </c>
    </row>
    <row r="3667" spans="1:10" x14ac:dyDescent="0.35">
      <c r="A3667" t="s">
        <v>4039</v>
      </c>
      <c r="B3667" t="s">
        <v>316</v>
      </c>
      <c r="C3667" t="s">
        <v>4010</v>
      </c>
      <c r="D3667" s="30">
        <v>0.59900462962962964</v>
      </c>
      <c r="E3667" t="s">
        <v>309</v>
      </c>
      <c r="F3667" t="s">
        <v>299</v>
      </c>
      <c r="G3667" t="s">
        <v>299</v>
      </c>
      <c r="H3667">
        <v>28</v>
      </c>
      <c r="I3667" s="30">
        <v>2.5115740740740741E-3</v>
      </c>
      <c r="J3667">
        <v>2</v>
      </c>
    </row>
    <row r="3668" spans="1:10" x14ac:dyDescent="0.35">
      <c r="A3668" t="s">
        <v>4040</v>
      </c>
      <c r="B3668" t="s">
        <v>316</v>
      </c>
      <c r="C3668" t="s">
        <v>4010</v>
      </c>
      <c r="D3668" s="30">
        <v>0.63599537037037035</v>
      </c>
      <c r="E3668" t="s">
        <v>314</v>
      </c>
      <c r="F3668" t="s">
        <v>299</v>
      </c>
      <c r="G3668" t="s">
        <v>299</v>
      </c>
      <c r="H3668">
        <v>34</v>
      </c>
      <c r="I3668" s="30">
        <v>3.0555555555555557E-3</v>
      </c>
      <c r="J3668">
        <v>4</v>
      </c>
    </row>
    <row r="3669" spans="1:10" x14ac:dyDescent="0.35">
      <c r="A3669" t="s">
        <v>4041</v>
      </c>
      <c r="B3669" t="s">
        <v>301</v>
      </c>
      <c r="C3669" t="s">
        <v>4010</v>
      </c>
      <c r="D3669" s="30">
        <v>0.63599537037037035</v>
      </c>
      <c r="E3669" t="s">
        <v>317</v>
      </c>
      <c r="F3669" t="s">
        <v>303</v>
      </c>
      <c r="G3669" t="s">
        <v>303</v>
      </c>
    </row>
    <row r="3670" spans="1:10" x14ac:dyDescent="0.35">
      <c r="A3670" t="s">
        <v>4042</v>
      </c>
      <c r="B3670" t="s">
        <v>301</v>
      </c>
      <c r="C3670" t="s">
        <v>4010</v>
      </c>
      <c r="D3670" s="30">
        <v>0.66099537037037037</v>
      </c>
      <c r="E3670" t="s">
        <v>317</v>
      </c>
      <c r="F3670" t="s">
        <v>299</v>
      </c>
      <c r="G3670" t="s">
        <v>299</v>
      </c>
      <c r="H3670">
        <v>105</v>
      </c>
      <c r="I3670" s="30">
        <v>2.4305555555555556E-3</v>
      </c>
      <c r="J3670">
        <v>4</v>
      </c>
    </row>
    <row r="3671" spans="1:10" x14ac:dyDescent="0.35">
      <c r="A3671" t="s">
        <v>4043</v>
      </c>
      <c r="B3671" t="s">
        <v>305</v>
      </c>
      <c r="C3671" t="s">
        <v>4010</v>
      </c>
      <c r="D3671" s="30">
        <v>0.66099537037037037</v>
      </c>
      <c r="E3671" t="s">
        <v>309</v>
      </c>
      <c r="F3671" t="s">
        <v>303</v>
      </c>
      <c r="G3671" t="s">
        <v>303</v>
      </c>
    </row>
    <row r="3672" spans="1:10" x14ac:dyDescent="0.35">
      <c r="A3672" t="s">
        <v>4044</v>
      </c>
      <c r="B3672" t="s">
        <v>305</v>
      </c>
      <c r="C3672" t="s">
        <v>4010</v>
      </c>
      <c r="D3672" s="30">
        <v>0.6629976851851852</v>
      </c>
      <c r="E3672" t="s">
        <v>298</v>
      </c>
      <c r="F3672" t="s">
        <v>299</v>
      </c>
      <c r="G3672" t="s">
        <v>299</v>
      </c>
      <c r="H3672">
        <v>23</v>
      </c>
      <c r="I3672" s="30">
        <v>9.0277777777777774E-4</v>
      </c>
      <c r="J3672">
        <v>1</v>
      </c>
    </row>
    <row r="3673" spans="1:10" x14ac:dyDescent="0.35">
      <c r="A3673" t="s">
        <v>4045</v>
      </c>
      <c r="B3673" t="s">
        <v>305</v>
      </c>
      <c r="C3673" t="s">
        <v>4010</v>
      </c>
      <c r="D3673" s="30">
        <v>0.6629976851851852</v>
      </c>
      <c r="E3673" t="s">
        <v>317</v>
      </c>
      <c r="F3673" t="s">
        <v>299</v>
      </c>
      <c r="G3673" t="s">
        <v>303</v>
      </c>
      <c r="H3673">
        <v>74</v>
      </c>
      <c r="I3673" s="30">
        <v>2.4421296296296296E-3</v>
      </c>
      <c r="J3673">
        <v>1</v>
      </c>
    </row>
    <row r="3674" spans="1:10" x14ac:dyDescent="0.35">
      <c r="A3674" t="s">
        <v>4046</v>
      </c>
      <c r="B3674" t="s">
        <v>305</v>
      </c>
      <c r="C3674" t="s">
        <v>4010</v>
      </c>
      <c r="D3674" s="30">
        <v>0.67400462962962959</v>
      </c>
      <c r="E3674" t="s">
        <v>298</v>
      </c>
      <c r="F3674" t="s">
        <v>299</v>
      </c>
      <c r="G3674" t="s">
        <v>299</v>
      </c>
      <c r="H3674">
        <v>19</v>
      </c>
      <c r="I3674" s="30">
        <v>3.5185185185185185E-3</v>
      </c>
      <c r="J3674">
        <v>4</v>
      </c>
    </row>
    <row r="3675" spans="1:10" x14ac:dyDescent="0.35">
      <c r="A3675" t="s">
        <v>4047</v>
      </c>
      <c r="B3675" t="s">
        <v>296</v>
      </c>
      <c r="C3675" t="s">
        <v>4010</v>
      </c>
      <c r="D3675" s="30">
        <v>0.67400462962962959</v>
      </c>
      <c r="E3675" t="s">
        <v>317</v>
      </c>
      <c r="F3675" t="s">
        <v>299</v>
      </c>
      <c r="G3675" t="s">
        <v>299</v>
      </c>
      <c r="H3675">
        <v>102</v>
      </c>
      <c r="I3675" s="30">
        <v>2.7893518518518519E-3</v>
      </c>
      <c r="J3675">
        <v>4</v>
      </c>
    </row>
    <row r="3676" spans="1:10" x14ac:dyDescent="0.35">
      <c r="A3676" t="s">
        <v>4048</v>
      </c>
      <c r="B3676" t="s">
        <v>319</v>
      </c>
      <c r="C3676" t="s">
        <v>4010</v>
      </c>
      <c r="D3676" s="30">
        <v>0.67599537037037039</v>
      </c>
      <c r="E3676" t="s">
        <v>317</v>
      </c>
      <c r="F3676" t="s">
        <v>299</v>
      </c>
      <c r="G3676" t="s">
        <v>303</v>
      </c>
      <c r="H3676">
        <v>16</v>
      </c>
      <c r="I3676" s="30">
        <v>2.8472222222222223E-3</v>
      </c>
      <c r="J3676">
        <v>3</v>
      </c>
    </row>
    <row r="3677" spans="1:10" x14ac:dyDescent="0.35">
      <c r="A3677" t="s">
        <v>4049</v>
      </c>
      <c r="B3677" t="s">
        <v>319</v>
      </c>
      <c r="C3677" t="s">
        <v>4010</v>
      </c>
      <c r="D3677" s="30">
        <v>0.67599537037037039</v>
      </c>
      <c r="E3677" t="s">
        <v>298</v>
      </c>
      <c r="F3677" t="s">
        <v>299</v>
      </c>
      <c r="G3677" t="s">
        <v>299</v>
      </c>
      <c r="H3677">
        <v>56</v>
      </c>
      <c r="I3677" s="30">
        <v>8.2175925925925927E-4</v>
      </c>
      <c r="J3677">
        <v>5</v>
      </c>
    </row>
    <row r="3678" spans="1:10" x14ac:dyDescent="0.35">
      <c r="A3678" t="s">
        <v>4050</v>
      </c>
      <c r="B3678" t="s">
        <v>319</v>
      </c>
      <c r="C3678" t="s">
        <v>4010</v>
      </c>
      <c r="D3678" s="30">
        <v>0.67799768518518522</v>
      </c>
      <c r="E3678" t="s">
        <v>317</v>
      </c>
      <c r="F3678" t="s">
        <v>299</v>
      </c>
      <c r="G3678" t="s">
        <v>299</v>
      </c>
      <c r="H3678">
        <v>22</v>
      </c>
      <c r="I3678" s="30">
        <v>2.662037037037037E-3</v>
      </c>
      <c r="J3678">
        <v>2</v>
      </c>
    </row>
    <row r="3679" spans="1:10" x14ac:dyDescent="0.35">
      <c r="A3679" t="s">
        <v>4051</v>
      </c>
      <c r="B3679" t="s">
        <v>319</v>
      </c>
      <c r="C3679" t="s">
        <v>4010</v>
      </c>
      <c r="D3679" s="30">
        <v>0.67799768518518522</v>
      </c>
      <c r="E3679" t="s">
        <v>302</v>
      </c>
      <c r="F3679" t="s">
        <v>299</v>
      </c>
      <c r="G3679" t="s">
        <v>299</v>
      </c>
      <c r="H3679">
        <v>68</v>
      </c>
      <c r="I3679" s="30">
        <v>3.1250000000000002E-3</v>
      </c>
      <c r="J3679">
        <v>4</v>
      </c>
    </row>
    <row r="3680" spans="1:10" x14ac:dyDescent="0.35">
      <c r="A3680" t="s">
        <v>4052</v>
      </c>
      <c r="B3680" t="s">
        <v>323</v>
      </c>
      <c r="C3680" t="s">
        <v>4010</v>
      </c>
      <c r="D3680" s="30">
        <v>0.68099537037037039</v>
      </c>
      <c r="E3680" t="s">
        <v>302</v>
      </c>
      <c r="F3680" t="s">
        <v>299</v>
      </c>
      <c r="G3680" t="s">
        <v>299</v>
      </c>
      <c r="H3680">
        <v>103</v>
      </c>
      <c r="I3680" s="30">
        <v>3.9351851851851848E-3</v>
      </c>
      <c r="J3680">
        <v>4</v>
      </c>
    </row>
    <row r="3681" spans="1:10" x14ac:dyDescent="0.35">
      <c r="A3681" t="s">
        <v>4053</v>
      </c>
      <c r="B3681" t="s">
        <v>319</v>
      </c>
      <c r="C3681" t="s">
        <v>4010</v>
      </c>
      <c r="D3681" s="30">
        <v>0.68099537037037039</v>
      </c>
      <c r="E3681" t="s">
        <v>302</v>
      </c>
      <c r="F3681" t="s">
        <v>303</v>
      </c>
      <c r="G3681" t="s">
        <v>303</v>
      </c>
    </row>
    <row r="3682" spans="1:10" x14ac:dyDescent="0.35">
      <c r="A3682" t="s">
        <v>4054</v>
      </c>
      <c r="B3682" t="s">
        <v>305</v>
      </c>
      <c r="C3682" t="s">
        <v>4010</v>
      </c>
      <c r="D3682" s="30">
        <v>0.68099537037037039</v>
      </c>
      <c r="E3682" t="s">
        <v>302</v>
      </c>
      <c r="F3682" t="s">
        <v>299</v>
      </c>
      <c r="G3682" t="s">
        <v>299</v>
      </c>
      <c r="H3682">
        <v>74</v>
      </c>
      <c r="I3682" s="30">
        <v>3.0324074074074073E-3</v>
      </c>
      <c r="J3682">
        <v>3</v>
      </c>
    </row>
    <row r="3683" spans="1:10" x14ac:dyDescent="0.35">
      <c r="A3683" t="s">
        <v>4055</v>
      </c>
      <c r="B3683" t="s">
        <v>305</v>
      </c>
      <c r="C3683" t="s">
        <v>4010</v>
      </c>
      <c r="D3683" s="30">
        <v>0.68099537037037039</v>
      </c>
      <c r="E3683" t="s">
        <v>314</v>
      </c>
      <c r="F3683" t="s">
        <v>299</v>
      </c>
      <c r="G3683" t="s">
        <v>299</v>
      </c>
      <c r="H3683">
        <v>72</v>
      </c>
      <c r="I3683" s="30">
        <v>2.2337962962962962E-3</v>
      </c>
      <c r="J3683">
        <v>3</v>
      </c>
    </row>
    <row r="3684" spans="1:10" x14ac:dyDescent="0.35">
      <c r="A3684" t="s">
        <v>4056</v>
      </c>
      <c r="B3684" t="s">
        <v>296</v>
      </c>
      <c r="C3684" t="s">
        <v>4010</v>
      </c>
      <c r="D3684" s="30">
        <v>0.68299768518518522</v>
      </c>
      <c r="E3684" t="s">
        <v>317</v>
      </c>
      <c r="F3684" t="s">
        <v>299</v>
      </c>
      <c r="G3684" t="s">
        <v>299</v>
      </c>
      <c r="H3684">
        <v>44</v>
      </c>
      <c r="I3684" s="30">
        <v>3.2870370370370371E-3</v>
      </c>
      <c r="J3684">
        <v>3</v>
      </c>
    </row>
    <row r="3685" spans="1:10" x14ac:dyDescent="0.35">
      <c r="A3685" t="s">
        <v>4057</v>
      </c>
      <c r="B3685" t="s">
        <v>319</v>
      </c>
      <c r="C3685" t="s">
        <v>4010</v>
      </c>
      <c r="D3685" s="30">
        <v>0.68299768518518522</v>
      </c>
      <c r="E3685" t="s">
        <v>298</v>
      </c>
      <c r="F3685" t="s">
        <v>299</v>
      </c>
      <c r="G3685" t="s">
        <v>299</v>
      </c>
      <c r="H3685">
        <v>118</v>
      </c>
      <c r="I3685" s="30">
        <v>2.5810185185185185E-3</v>
      </c>
      <c r="J3685">
        <v>3</v>
      </c>
    </row>
    <row r="3686" spans="1:10" x14ac:dyDescent="0.35">
      <c r="A3686" t="s">
        <v>4058</v>
      </c>
      <c r="B3686" t="s">
        <v>332</v>
      </c>
      <c r="C3686" t="s">
        <v>4010</v>
      </c>
      <c r="D3686" s="30">
        <v>0.73</v>
      </c>
      <c r="E3686" t="s">
        <v>309</v>
      </c>
      <c r="F3686" t="s">
        <v>299</v>
      </c>
      <c r="G3686" t="s">
        <v>303</v>
      </c>
      <c r="H3686">
        <v>102</v>
      </c>
      <c r="I3686" s="30">
        <v>1.4930555555555556E-3</v>
      </c>
      <c r="J3686">
        <v>5</v>
      </c>
    </row>
    <row r="3687" spans="1:10" x14ac:dyDescent="0.35">
      <c r="A3687" t="s">
        <v>4059</v>
      </c>
      <c r="B3687" t="s">
        <v>307</v>
      </c>
      <c r="C3687" t="s">
        <v>4010</v>
      </c>
      <c r="D3687" s="30">
        <v>0.73</v>
      </c>
      <c r="E3687" t="s">
        <v>302</v>
      </c>
      <c r="F3687" t="s">
        <v>299</v>
      </c>
      <c r="G3687" t="s">
        <v>299</v>
      </c>
      <c r="H3687">
        <v>116</v>
      </c>
      <c r="I3687" s="30">
        <v>3.8194444444444443E-3</v>
      </c>
      <c r="J3687">
        <v>2</v>
      </c>
    </row>
    <row r="3688" spans="1:10" x14ac:dyDescent="0.35">
      <c r="A3688" t="s">
        <v>4060</v>
      </c>
      <c r="B3688" t="s">
        <v>316</v>
      </c>
      <c r="C3688" t="s">
        <v>4010</v>
      </c>
      <c r="D3688" s="30">
        <v>0.73200231481481481</v>
      </c>
      <c r="E3688" t="s">
        <v>317</v>
      </c>
      <c r="F3688" t="s">
        <v>303</v>
      </c>
      <c r="G3688" t="s">
        <v>303</v>
      </c>
    </row>
    <row r="3689" spans="1:10" x14ac:dyDescent="0.35">
      <c r="A3689" t="s">
        <v>4061</v>
      </c>
      <c r="B3689" t="s">
        <v>316</v>
      </c>
      <c r="C3689" t="s">
        <v>4010</v>
      </c>
      <c r="D3689" s="30">
        <v>0.73200231481481481</v>
      </c>
      <c r="E3689" t="s">
        <v>298</v>
      </c>
      <c r="F3689" t="s">
        <v>299</v>
      </c>
      <c r="G3689" t="s">
        <v>303</v>
      </c>
      <c r="H3689">
        <v>116</v>
      </c>
      <c r="I3689" s="30">
        <v>2.3148148148148147E-3</v>
      </c>
      <c r="J3689">
        <v>5</v>
      </c>
    </row>
    <row r="3690" spans="1:10" x14ac:dyDescent="0.35">
      <c r="A3690" t="s">
        <v>4062</v>
      </c>
      <c r="B3690" t="s">
        <v>301</v>
      </c>
      <c r="C3690" t="s">
        <v>4010</v>
      </c>
      <c r="D3690" s="30">
        <v>0.745</v>
      </c>
      <c r="E3690" t="s">
        <v>314</v>
      </c>
      <c r="F3690" t="s">
        <v>299</v>
      </c>
      <c r="G3690" t="s">
        <v>299</v>
      </c>
      <c r="H3690">
        <v>29</v>
      </c>
      <c r="I3690" s="30">
        <v>2.2800925925925927E-3</v>
      </c>
      <c r="J3690">
        <v>2</v>
      </c>
    </row>
    <row r="3691" spans="1:10" x14ac:dyDescent="0.35">
      <c r="A3691" t="s">
        <v>4063</v>
      </c>
      <c r="B3691" t="s">
        <v>305</v>
      </c>
      <c r="C3691" t="s">
        <v>4010</v>
      </c>
      <c r="D3691" s="30">
        <v>0.745</v>
      </c>
      <c r="E3691" t="s">
        <v>317</v>
      </c>
      <c r="F3691" t="s">
        <v>303</v>
      </c>
      <c r="G3691" t="s">
        <v>303</v>
      </c>
    </row>
    <row r="3692" spans="1:10" x14ac:dyDescent="0.35">
      <c r="A3692" t="s">
        <v>4064</v>
      </c>
      <c r="B3692" t="s">
        <v>323</v>
      </c>
      <c r="C3692" t="s">
        <v>4065</v>
      </c>
      <c r="D3692" s="30">
        <v>0.375</v>
      </c>
      <c r="E3692" t="s">
        <v>302</v>
      </c>
      <c r="F3692" t="s">
        <v>299</v>
      </c>
      <c r="G3692" t="s">
        <v>299</v>
      </c>
      <c r="H3692">
        <v>73</v>
      </c>
      <c r="I3692" s="30">
        <v>9.2592592592592596E-4</v>
      </c>
      <c r="J3692">
        <v>4</v>
      </c>
    </row>
    <row r="3693" spans="1:10" x14ac:dyDescent="0.35">
      <c r="A3693" t="s">
        <v>4066</v>
      </c>
      <c r="B3693" t="s">
        <v>305</v>
      </c>
      <c r="C3693" t="s">
        <v>4065</v>
      </c>
      <c r="D3693" s="30">
        <v>0.375</v>
      </c>
      <c r="E3693" t="s">
        <v>309</v>
      </c>
      <c r="F3693" t="s">
        <v>299</v>
      </c>
      <c r="G3693" t="s">
        <v>299</v>
      </c>
      <c r="H3693">
        <v>85</v>
      </c>
      <c r="I3693" s="30">
        <v>1.5625000000000001E-3</v>
      </c>
      <c r="J3693">
        <v>5</v>
      </c>
    </row>
    <row r="3694" spans="1:10" x14ac:dyDescent="0.35">
      <c r="A3694" t="s">
        <v>4067</v>
      </c>
      <c r="B3694" t="s">
        <v>296</v>
      </c>
      <c r="C3694" t="s">
        <v>4065</v>
      </c>
      <c r="D3694" s="30">
        <v>0.41099537037037037</v>
      </c>
      <c r="E3694" t="s">
        <v>314</v>
      </c>
      <c r="F3694" t="s">
        <v>299</v>
      </c>
      <c r="G3694" t="s">
        <v>299</v>
      </c>
      <c r="H3694">
        <v>22</v>
      </c>
      <c r="I3694" s="30">
        <v>3.4837962962962965E-3</v>
      </c>
      <c r="J3694">
        <v>3</v>
      </c>
    </row>
    <row r="3695" spans="1:10" x14ac:dyDescent="0.35">
      <c r="A3695" t="s">
        <v>4068</v>
      </c>
      <c r="B3695" t="s">
        <v>316</v>
      </c>
      <c r="C3695" t="s">
        <v>4065</v>
      </c>
      <c r="D3695" s="30">
        <v>0.41099537037037037</v>
      </c>
      <c r="E3695" t="s">
        <v>298</v>
      </c>
      <c r="F3695" t="s">
        <v>299</v>
      </c>
      <c r="G3695" t="s">
        <v>299</v>
      </c>
      <c r="H3695">
        <v>29</v>
      </c>
      <c r="I3695" s="30">
        <v>9.3749999999999997E-4</v>
      </c>
      <c r="J3695">
        <v>3</v>
      </c>
    </row>
    <row r="3696" spans="1:10" x14ac:dyDescent="0.35">
      <c r="A3696" t="s">
        <v>4069</v>
      </c>
      <c r="B3696" t="s">
        <v>301</v>
      </c>
      <c r="C3696" t="s">
        <v>4065</v>
      </c>
      <c r="D3696" s="30">
        <v>0.41700231481481481</v>
      </c>
      <c r="E3696" t="s">
        <v>298</v>
      </c>
      <c r="F3696" t="s">
        <v>299</v>
      </c>
      <c r="G3696" t="s">
        <v>299</v>
      </c>
      <c r="H3696">
        <v>56</v>
      </c>
      <c r="I3696" s="30">
        <v>1.7013888888888888E-3</v>
      </c>
      <c r="J3696">
        <v>5</v>
      </c>
    </row>
    <row r="3697" spans="1:10" x14ac:dyDescent="0.35">
      <c r="A3697" t="s">
        <v>4070</v>
      </c>
      <c r="B3697" t="s">
        <v>323</v>
      </c>
      <c r="C3697" t="s">
        <v>4065</v>
      </c>
      <c r="D3697" s="30">
        <v>0.41700231481481481</v>
      </c>
      <c r="E3697" t="s">
        <v>314</v>
      </c>
      <c r="F3697" t="s">
        <v>299</v>
      </c>
      <c r="G3697" t="s">
        <v>299</v>
      </c>
      <c r="H3697">
        <v>93</v>
      </c>
      <c r="I3697" s="30">
        <v>4.0277777777777777E-3</v>
      </c>
      <c r="J3697">
        <v>3</v>
      </c>
    </row>
    <row r="3698" spans="1:10" x14ac:dyDescent="0.35">
      <c r="A3698" t="s">
        <v>4071</v>
      </c>
      <c r="B3698" t="s">
        <v>307</v>
      </c>
      <c r="C3698" t="s">
        <v>4065</v>
      </c>
      <c r="D3698" s="30">
        <v>0.42900462962962965</v>
      </c>
      <c r="E3698" t="s">
        <v>317</v>
      </c>
      <c r="F3698" t="s">
        <v>299</v>
      </c>
      <c r="G3698" t="s">
        <v>299</v>
      </c>
      <c r="H3698">
        <v>85</v>
      </c>
      <c r="I3698" s="30">
        <v>4.2129629629629626E-3</v>
      </c>
      <c r="J3698">
        <v>5</v>
      </c>
    </row>
    <row r="3699" spans="1:10" x14ac:dyDescent="0.35">
      <c r="A3699" t="s">
        <v>4072</v>
      </c>
      <c r="B3699" t="s">
        <v>323</v>
      </c>
      <c r="C3699" t="s">
        <v>4065</v>
      </c>
      <c r="D3699" s="30">
        <v>0.42900462962962965</v>
      </c>
      <c r="E3699" t="s">
        <v>309</v>
      </c>
      <c r="F3699" t="s">
        <v>303</v>
      </c>
      <c r="G3699" t="s">
        <v>303</v>
      </c>
    </row>
    <row r="3700" spans="1:10" x14ac:dyDescent="0.35">
      <c r="A3700" t="s">
        <v>4073</v>
      </c>
      <c r="B3700" t="s">
        <v>307</v>
      </c>
      <c r="C3700" t="s">
        <v>4065</v>
      </c>
      <c r="D3700" s="30">
        <v>0.42900462962962965</v>
      </c>
      <c r="E3700" t="s">
        <v>317</v>
      </c>
      <c r="F3700" t="s">
        <v>299</v>
      </c>
      <c r="G3700" t="s">
        <v>299</v>
      </c>
      <c r="H3700">
        <v>69</v>
      </c>
      <c r="I3700" s="30">
        <v>1.8865740740740742E-3</v>
      </c>
      <c r="J3700">
        <v>5</v>
      </c>
    </row>
    <row r="3701" spans="1:10" x14ac:dyDescent="0.35">
      <c r="A3701" t="s">
        <v>4074</v>
      </c>
      <c r="B3701" t="s">
        <v>301</v>
      </c>
      <c r="C3701" t="s">
        <v>4065</v>
      </c>
      <c r="D3701" s="30">
        <v>0.42900462962962965</v>
      </c>
      <c r="E3701" t="s">
        <v>298</v>
      </c>
      <c r="F3701" t="s">
        <v>299</v>
      </c>
      <c r="G3701" t="s">
        <v>299</v>
      </c>
      <c r="H3701">
        <v>66</v>
      </c>
      <c r="I3701" s="30">
        <v>2.3958333333333331E-3</v>
      </c>
      <c r="J3701">
        <v>2</v>
      </c>
    </row>
    <row r="3702" spans="1:10" x14ac:dyDescent="0.35">
      <c r="A3702" t="s">
        <v>4075</v>
      </c>
      <c r="B3702" t="s">
        <v>319</v>
      </c>
      <c r="C3702" t="s">
        <v>4065</v>
      </c>
      <c r="D3702" s="30">
        <v>0.44500000000000001</v>
      </c>
      <c r="E3702" t="s">
        <v>309</v>
      </c>
      <c r="F3702" t="s">
        <v>299</v>
      </c>
      <c r="G3702" t="s">
        <v>299</v>
      </c>
      <c r="H3702">
        <v>117</v>
      </c>
      <c r="I3702" s="30">
        <v>4.5833333333333334E-3</v>
      </c>
      <c r="J3702">
        <v>3</v>
      </c>
    </row>
    <row r="3703" spans="1:10" x14ac:dyDescent="0.35">
      <c r="A3703" t="s">
        <v>4076</v>
      </c>
      <c r="B3703" t="s">
        <v>332</v>
      </c>
      <c r="C3703" t="s">
        <v>4065</v>
      </c>
      <c r="D3703" s="30">
        <v>0.44500000000000001</v>
      </c>
      <c r="E3703" t="s">
        <v>309</v>
      </c>
      <c r="F3703" t="s">
        <v>299</v>
      </c>
      <c r="G3703" t="s">
        <v>299</v>
      </c>
      <c r="H3703">
        <v>71</v>
      </c>
      <c r="I3703" s="30">
        <v>2.2222222222222222E-3</v>
      </c>
      <c r="J3703">
        <v>1</v>
      </c>
    </row>
    <row r="3704" spans="1:10" x14ac:dyDescent="0.35">
      <c r="A3704" t="s">
        <v>4077</v>
      </c>
      <c r="B3704" t="s">
        <v>323</v>
      </c>
      <c r="C3704" t="s">
        <v>4065</v>
      </c>
      <c r="D3704" s="30">
        <v>0.44799768518518518</v>
      </c>
      <c r="E3704" t="s">
        <v>314</v>
      </c>
      <c r="F3704" t="s">
        <v>299</v>
      </c>
      <c r="G3704" t="s">
        <v>299</v>
      </c>
      <c r="H3704">
        <v>23</v>
      </c>
      <c r="I3704" s="30">
        <v>3.5300925925925925E-3</v>
      </c>
      <c r="J3704">
        <v>4</v>
      </c>
    </row>
    <row r="3705" spans="1:10" x14ac:dyDescent="0.35">
      <c r="A3705" t="s">
        <v>4078</v>
      </c>
      <c r="B3705" t="s">
        <v>319</v>
      </c>
      <c r="C3705" t="s">
        <v>4065</v>
      </c>
      <c r="D3705" s="30">
        <v>0.44799768518518518</v>
      </c>
      <c r="E3705" t="s">
        <v>314</v>
      </c>
      <c r="F3705" t="s">
        <v>303</v>
      </c>
      <c r="G3705" t="s">
        <v>303</v>
      </c>
    </row>
    <row r="3706" spans="1:10" x14ac:dyDescent="0.35">
      <c r="A3706" t="s">
        <v>4079</v>
      </c>
      <c r="B3706" t="s">
        <v>332</v>
      </c>
      <c r="C3706" t="s">
        <v>4065</v>
      </c>
      <c r="D3706" s="30">
        <v>0.46</v>
      </c>
      <c r="E3706" t="s">
        <v>302</v>
      </c>
      <c r="F3706" t="s">
        <v>299</v>
      </c>
      <c r="G3706" t="s">
        <v>299</v>
      </c>
      <c r="H3706">
        <v>116</v>
      </c>
      <c r="I3706" s="30">
        <v>6.018518518518519E-4</v>
      </c>
      <c r="J3706">
        <v>4</v>
      </c>
    </row>
    <row r="3707" spans="1:10" x14ac:dyDescent="0.35">
      <c r="A3707" t="s">
        <v>4080</v>
      </c>
      <c r="B3707" t="s">
        <v>316</v>
      </c>
      <c r="C3707" t="s">
        <v>4065</v>
      </c>
      <c r="D3707" s="30">
        <v>0.46</v>
      </c>
      <c r="E3707" t="s">
        <v>298</v>
      </c>
      <c r="F3707" t="s">
        <v>299</v>
      </c>
      <c r="G3707" t="s">
        <v>299</v>
      </c>
      <c r="H3707">
        <v>52</v>
      </c>
      <c r="I3707" s="30">
        <v>4.6990740740740743E-3</v>
      </c>
      <c r="J3707">
        <v>4</v>
      </c>
    </row>
    <row r="3708" spans="1:10" x14ac:dyDescent="0.35">
      <c r="A3708" t="s">
        <v>4081</v>
      </c>
      <c r="B3708" t="s">
        <v>323</v>
      </c>
      <c r="C3708" t="s">
        <v>4065</v>
      </c>
      <c r="D3708" s="30">
        <v>0.4729976851851852</v>
      </c>
      <c r="E3708" t="s">
        <v>314</v>
      </c>
      <c r="F3708" t="s">
        <v>299</v>
      </c>
      <c r="G3708" t="s">
        <v>299</v>
      </c>
      <c r="H3708">
        <v>106</v>
      </c>
      <c r="I3708" s="30">
        <v>1.2962962962962963E-3</v>
      </c>
      <c r="J3708">
        <v>5</v>
      </c>
    </row>
    <row r="3709" spans="1:10" x14ac:dyDescent="0.35">
      <c r="A3709" t="s">
        <v>4082</v>
      </c>
      <c r="B3709" t="s">
        <v>319</v>
      </c>
      <c r="C3709" t="s">
        <v>4065</v>
      </c>
      <c r="D3709" s="30">
        <v>0.4729976851851852</v>
      </c>
      <c r="E3709" t="s">
        <v>298</v>
      </c>
      <c r="F3709" t="s">
        <v>303</v>
      </c>
      <c r="G3709" t="s">
        <v>303</v>
      </c>
    </row>
    <row r="3710" spans="1:10" x14ac:dyDescent="0.35">
      <c r="A3710" t="s">
        <v>4083</v>
      </c>
      <c r="B3710" t="s">
        <v>323</v>
      </c>
      <c r="C3710" t="s">
        <v>4065</v>
      </c>
      <c r="D3710" s="30">
        <v>0.47599537037037037</v>
      </c>
      <c r="E3710" t="s">
        <v>314</v>
      </c>
      <c r="F3710" t="s">
        <v>299</v>
      </c>
      <c r="G3710" t="s">
        <v>299</v>
      </c>
      <c r="H3710">
        <v>48</v>
      </c>
      <c r="I3710" s="30">
        <v>2.3263888888888887E-3</v>
      </c>
      <c r="J3710">
        <v>1</v>
      </c>
    </row>
    <row r="3711" spans="1:10" x14ac:dyDescent="0.35">
      <c r="A3711" t="s">
        <v>4084</v>
      </c>
      <c r="B3711" t="s">
        <v>332</v>
      </c>
      <c r="C3711" t="s">
        <v>4065</v>
      </c>
      <c r="D3711" s="30">
        <v>0.47599537037037037</v>
      </c>
      <c r="E3711" t="s">
        <v>309</v>
      </c>
      <c r="F3711" t="s">
        <v>299</v>
      </c>
      <c r="G3711" t="s">
        <v>299</v>
      </c>
      <c r="H3711">
        <v>93</v>
      </c>
      <c r="I3711" s="30">
        <v>4.6064814814814814E-3</v>
      </c>
      <c r="J3711">
        <v>2</v>
      </c>
    </row>
    <row r="3712" spans="1:10" x14ac:dyDescent="0.35">
      <c r="A3712" t="s">
        <v>4085</v>
      </c>
      <c r="B3712" t="s">
        <v>323</v>
      </c>
      <c r="C3712" t="s">
        <v>4065</v>
      </c>
      <c r="D3712" s="30">
        <v>0.47799768518518521</v>
      </c>
      <c r="E3712" t="s">
        <v>309</v>
      </c>
      <c r="F3712" t="s">
        <v>299</v>
      </c>
      <c r="G3712" t="s">
        <v>299</v>
      </c>
      <c r="H3712">
        <v>106</v>
      </c>
      <c r="I3712" s="30">
        <v>6.2500000000000001E-4</v>
      </c>
      <c r="J3712">
        <v>5</v>
      </c>
    </row>
    <row r="3713" spans="1:10" x14ac:dyDescent="0.35">
      <c r="A3713" t="s">
        <v>4086</v>
      </c>
      <c r="B3713" t="s">
        <v>319</v>
      </c>
      <c r="C3713" t="s">
        <v>4065</v>
      </c>
      <c r="D3713" s="30">
        <v>0.47799768518518521</v>
      </c>
      <c r="E3713" t="s">
        <v>317</v>
      </c>
      <c r="F3713" t="s">
        <v>303</v>
      </c>
      <c r="G3713" t="s">
        <v>303</v>
      </c>
    </row>
    <row r="3714" spans="1:10" x14ac:dyDescent="0.35">
      <c r="A3714" t="s">
        <v>4087</v>
      </c>
      <c r="B3714" t="s">
        <v>301</v>
      </c>
      <c r="C3714" t="s">
        <v>4065</v>
      </c>
      <c r="D3714" s="30">
        <v>0.505</v>
      </c>
      <c r="E3714" t="s">
        <v>314</v>
      </c>
      <c r="F3714" t="s">
        <v>299</v>
      </c>
      <c r="G3714" t="s">
        <v>299</v>
      </c>
      <c r="H3714">
        <v>33</v>
      </c>
      <c r="I3714" s="30">
        <v>3.3796296296296296E-3</v>
      </c>
      <c r="J3714">
        <v>4</v>
      </c>
    </row>
    <row r="3715" spans="1:10" x14ac:dyDescent="0.35">
      <c r="A3715" t="s">
        <v>4088</v>
      </c>
      <c r="B3715" t="s">
        <v>319</v>
      </c>
      <c r="C3715" t="s">
        <v>4065</v>
      </c>
      <c r="D3715" s="30">
        <v>0.505</v>
      </c>
      <c r="E3715" t="s">
        <v>314</v>
      </c>
      <c r="F3715" t="s">
        <v>299</v>
      </c>
      <c r="G3715" t="s">
        <v>299</v>
      </c>
      <c r="H3715">
        <v>18</v>
      </c>
      <c r="I3715" s="30">
        <v>1.736111111111111E-3</v>
      </c>
      <c r="J3715">
        <v>5</v>
      </c>
    </row>
    <row r="3716" spans="1:10" x14ac:dyDescent="0.35">
      <c r="A3716" t="s">
        <v>4089</v>
      </c>
      <c r="B3716" t="s">
        <v>319</v>
      </c>
      <c r="C3716" t="s">
        <v>4065</v>
      </c>
      <c r="D3716" s="30">
        <v>0.51299768518518518</v>
      </c>
      <c r="E3716" t="s">
        <v>302</v>
      </c>
      <c r="F3716" t="s">
        <v>299</v>
      </c>
      <c r="G3716" t="s">
        <v>299</v>
      </c>
      <c r="H3716">
        <v>118</v>
      </c>
      <c r="I3716" s="30">
        <v>3.8888888888888888E-3</v>
      </c>
      <c r="J3716">
        <v>4</v>
      </c>
    </row>
    <row r="3717" spans="1:10" x14ac:dyDescent="0.35">
      <c r="A3717" t="s">
        <v>4090</v>
      </c>
      <c r="B3717" t="s">
        <v>323</v>
      </c>
      <c r="C3717" t="s">
        <v>4065</v>
      </c>
      <c r="D3717" s="30">
        <v>0.51299768518518518</v>
      </c>
      <c r="E3717" t="s">
        <v>309</v>
      </c>
      <c r="F3717" t="s">
        <v>303</v>
      </c>
      <c r="G3717" t="s">
        <v>303</v>
      </c>
    </row>
    <row r="3718" spans="1:10" x14ac:dyDescent="0.35">
      <c r="A3718" t="s">
        <v>4091</v>
      </c>
      <c r="B3718" t="s">
        <v>305</v>
      </c>
      <c r="C3718" t="s">
        <v>4065</v>
      </c>
      <c r="D3718" s="30">
        <v>0.53200231481481486</v>
      </c>
      <c r="E3718" t="s">
        <v>314</v>
      </c>
      <c r="F3718" t="s">
        <v>299</v>
      </c>
      <c r="G3718" t="s">
        <v>299</v>
      </c>
      <c r="H3718">
        <v>55</v>
      </c>
      <c r="I3718" s="30">
        <v>2.4421296296296296E-3</v>
      </c>
      <c r="J3718">
        <v>3</v>
      </c>
    </row>
    <row r="3719" spans="1:10" x14ac:dyDescent="0.35">
      <c r="A3719" t="s">
        <v>4092</v>
      </c>
      <c r="B3719" t="s">
        <v>307</v>
      </c>
      <c r="C3719" t="s">
        <v>4065</v>
      </c>
      <c r="D3719" s="30">
        <v>0.53200231481481486</v>
      </c>
      <c r="E3719" t="s">
        <v>298</v>
      </c>
      <c r="F3719" t="s">
        <v>303</v>
      </c>
      <c r="G3719" t="s">
        <v>303</v>
      </c>
    </row>
    <row r="3720" spans="1:10" x14ac:dyDescent="0.35">
      <c r="A3720" t="s">
        <v>4093</v>
      </c>
      <c r="B3720" t="s">
        <v>316</v>
      </c>
      <c r="C3720" t="s">
        <v>4065</v>
      </c>
      <c r="D3720" s="30">
        <v>0.55700231481481477</v>
      </c>
      <c r="E3720" t="s">
        <v>314</v>
      </c>
      <c r="F3720" t="s">
        <v>299</v>
      </c>
      <c r="G3720" t="s">
        <v>299</v>
      </c>
      <c r="H3720">
        <v>35</v>
      </c>
      <c r="I3720" s="30">
        <v>2.5694444444444445E-3</v>
      </c>
      <c r="J3720">
        <v>3</v>
      </c>
    </row>
    <row r="3721" spans="1:10" x14ac:dyDescent="0.35">
      <c r="A3721" t="s">
        <v>4094</v>
      </c>
      <c r="B3721" t="s">
        <v>319</v>
      </c>
      <c r="C3721" t="s">
        <v>4065</v>
      </c>
      <c r="D3721" s="30">
        <v>0.55700231481481477</v>
      </c>
      <c r="E3721" t="s">
        <v>317</v>
      </c>
      <c r="F3721" t="s">
        <v>299</v>
      </c>
      <c r="G3721" t="s">
        <v>299</v>
      </c>
      <c r="H3721">
        <v>10</v>
      </c>
      <c r="I3721" s="30">
        <v>3.0324074074074073E-3</v>
      </c>
      <c r="J3721">
        <v>2</v>
      </c>
    </row>
    <row r="3722" spans="1:10" x14ac:dyDescent="0.35">
      <c r="A3722" t="s">
        <v>4095</v>
      </c>
      <c r="B3722" t="s">
        <v>316</v>
      </c>
      <c r="C3722" t="s">
        <v>4065</v>
      </c>
      <c r="D3722" s="30">
        <v>0.56400462962962961</v>
      </c>
      <c r="E3722" t="s">
        <v>298</v>
      </c>
      <c r="F3722" t="s">
        <v>299</v>
      </c>
      <c r="G3722" t="s">
        <v>299</v>
      </c>
      <c r="H3722">
        <v>114</v>
      </c>
      <c r="I3722" s="30">
        <v>2.2685185185185187E-3</v>
      </c>
      <c r="J3722">
        <v>3</v>
      </c>
    </row>
    <row r="3723" spans="1:10" x14ac:dyDescent="0.35">
      <c r="A3723" t="s">
        <v>4096</v>
      </c>
      <c r="B3723" t="s">
        <v>316</v>
      </c>
      <c r="C3723" t="s">
        <v>4065</v>
      </c>
      <c r="D3723" s="30">
        <v>0.56400462962962961</v>
      </c>
      <c r="E3723" t="s">
        <v>317</v>
      </c>
      <c r="F3723" t="s">
        <v>299</v>
      </c>
      <c r="G3723" t="s">
        <v>299</v>
      </c>
      <c r="H3723">
        <v>85</v>
      </c>
      <c r="I3723" s="30">
        <v>1.4004629629629629E-3</v>
      </c>
      <c r="J3723">
        <v>4</v>
      </c>
    </row>
    <row r="3724" spans="1:10" x14ac:dyDescent="0.35">
      <c r="A3724" t="s">
        <v>4097</v>
      </c>
      <c r="B3724" t="s">
        <v>307</v>
      </c>
      <c r="C3724" t="s">
        <v>4065</v>
      </c>
      <c r="D3724" s="30">
        <v>0.5709953703703704</v>
      </c>
      <c r="E3724" t="s">
        <v>298</v>
      </c>
      <c r="F3724" t="s">
        <v>303</v>
      </c>
      <c r="G3724" t="s">
        <v>303</v>
      </c>
    </row>
    <row r="3725" spans="1:10" x14ac:dyDescent="0.35">
      <c r="A3725" t="s">
        <v>4098</v>
      </c>
      <c r="B3725" t="s">
        <v>301</v>
      </c>
      <c r="C3725" t="s">
        <v>4065</v>
      </c>
      <c r="D3725" s="30">
        <v>0.5709953703703704</v>
      </c>
      <c r="E3725" t="s">
        <v>314</v>
      </c>
      <c r="F3725" t="s">
        <v>299</v>
      </c>
      <c r="G3725" t="s">
        <v>299</v>
      </c>
      <c r="H3725">
        <v>84</v>
      </c>
      <c r="I3725" s="30">
        <v>4.2361111111111115E-3</v>
      </c>
      <c r="J3725">
        <v>3</v>
      </c>
    </row>
    <row r="3726" spans="1:10" x14ac:dyDescent="0.35">
      <c r="A3726" t="s">
        <v>4099</v>
      </c>
      <c r="B3726" t="s">
        <v>316</v>
      </c>
      <c r="C3726" t="s">
        <v>4065</v>
      </c>
      <c r="D3726" s="30">
        <v>0.57400462962962961</v>
      </c>
      <c r="E3726" t="s">
        <v>302</v>
      </c>
      <c r="F3726" t="s">
        <v>303</v>
      </c>
      <c r="G3726" t="s">
        <v>303</v>
      </c>
    </row>
    <row r="3727" spans="1:10" x14ac:dyDescent="0.35">
      <c r="A3727" t="s">
        <v>4100</v>
      </c>
      <c r="B3727" t="s">
        <v>307</v>
      </c>
      <c r="C3727" t="s">
        <v>4065</v>
      </c>
      <c r="D3727" s="30">
        <v>0.57400462962962961</v>
      </c>
      <c r="E3727" t="s">
        <v>317</v>
      </c>
      <c r="F3727" t="s">
        <v>299</v>
      </c>
      <c r="G3727" t="s">
        <v>299</v>
      </c>
      <c r="H3727">
        <v>73</v>
      </c>
      <c r="I3727" s="30">
        <v>1.5277777777777779E-3</v>
      </c>
      <c r="J3727">
        <v>3</v>
      </c>
    </row>
    <row r="3728" spans="1:10" x14ac:dyDescent="0.35">
      <c r="A3728" t="s">
        <v>4101</v>
      </c>
      <c r="B3728" t="s">
        <v>301</v>
      </c>
      <c r="C3728" t="s">
        <v>4065</v>
      </c>
      <c r="D3728" s="30">
        <v>0.57599537037037041</v>
      </c>
      <c r="E3728" t="s">
        <v>314</v>
      </c>
      <c r="F3728" t="s">
        <v>299</v>
      </c>
      <c r="G3728" t="s">
        <v>299</v>
      </c>
      <c r="H3728">
        <v>22</v>
      </c>
      <c r="I3728" s="30">
        <v>3.2986111111111111E-3</v>
      </c>
      <c r="J3728">
        <v>4</v>
      </c>
    </row>
    <row r="3729" spans="1:10" x14ac:dyDescent="0.35">
      <c r="A3729" t="s">
        <v>4102</v>
      </c>
      <c r="B3729" t="s">
        <v>296</v>
      </c>
      <c r="C3729" t="s">
        <v>4065</v>
      </c>
      <c r="D3729" s="30">
        <v>0.57599537037037041</v>
      </c>
      <c r="E3729" t="s">
        <v>314</v>
      </c>
      <c r="F3729" t="s">
        <v>299</v>
      </c>
      <c r="G3729" t="s">
        <v>299</v>
      </c>
      <c r="H3729">
        <v>102</v>
      </c>
      <c r="I3729" s="30">
        <v>2.4189814814814816E-3</v>
      </c>
      <c r="J3729">
        <v>5</v>
      </c>
    </row>
    <row r="3730" spans="1:10" x14ac:dyDescent="0.35">
      <c r="A3730" t="s">
        <v>4103</v>
      </c>
      <c r="B3730" t="s">
        <v>296</v>
      </c>
      <c r="C3730" t="s">
        <v>4065</v>
      </c>
      <c r="D3730" s="30">
        <v>0.60099537037037032</v>
      </c>
      <c r="E3730" t="s">
        <v>317</v>
      </c>
      <c r="F3730" t="s">
        <v>299</v>
      </c>
      <c r="G3730" t="s">
        <v>299</v>
      </c>
      <c r="H3730">
        <v>14</v>
      </c>
      <c r="I3730" s="30">
        <v>2.3032407407407407E-3</v>
      </c>
      <c r="J3730">
        <v>3</v>
      </c>
    </row>
    <row r="3731" spans="1:10" x14ac:dyDescent="0.35">
      <c r="A3731" t="s">
        <v>4104</v>
      </c>
      <c r="B3731" t="s">
        <v>307</v>
      </c>
      <c r="C3731" t="s">
        <v>4065</v>
      </c>
      <c r="D3731" s="30">
        <v>0.60099537037037032</v>
      </c>
      <c r="E3731" t="s">
        <v>314</v>
      </c>
      <c r="F3731" t="s">
        <v>303</v>
      </c>
      <c r="G3731" t="s">
        <v>303</v>
      </c>
    </row>
    <row r="3732" spans="1:10" x14ac:dyDescent="0.35">
      <c r="A3732" t="s">
        <v>4105</v>
      </c>
      <c r="B3732" t="s">
        <v>301</v>
      </c>
      <c r="C3732" t="s">
        <v>4065</v>
      </c>
      <c r="D3732" s="30">
        <v>0.60299768518518515</v>
      </c>
      <c r="E3732" t="s">
        <v>317</v>
      </c>
      <c r="F3732" t="s">
        <v>303</v>
      </c>
      <c r="G3732" t="s">
        <v>303</v>
      </c>
    </row>
    <row r="3733" spans="1:10" x14ac:dyDescent="0.35">
      <c r="A3733" t="s">
        <v>4106</v>
      </c>
      <c r="B3733" t="s">
        <v>316</v>
      </c>
      <c r="C3733" t="s">
        <v>4065</v>
      </c>
      <c r="D3733" s="30">
        <v>0.60299768518518515</v>
      </c>
      <c r="E3733" t="s">
        <v>309</v>
      </c>
      <c r="F3733" t="s">
        <v>299</v>
      </c>
      <c r="G3733" t="s">
        <v>299</v>
      </c>
      <c r="H3733">
        <v>66</v>
      </c>
      <c r="I3733" s="30">
        <v>2.1990740740740742E-3</v>
      </c>
      <c r="J3733">
        <v>1</v>
      </c>
    </row>
    <row r="3734" spans="1:10" x14ac:dyDescent="0.35">
      <c r="A3734" t="s">
        <v>4107</v>
      </c>
      <c r="B3734" t="s">
        <v>301</v>
      </c>
      <c r="C3734" t="s">
        <v>4065</v>
      </c>
      <c r="D3734" s="30">
        <v>0.67400462962962959</v>
      </c>
      <c r="E3734" t="s">
        <v>298</v>
      </c>
      <c r="F3734" t="s">
        <v>299</v>
      </c>
      <c r="G3734" t="s">
        <v>299</v>
      </c>
      <c r="H3734">
        <v>57</v>
      </c>
      <c r="I3734" s="30">
        <v>2.3495370370370371E-3</v>
      </c>
      <c r="J3734">
        <v>5</v>
      </c>
    </row>
    <row r="3735" spans="1:10" x14ac:dyDescent="0.35">
      <c r="A3735" t="s">
        <v>4108</v>
      </c>
      <c r="B3735" t="s">
        <v>332</v>
      </c>
      <c r="C3735" t="s">
        <v>4065</v>
      </c>
      <c r="D3735" s="30">
        <v>0.67400462962962959</v>
      </c>
      <c r="E3735" t="s">
        <v>309</v>
      </c>
      <c r="F3735" t="s">
        <v>299</v>
      </c>
      <c r="G3735" t="s">
        <v>299</v>
      </c>
      <c r="H3735">
        <v>40</v>
      </c>
      <c r="I3735" s="30">
        <v>3.6689814814814814E-3</v>
      </c>
      <c r="J3735">
        <v>4</v>
      </c>
    </row>
    <row r="3736" spans="1:10" x14ac:dyDescent="0.35">
      <c r="A3736" t="s">
        <v>4109</v>
      </c>
      <c r="B3736" t="s">
        <v>316</v>
      </c>
      <c r="C3736" t="s">
        <v>4065</v>
      </c>
      <c r="D3736" s="30">
        <v>0.68599537037037039</v>
      </c>
      <c r="E3736" t="s">
        <v>298</v>
      </c>
      <c r="F3736" t="s">
        <v>299</v>
      </c>
      <c r="G3736" t="s">
        <v>299</v>
      </c>
      <c r="H3736">
        <v>90</v>
      </c>
      <c r="I3736" s="30">
        <v>1.9444444444444444E-3</v>
      </c>
      <c r="J3736">
        <v>4</v>
      </c>
    </row>
    <row r="3737" spans="1:10" x14ac:dyDescent="0.35">
      <c r="A3737" t="s">
        <v>4110</v>
      </c>
      <c r="B3737" t="s">
        <v>296</v>
      </c>
      <c r="C3737" t="s">
        <v>4065</v>
      </c>
      <c r="D3737" s="30">
        <v>0.68599537037037039</v>
      </c>
      <c r="E3737" t="s">
        <v>302</v>
      </c>
      <c r="F3737" t="s">
        <v>299</v>
      </c>
      <c r="G3737" t="s">
        <v>299</v>
      </c>
      <c r="H3737">
        <v>74</v>
      </c>
      <c r="I3737" s="30">
        <v>9.7222222222222219E-4</v>
      </c>
      <c r="J3737">
        <v>4</v>
      </c>
    </row>
    <row r="3738" spans="1:10" x14ac:dyDescent="0.35">
      <c r="A3738" t="s">
        <v>4111</v>
      </c>
      <c r="B3738" t="s">
        <v>296</v>
      </c>
      <c r="C3738" t="s">
        <v>4065</v>
      </c>
      <c r="D3738" s="30">
        <v>0.68900462962962961</v>
      </c>
      <c r="E3738" t="s">
        <v>317</v>
      </c>
      <c r="F3738" t="s">
        <v>299</v>
      </c>
      <c r="G3738" t="s">
        <v>299</v>
      </c>
      <c r="H3738">
        <v>65</v>
      </c>
      <c r="I3738" s="30">
        <v>4.5023148148148149E-3</v>
      </c>
      <c r="J3738">
        <v>3</v>
      </c>
    </row>
    <row r="3739" spans="1:10" x14ac:dyDescent="0.35">
      <c r="A3739" t="s">
        <v>4112</v>
      </c>
      <c r="B3739" t="s">
        <v>316</v>
      </c>
      <c r="C3739" t="s">
        <v>4065</v>
      </c>
      <c r="D3739" s="30">
        <v>0.68900462962962961</v>
      </c>
      <c r="E3739" t="s">
        <v>309</v>
      </c>
      <c r="F3739" t="s">
        <v>299</v>
      </c>
      <c r="G3739" t="s">
        <v>299</v>
      </c>
      <c r="H3739">
        <v>125</v>
      </c>
      <c r="I3739" s="30">
        <v>4.861111111111111E-4</v>
      </c>
      <c r="J3739">
        <v>5</v>
      </c>
    </row>
    <row r="3740" spans="1:10" x14ac:dyDescent="0.35">
      <c r="A3740" t="s">
        <v>4113</v>
      </c>
      <c r="B3740" t="s">
        <v>296</v>
      </c>
      <c r="C3740" t="s">
        <v>4065</v>
      </c>
      <c r="D3740" s="30">
        <v>0.6909953703703704</v>
      </c>
      <c r="E3740" t="s">
        <v>298</v>
      </c>
      <c r="F3740" t="s">
        <v>303</v>
      </c>
      <c r="G3740" t="s">
        <v>303</v>
      </c>
    </row>
    <row r="3741" spans="1:10" x14ac:dyDescent="0.35">
      <c r="A3741" t="s">
        <v>4114</v>
      </c>
      <c r="B3741" t="s">
        <v>332</v>
      </c>
      <c r="C3741" t="s">
        <v>4065</v>
      </c>
      <c r="D3741" s="30">
        <v>0.6909953703703704</v>
      </c>
      <c r="E3741" t="s">
        <v>302</v>
      </c>
      <c r="F3741" t="s">
        <v>299</v>
      </c>
      <c r="G3741" t="s">
        <v>303</v>
      </c>
      <c r="H3741">
        <v>71</v>
      </c>
      <c r="I3741" s="30">
        <v>4.1898148148148146E-3</v>
      </c>
      <c r="J3741">
        <v>5</v>
      </c>
    </row>
    <row r="3742" spans="1:10" x14ac:dyDescent="0.35">
      <c r="A3742" t="s">
        <v>4115</v>
      </c>
      <c r="B3742" t="s">
        <v>305</v>
      </c>
      <c r="C3742" t="s">
        <v>4065</v>
      </c>
      <c r="D3742" s="30">
        <v>0.69499999999999995</v>
      </c>
      <c r="E3742" t="s">
        <v>298</v>
      </c>
      <c r="F3742" t="s">
        <v>299</v>
      </c>
      <c r="G3742" t="s">
        <v>299</v>
      </c>
      <c r="H3742">
        <v>37</v>
      </c>
      <c r="I3742" s="30">
        <v>1.4004629629629629E-3</v>
      </c>
      <c r="J3742">
        <v>1</v>
      </c>
    </row>
    <row r="3743" spans="1:10" x14ac:dyDescent="0.35">
      <c r="A3743" t="s">
        <v>4116</v>
      </c>
      <c r="B3743" t="s">
        <v>307</v>
      </c>
      <c r="C3743" t="s">
        <v>4065</v>
      </c>
      <c r="D3743" s="30">
        <v>0.69499999999999995</v>
      </c>
      <c r="E3743" t="s">
        <v>302</v>
      </c>
      <c r="F3743" t="s">
        <v>299</v>
      </c>
      <c r="G3743" t="s">
        <v>299</v>
      </c>
      <c r="H3743">
        <v>119</v>
      </c>
      <c r="I3743" s="30">
        <v>4.386574074074074E-3</v>
      </c>
      <c r="J3743">
        <v>4</v>
      </c>
    </row>
    <row r="3744" spans="1:10" x14ac:dyDescent="0.35">
      <c r="A3744" t="s">
        <v>4117</v>
      </c>
      <c r="B3744" t="s">
        <v>323</v>
      </c>
      <c r="C3744" t="s">
        <v>4065</v>
      </c>
      <c r="D3744" s="30">
        <v>0.70099537037037041</v>
      </c>
      <c r="E3744" t="s">
        <v>314</v>
      </c>
      <c r="F3744" t="s">
        <v>299</v>
      </c>
      <c r="G3744" t="s">
        <v>299</v>
      </c>
      <c r="H3744">
        <v>22</v>
      </c>
      <c r="I3744" s="30">
        <v>9.6064814814814819E-4</v>
      </c>
      <c r="J3744">
        <v>4</v>
      </c>
    </row>
    <row r="3745" spans="1:10" x14ac:dyDescent="0.35">
      <c r="A3745" t="s">
        <v>4118</v>
      </c>
      <c r="B3745" t="s">
        <v>332</v>
      </c>
      <c r="C3745" t="s">
        <v>4065</v>
      </c>
      <c r="D3745" s="30">
        <v>0.70099537037037041</v>
      </c>
      <c r="E3745" t="s">
        <v>302</v>
      </c>
      <c r="F3745" t="s">
        <v>299</v>
      </c>
      <c r="G3745" t="s">
        <v>299</v>
      </c>
      <c r="H3745">
        <v>76</v>
      </c>
      <c r="I3745" s="30">
        <v>8.3333333333333339E-4</v>
      </c>
      <c r="J3745">
        <v>5</v>
      </c>
    </row>
    <row r="3746" spans="1:10" x14ac:dyDescent="0.35">
      <c r="A3746" t="s">
        <v>4119</v>
      </c>
      <c r="B3746" t="s">
        <v>307</v>
      </c>
      <c r="C3746" t="s">
        <v>4065</v>
      </c>
      <c r="D3746" s="30">
        <v>0.71900462962962963</v>
      </c>
      <c r="E3746" t="s">
        <v>314</v>
      </c>
      <c r="F3746" t="s">
        <v>303</v>
      </c>
      <c r="G3746" t="s">
        <v>303</v>
      </c>
    </row>
    <row r="3747" spans="1:10" x14ac:dyDescent="0.35">
      <c r="A3747" t="s">
        <v>4120</v>
      </c>
      <c r="B3747" t="s">
        <v>323</v>
      </c>
      <c r="C3747" t="s">
        <v>4065</v>
      </c>
      <c r="D3747" s="30">
        <v>0.71900462962962963</v>
      </c>
      <c r="E3747" t="s">
        <v>317</v>
      </c>
      <c r="F3747" t="s">
        <v>299</v>
      </c>
      <c r="G3747" t="s">
        <v>303</v>
      </c>
      <c r="H3747">
        <v>125</v>
      </c>
      <c r="I3747" s="30">
        <v>3.425925925925926E-3</v>
      </c>
      <c r="J3747">
        <v>5</v>
      </c>
    </row>
    <row r="3748" spans="1:10" x14ac:dyDescent="0.35">
      <c r="A3748" t="s">
        <v>4121</v>
      </c>
      <c r="B3748" t="s">
        <v>296</v>
      </c>
      <c r="C3748" t="s">
        <v>4065</v>
      </c>
      <c r="D3748" s="30">
        <v>0.72099537037037043</v>
      </c>
      <c r="E3748" t="s">
        <v>309</v>
      </c>
      <c r="F3748" t="s">
        <v>299</v>
      </c>
      <c r="G3748" t="s">
        <v>303</v>
      </c>
      <c r="H3748">
        <v>34</v>
      </c>
      <c r="I3748" s="30">
        <v>2.6967592592592594E-3</v>
      </c>
      <c r="J3748">
        <v>1</v>
      </c>
    </row>
    <row r="3749" spans="1:10" x14ac:dyDescent="0.35">
      <c r="A3749" t="s">
        <v>4122</v>
      </c>
      <c r="B3749" t="s">
        <v>296</v>
      </c>
      <c r="C3749" t="s">
        <v>4065</v>
      </c>
      <c r="D3749" s="30">
        <v>0.72099537037037043</v>
      </c>
      <c r="E3749" t="s">
        <v>314</v>
      </c>
      <c r="F3749" t="s">
        <v>299</v>
      </c>
      <c r="G3749" t="s">
        <v>299</v>
      </c>
      <c r="H3749">
        <v>121</v>
      </c>
      <c r="I3749" s="30">
        <v>4.4907407407407405E-3</v>
      </c>
      <c r="J3749">
        <v>3</v>
      </c>
    </row>
    <row r="3750" spans="1:10" x14ac:dyDescent="0.35">
      <c r="A3750" t="s">
        <v>4123</v>
      </c>
      <c r="B3750" t="s">
        <v>296</v>
      </c>
      <c r="C3750" t="s">
        <v>4065</v>
      </c>
      <c r="D3750" s="30">
        <v>0.72400462962962964</v>
      </c>
      <c r="E3750" t="s">
        <v>302</v>
      </c>
      <c r="F3750" t="s">
        <v>303</v>
      </c>
      <c r="G3750" t="s">
        <v>303</v>
      </c>
    </row>
    <row r="3751" spans="1:10" x14ac:dyDescent="0.35">
      <c r="A3751" t="s">
        <v>4124</v>
      </c>
      <c r="B3751" t="s">
        <v>307</v>
      </c>
      <c r="C3751" t="s">
        <v>4065</v>
      </c>
      <c r="D3751" s="30">
        <v>0.72400462962962964</v>
      </c>
      <c r="E3751" t="s">
        <v>309</v>
      </c>
      <c r="F3751" t="s">
        <v>303</v>
      </c>
      <c r="G3751" t="s">
        <v>303</v>
      </c>
    </row>
    <row r="3752" spans="1:10" x14ac:dyDescent="0.35">
      <c r="A3752" t="s">
        <v>4125</v>
      </c>
      <c r="B3752" t="s">
        <v>323</v>
      </c>
      <c r="C3752" t="s">
        <v>4065</v>
      </c>
      <c r="D3752" s="30">
        <v>0.72400462962962964</v>
      </c>
      <c r="E3752" t="s">
        <v>317</v>
      </c>
      <c r="F3752" t="s">
        <v>299</v>
      </c>
      <c r="G3752" t="s">
        <v>299</v>
      </c>
      <c r="H3752">
        <v>17</v>
      </c>
      <c r="I3752" s="30">
        <v>1.4120370370370369E-3</v>
      </c>
      <c r="J3752">
        <v>1</v>
      </c>
    </row>
    <row r="3753" spans="1:10" x14ac:dyDescent="0.35">
      <c r="A3753" t="s">
        <v>4126</v>
      </c>
      <c r="B3753" t="s">
        <v>332</v>
      </c>
      <c r="C3753" t="s">
        <v>4065</v>
      </c>
      <c r="D3753" s="30">
        <v>0.72400462962962964</v>
      </c>
      <c r="E3753" t="s">
        <v>298</v>
      </c>
      <c r="F3753" t="s">
        <v>299</v>
      </c>
      <c r="G3753" t="s">
        <v>299</v>
      </c>
      <c r="H3753">
        <v>65</v>
      </c>
      <c r="I3753" s="30">
        <v>3.7384259259259259E-3</v>
      </c>
      <c r="J3753">
        <v>1</v>
      </c>
    </row>
    <row r="3754" spans="1:10" x14ac:dyDescent="0.35">
      <c r="A3754" t="s">
        <v>4127</v>
      </c>
      <c r="B3754" t="s">
        <v>305</v>
      </c>
      <c r="C3754" t="s">
        <v>4128</v>
      </c>
      <c r="D3754" s="30">
        <v>0.41599537037037038</v>
      </c>
      <c r="E3754" t="s">
        <v>302</v>
      </c>
      <c r="F3754" t="s">
        <v>299</v>
      </c>
      <c r="G3754" t="s">
        <v>299</v>
      </c>
      <c r="H3754">
        <v>65</v>
      </c>
      <c r="I3754" s="30">
        <v>3.0902777777777777E-3</v>
      </c>
      <c r="J3754">
        <v>5</v>
      </c>
    </row>
    <row r="3755" spans="1:10" x14ac:dyDescent="0.35">
      <c r="A3755" t="s">
        <v>4129</v>
      </c>
      <c r="B3755" t="s">
        <v>316</v>
      </c>
      <c r="C3755" t="s">
        <v>4128</v>
      </c>
      <c r="D3755" s="30">
        <v>0.41599537037037038</v>
      </c>
      <c r="E3755" t="s">
        <v>309</v>
      </c>
      <c r="F3755" t="s">
        <v>303</v>
      </c>
      <c r="G3755" t="s">
        <v>303</v>
      </c>
    </row>
    <row r="3756" spans="1:10" x14ac:dyDescent="0.35">
      <c r="A3756" t="s">
        <v>4130</v>
      </c>
      <c r="B3756" t="s">
        <v>323</v>
      </c>
      <c r="C3756" t="s">
        <v>4128</v>
      </c>
      <c r="D3756" s="30">
        <v>0.41799768518518521</v>
      </c>
      <c r="E3756" t="s">
        <v>309</v>
      </c>
      <c r="F3756" t="s">
        <v>299</v>
      </c>
      <c r="G3756" t="s">
        <v>299</v>
      </c>
      <c r="H3756">
        <v>96</v>
      </c>
      <c r="I3756" s="30">
        <v>4.6990740740740743E-3</v>
      </c>
      <c r="J3756">
        <v>1</v>
      </c>
    </row>
    <row r="3757" spans="1:10" x14ac:dyDescent="0.35">
      <c r="A3757" t="s">
        <v>4131</v>
      </c>
      <c r="B3757" t="s">
        <v>296</v>
      </c>
      <c r="C3757" t="s">
        <v>4128</v>
      </c>
      <c r="D3757" s="30">
        <v>0.41799768518518521</v>
      </c>
      <c r="E3757" t="s">
        <v>298</v>
      </c>
      <c r="F3757" t="s">
        <v>299</v>
      </c>
      <c r="G3757" t="s">
        <v>299</v>
      </c>
      <c r="H3757">
        <v>23</v>
      </c>
      <c r="I3757" s="30">
        <v>4.7916666666666663E-3</v>
      </c>
      <c r="J3757">
        <v>4</v>
      </c>
    </row>
    <row r="3758" spans="1:10" x14ac:dyDescent="0.35">
      <c r="A3758" t="s">
        <v>4132</v>
      </c>
      <c r="B3758" t="s">
        <v>323</v>
      </c>
      <c r="C3758" t="s">
        <v>4128</v>
      </c>
      <c r="D3758" s="30">
        <v>0.45700231481481479</v>
      </c>
      <c r="E3758" t="s">
        <v>302</v>
      </c>
      <c r="F3758" t="s">
        <v>303</v>
      </c>
      <c r="G3758" t="s">
        <v>303</v>
      </c>
    </row>
    <row r="3759" spans="1:10" x14ac:dyDescent="0.35">
      <c r="A3759" t="s">
        <v>4133</v>
      </c>
      <c r="B3759" t="s">
        <v>319</v>
      </c>
      <c r="C3759" t="s">
        <v>4128</v>
      </c>
      <c r="D3759" s="30">
        <v>0.45700231481481479</v>
      </c>
      <c r="E3759" t="s">
        <v>314</v>
      </c>
      <c r="F3759" t="s">
        <v>303</v>
      </c>
      <c r="G3759" t="s">
        <v>303</v>
      </c>
    </row>
    <row r="3760" spans="1:10" x14ac:dyDescent="0.35">
      <c r="A3760" t="s">
        <v>4134</v>
      </c>
      <c r="B3760" t="s">
        <v>316</v>
      </c>
      <c r="C3760" t="s">
        <v>4128</v>
      </c>
      <c r="D3760" s="30">
        <v>0.50099537037037034</v>
      </c>
      <c r="E3760" t="s">
        <v>309</v>
      </c>
      <c r="F3760" t="s">
        <v>299</v>
      </c>
      <c r="G3760" t="s">
        <v>299</v>
      </c>
      <c r="H3760">
        <v>105</v>
      </c>
      <c r="I3760" s="30">
        <v>1.3888888888888889E-3</v>
      </c>
      <c r="J3760">
        <v>4</v>
      </c>
    </row>
    <row r="3761" spans="1:10" x14ac:dyDescent="0.35">
      <c r="A3761" t="s">
        <v>4135</v>
      </c>
      <c r="B3761" t="s">
        <v>332</v>
      </c>
      <c r="C3761" t="s">
        <v>4128</v>
      </c>
      <c r="D3761" s="30">
        <v>0.50099537037037034</v>
      </c>
      <c r="E3761" t="s">
        <v>314</v>
      </c>
      <c r="F3761" t="s">
        <v>303</v>
      </c>
      <c r="G3761" t="s">
        <v>303</v>
      </c>
    </row>
    <row r="3762" spans="1:10" x14ac:dyDescent="0.35">
      <c r="A3762" t="s">
        <v>4136</v>
      </c>
      <c r="B3762" t="s">
        <v>316</v>
      </c>
      <c r="C3762" t="s">
        <v>4128</v>
      </c>
      <c r="D3762" s="30">
        <v>0.505</v>
      </c>
      <c r="E3762" t="s">
        <v>317</v>
      </c>
      <c r="F3762" t="s">
        <v>299</v>
      </c>
      <c r="G3762" t="s">
        <v>299</v>
      </c>
      <c r="H3762">
        <v>42</v>
      </c>
      <c r="I3762" s="30">
        <v>1.3425925925925925E-3</v>
      </c>
      <c r="J3762">
        <v>5</v>
      </c>
    </row>
    <row r="3763" spans="1:10" x14ac:dyDescent="0.35">
      <c r="A3763" t="s">
        <v>4137</v>
      </c>
      <c r="B3763" t="s">
        <v>316</v>
      </c>
      <c r="C3763" t="s">
        <v>4128</v>
      </c>
      <c r="D3763" s="30">
        <v>0.505</v>
      </c>
      <c r="E3763" t="s">
        <v>314</v>
      </c>
      <c r="F3763" t="s">
        <v>299</v>
      </c>
      <c r="G3763" t="s">
        <v>299</v>
      </c>
      <c r="H3763">
        <v>79</v>
      </c>
      <c r="I3763" s="30">
        <v>1.4699074074074074E-3</v>
      </c>
      <c r="J3763">
        <v>4</v>
      </c>
    </row>
    <row r="3764" spans="1:10" x14ac:dyDescent="0.35">
      <c r="A3764" t="s">
        <v>4138</v>
      </c>
      <c r="B3764" t="s">
        <v>296</v>
      </c>
      <c r="C3764" t="s">
        <v>4128</v>
      </c>
      <c r="D3764" s="30">
        <v>0.51500000000000001</v>
      </c>
      <c r="E3764" t="s">
        <v>298</v>
      </c>
      <c r="F3764" t="s">
        <v>303</v>
      </c>
      <c r="G3764" t="s">
        <v>303</v>
      </c>
    </row>
    <row r="3765" spans="1:10" x14ac:dyDescent="0.35">
      <c r="A3765" t="s">
        <v>4139</v>
      </c>
      <c r="B3765" t="s">
        <v>323</v>
      </c>
      <c r="C3765" t="s">
        <v>4128</v>
      </c>
      <c r="D3765" s="30">
        <v>0.51500000000000001</v>
      </c>
      <c r="E3765" t="s">
        <v>309</v>
      </c>
      <c r="F3765" t="s">
        <v>299</v>
      </c>
      <c r="G3765" t="s">
        <v>299</v>
      </c>
      <c r="H3765">
        <v>35</v>
      </c>
      <c r="I3765" s="30">
        <v>7.1759259259259259E-4</v>
      </c>
      <c r="J3765">
        <v>5</v>
      </c>
    </row>
    <row r="3766" spans="1:10" x14ac:dyDescent="0.35">
      <c r="A3766" t="s">
        <v>4140</v>
      </c>
      <c r="B3766" t="s">
        <v>323</v>
      </c>
      <c r="C3766" t="s">
        <v>4128</v>
      </c>
      <c r="D3766" s="30">
        <v>0.52299768518518519</v>
      </c>
      <c r="E3766" t="s">
        <v>309</v>
      </c>
      <c r="F3766" t="s">
        <v>299</v>
      </c>
      <c r="G3766" t="s">
        <v>299</v>
      </c>
      <c r="H3766">
        <v>70</v>
      </c>
      <c r="I3766" s="30">
        <v>4.6759259259259263E-3</v>
      </c>
      <c r="J3766">
        <v>4</v>
      </c>
    </row>
    <row r="3767" spans="1:10" x14ac:dyDescent="0.35">
      <c r="A3767" t="s">
        <v>4141</v>
      </c>
      <c r="B3767" t="s">
        <v>301</v>
      </c>
      <c r="C3767" t="s">
        <v>4128</v>
      </c>
      <c r="D3767" s="30">
        <v>0.52299768518518519</v>
      </c>
      <c r="E3767" t="s">
        <v>314</v>
      </c>
      <c r="F3767" t="s">
        <v>299</v>
      </c>
      <c r="G3767" t="s">
        <v>299</v>
      </c>
      <c r="H3767">
        <v>104</v>
      </c>
      <c r="I3767" s="30">
        <v>4.4907407407407405E-3</v>
      </c>
      <c r="J3767">
        <v>4</v>
      </c>
    </row>
    <row r="3768" spans="1:10" x14ac:dyDescent="0.35">
      <c r="A3768" t="s">
        <v>4142</v>
      </c>
      <c r="B3768" t="s">
        <v>307</v>
      </c>
      <c r="C3768" t="s">
        <v>4128</v>
      </c>
      <c r="D3768" s="30">
        <v>0.54599537037037038</v>
      </c>
      <c r="E3768" t="s">
        <v>314</v>
      </c>
      <c r="F3768" t="s">
        <v>299</v>
      </c>
      <c r="G3768" t="s">
        <v>299</v>
      </c>
      <c r="H3768">
        <v>103</v>
      </c>
      <c r="I3768" s="30">
        <v>1.5162037037037036E-3</v>
      </c>
      <c r="J3768">
        <v>3</v>
      </c>
    </row>
    <row r="3769" spans="1:10" x14ac:dyDescent="0.35">
      <c r="A3769" t="s">
        <v>4143</v>
      </c>
      <c r="B3769" t="s">
        <v>307</v>
      </c>
      <c r="C3769" t="s">
        <v>4128</v>
      </c>
      <c r="D3769" s="30">
        <v>0.54599537037037038</v>
      </c>
      <c r="E3769" t="s">
        <v>317</v>
      </c>
      <c r="F3769" t="s">
        <v>303</v>
      </c>
      <c r="G3769" t="s">
        <v>303</v>
      </c>
    </row>
    <row r="3770" spans="1:10" x14ac:dyDescent="0.35">
      <c r="A3770" t="s">
        <v>4144</v>
      </c>
      <c r="B3770" t="s">
        <v>301</v>
      </c>
      <c r="C3770" t="s">
        <v>4128</v>
      </c>
      <c r="D3770" s="30">
        <v>0.55599537037037039</v>
      </c>
      <c r="E3770" t="s">
        <v>309</v>
      </c>
      <c r="F3770" t="s">
        <v>299</v>
      </c>
      <c r="G3770" t="s">
        <v>299</v>
      </c>
      <c r="H3770">
        <v>22</v>
      </c>
      <c r="I3770" s="30">
        <v>4.386574074074074E-3</v>
      </c>
      <c r="J3770">
        <v>3</v>
      </c>
    </row>
    <row r="3771" spans="1:10" x14ac:dyDescent="0.35">
      <c r="A3771" t="s">
        <v>4145</v>
      </c>
      <c r="B3771" t="s">
        <v>305</v>
      </c>
      <c r="C3771" t="s">
        <v>4128</v>
      </c>
      <c r="D3771" s="30">
        <v>0.55599537037037039</v>
      </c>
      <c r="E3771" t="s">
        <v>298</v>
      </c>
      <c r="F3771" t="s">
        <v>299</v>
      </c>
      <c r="G3771" t="s">
        <v>299</v>
      </c>
      <c r="H3771">
        <v>48</v>
      </c>
      <c r="I3771" s="30">
        <v>4.0509259259259257E-3</v>
      </c>
      <c r="J3771">
        <v>2</v>
      </c>
    </row>
    <row r="3772" spans="1:10" x14ac:dyDescent="0.35">
      <c r="A3772" t="s">
        <v>4146</v>
      </c>
      <c r="B3772" t="s">
        <v>301</v>
      </c>
      <c r="C3772" t="s">
        <v>4128</v>
      </c>
      <c r="D3772" s="30">
        <v>0.56999999999999995</v>
      </c>
      <c r="E3772" t="s">
        <v>309</v>
      </c>
      <c r="F3772" t="s">
        <v>303</v>
      </c>
      <c r="G3772" t="s">
        <v>303</v>
      </c>
    </row>
    <row r="3773" spans="1:10" x14ac:dyDescent="0.35">
      <c r="A3773" t="s">
        <v>4147</v>
      </c>
      <c r="B3773" t="s">
        <v>305</v>
      </c>
      <c r="C3773" t="s">
        <v>4128</v>
      </c>
      <c r="D3773" s="30">
        <v>0.56999999999999995</v>
      </c>
      <c r="E3773" t="s">
        <v>302</v>
      </c>
      <c r="F3773" t="s">
        <v>299</v>
      </c>
      <c r="G3773" t="s">
        <v>299</v>
      </c>
      <c r="H3773">
        <v>12</v>
      </c>
      <c r="I3773" s="30">
        <v>1.7592592592592592E-3</v>
      </c>
      <c r="J3773">
        <v>3</v>
      </c>
    </row>
    <row r="3774" spans="1:10" x14ac:dyDescent="0.35">
      <c r="A3774" t="s">
        <v>4148</v>
      </c>
      <c r="B3774" t="s">
        <v>319</v>
      </c>
      <c r="C3774" t="s">
        <v>4128</v>
      </c>
      <c r="D3774" s="30">
        <v>0.57400462962962961</v>
      </c>
      <c r="E3774" t="s">
        <v>302</v>
      </c>
      <c r="F3774" t="s">
        <v>299</v>
      </c>
      <c r="G3774" t="s">
        <v>299</v>
      </c>
      <c r="H3774">
        <v>16</v>
      </c>
      <c r="I3774" s="30">
        <v>3.1944444444444446E-3</v>
      </c>
      <c r="J3774">
        <v>3</v>
      </c>
    </row>
    <row r="3775" spans="1:10" x14ac:dyDescent="0.35">
      <c r="A3775" t="s">
        <v>4149</v>
      </c>
      <c r="B3775" t="s">
        <v>319</v>
      </c>
      <c r="C3775" t="s">
        <v>4128</v>
      </c>
      <c r="D3775" s="30">
        <v>0.57400462962962961</v>
      </c>
      <c r="E3775" t="s">
        <v>298</v>
      </c>
      <c r="F3775" t="s">
        <v>299</v>
      </c>
      <c r="G3775" t="s">
        <v>299</v>
      </c>
      <c r="H3775">
        <v>116</v>
      </c>
      <c r="I3775" s="30">
        <v>2.7893518518518519E-3</v>
      </c>
      <c r="J3775">
        <v>2</v>
      </c>
    </row>
    <row r="3776" spans="1:10" x14ac:dyDescent="0.35">
      <c r="A3776" t="s">
        <v>4150</v>
      </c>
      <c r="B3776" t="s">
        <v>307</v>
      </c>
      <c r="C3776" t="s">
        <v>4128</v>
      </c>
      <c r="D3776" s="30">
        <v>0.57799768518518524</v>
      </c>
      <c r="E3776" t="s">
        <v>314</v>
      </c>
      <c r="F3776" t="s">
        <v>303</v>
      </c>
      <c r="G3776" t="s">
        <v>303</v>
      </c>
    </row>
    <row r="3777" spans="1:10" x14ac:dyDescent="0.35">
      <c r="A3777" t="s">
        <v>4151</v>
      </c>
      <c r="B3777" t="s">
        <v>307</v>
      </c>
      <c r="C3777" t="s">
        <v>4128</v>
      </c>
      <c r="D3777" s="30">
        <v>0.57799768518518524</v>
      </c>
      <c r="E3777" t="s">
        <v>314</v>
      </c>
      <c r="F3777" t="s">
        <v>299</v>
      </c>
      <c r="G3777" t="s">
        <v>299</v>
      </c>
      <c r="H3777">
        <v>25</v>
      </c>
      <c r="I3777" s="30">
        <v>1.6550925925925926E-3</v>
      </c>
      <c r="J3777">
        <v>2</v>
      </c>
    </row>
    <row r="3778" spans="1:10" x14ac:dyDescent="0.35">
      <c r="A3778" t="s">
        <v>4152</v>
      </c>
      <c r="B3778" t="s">
        <v>307</v>
      </c>
      <c r="C3778" t="s">
        <v>4128</v>
      </c>
      <c r="D3778" s="30">
        <v>0.57900462962962962</v>
      </c>
      <c r="E3778" t="s">
        <v>314</v>
      </c>
      <c r="F3778" t="s">
        <v>299</v>
      </c>
      <c r="G3778" t="s">
        <v>299</v>
      </c>
      <c r="H3778">
        <v>30</v>
      </c>
      <c r="I3778" s="30">
        <v>3.1828703703703702E-3</v>
      </c>
      <c r="J3778">
        <v>4</v>
      </c>
    </row>
    <row r="3779" spans="1:10" x14ac:dyDescent="0.35">
      <c r="A3779" t="s">
        <v>4153</v>
      </c>
      <c r="B3779" t="s">
        <v>319</v>
      </c>
      <c r="C3779" t="s">
        <v>4128</v>
      </c>
      <c r="D3779" s="30">
        <v>0.57900462962962962</v>
      </c>
      <c r="E3779" t="s">
        <v>302</v>
      </c>
      <c r="F3779" t="s">
        <v>303</v>
      </c>
      <c r="G3779" t="s">
        <v>303</v>
      </c>
    </row>
    <row r="3780" spans="1:10" x14ac:dyDescent="0.35">
      <c r="A3780" t="s">
        <v>4154</v>
      </c>
      <c r="B3780" t="s">
        <v>316</v>
      </c>
      <c r="C3780" t="s">
        <v>4128</v>
      </c>
      <c r="D3780" s="30">
        <v>0.60799768518518515</v>
      </c>
      <c r="E3780" t="s">
        <v>302</v>
      </c>
      <c r="F3780" t="s">
        <v>299</v>
      </c>
      <c r="G3780" t="s">
        <v>299</v>
      </c>
      <c r="H3780">
        <v>29</v>
      </c>
      <c r="I3780" s="30">
        <v>2.7199074074074074E-3</v>
      </c>
      <c r="J3780">
        <v>2</v>
      </c>
    </row>
    <row r="3781" spans="1:10" x14ac:dyDescent="0.35">
      <c r="A3781" t="s">
        <v>4155</v>
      </c>
      <c r="B3781" t="s">
        <v>316</v>
      </c>
      <c r="C3781" t="s">
        <v>4128</v>
      </c>
      <c r="D3781" s="30">
        <v>0.60799768518518515</v>
      </c>
      <c r="E3781" t="s">
        <v>309</v>
      </c>
      <c r="F3781" t="s">
        <v>299</v>
      </c>
      <c r="G3781" t="s">
        <v>299</v>
      </c>
      <c r="H3781">
        <v>23</v>
      </c>
      <c r="I3781" s="30">
        <v>2.2685185185185187E-3</v>
      </c>
      <c r="J3781">
        <v>4</v>
      </c>
    </row>
    <row r="3782" spans="1:10" x14ac:dyDescent="0.35">
      <c r="A3782" t="s">
        <v>4156</v>
      </c>
      <c r="B3782" t="s">
        <v>305</v>
      </c>
      <c r="C3782" t="s">
        <v>4128</v>
      </c>
      <c r="D3782" s="30">
        <v>0.61299768518518516</v>
      </c>
      <c r="E3782" t="s">
        <v>298</v>
      </c>
      <c r="F3782" t="s">
        <v>299</v>
      </c>
      <c r="G3782" t="s">
        <v>299</v>
      </c>
      <c r="H3782">
        <v>11</v>
      </c>
      <c r="I3782" s="30">
        <v>3.5879629629629629E-3</v>
      </c>
      <c r="J3782">
        <v>5</v>
      </c>
    </row>
    <row r="3783" spans="1:10" x14ac:dyDescent="0.35">
      <c r="A3783" t="s">
        <v>4157</v>
      </c>
      <c r="B3783" t="s">
        <v>323</v>
      </c>
      <c r="C3783" t="s">
        <v>4128</v>
      </c>
      <c r="D3783" s="30">
        <v>0.61299768518518516</v>
      </c>
      <c r="E3783" t="s">
        <v>298</v>
      </c>
      <c r="F3783" t="s">
        <v>299</v>
      </c>
      <c r="G3783" t="s">
        <v>299</v>
      </c>
      <c r="H3783">
        <v>114</v>
      </c>
      <c r="I3783" s="30">
        <v>1.8055555555555555E-3</v>
      </c>
      <c r="J3783">
        <v>3</v>
      </c>
    </row>
    <row r="3784" spans="1:10" x14ac:dyDescent="0.35">
      <c r="A3784" t="s">
        <v>4158</v>
      </c>
      <c r="B3784" t="s">
        <v>316</v>
      </c>
      <c r="C3784" t="s">
        <v>4128</v>
      </c>
      <c r="D3784" s="30">
        <v>0.64299768518518519</v>
      </c>
      <c r="E3784" t="s">
        <v>317</v>
      </c>
      <c r="F3784" t="s">
        <v>299</v>
      </c>
      <c r="G3784" t="s">
        <v>299</v>
      </c>
      <c r="H3784">
        <v>27</v>
      </c>
      <c r="I3784" s="30">
        <v>6.134259259259259E-4</v>
      </c>
      <c r="J3784">
        <v>3</v>
      </c>
    </row>
    <row r="3785" spans="1:10" x14ac:dyDescent="0.35">
      <c r="A3785" t="s">
        <v>4159</v>
      </c>
      <c r="B3785" t="s">
        <v>332</v>
      </c>
      <c r="C3785" t="s">
        <v>4128</v>
      </c>
      <c r="D3785" s="30">
        <v>0.64299768518518519</v>
      </c>
      <c r="E3785" t="s">
        <v>317</v>
      </c>
      <c r="F3785" t="s">
        <v>299</v>
      </c>
      <c r="G3785" t="s">
        <v>299</v>
      </c>
      <c r="H3785">
        <v>64</v>
      </c>
      <c r="I3785" s="30">
        <v>2.3958333333333331E-3</v>
      </c>
      <c r="J3785">
        <v>3</v>
      </c>
    </row>
    <row r="3786" spans="1:10" x14ac:dyDescent="0.35">
      <c r="A3786" t="s">
        <v>4160</v>
      </c>
      <c r="B3786" t="s">
        <v>301</v>
      </c>
      <c r="C3786" t="s">
        <v>4128</v>
      </c>
      <c r="D3786" s="30">
        <v>0.64599537037037036</v>
      </c>
      <c r="E3786" t="s">
        <v>314</v>
      </c>
      <c r="F3786" t="s">
        <v>299</v>
      </c>
      <c r="G3786" t="s">
        <v>299</v>
      </c>
      <c r="H3786">
        <v>59</v>
      </c>
      <c r="I3786" s="30">
        <v>2.5462962962962965E-3</v>
      </c>
      <c r="J3786">
        <v>2</v>
      </c>
    </row>
    <row r="3787" spans="1:10" x14ac:dyDescent="0.35">
      <c r="A3787" t="s">
        <v>4161</v>
      </c>
      <c r="B3787" t="s">
        <v>323</v>
      </c>
      <c r="C3787" t="s">
        <v>4128</v>
      </c>
      <c r="D3787" s="30">
        <v>0.64599537037037036</v>
      </c>
      <c r="E3787" t="s">
        <v>302</v>
      </c>
      <c r="F3787" t="s">
        <v>303</v>
      </c>
      <c r="G3787" t="s">
        <v>303</v>
      </c>
    </row>
    <row r="3788" spans="1:10" x14ac:dyDescent="0.35">
      <c r="A3788" t="s">
        <v>4162</v>
      </c>
      <c r="B3788" t="s">
        <v>319</v>
      </c>
      <c r="C3788" t="s">
        <v>4128</v>
      </c>
      <c r="D3788" s="30">
        <v>0.65</v>
      </c>
      <c r="E3788" t="s">
        <v>309</v>
      </c>
      <c r="F3788" t="s">
        <v>299</v>
      </c>
      <c r="G3788" t="s">
        <v>299</v>
      </c>
      <c r="H3788">
        <v>10</v>
      </c>
      <c r="I3788" s="30">
        <v>2.3842592592592591E-3</v>
      </c>
      <c r="J3788">
        <v>5</v>
      </c>
    </row>
    <row r="3789" spans="1:10" x14ac:dyDescent="0.35">
      <c r="A3789" t="s">
        <v>4163</v>
      </c>
      <c r="B3789" t="s">
        <v>323</v>
      </c>
      <c r="C3789" t="s">
        <v>4128</v>
      </c>
      <c r="D3789" s="30">
        <v>0.65</v>
      </c>
      <c r="E3789" t="s">
        <v>314</v>
      </c>
      <c r="F3789" t="s">
        <v>299</v>
      </c>
      <c r="G3789" t="s">
        <v>299</v>
      </c>
      <c r="H3789">
        <v>84</v>
      </c>
      <c r="I3789" s="30">
        <v>1.1574074074074073E-3</v>
      </c>
      <c r="J3789">
        <v>2</v>
      </c>
    </row>
    <row r="3790" spans="1:10" x14ac:dyDescent="0.35">
      <c r="A3790" t="s">
        <v>4164</v>
      </c>
      <c r="B3790" t="s">
        <v>296</v>
      </c>
      <c r="C3790" t="s">
        <v>4128</v>
      </c>
      <c r="D3790" s="30">
        <v>0.66599537037037038</v>
      </c>
      <c r="E3790" t="s">
        <v>298</v>
      </c>
      <c r="F3790" t="s">
        <v>303</v>
      </c>
      <c r="G3790" t="s">
        <v>303</v>
      </c>
    </row>
    <row r="3791" spans="1:10" x14ac:dyDescent="0.35">
      <c r="A3791" t="s">
        <v>4165</v>
      </c>
      <c r="B3791" t="s">
        <v>316</v>
      </c>
      <c r="C3791" t="s">
        <v>4128</v>
      </c>
      <c r="D3791" s="30">
        <v>0.66599537037037038</v>
      </c>
      <c r="E3791" t="s">
        <v>314</v>
      </c>
      <c r="F3791" t="s">
        <v>303</v>
      </c>
      <c r="G3791" t="s">
        <v>303</v>
      </c>
    </row>
    <row r="3792" spans="1:10" x14ac:dyDescent="0.35">
      <c r="A3792" t="s">
        <v>4166</v>
      </c>
      <c r="B3792" t="s">
        <v>332</v>
      </c>
      <c r="C3792" t="s">
        <v>4128</v>
      </c>
      <c r="D3792" s="30">
        <v>0.6840046296296296</v>
      </c>
      <c r="E3792" t="s">
        <v>314</v>
      </c>
      <c r="F3792" t="s">
        <v>303</v>
      </c>
      <c r="G3792" t="s">
        <v>303</v>
      </c>
    </row>
    <row r="3793" spans="1:10" x14ac:dyDescent="0.35">
      <c r="A3793" t="s">
        <v>4167</v>
      </c>
      <c r="B3793" t="s">
        <v>307</v>
      </c>
      <c r="C3793" t="s">
        <v>4128</v>
      </c>
      <c r="D3793" s="30">
        <v>0.6840046296296296</v>
      </c>
      <c r="E3793" t="s">
        <v>314</v>
      </c>
      <c r="F3793" t="s">
        <v>299</v>
      </c>
      <c r="G3793" t="s">
        <v>303</v>
      </c>
      <c r="H3793">
        <v>56</v>
      </c>
      <c r="I3793" s="30">
        <v>7.7546296296296293E-4</v>
      </c>
      <c r="J3793">
        <v>5</v>
      </c>
    </row>
    <row r="3794" spans="1:10" x14ac:dyDescent="0.35">
      <c r="A3794" t="s">
        <v>4168</v>
      </c>
      <c r="B3794" t="s">
        <v>296</v>
      </c>
      <c r="C3794" t="s">
        <v>4128</v>
      </c>
      <c r="D3794" s="30">
        <v>0.69700231481481478</v>
      </c>
      <c r="E3794" t="s">
        <v>302</v>
      </c>
      <c r="F3794" t="s">
        <v>303</v>
      </c>
      <c r="G3794" t="s">
        <v>303</v>
      </c>
    </row>
    <row r="3795" spans="1:10" x14ac:dyDescent="0.35">
      <c r="A3795" t="s">
        <v>4169</v>
      </c>
      <c r="B3795" t="s">
        <v>316</v>
      </c>
      <c r="C3795" t="s">
        <v>4128</v>
      </c>
      <c r="D3795" s="30">
        <v>0.69700231481481478</v>
      </c>
      <c r="E3795" t="s">
        <v>309</v>
      </c>
      <c r="F3795" t="s">
        <v>299</v>
      </c>
      <c r="G3795" t="s">
        <v>299</v>
      </c>
      <c r="H3795">
        <v>119</v>
      </c>
      <c r="I3795" s="30">
        <v>4.5023148148148149E-3</v>
      </c>
      <c r="J3795">
        <v>4</v>
      </c>
    </row>
    <row r="3796" spans="1:10" x14ac:dyDescent="0.35">
      <c r="A3796" t="s">
        <v>4170</v>
      </c>
      <c r="B3796" t="s">
        <v>296</v>
      </c>
      <c r="C3796" t="s">
        <v>4128</v>
      </c>
      <c r="D3796" s="30">
        <v>0.69900462962962961</v>
      </c>
      <c r="E3796" t="s">
        <v>317</v>
      </c>
      <c r="F3796" t="s">
        <v>299</v>
      </c>
      <c r="G3796" t="s">
        <v>299</v>
      </c>
      <c r="H3796">
        <v>19</v>
      </c>
      <c r="I3796" s="30">
        <v>1.6550925925925926E-3</v>
      </c>
      <c r="J3796">
        <v>3</v>
      </c>
    </row>
    <row r="3797" spans="1:10" x14ac:dyDescent="0.35">
      <c r="A3797" t="s">
        <v>4171</v>
      </c>
      <c r="B3797" t="s">
        <v>316</v>
      </c>
      <c r="C3797" t="s">
        <v>4128</v>
      </c>
      <c r="D3797" s="30">
        <v>0.69900462962962961</v>
      </c>
      <c r="E3797" t="s">
        <v>298</v>
      </c>
      <c r="F3797" t="s">
        <v>299</v>
      </c>
      <c r="G3797" t="s">
        <v>299</v>
      </c>
      <c r="H3797">
        <v>96</v>
      </c>
      <c r="I3797" s="30">
        <v>3.7152777777777778E-3</v>
      </c>
      <c r="J3797">
        <v>4</v>
      </c>
    </row>
    <row r="3798" spans="1:10" x14ac:dyDescent="0.35">
      <c r="A3798" t="s">
        <v>4172</v>
      </c>
      <c r="B3798" t="s">
        <v>319</v>
      </c>
      <c r="C3798" t="s">
        <v>4128</v>
      </c>
      <c r="D3798" s="30">
        <v>0.70700231481481479</v>
      </c>
      <c r="E3798" t="s">
        <v>314</v>
      </c>
      <c r="F3798" t="s">
        <v>299</v>
      </c>
      <c r="G3798" t="s">
        <v>299</v>
      </c>
      <c r="H3798">
        <v>13</v>
      </c>
      <c r="I3798" s="30">
        <v>1.1226851851851851E-3</v>
      </c>
      <c r="J3798">
        <v>5</v>
      </c>
    </row>
    <row r="3799" spans="1:10" x14ac:dyDescent="0.35">
      <c r="A3799" t="s">
        <v>4173</v>
      </c>
      <c r="B3799" t="s">
        <v>301</v>
      </c>
      <c r="C3799" t="s">
        <v>4128</v>
      </c>
      <c r="D3799" s="30">
        <v>0.70700231481481479</v>
      </c>
      <c r="E3799" t="s">
        <v>314</v>
      </c>
      <c r="F3799" t="s">
        <v>299</v>
      </c>
      <c r="G3799" t="s">
        <v>303</v>
      </c>
      <c r="H3799">
        <v>22</v>
      </c>
      <c r="I3799" s="30">
        <v>4.0393518518518521E-3</v>
      </c>
      <c r="J3799">
        <v>5</v>
      </c>
    </row>
    <row r="3800" spans="1:10" x14ac:dyDescent="0.35">
      <c r="A3800" t="s">
        <v>4174</v>
      </c>
      <c r="B3800" t="s">
        <v>305</v>
      </c>
      <c r="C3800" t="s">
        <v>4128</v>
      </c>
      <c r="D3800" s="30">
        <v>0.71900462962962963</v>
      </c>
      <c r="E3800" t="s">
        <v>317</v>
      </c>
      <c r="F3800" t="s">
        <v>303</v>
      </c>
      <c r="G3800" t="s">
        <v>303</v>
      </c>
    </row>
    <row r="3801" spans="1:10" x14ac:dyDescent="0.35">
      <c r="A3801" t="s">
        <v>4175</v>
      </c>
      <c r="B3801" t="s">
        <v>332</v>
      </c>
      <c r="C3801" t="s">
        <v>4128</v>
      </c>
      <c r="D3801" s="30">
        <v>0.71900462962962963</v>
      </c>
      <c r="E3801" t="s">
        <v>302</v>
      </c>
      <c r="F3801" t="s">
        <v>303</v>
      </c>
      <c r="G3801" t="s">
        <v>303</v>
      </c>
    </row>
    <row r="3802" spans="1:10" x14ac:dyDescent="0.35">
      <c r="A3802" t="s">
        <v>4176</v>
      </c>
      <c r="B3802" t="s">
        <v>332</v>
      </c>
      <c r="C3802" t="s">
        <v>4177</v>
      </c>
      <c r="D3802" s="30">
        <v>0.38</v>
      </c>
      <c r="E3802" t="s">
        <v>314</v>
      </c>
      <c r="F3802" t="s">
        <v>299</v>
      </c>
      <c r="G3802" t="s">
        <v>299</v>
      </c>
      <c r="H3802">
        <v>43</v>
      </c>
      <c r="I3802" s="30">
        <v>2.3611111111111111E-3</v>
      </c>
      <c r="J3802">
        <v>3</v>
      </c>
    </row>
    <row r="3803" spans="1:10" x14ac:dyDescent="0.35">
      <c r="A3803" t="s">
        <v>4178</v>
      </c>
      <c r="B3803" t="s">
        <v>323</v>
      </c>
      <c r="C3803" t="s">
        <v>4177</v>
      </c>
      <c r="D3803" s="30">
        <v>0.38</v>
      </c>
      <c r="E3803" t="s">
        <v>298</v>
      </c>
      <c r="F3803" t="s">
        <v>299</v>
      </c>
      <c r="G3803" t="s">
        <v>299</v>
      </c>
      <c r="H3803">
        <v>39</v>
      </c>
      <c r="I3803" s="30">
        <v>2.7662037037037039E-3</v>
      </c>
      <c r="J3803">
        <v>2</v>
      </c>
    </row>
    <row r="3804" spans="1:10" x14ac:dyDescent="0.35">
      <c r="A3804" t="s">
        <v>4179</v>
      </c>
      <c r="B3804" t="s">
        <v>296</v>
      </c>
      <c r="C3804" t="s">
        <v>4177</v>
      </c>
      <c r="D3804" s="30">
        <v>0.41499999999999998</v>
      </c>
      <c r="E3804" t="s">
        <v>302</v>
      </c>
      <c r="F3804" t="s">
        <v>299</v>
      </c>
      <c r="G3804" t="s">
        <v>299</v>
      </c>
      <c r="H3804">
        <v>26</v>
      </c>
      <c r="I3804" s="30">
        <v>1.1458333333333333E-3</v>
      </c>
      <c r="J3804">
        <v>5</v>
      </c>
    </row>
    <row r="3805" spans="1:10" x14ac:dyDescent="0.35">
      <c r="A3805" t="s">
        <v>4180</v>
      </c>
      <c r="B3805" t="s">
        <v>301</v>
      </c>
      <c r="C3805" t="s">
        <v>4177</v>
      </c>
      <c r="D3805" s="30">
        <v>0.41499999999999998</v>
      </c>
      <c r="E3805" t="s">
        <v>317</v>
      </c>
      <c r="F3805" t="s">
        <v>299</v>
      </c>
      <c r="G3805" t="s">
        <v>299</v>
      </c>
      <c r="H3805">
        <v>27</v>
      </c>
      <c r="I3805" s="30">
        <v>2.9398148148148148E-3</v>
      </c>
      <c r="J3805">
        <v>2</v>
      </c>
    </row>
    <row r="3806" spans="1:10" x14ac:dyDescent="0.35">
      <c r="A3806" t="s">
        <v>4181</v>
      </c>
      <c r="B3806" t="s">
        <v>296</v>
      </c>
      <c r="C3806" t="s">
        <v>4177</v>
      </c>
      <c r="D3806" s="30">
        <v>0.43400462962962966</v>
      </c>
      <c r="E3806" t="s">
        <v>309</v>
      </c>
      <c r="F3806" t="s">
        <v>299</v>
      </c>
      <c r="G3806" t="s">
        <v>299</v>
      </c>
      <c r="H3806">
        <v>72</v>
      </c>
      <c r="I3806" s="30">
        <v>4.8611111111111112E-3</v>
      </c>
      <c r="J3806">
        <v>5</v>
      </c>
    </row>
    <row r="3807" spans="1:10" x14ac:dyDescent="0.35">
      <c r="A3807" t="s">
        <v>4182</v>
      </c>
      <c r="B3807" t="s">
        <v>332</v>
      </c>
      <c r="C3807" t="s">
        <v>4177</v>
      </c>
      <c r="D3807" s="30">
        <v>0.43400462962962966</v>
      </c>
      <c r="E3807" t="s">
        <v>298</v>
      </c>
      <c r="F3807" t="s">
        <v>299</v>
      </c>
      <c r="G3807" t="s">
        <v>299</v>
      </c>
      <c r="H3807">
        <v>77</v>
      </c>
      <c r="I3807" s="30">
        <v>3.5879629629629629E-4</v>
      </c>
      <c r="J3807">
        <v>4</v>
      </c>
    </row>
    <row r="3808" spans="1:10" x14ac:dyDescent="0.35">
      <c r="A3808" t="s">
        <v>4183</v>
      </c>
      <c r="B3808" t="s">
        <v>323</v>
      </c>
      <c r="C3808" t="s">
        <v>4177</v>
      </c>
      <c r="D3808" s="30">
        <v>0.43700231481481483</v>
      </c>
      <c r="E3808" t="s">
        <v>314</v>
      </c>
      <c r="F3808" t="s">
        <v>299</v>
      </c>
      <c r="G3808" t="s">
        <v>299</v>
      </c>
      <c r="H3808">
        <v>119</v>
      </c>
      <c r="I3808" s="30">
        <v>5.9027777777777778E-4</v>
      </c>
      <c r="J3808">
        <v>3</v>
      </c>
    </row>
    <row r="3809" spans="1:10" x14ac:dyDescent="0.35">
      <c r="A3809" t="s">
        <v>4184</v>
      </c>
      <c r="B3809" t="s">
        <v>296</v>
      </c>
      <c r="C3809" t="s">
        <v>4177</v>
      </c>
      <c r="D3809" s="30">
        <v>0.43700231481481483</v>
      </c>
      <c r="E3809" t="s">
        <v>298</v>
      </c>
      <c r="F3809" t="s">
        <v>299</v>
      </c>
      <c r="G3809" t="s">
        <v>299</v>
      </c>
      <c r="H3809">
        <v>30</v>
      </c>
      <c r="I3809" s="30">
        <v>1.3078703703703703E-3</v>
      </c>
      <c r="J3809">
        <v>4</v>
      </c>
    </row>
    <row r="3810" spans="1:10" x14ac:dyDescent="0.35">
      <c r="A3810" t="s">
        <v>4185</v>
      </c>
      <c r="B3810" t="s">
        <v>301</v>
      </c>
      <c r="C3810" t="s">
        <v>4177</v>
      </c>
      <c r="D3810" s="30">
        <v>0.44200231481481483</v>
      </c>
      <c r="E3810" t="s">
        <v>309</v>
      </c>
      <c r="F3810" t="s">
        <v>299</v>
      </c>
      <c r="G3810" t="s">
        <v>299</v>
      </c>
      <c r="H3810">
        <v>112</v>
      </c>
      <c r="I3810" s="30">
        <v>2.6157407407407405E-3</v>
      </c>
      <c r="J3810">
        <v>4</v>
      </c>
    </row>
    <row r="3811" spans="1:10" x14ac:dyDescent="0.35">
      <c r="A3811" t="s">
        <v>4186</v>
      </c>
      <c r="B3811" t="s">
        <v>316</v>
      </c>
      <c r="C3811" t="s">
        <v>4177</v>
      </c>
      <c r="D3811" s="30">
        <v>0.44200231481481483</v>
      </c>
      <c r="E3811" t="s">
        <v>314</v>
      </c>
      <c r="F3811" t="s">
        <v>299</v>
      </c>
      <c r="G3811" t="s">
        <v>299</v>
      </c>
      <c r="H3811">
        <v>34</v>
      </c>
      <c r="I3811" s="30">
        <v>3.6689814814814814E-3</v>
      </c>
      <c r="J3811">
        <v>2</v>
      </c>
    </row>
    <row r="3812" spans="1:10" x14ac:dyDescent="0.35">
      <c r="A3812" t="s">
        <v>4187</v>
      </c>
      <c r="B3812" t="s">
        <v>307</v>
      </c>
      <c r="C3812" t="s">
        <v>4177</v>
      </c>
      <c r="D3812" s="30">
        <v>0.47200231481481481</v>
      </c>
      <c r="E3812" t="s">
        <v>302</v>
      </c>
      <c r="F3812" t="s">
        <v>299</v>
      </c>
      <c r="G3812" t="s">
        <v>299</v>
      </c>
      <c r="H3812">
        <v>99</v>
      </c>
      <c r="I3812" s="30">
        <v>9.837962962962962E-4</v>
      </c>
      <c r="J3812">
        <v>3</v>
      </c>
    </row>
    <row r="3813" spans="1:10" x14ac:dyDescent="0.35">
      <c r="A3813" t="s">
        <v>4188</v>
      </c>
      <c r="B3813" t="s">
        <v>307</v>
      </c>
      <c r="C3813" t="s">
        <v>4177</v>
      </c>
      <c r="D3813" s="30">
        <v>0.47200231481481481</v>
      </c>
      <c r="E3813" t="s">
        <v>314</v>
      </c>
      <c r="F3813" t="s">
        <v>303</v>
      </c>
      <c r="G3813" t="s">
        <v>303</v>
      </c>
    </row>
    <row r="3814" spans="1:10" x14ac:dyDescent="0.35">
      <c r="A3814" t="s">
        <v>4189</v>
      </c>
      <c r="B3814" t="s">
        <v>316</v>
      </c>
      <c r="C3814" t="s">
        <v>4177</v>
      </c>
      <c r="D3814" s="30">
        <v>0.47400462962962964</v>
      </c>
      <c r="E3814" t="s">
        <v>314</v>
      </c>
      <c r="F3814" t="s">
        <v>299</v>
      </c>
      <c r="G3814" t="s">
        <v>299</v>
      </c>
      <c r="H3814">
        <v>40</v>
      </c>
      <c r="I3814" s="30">
        <v>1.9444444444444444E-3</v>
      </c>
      <c r="J3814">
        <v>4</v>
      </c>
    </row>
    <row r="3815" spans="1:10" x14ac:dyDescent="0.35">
      <c r="A3815" t="s">
        <v>4190</v>
      </c>
      <c r="B3815" t="s">
        <v>323</v>
      </c>
      <c r="C3815" t="s">
        <v>4177</v>
      </c>
      <c r="D3815" s="30">
        <v>0.47400462962962964</v>
      </c>
      <c r="E3815" t="s">
        <v>317</v>
      </c>
      <c r="F3815" t="s">
        <v>299</v>
      </c>
      <c r="G3815" t="s">
        <v>299</v>
      </c>
      <c r="H3815">
        <v>55</v>
      </c>
      <c r="I3815" s="30">
        <v>2.2916666666666667E-3</v>
      </c>
      <c r="J3815">
        <v>3</v>
      </c>
    </row>
    <row r="3816" spans="1:10" x14ac:dyDescent="0.35">
      <c r="A3816" t="s">
        <v>4191</v>
      </c>
      <c r="B3816" t="s">
        <v>307</v>
      </c>
      <c r="C3816" t="s">
        <v>4177</v>
      </c>
      <c r="D3816" s="30">
        <v>0.51599537037037035</v>
      </c>
      <c r="E3816" t="s">
        <v>314</v>
      </c>
      <c r="F3816" t="s">
        <v>299</v>
      </c>
      <c r="G3816" t="s">
        <v>299</v>
      </c>
      <c r="H3816">
        <v>79</v>
      </c>
      <c r="I3816" s="30">
        <v>9.837962962962962E-4</v>
      </c>
      <c r="J3816">
        <v>3</v>
      </c>
    </row>
    <row r="3817" spans="1:10" x14ac:dyDescent="0.35">
      <c r="A3817" t="s">
        <v>4192</v>
      </c>
      <c r="B3817" t="s">
        <v>307</v>
      </c>
      <c r="C3817" t="s">
        <v>4177</v>
      </c>
      <c r="D3817" s="30">
        <v>0.51599537037037035</v>
      </c>
      <c r="E3817" t="s">
        <v>302</v>
      </c>
      <c r="F3817" t="s">
        <v>299</v>
      </c>
      <c r="G3817" t="s">
        <v>299</v>
      </c>
      <c r="H3817">
        <v>67</v>
      </c>
      <c r="I3817" s="30">
        <v>2.673611111111111E-3</v>
      </c>
      <c r="J3817">
        <v>3</v>
      </c>
    </row>
    <row r="3818" spans="1:10" x14ac:dyDescent="0.35">
      <c r="A3818" t="s">
        <v>4193</v>
      </c>
      <c r="B3818" t="s">
        <v>305</v>
      </c>
      <c r="C3818" t="s">
        <v>4177</v>
      </c>
      <c r="D3818" s="30">
        <v>0.51799768518518519</v>
      </c>
      <c r="E3818" t="s">
        <v>314</v>
      </c>
      <c r="F3818" t="s">
        <v>299</v>
      </c>
      <c r="G3818" t="s">
        <v>299</v>
      </c>
      <c r="H3818">
        <v>68</v>
      </c>
      <c r="I3818" s="30">
        <v>7.7546296296296293E-4</v>
      </c>
      <c r="J3818">
        <v>4</v>
      </c>
    </row>
    <row r="3819" spans="1:10" x14ac:dyDescent="0.35">
      <c r="A3819" t="s">
        <v>4194</v>
      </c>
      <c r="B3819" t="s">
        <v>319</v>
      </c>
      <c r="C3819" t="s">
        <v>4177</v>
      </c>
      <c r="D3819" s="30">
        <v>0.51799768518518519</v>
      </c>
      <c r="E3819" t="s">
        <v>317</v>
      </c>
      <c r="F3819" t="s">
        <v>299</v>
      </c>
      <c r="G3819" t="s">
        <v>303</v>
      </c>
      <c r="H3819">
        <v>69</v>
      </c>
      <c r="I3819" s="30">
        <v>4.4907407407407405E-3</v>
      </c>
      <c r="J3819">
        <v>5</v>
      </c>
    </row>
    <row r="3820" spans="1:10" x14ac:dyDescent="0.35">
      <c r="A3820" t="s">
        <v>4195</v>
      </c>
      <c r="B3820" t="s">
        <v>332</v>
      </c>
      <c r="C3820" t="s">
        <v>4177</v>
      </c>
      <c r="D3820" s="30">
        <v>0.54700231481481476</v>
      </c>
      <c r="E3820" t="s">
        <v>302</v>
      </c>
      <c r="F3820" t="s">
        <v>303</v>
      </c>
      <c r="G3820" t="s">
        <v>303</v>
      </c>
    </row>
    <row r="3821" spans="1:10" x14ac:dyDescent="0.35">
      <c r="A3821" t="s">
        <v>4196</v>
      </c>
      <c r="B3821" t="s">
        <v>332</v>
      </c>
      <c r="C3821" t="s">
        <v>4177</v>
      </c>
      <c r="D3821" s="30">
        <v>0.54700231481481476</v>
      </c>
      <c r="E3821" t="s">
        <v>309</v>
      </c>
      <c r="F3821" t="s">
        <v>299</v>
      </c>
      <c r="G3821" t="s">
        <v>299</v>
      </c>
      <c r="H3821">
        <v>29</v>
      </c>
      <c r="I3821" s="30">
        <v>1.7939814814814815E-3</v>
      </c>
      <c r="J3821">
        <v>3</v>
      </c>
    </row>
    <row r="3822" spans="1:10" x14ac:dyDescent="0.35">
      <c r="A3822" t="s">
        <v>4197</v>
      </c>
      <c r="B3822" t="s">
        <v>332</v>
      </c>
      <c r="C3822" t="s">
        <v>4177</v>
      </c>
      <c r="D3822" s="30">
        <v>0.54900462962962959</v>
      </c>
      <c r="E3822" t="s">
        <v>302</v>
      </c>
      <c r="F3822" t="s">
        <v>299</v>
      </c>
      <c r="G3822" t="s">
        <v>303</v>
      </c>
      <c r="H3822">
        <v>62</v>
      </c>
      <c r="I3822" s="30">
        <v>3.7268518518518519E-3</v>
      </c>
      <c r="J3822">
        <v>3</v>
      </c>
    </row>
    <row r="3823" spans="1:10" x14ac:dyDescent="0.35">
      <c r="A3823" t="s">
        <v>4198</v>
      </c>
      <c r="B3823" t="s">
        <v>305</v>
      </c>
      <c r="C3823" t="s">
        <v>4177</v>
      </c>
      <c r="D3823" s="30">
        <v>0.54900462962962959</v>
      </c>
      <c r="E3823" t="s">
        <v>309</v>
      </c>
      <c r="F3823" t="s">
        <v>299</v>
      </c>
      <c r="G3823" t="s">
        <v>299</v>
      </c>
      <c r="H3823">
        <v>109</v>
      </c>
      <c r="I3823" s="30">
        <v>3.6921296296296298E-3</v>
      </c>
      <c r="J3823">
        <v>4</v>
      </c>
    </row>
    <row r="3824" spans="1:10" x14ac:dyDescent="0.35">
      <c r="A3824" t="s">
        <v>4199</v>
      </c>
      <c r="B3824" t="s">
        <v>323</v>
      </c>
      <c r="C3824" t="s">
        <v>4177</v>
      </c>
      <c r="D3824" s="30">
        <v>0.56499999999999995</v>
      </c>
      <c r="E3824" t="s">
        <v>309</v>
      </c>
      <c r="F3824" t="s">
        <v>299</v>
      </c>
      <c r="G3824" t="s">
        <v>299</v>
      </c>
      <c r="H3824">
        <v>59</v>
      </c>
      <c r="I3824" s="30">
        <v>3.1250000000000002E-3</v>
      </c>
      <c r="J3824">
        <v>3</v>
      </c>
    </row>
    <row r="3825" spans="1:10" x14ac:dyDescent="0.35">
      <c r="A3825" t="s">
        <v>4200</v>
      </c>
      <c r="B3825" t="s">
        <v>319</v>
      </c>
      <c r="C3825" t="s">
        <v>4177</v>
      </c>
      <c r="D3825" s="30">
        <v>0.56499999999999995</v>
      </c>
      <c r="E3825" t="s">
        <v>302</v>
      </c>
      <c r="F3825" t="s">
        <v>299</v>
      </c>
      <c r="G3825" t="s">
        <v>299</v>
      </c>
      <c r="H3825">
        <v>51</v>
      </c>
      <c r="I3825" s="30">
        <v>2.0949074074074073E-3</v>
      </c>
      <c r="J3825">
        <v>4</v>
      </c>
    </row>
    <row r="3826" spans="1:10" x14ac:dyDescent="0.35">
      <c r="A3826" t="s">
        <v>4201</v>
      </c>
      <c r="B3826" t="s">
        <v>307</v>
      </c>
      <c r="C3826" t="s">
        <v>4177</v>
      </c>
      <c r="D3826" s="30">
        <v>0.57400462962962961</v>
      </c>
      <c r="E3826" t="s">
        <v>317</v>
      </c>
      <c r="F3826" t="s">
        <v>299</v>
      </c>
      <c r="G3826" t="s">
        <v>299</v>
      </c>
      <c r="H3826">
        <v>11</v>
      </c>
      <c r="I3826" s="30">
        <v>3.7268518518518519E-3</v>
      </c>
      <c r="J3826">
        <v>4</v>
      </c>
    </row>
    <row r="3827" spans="1:10" x14ac:dyDescent="0.35">
      <c r="A3827" t="s">
        <v>4202</v>
      </c>
      <c r="B3827" t="s">
        <v>305</v>
      </c>
      <c r="C3827" t="s">
        <v>4177</v>
      </c>
      <c r="D3827" s="30">
        <v>0.57400462962962961</v>
      </c>
      <c r="E3827" t="s">
        <v>314</v>
      </c>
      <c r="F3827" t="s">
        <v>303</v>
      </c>
      <c r="G3827" t="s">
        <v>303</v>
      </c>
    </row>
    <row r="3828" spans="1:10" x14ac:dyDescent="0.35">
      <c r="A3828" t="s">
        <v>4203</v>
      </c>
      <c r="B3828" t="s">
        <v>319</v>
      </c>
      <c r="C3828" t="s">
        <v>4177</v>
      </c>
      <c r="D3828" s="30">
        <v>0.57700231481481479</v>
      </c>
      <c r="E3828" t="s">
        <v>309</v>
      </c>
      <c r="F3828" t="s">
        <v>299</v>
      </c>
      <c r="G3828" t="s">
        <v>299</v>
      </c>
      <c r="H3828">
        <v>44</v>
      </c>
      <c r="I3828" s="30">
        <v>2.3842592592592591E-3</v>
      </c>
      <c r="J3828">
        <v>4</v>
      </c>
    </row>
    <row r="3829" spans="1:10" x14ac:dyDescent="0.35">
      <c r="A3829" t="s">
        <v>4204</v>
      </c>
      <c r="B3829" t="s">
        <v>305</v>
      </c>
      <c r="C3829" t="s">
        <v>4177</v>
      </c>
      <c r="D3829" s="30">
        <v>0.57700231481481479</v>
      </c>
      <c r="E3829" t="s">
        <v>309</v>
      </c>
      <c r="F3829" t="s">
        <v>299</v>
      </c>
      <c r="G3829" t="s">
        <v>299</v>
      </c>
      <c r="H3829">
        <v>35</v>
      </c>
      <c r="I3829" s="30">
        <v>2.7314814814814814E-3</v>
      </c>
      <c r="J3829">
        <v>2</v>
      </c>
    </row>
    <row r="3830" spans="1:10" x14ac:dyDescent="0.35">
      <c r="A3830" t="s">
        <v>4205</v>
      </c>
      <c r="B3830" t="s">
        <v>301</v>
      </c>
      <c r="C3830" t="s">
        <v>4177</v>
      </c>
      <c r="D3830" s="30">
        <v>0.57999999999999996</v>
      </c>
      <c r="E3830" t="s">
        <v>317</v>
      </c>
      <c r="F3830" t="s">
        <v>299</v>
      </c>
      <c r="G3830" t="s">
        <v>299</v>
      </c>
      <c r="H3830">
        <v>17</v>
      </c>
      <c r="I3830" s="30">
        <v>2.5231481481481481E-3</v>
      </c>
      <c r="J3830">
        <v>1</v>
      </c>
    </row>
    <row r="3831" spans="1:10" x14ac:dyDescent="0.35">
      <c r="A3831" t="s">
        <v>4206</v>
      </c>
      <c r="B3831" t="s">
        <v>332</v>
      </c>
      <c r="C3831" t="s">
        <v>4177</v>
      </c>
      <c r="D3831" s="30">
        <v>0.57999999999999996</v>
      </c>
      <c r="E3831" t="s">
        <v>317</v>
      </c>
      <c r="F3831" t="s">
        <v>299</v>
      </c>
      <c r="G3831" t="s">
        <v>299</v>
      </c>
      <c r="H3831">
        <v>105</v>
      </c>
      <c r="I3831" s="30">
        <v>4.2592592592592595E-3</v>
      </c>
      <c r="J3831">
        <v>4</v>
      </c>
    </row>
    <row r="3832" spans="1:10" x14ac:dyDescent="0.35">
      <c r="A3832" t="s">
        <v>4207</v>
      </c>
      <c r="B3832" t="s">
        <v>296</v>
      </c>
      <c r="C3832" t="s">
        <v>4177</v>
      </c>
      <c r="D3832" s="30">
        <v>0.60799768518518515</v>
      </c>
      <c r="E3832" t="s">
        <v>317</v>
      </c>
      <c r="F3832" t="s">
        <v>303</v>
      </c>
      <c r="G3832" t="s">
        <v>303</v>
      </c>
    </row>
    <row r="3833" spans="1:10" x14ac:dyDescent="0.35">
      <c r="A3833" t="s">
        <v>4208</v>
      </c>
      <c r="B3833" t="s">
        <v>307</v>
      </c>
      <c r="C3833" t="s">
        <v>4177</v>
      </c>
      <c r="D3833" s="30">
        <v>0.60799768518518515</v>
      </c>
      <c r="E3833" t="s">
        <v>302</v>
      </c>
      <c r="F3833" t="s">
        <v>303</v>
      </c>
      <c r="G3833" t="s">
        <v>303</v>
      </c>
    </row>
    <row r="3834" spans="1:10" x14ac:dyDescent="0.35">
      <c r="A3834" t="s">
        <v>4209</v>
      </c>
      <c r="B3834" t="s">
        <v>296</v>
      </c>
      <c r="C3834" t="s">
        <v>4177</v>
      </c>
      <c r="D3834" s="30">
        <v>0.625</v>
      </c>
      <c r="E3834" t="s">
        <v>314</v>
      </c>
      <c r="F3834" t="s">
        <v>299</v>
      </c>
      <c r="G3834" t="s">
        <v>299</v>
      </c>
      <c r="H3834">
        <v>10</v>
      </c>
      <c r="I3834" s="30">
        <v>3.9351851851851852E-4</v>
      </c>
      <c r="J3834">
        <v>5</v>
      </c>
    </row>
    <row r="3835" spans="1:10" x14ac:dyDescent="0.35">
      <c r="A3835" t="s">
        <v>4210</v>
      </c>
      <c r="B3835" t="s">
        <v>301</v>
      </c>
      <c r="C3835" t="s">
        <v>4177</v>
      </c>
      <c r="D3835" s="30">
        <v>0.625</v>
      </c>
      <c r="E3835" t="s">
        <v>309</v>
      </c>
      <c r="F3835" t="s">
        <v>299</v>
      </c>
      <c r="G3835" t="s">
        <v>299</v>
      </c>
      <c r="H3835">
        <v>110</v>
      </c>
      <c r="I3835" s="30">
        <v>1.3194444444444445E-3</v>
      </c>
      <c r="J3835">
        <v>3</v>
      </c>
    </row>
    <row r="3836" spans="1:10" x14ac:dyDescent="0.35">
      <c r="A3836" t="s">
        <v>4211</v>
      </c>
      <c r="B3836" t="s">
        <v>307</v>
      </c>
      <c r="C3836" t="s">
        <v>4177</v>
      </c>
      <c r="D3836" s="30">
        <v>0.62799768518518517</v>
      </c>
      <c r="E3836" t="s">
        <v>309</v>
      </c>
      <c r="F3836" t="s">
        <v>299</v>
      </c>
      <c r="G3836" t="s">
        <v>299</v>
      </c>
      <c r="H3836">
        <v>41</v>
      </c>
      <c r="I3836" s="30">
        <v>8.4490740740740739E-4</v>
      </c>
      <c r="J3836">
        <v>5</v>
      </c>
    </row>
    <row r="3837" spans="1:10" x14ac:dyDescent="0.35">
      <c r="A3837" t="s">
        <v>4212</v>
      </c>
      <c r="B3837" t="s">
        <v>305</v>
      </c>
      <c r="C3837" t="s">
        <v>4177</v>
      </c>
      <c r="D3837" s="30">
        <v>0.62799768518518517</v>
      </c>
      <c r="E3837" t="s">
        <v>298</v>
      </c>
      <c r="F3837" t="s">
        <v>299</v>
      </c>
      <c r="G3837" t="s">
        <v>299</v>
      </c>
      <c r="H3837">
        <v>46</v>
      </c>
      <c r="I3837" s="30">
        <v>1.736111111111111E-3</v>
      </c>
      <c r="J3837">
        <v>4</v>
      </c>
    </row>
    <row r="3838" spans="1:10" x14ac:dyDescent="0.35">
      <c r="A3838" t="s">
        <v>4213</v>
      </c>
      <c r="B3838" t="s">
        <v>323</v>
      </c>
      <c r="C3838" t="s">
        <v>4177</v>
      </c>
      <c r="D3838" s="30">
        <v>0.64299768518518519</v>
      </c>
      <c r="E3838" t="s">
        <v>314</v>
      </c>
      <c r="F3838" t="s">
        <v>299</v>
      </c>
      <c r="G3838" t="s">
        <v>299</v>
      </c>
      <c r="H3838">
        <v>109</v>
      </c>
      <c r="I3838" s="30">
        <v>2.1064814814814813E-3</v>
      </c>
      <c r="J3838">
        <v>3</v>
      </c>
    </row>
    <row r="3839" spans="1:10" x14ac:dyDescent="0.35">
      <c r="A3839" t="s">
        <v>4214</v>
      </c>
      <c r="B3839" t="s">
        <v>301</v>
      </c>
      <c r="C3839" t="s">
        <v>4177</v>
      </c>
      <c r="D3839" s="30">
        <v>0.64299768518518519</v>
      </c>
      <c r="E3839" t="s">
        <v>302</v>
      </c>
      <c r="F3839" t="s">
        <v>299</v>
      </c>
      <c r="G3839" t="s">
        <v>299</v>
      </c>
      <c r="H3839">
        <v>18</v>
      </c>
      <c r="I3839" s="30">
        <v>2.0717592592592593E-3</v>
      </c>
      <c r="J3839">
        <v>5</v>
      </c>
    </row>
    <row r="3840" spans="1:10" x14ac:dyDescent="0.35">
      <c r="A3840" t="s">
        <v>4215</v>
      </c>
      <c r="B3840" t="s">
        <v>301</v>
      </c>
      <c r="C3840" t="s">
        <v>4177</v>
      </c>
      <c r="D3840" s="30">
        <v>0.65299768518518519</v>
      </c>
      <c r="E3840" t="s">
        <v>309</v>
      </c>
      <c r="F3840" t="s">
        <v>299</v>
      </c>
      <c r="G3840" t="s">
        <v>299</v>
      </c>
      <c r="H3840">
        <v>61</v>
      </c>
      <c r="I3840" s="30">
        <v>1.6319444444444445E-3</v>
      </c>
      <c r="J3840">
        <v>4</v>
      </c>
    </row>
    <row r="3841" spans="1:10" x14ac:dyDescent="0.35">
      <c r="A3841" t="s">
        <v>4216</v>
      </c>
      <c r="B3841" t="s">
        <v>332</v>
      </c>
      <c r="C3841" t="s">
        <v>4177</v>
      </c>
      <c r="D3841" s="30">
        <v>0.65299768518518519</v>
      </c>
      <c r="E3841" t="s">
        <v>317</v>
      </c>
      <c r="F3841" t="s">
        <v>299</v>
      </c>
      <c r="G3841" t="s">
        <v>303</v>
      </c>
      <c r="H3841">
        <v>42</v>
      </c>
      <c r="I3841" s="30">
        <v>2.8356481481481483E-3</v>
      </c>
      <c r="J3841">
        <v>3</v>
      </c>
    </row>
    <row r="3842" spans="1:10" x14ac:dyDescent="0.35">
      <c r="A3842" t="s">
        <v>4217</v>
      </c>
      <c r="B3842" t="s">
        <v>296</v>
      </c>
      <c r="C3842" t="s">
        <v>4177</v>
      </c>
      <c r="D3842" s="30">
        <v>0.69299768518518523</v>
      </c>
      <c r="E3842" t="s">
        <v>309</v>
      </c>
      <c r="F3842" t="s">
        <v>299</v>
      </c>
      <c r="G3842" t="s">
        <v>299</v>
      </c>
      <c r="H3842">
        <v>105</v>
      </c>
      <c r="I3842" s="30">
        <v>3.6458333333333334E-3</v>
      </c>
      <c r="J3842">
        <v>3</v>
      </c>
    </row>
    <row r="3843" spans="1:10" x14ac:dyDescent="0.35">
      <c r="A3843" t="s">
        <v>4218</v>
      </c>
      <c r="B3843" t="s">
        <v>323</v>
      </c>
      <c r="C3843" t="s">
        <v>4177</v>
      </c>
      <c r="D3843" s="30">
        <v>0.69299768518518523</v>
      </c>
      <c r="E3843" t="s">
        <v>314</v>
      </c>
      <c r="F3843" t="s">
        <v>299</v>
      </c>
      <c r="G3843" t="s">
        <v>299</v>
      </c>
      <c r="H3843">
        <v>85</v>
      </c>
      <c r="I3843" s="30">
        <v>3.9351851851851852E-4</v>
      </c>
      <c r="J3843">
        <v>3</v>
      </c>
    </row>
    <row r="3844" spans="1:10" x14ac:dyDescent="0.35">
      <c r="A3844" t="s">
        <v>4219</v>
      </c>
      <c r="B3844" t="s">
        <v>301</v>
      </c>
      <c r="C3844" t="s">
        <v>4177</v>
      </c>
      <c r="D3844" s="30">
        <v>0.70900462962962962</v>
      </c>
      <c r="E3844" t="s">
        <v>298</v>
      </c>
      <c r="F3844" t="s">
        <v>299</v>
      </c>
      <c r="G3844" t="s">
        <v>303</v>
      </c>
      <c r="H3844">
        <v>95</v>
      </c>
      <c r="I3844" s="30">
        <v>3.5300925925925925E-3</v>
      </c>
      <c r="J3844">
        <v>3</v>
      </c>
    </row>
    <row r="3845" spans="1:10" x14ac:dyDescent="0.35">
      <c r="A3845" t="s">
        <v>4220</v>
      </c>
      <c r="B3845" t="s">
        <v>332</v>
      </c>
      <c r="C3845" t="s">
        <v>4177</v>
      </c>
      <c r="D3845" s="30">
        <v>0.70900462962962962</v>
      </c>
      <c r="E3845" t="s">
        <v>309</v>
      </c>
      <c r="F3845" t="s">
        <v>299</v>
      </c>
      <c r="G3845" t="s">
        <v>299</v>
      </c>
      <c r="H3845">
        <v>71</v>
      </c>
      <c r="I3845" s="30">
        <v>6.9444444444444447E-4</v>
      </c>
      <c r="J3845">
        <v>5</v>
      </c>
    </row>
    <row r="3846" spans="1:10" x14ac:dyDescent="0.35">
      <c r="A3846" t="s">
        <v>4221</v>
      </c>
      <c r="B3846" t="s">
        <v>307</v>
      </c>
      <c r="C3846" t="s">
        <v>4177</v>
      </c>
      <c r="D3846" s="30">
        <v>0.73</v>
      </c>
      <c r="E3846" t="s">
        <v>309</v>
      </c>
      <c r="F3846" t="s">
        <v>299</v>
      </c>
      <c r="G3846" t="s">
        <v>299</v>
      </c>
      <c r="H3846">
        <v>15</v>
      </c>
      <c r="I3846" s="30">
        <v>3.3796296296296296E-3</v>
      </c>
      <c r="J3846">
        <v>3</v>
      </c>
    </row>
    <row r="3847" spans="1:10" x14ac:dyDescent="0.35">
      <c r="A3847" t="s">
        <v>4222</v>
      </c>
      <c r="B3847" t="s">
        <v>301</v>
      </c>
      <c r="C3847" t="s">
        <v>4177</v>
      </c>
      <c r="D3847" s="30">
        <v>0.73</v>
      </c>
      <c r="E3847" t="s">
        <v>314</v>
      </c>
      <c r="F3847" t="s">
        <v>299</v>
      </c>
      <c r="G3847" t="s">
        <v>299</v>
      </c>
      <c r="H3847">
        <v>21</v>
      </c>
      <c r="I3847" s="30">
        <v>1.9791666666666668E-3</v>
      </c>
      <c r="J3847">
        <v>5</v>
      </c>
    </row>
    <row r="3848" spans="1:10" x14ac:dyDescent="0.35">
      <c r="A3848" t="s">
        <v>4223</v>
      </c>
      <c r="B3848" t="s">
        <v>296</v>
      </c>
      <c r="C3848" t="s">
        <v>4177</v>
      </c>
      <c r="D3848" s="30">
        <v>0.73499999999999999</v>
      </c>
      <c r="E3848" t="s">
        <v>317</v>
      </c>
      <c r="F3848" t="s">
        <v>299</v>
      </c>
      <c r="G3848" t="s">
        <v>303</v>
      </c>
      <c r="H3848">
        <v>123</v>
      </c>
      <c r="I3848" s="30">
        <v>1.4236111111111112E-3</v>
      </c>
      <c r="J3848">
        <v>4</v>
      </c>
    </row>
    <row r="3849" spans="1:10" x14ac:dyDescent="0.35">
      <c r="A3849" t="s">
        <v>4224</v>
      </c>
      <c r="B3849" t="s">
        <v>316</v>
      </c>
      <c r="C3849" t="s">
        <v>4177</v>
      </c>
      <c r="D3849" s="30">
        <v>0.73499999999999999</v>
      </c>
      <c r="E3849" t="s">
        <v>314</v>
      </c>
      <c r="F3849" t="s">
        <v>299</v>
      </c>
      <c r="G3849" t="s">
        <v>299</v>
      </c>
      <c r="H3849">
        <v>107</v>
      </c>
      <c r="I3849" s="30">
        <v>2.7662037037037039E-3</v>
      </c>
      <c r="J3849">
        <v>1</v>
      </c>
    </row>
    <row r="3850" spans="1:10" x14ac:dyDescent="0.35">
      <c r="A3850" t="s">
        <v>4225</v>
      </c>
      <c r="B3850" t="s">
        <v>319</v>
      </c>
      <c r="C3850" t="s">
        <v>4177</v>
      </c>
      <c r="D3850" s="30">
        <v>0.74200231481481482</v>
      </c>
      <c r="E3850" t="s">
        <v>317</v>
      </c>
      <c r="F3850" t="s">
        <v>299</v>
      </c>
      <c r="G3850" t="s">
        <v>299</v>
      </c>
      <c r="H3850">
        <v>93</v>
      </c>
      <c r="I3850" s="30">
        <v>4.7453703703703703E-3</v>
      </c>
      <c r="J3850">
        <v>3</v>
      </c>
    </row>
    <row r="3851" spans="1:10" x14ac:dyDescent="0.35">
      <c r="A3851" t="s">
        <v>4226</v>
      </c>
      <c r="B3851" t="s">
        <v>332</v>
      </c>
      <c r="C3851" t="s">
        <v>4177</v>
      </c>
      <c r="D3851" s="30">
        <v>0.74200231481481482</v>
      </c>
      <c r="E3851" t="s">
        <v>309</v>
      </c>
      <c r="F3851" t="s">
        <v>299</v>
      </c>
      <c r="G3851" t="s">
        <v>299</v>
      </c>
      <c r="H3851">
        <v>110</v>
      </c>
      <c r="I3851" s="30">
        <v>3.5879629629629629E-4</v>
      </c>
      <c r="J3851">
        <v>4</v>
      </c>
    </row>
    <row r="3852" spans="1:10" x14ac:dyDescent="0.35">
      <c r="A3852" t="s">
        <v>4227</v>
      </c>
      <c r="B3852" t="s">
        <v>296</v>
      </c>
      <c r="C3852" t="s">
        <v>4177</v>
      </c>
      <c r="D3852" s="30">
        <v>0.74200231481481482</v>
      </c>
      <c r="E3852" t="s">
        <v>317</v>
      </c>
      <c r="F3852" t="s">
        <v>299</v>
      </c>
      <c r="G3852" t="s">
        <v>299</v>
      </c>
      <c r="H3852">
        <v>18</v>
      </c>
      <c r="I3852" s="30">
        <v>1.4699074074074074E-3</v>
      </c>
      <c r="J3852">
        <v>5</v>
      </c>
    </row>
    <row r="3853" spans="1:10" x14ac:dyDescent="0.35">
      <c r="A3853" t="s">
        <v>4228</v>
      </c>
      <c r="B3853" t="s">
        <v>316</v>
      </c>
      <c r="C3853" t="s">
        <v>4177</v>
      </c>
      <c r="D3853" s="30">
        <v>0.74200231481481482</v>
      </c>
      <c r="E3853" t="s">
        <v>298</v>
      </c>
      <c r="F3853" t="s">
        <v>299</v>
      </c>
      <c r="G3853" t="s">
        <v>299</v>
      </c>
      <c r="H3853">
        <v>33</v>
      </c>
      <c r="I3853" s="30">
        <v>3.2754629629629631E-3</v>
      </c>
      <c r="J3853">
        <v>3</v>
      </c>
    </row>
    <row r="3854" spans="1:10" x14ac:dyDescent="0.35">
      <c r="A3854" t="s">
        <v>4229</v>
      </c>
      <c r="B3854" t="s">
        <v>316</v>
      </c>
      <c r="C3854" t="s">
        <v>4177</v>
      </c>
      <c r="D3854" s="30">
        <v>0.74400462962962965</v>
      </c>
      <c r="E3854" t="s">
        <v>298</v>
      </c>
      <c r="F3854" t="s">
        <v>299</v>
      </c>
      <c r="G3854" t="s">
        <v>299</v>
      </c>
      <c r="H3854">
        <v>71</v>
      </c>
      <c r="I3854" s="30">
        <v>3.1944444444444446E-3</v>
      </c>
      <c r="J3854">
        <v>4</v>
      </c>
    </row>
    <row r="3855" spans="1:10" x14ac:dyDescent="0.35">
      <c r="A3855" t="s">
        <v>4230</v>
      </c>
      <c r="B3855" t="s">
        <v>332</v>
      </c>
      <c r="C3855" t="s">
        <v>4177</v>
      </c>
      <c r="D3855" s="30">
        <v>0.74400462962962965</v>
      </c>
      <c r="E3855" t="s">
        <v>314</v>
      </c>
      <c r="F3855" t="s">
        <v>299</v>
      </c>
      <c r="G3855" t="s">
        <v>299</v>
      </c>
      <c r="H3855">
        <v>19</v>
      </c>
      <c r="I3855" s="30">
        <v>3.5532407407407409E-3</v>
      </c>
      <c r="J3855">
        <v>4</v>
      </c>
    </row>
    <row r="3856" spans="1:10" x14ac:dyDescent="0.35">
      <c r="A3856" t="s">
        <v>4231</v>
      </c>
      <c r="B3856" t="s">
        <v>332</v>
      </c>
      <c r="C3856" t="s">
        <v>4177</v>
      </c>
      <c r="D3856" s="30">
        <v>0.745</v>
      </c>
      <c r="E3856" t="s">
        <v>309</v>
      </c>
      <c r="F3856" t="s">
        <v>299</v>
      </c>
      <c r="G3856" t="s">
        <v>299</v>
      </c>
      <c r="H3856">
        <v>93</v>
      </c>
      <c r="I3856" s="30">
        <v>4.6412037037037038E-3</v>
      </c>
      <c r="J3856">
        <v>4</v>
      </c>
    </row>
    <row r="3857" spans="1:10" x14ac:dyDescent="0.35">
      <c r="A3857" t="s">
        <v>4232</v>
      </c>
      <c r="B3857" t="s">
        <v>296</v>
      </c>
      <c r="C3857" t="s">
        <v>4177</v>
      </c>
      <c r="D3857" s="30">
        <v>0.745</v>
      </c>
      <c r="E3857" t="s">
        <v>302</v>
      </c>
      <c r="F3857" t="s">
        <v>299</v>
      </c>
      <c r="G3857" t="s">
        <v>299</v>
      </c>
      <c r="H3857">
        <v>43</v>
      </c>
      <c r="I3857" s="30">
        <v>2.5347222222222221E-3</v>
      </c>
      <c r="J3857">
        <v>1</v>
      </c>
    </row>
    <row r="3858" spans="1:10" x14ac:dyDescent="0.35">
      <c r="A3858" t="s">
        <v>4233</v>
      </c>
      <c r="B3858" t="s">
        <v>296</v>
      </c>
      <c r="C3858" t="s">
        <v>4234</v>
      </c>
      <c r="D3858" s="30">
        <v>0.38799768518518518</v>
      </c>
      <c r="E3858" t="s">
        <v>302</v>
      </c>
      <c r="F3858" t="s">
        <v>299</v>
      </c>
      <c r="G3858" t="s">
        <v>303</v>
      </c>
      <c r="H3858">
        <v>92</v>
      </c>
      <c r="I3858" s="30">
        <v>3.3912037037037036E-3</v>
      </c>
      <c r="J3858">
        <v>5</v>
      </c>
    </row>
    <row r="3859" spans="1:10" x14ac:dyDescent="0.35">
      <c r="A3859" t="s">
        <v>4235</v>
      </c>
      <c r="B3859" t="s">
        <v>323</v>
      </c>
      <c r="C3859" t="s">
        <v>4234</v>
      </c>
      <c r="D3859" s="30">
        <v>0.38799768518518518</v>
      </c>
      <c r="E3859" t="s">
        <v>298</v>
      </c>
      <c r="F3859" t="s">
        <v>299</v>
      </c>
      <c r="G3859" t="s">
        <v>299</v>
      </c>
      <c r="H3859">
        <v>19</v>
      </c>
      <c r="I3859" s="30">
        <v>3.6342592592592594E-3</v>
      </c>
      <c r="J3859">
        <v>3</v>
      </c>
    </row>
    <row r="3860" spans="1:10" x14ac:dyDescent="0.35">
      <c r="A3860" t="s">
        <v>4236</v>
      </c>
      <c r="B3860" t="s">
        <v>332</v>
      </c>
      <c r="C3860" t="s">
        <v>4234</v>
      </c>
      <c r="D3860" s="30">
        <v>0.40299768518518519</v>
      </c>
      <c r="E3860" t="s">
        <v>298</v>
      </c>
      <c r="F3860" t="s">
        <v>303</v>
      </c>
      <c r="G3860" t="s">
        <v>303</v>
      </c>
    </row>
    <row r="3861" spans="1:10" x14ac:dyDescent="0.35">
      <c r="A3861" t="s">
        <v>4237</v>
      </c>
      <c r="B3861" t="s">
        <v>301</v>
      </c>
      <c r="C3861" t="s">
        <v>4234</v>
      </c>
      <c r="D3861" s="30">
        <v>0.40299768518518519</v>
      </c>
      <c r="E3861" t="s">
        <v>298</v>
      </c>
      <c r="F3861" t="s">
        <v>299</v>
      </c>
      <c r="G3861" t="s">
        <v>299</v>
      </c>
      <c r="H3861">
        <v>66</v>
      </c>
      <c r="I3861" s="30">
        <v>1.5625000000000001E-3</v>
      </c>
      <c r="J3861">
        <v>1</v>
      </c>
    </row>
    <row r="3862" spans="1:10" x14ac:dyDescent="0.35">
      <c r="A3862" t="s">
        <v>4238</v>
      </c>
      <c r="B3862" t="s">
        <v>307</v>
      </c>
      <c r="C3862" t="s">
        <v>4234</v>
      </c>
      <c r="D3862" s="30">
        <v>0.42599537037037039</v>
      </c>
      <c r="E3862" t="s">
        <v>298</v>
      </c>
      <c r="F3862" t="s">
        <v>299</v>
      </c>
      <c r="G3862" t="s">
        <v>299</v>
      </c>
      <c r="H3862">
        <v>47</v>
      </c>
      <c r="I3862" s="30">
        <v>1.5740740740740741E-3</v>
      </c>
      <c r="J3862">
        <v>4</v>
      </c>
    </row>
    <row r="3863" spans="1:10" x14ac:dyDescent="0.35">
      <c r="A3863" t="s">
        <v>4239</v>
      </c>
      <c r="B3863" t="s">
        <v>332</v>
      </c>
      <c r="C3863" t="s">
        <v>4234</v>
      </c>
      <c r="D3863" s="30">
        <v>0.42599537037037039</v>
      </c>
      <c r="E3863" t="s">
        <v>302</v>
      </c>
      <c r="F3863" t="s">
        <v>299</v>
      </c>
      <c r="G3863" t="s">
        <v>299</v>
      </c>
      <c r="H3863">
        <v>80</v>
      </c>
      <c r="I3863" s="30">
        <v>3.7384259259259259E-3</v>
      </c>
      <c r="J3863">
        <v>3</v>
      </c>
    </row>
    <row r="3864" spans="1:10" x14ac:dyDescent="0.35">
      <c r="A3864" t="s">
        <v>4240</v>
      </c>
      <c r="B3864" t="s">
        <v>307</v>
      </c>
      <c r="C3864" t="s">
        <v>4234</v>
      </c>
      <c r="D3864" s="30">
        <v>0.43599537037037039</v>
      </c>
      <c r="E3864" t="s">
        <v>317</v>
      </c>
      <c r="F3864" t="s">
        <v>299</v>
      </c>
      <c r="G3864" t="s">
        <v>299</v>
      </c>
      <c r="H3864">
        <v>82</v>
      </c>
      <c r="I3864" s="30">
        <v>2.5115740740740741E-3</v>
      </c>
      <c r="J3864">
        <v>2</v>
      </c>
    </row>
    <row r="3865" spans="1:10" x14ac:dyDescent="0.35">
      <c r="A3865" t="s">
        <v>4241</v>
      </c>
      <c r="B3865" t="s">
        <v>323</v>
      </c>
      <c r="C3865" t="s">
        <v>4234</v>
      </c>
      <c r="D3865" s="30">
        <v>0.43599537037037039</v>
      </c>
      <c r="E3865" t="s">
        <v>302</v>
      </c>
      <c r="F3865" t="s">
        <v>299</v>
      </c>
      <c r="G3865" t="s">
        <v>299</v>
      </c>
      <c r="H3865">
        <v>88</v>
      </c>
      <c r="I3865" s="30">
        <v>1.9791666666666668E-3</v>
      </c>
      <c r="J3865">
        <v>1</v>
      </c>
    </row>
    <row r="3866" spans="1:10" x14ac:dyDescent="0.35">
      <c r="A3866" t="s">
        <v>4242</v>
      </c>
      <c r="B3866" t="s">
        <v>323</v>
      </c>
      <c r="C3866" t="s">
        <v>4234</v>
      </c>
      <c r="D3866" s="30">
        <v>0.43700231481481483</v>
      </c>
      <c r="E3866" t="s">
        <v>302</v>
      </c>
      <c r="F3866" t="s">
        <v>299</v>
      </c>
      <c r="G3866" t="s">
        <v>299</v>
      </c>
      <c r="H3866">
        <v>51</v>
      </c>
      <c r="I3866" s="30">
        <v>9.9537037037037042E-4</v>
      </c>
      <c r="J3866">
        <v>4</v>
      </c>
    </row>
    <row r="3867" spans="1:10" x14ac:dyDescent="0.35">
      <c r="A3867" t="s">
        <v>4243</v>
      </c>
      <c r="B3867" t="s">
        <v>301</v>
      </c>
      <c r="C3867" t="s">
        <v>4234</v>
      </c>
      <c r="D3867" s="30">
        <v>0.43700231481481483</v>
      </c>
      <c r="E3867" t="s">
        <v>298</v>
      </c>
      <c r="F3867" t="s">
        <v>299</v>
      </c>
      <c r="G3867" t="s">
        <v>303</v>
      </c>
      <c r="H3867">
        <v>41</v>
      </c>
      <c r="I3867" s="30">
        <v>3.7499999999999999E-3</v>
      </c>
      <c r="J3867">
        <v>3</v>
      </c>
    </row>
    <row r="3868" spans="1:10" x14ac:dyDescent="0.35">
      <c r="A3868" t="s">
        <v>4244</v>
      </c>
      <c r="B3868" t="s">
        <v>296</v>
      </c>
      <c r="C3868" t="s">
        <v>4234</v>
      </c>
      <c r="D3868" s="30">
        <v>0.43799768518518517</v>
      </c>
      <c r="E3868" t="s">
        <v>309</v>
      </c>
      <c r="F3868" t="s">
        <v>299</v>
      </c>
      <c r="G3868" t="s">
        <v>299</v>
      </c>
      <c r="H3868">
        <v>46</v>
      </c>
      <c r="I3868" s="30">
        <v>2.0138888888888888E-3</v>
      </c>
      <c r="J3868">
        <v>1</v>
      </c>
    </row>
    <row r="3869" spans="1:10" x14ac:dyDescent="0.35">
      <c r="A3869" t="s">
        <v>4245</v>
      </c>
      <c r="B3869" t="s">
        <v>323</v>
      </c>
      <c r="C3869" t="s">
        <v>4234</v>
      </c>
      <c r="D3869" s="30">
        <v>0.43799768518518517</v>
      </c>
      <c r="E3869" t="s">
        <v>302</v>
      </c>
      <c r="F3869" t="s">
        <v>299</v>
      </c>
      <c r="G3869" t="s">
        <v>299</v>
      </c>
      <c r="H3869">
        <v>113</v>
      </c>
      <c r="I3869" s="30">
        <v>4.6412037037037038E-3</v>
      </c>
      <c r="J3869">
        <v>4</v>
      </c>
    </row>
    <row r="3870" spans="1:10" x14ac:dyDescent="0.35">
      <c r="A3870" t="s">
        <v>4246</v>
      </c>
      <c r="B3870" t="s">
        <v>296</v>
      </c>
      <c r="C3870" t="s">
        <v>4234</v>
      </c>
      <c r="D3870" s="30">
        <v>0.46</v>
      </c>
      <c r="E3870" t="s">
        <v>314</v>
      </c>
      <c r="F3870" t="s">
        <v>299</v>
      </c>
      <c r="G3870" t="s">
        <v>299</v>
      </c>
      <c r="H3870">
        <v>52</v>
      </c>
      <c r="I3870" s="30">
        <v>2.0370370370370369E-3</v>
      </c>
      <c r="J3870">
        <v>4</v>
      </c>
    </row>
    <row r="3871" spans="1:10" x14ac:dyDescent="0.35">
      <c r="A3871" t="s">
        <v>4247</v>
      </c>
      <c r="B3871" t="s">
        <v>296</v>
      </c>
      <c r="C3871" t="s">
        <v>4234</v>
      </c>
      <c r="D3871" s="30">
        <v>0.46</v>
      </c>
      <c r="E3871" t="s">
        <v>302</v>
      </c>
      <c r="F3871" t="s">
        <v>299</v>
      </c>
      <c r="G3871" t="s">
        <v>299</v>
      </c>
      <c r="H3871">
        <v>77</v>
      </c>
      <c r="I3871" s="30">
        <v>3.4837962962962965E-3</v>
      </c>
      <c r="J3871">
        <v>3</v>
      </c>
    </row>
    <row r="3872" spans="1:10" x14ac:dyDescent="0.35">
      <c r="A3872" t="s">
        <v>4248</v>
      </c>
      <c r="B3872" t="s">
        <v>307</v>
      </c>
      <c r="C3872" t="s">
        <v>4234</v>
      </c>
      <c r="D3872" s="30">
        <v>0.46099537037037036</v>
      </c>
      <c r="E3872" t="s">
        <v>317</v>
      </c>
      <c r="F3872" t="s">
        <v>299</v>
      </c>
      <c r="G3872" t="s">
        <v>299</v>
      </c>
      <c r="H3872">
        <v>119</v>
      </c>
      <c r="I3872" s="30">
        <v>1.3425925925925925E-3</v>
      </c>
      <c r="J3872">
        <v>1</v>
      </c>
    </row>
    <row r="3873" spans="1:10" x14ac:dyDescent="0.35">
      <c r="A3873" t="s">
        <v>4249</v>
      </c>
      <c r="B3873" t="s">
        <v>296</v>
      </c>
      <c r="C3873" t="s">
        <v>4234</v>
      </c>
      <c r="D3873" s="30">
        <v>0.46099537037037036</v>
      </c>
      <c r="E3873" t="s">
        <v>309</v>
      </c>
      <c r="F3873" t="s">
        <v>303</v>
      </c>
      <c r="G3873" t="s">
        <v>303</v>
      </c>
    </row>
    <row r="3874" spans="1:10" x14ac:dyDescent="0.35">
      <c r="A3874" t="s">
        <v>4250</v>
      </c>
      <c r="B3874" t="s">
        <v>319</v>
      </c>
      <c r="C3874" t="s">
        <v>4234</v>
      </c>
      <c r="D3874" s="30">
        <v>0.47400462962962964</v>
      </c>
      <c r="E3874" t="s">
        <v>314</v>
      </c>
      <c r="F3874" t="s">
        <v>299</v>
      </c>
      <c r="G3874" t="s">
        <v>299</v>
      </c>
      <c r="H3874">
        <v>63</v>
      </c>
      <c r="I3874" s="30">
        <v>5.7870370370370367E-4</v>
      </c>
      <c r="J3874">
        <v>3</v>
      </c>
    </row>
    <row r="3875" spans="1:10" x14ac:dyDescent="0.35">
      <c r="A3875" t="s">
        <v>4251</v>
      </c>
      <c r="B3875" t="s">
        <v>301</v>
      </c>
      <c r="C3875" t="s">
        <v>4234</v>
      </c>
      <c r="D3875" s="30">
        <v>0.47400462962962964</v>
      </c>
      <c r="E3875" t="s">
        <v>317</v>
      </c>
      <c r="F3875" t="s">
        <v>299</v>
      </c>
      <c r="G3875" t="s">
        <v>303</v>
      </c>
      <c r="H3875">
        <v>41</v>
      </c>
      <c r="I3875" s="30">
        <v>4.409722222222222E-3</v>
      </c>
      <c r="J3875">
        <v>4</v>
      </c>
    </row>
    <row r="3876" spans="1:10" x14ac:dyDescent="0.35">
      <c r="A3876" t="s">
        <v>4252</v>
      </c>
      <c r="B3876" t="s">
        <v>296</v>
      </c>
      <c r="C3876" t="s">
        <v>4234</v>
      </c>
      <c r="D3876" s="30">
        <v>0.49200231481481482</v>
      </c>
      <c r="E3876" t="s">
        <v>298</v>
      </c>
      <c r="F3876" t="s">
        <v>299</v>
      </c>
      <c r="G3876" t="s">
        <v>299</v>
      </c>
      <c r="H3876">
        <v>93</v>
      </c>
      <c r="I3876" s="30">
        <v>4.6296296296296294E-3</v>
      </c>
      <c r="J3876">
        <v>5</v>
      </c>
    </row>
    <row r="3877" spans="1:10" x14ac:dyDescent="0.35">
      <c r="A3877" t="s">
        <v>4253</v>
      </c>
      <c r="B3877" t="s">
        <v>301</v>
      </c>
      <c r="C3877" t="s">
        <v>4234</v>
      </c>
      <c r="D3877" s="30">
        <v>0.49200231481481482</v>
      </c>
      <c r="E3877" t="s">
        <v>317</v>
      </c>
      <c r="F3877" t="s">
        <v>299</v>
      </c>
      <c r="G3877" t="s">
        <v>303</v>
      </c>
      <c r="H3877">
        <v>63</v>
      </c>
      <c r="I3877" s="30">
        <v>3.5416666666666665E-3</v>
      </c>
      <c r="J3877">
        <v>2</v>
      </c>
    </row>
    <row r="3878" spans="1:10" x14ac:dyDescent="0.35">
      <c r="A3878" t="s">
        <v>4254</v>
      </c>
      <c r="B3878" t="s">
        <v>296</v>
      </c>
      <c r="C3878" t="s">
        <v>4234</v>
      </c>
      <c r="D3878" s="30">
        <v>0.55700231481481477</v>
      </c>
      <c r="E3878" t="s">
        <v>298</v>
      </c>
      <c r="F3878" t="s">
        <v>303</v>
      </c>
      <c r="G3878" t="s">
        <v>303</v>
      </c>
    </row>
    <row r="3879" spans="1:10" x14ac:dyDescent="0.35">
      <c r="A3879" t="s">
        <v>4255</v>
      </c>
      <c r="B3879" t="s">
        <v>323</v>
      </c>
      <c r="C3879" t="s">
        <v>4234</v>
      </c>
      <c r="D3879" s="30">
        <v>0.55700231481481477</v>
      </c>
      <c r="E3879" t="s">
        <v>317</v>
      </c>
      <c r="F3879" t="s">
        <v>299</v>
      </c>
      <c r="G3879" t="s">
        <v>303</v>
      </c>
      <c r="H3879">
        <v>43</v>
      </c>
      <c r="I3879" s="30">
        <v>1.3541666666666667E-3</v>
      </c>
      <c r="J3879">
        <v>2</v>
      </c>
    </row>
    <row r="3880" spans="1:10" x14ac:dyDescent="0.35">
      <c r="A3880" t="s">
        <v>4256</v>
      </c>
      <c r="B3880" t="s">
        <v>316</v>
      </c>
      <c r="C3880" t="s">
        <v>4234</v>
      </c>
      <c r="D3880" s="30">
        <v>0.56000000000000005</v>
      </c>
      <c r="E3880" t="s">
        <v>309</v>
      </c>
      <c r="F3880" t="s">
        <v>299</v>
      </c>
      <c r="G3880" t="s">
        <v>299</v>
      </c>
      <c r="H3880">
        <v>88</v>
      </c>
      <c r="I3880" s="30">
        <v>1.8055555555555555E-3</v>
      </c>
      <c r="J3880">
        <v>4</v>
      </c>
    </row>
    <row r="3881" spans="1:10" x14ac:dyDescent="0.35">
      <c r="A3881" t="s">
        <v>4257</v>
      </c>
      <c r="B3881" t="s">
        <v>305</v>
      </c>
      <c r="C3881" t="s">
        <v>4234</v>
      </c>
      <c r="D3881" s="30">
        <v>0.56000000000000005</v>
      </c>
      <c r="E3881" t="s">
        <v>298</v>
      </c>
      <c r="F3881" t="s">
        <v>299</v>
      </c>
      <c r="G3881" t="s">
        <v>299</v>
      </c>
      <c r="H3881">
        <v>100</v>
      </c>
      <c r="I3881" s="30">
        <v>7.6388888888888893E-4</v>
      </c>
      <c r="J3881">
        <v>4</v>
      </c>
    </row>
    <row r="3882" spans="1:10" x14ac:dyDescent="0.35">
      <c r="A3882" t="s">
        <v>4258</v>
      </c>
      <c r="B3882" t="s">
        <v>296</v>
      </c>
      <c r="C3882" t="s">
        <v>4234</v>
      </c>
      <c r="D3882" s="30">
        <v>0.57299768518518523</v>
      </c>
      <c r="E3882" t="s">
        <v>314</v>
      </c>
      <c r="F3882" t="s">
        <v>303</v>
      </c>
      <c r="G3882" t="s">
        <v>303</v>
      </c>
    </row>
    <row r="3883" spans="1:10" x14ac:dyDescent="0.35">
      <c r="A3883" t="s">
        <v>4259</v>
      </c>
      <c r="B3883" t="s">
        <v>305</v>
      </c>
      <c r="C3883" t="s">
        <v>4234</v>
      </c>
      <c r="D3883" s="30">
        <v>0.57299768518518523</v>
      </c>
      <c r="E3883" t="s">
        <v>314</v>
      </c>
      <c r="F3883" t="s">
        <v>299</v>
      </c>
      <c r="G3883" t="s">
        <v>299</v>
      </c>
      <c r="H3883">
        <v>108</v>
      </c>
      <c r="I3883" s="30">
        <v>7.0601851851851847E-4</v>
      </c>
      <c r="J3883">
        <v>5</v>
      </c>
    </row>
    <row r="3884" spans="1:10" x14ac:dyDescent="0.35">
      <c r="A3884" t="s">
        <v>4260</v>
      </c>
      <c r="B3884" t="s">
        <v>307</v>
      </c>
      <c r="C3884" t="s">
        <v>4234</v>
      </c>
      <c r="D3884" s="30">
        <v>0.64</v>
      </c>
      <c r="E3884" t="s">
        <v>309</v>
      </c>
      <c r="F3884" t="s">
        <v>299</v>
      </c>
      <c r="G3884" t="s">
        <v>299</v>
      </c>
      <c r="H3884">
        <v>88</v>
      </c>
      <c r="I3884" s="30">
        <v>2.7893518518518519E-3</v>
      </c>
      <c r="J3884">
        <v>3</v>
      </c>
    </row>
    <row r="3885" spans="1:10" x14ac:dyDescent="0.35">
      <c r="A3885" t="s">
        <v>4261</v>
      </c>
      <c r="B3885" t="s">
        <v>296</v>
      </c>
      <c r="C3885" t="s">
        <v>4234</v>
      </c>
      <c r="D3885" s="30">
        <v>0.64</v>
      </c>
      <c r="E3885" t="s">
        <v>309</v>
      </c>
      <c r="F3885" t="s">
        <v>303</v>
      </c>
      <c r="G3885" t="s">
        <v>303</v>
      </c>
    </row>
    <row r="3886" spans="1:10" x14ac:dyDescent="0.35">
      <c r="A3886" t="s">
        <v>4262</v>
      </c>
      <c r="B3886" t="s">
        <v>301</v>
      </c>
      <c r="C3886" t="s">
        <v>4234</v>
      </c>
      <c r="D3886" s="30">
        <v>0.64099537037037035</v>
      </c>
      <c r="E3886" t="s">
        <v>298</v>
      </c>
      <c r="F3886" t="s">
        <v>299</v>
      </c>
      <c r="G3886" t="s">
        <v>299</v>
      </c>
      <c r="H3886">
        <v>72</v>
      </c>
      <c r="I3886" s="30">
        <v>3.2754629629629631E-3</v>
      </c>
      <c r="J3886">
        <v>3</v>
      </c>
    </row>
    <row r="3887" spans="1:10" x14ac:dyDescent="0.35">
      <c r="A3887" t="s">
        <v>4263</v>
      </c>
      <c r="B3887" t="s">
        <v>319</v>
      </c>
      <c r="C3887" t="s">
        <v>4234</v>
      </c>
      <c r="D3887" s="30">
        <v>0.64099537037037035</v>
      </c>
      <c r="E3887" t="s">
        <v>317</v>
      </c>
      <c r="F3887" t="s">
        <v>299</v>
      </c>
      <c r="G3887" t="s">
        <v>299</v>
      </c>
      <c r="H3887">
        <v>52</v>
      </c>
      <c r="I3887" s="30">
        <v>2.4421296296296296E-3</v>
      </c>
      <c r="J3887">
        <v>5</v>
      </c>
    </row>
    <row r="3888" spans="1:10" x14ac:dyDescent="0.35">
      <c r="A3888" t="s">
        <v>4264</v>
      </c>
      <c r="B3888" t="s">
        <v>305</v>
      </c>
      <c r="C3888" t="s">
        <v>4234</v>
      </c>
      <c r="D3888" s="30">
        <v>0.64400462962962968</v>
      </c>
      <c r="E3888" t="s">
        <v>302</v>
      </c>
      <c r="F3888" t="s">
        <v>299</v>
      </c>
      <c r="G3888" t="s">
        <v>299</v>
      </c>
      <c r="H3888">
        <v>15</v>
      </c>
      <c r="I3888" s="30">
        <v>3.2754629629629631E-3</v>
      </c>
      <c r="J3888">
        <v>5</v>
      </c>
    </row>
    <row r="3889" spans="1:10" x14ac:dyDescent="0.35">
      <c r="A3889" t="s">
        <v>4265</v>
      </c>
      <c r="B3889" t="s">
        <v>332</v>
      </c>
      <c r="C3889" t="s">
        <v>4234</v>
      </c>
      <c r="D3889" s="30">
        <v>0.64400462962962968</v>
      </c>
      <c r="E3889" t="s">
        <v>309</v>
      </c>
      <c r="F3889" t="s">
        <v>299</v>
      </c>
      <c r="G3889" t="s">
        <v>299</v>
      </c>
      <c r="H3889">
        <v>113</v>
      </c>
      <c r="I3889" s="30">
        <v>3.3449074074074076E-3</v>
      </c>
      <c r="J3889">
        <v>3</v>
      </c>
    </row>
    <row r="3890" spans="1:10" x14ac:dyDescent="0.35">
      <c r="A3890" t="s">
        <v>4266</v>
      </c>
      <c r="B3890" t="s">
        <v>323</v>
      </c>
      <c r="C3890" t="s">
        <v>4234</v>
      </c>
      <c r="D3890" s="30">
        <v>0.65400462962962957</v>
      </c>
      <c r="E3890" t="s">
        <v>302</v>
      </c>
      <c r="F3890" t="s">
        <v>299</v>
      </c>
      <c r="G3890" t="s">
        <v>299</v>
      </c>
      <c r="H3890">
        <v>123</v>
      </c>
      <c r="I3890" s="30">
        <v>3.4953703703703705E-3</v>
      </c>
      <c r="J3890">
        <v>1</v>
      </c>
    </row>
    <row r="3891" spans="1:10" x14ac:dyDescent="0.35">
      <c r="A3891" t="s">
        <v>4267</v>
      </c>
      <c r="B3891" t="s">
        <v>307</v>
      </c>
      <c r="C3891" t="s">
        <v>4234</v>
      </c>
      <c r="D3891" s="30">
        <v>0.65400462962962957</v>
      </c>
      <c r="E3891" t="s">
        <v>309</v>
      </c>
      <c r="F3891" t="s">
        <v>299</v>
      </c>
      <c r="G3891" t="s">
        <v>299</v>
      </c>
      <c r="H3891">
        <v>97</v>
      </c>
      <c r="I3891" s="30">
        <v>1.4004629629629629E-3</v>
      </c>
      <c r="J3891">
        <v>4</v>
      </c>
    </row>
    <row r="3892" spans="1:10" x14ac:dyDescent="0.35">
      <c r="A3892" t="s">
        <v>4268</v>
      </c>
      <c r="B3892" t="s">
        <v>301</v>
      </c>
      <c r="C3892" t="s">
        <v>4234</v>
      </c>
      <c r="D3892" s="30">
        <v>0.65500000000000003</v>
      </c>
      <c r="E3892" t="s">
        <v>314</v>
      </c>
      <c r="F3892" t="s">
        <v>299</v>
      </c>
      <c r="G3892" t="s">
        <v>299</v>
      </c>
      <c r="H3892">
        <v>22</v>
      </c>
      <c r="I3892" s="30">
        <v>3.2407407407407406E-3</v>
      </c>
      <c r="J3892">
        <v>3</v>
      </c>
    </row>
    <row r="3893" spans="1:10" x14ac:dyDescent="0.35">
      <c r="A3893" t="s">
        <v>4269</v>
      </c>
      <c r="B3893" t="s">
        <v>307</v>
      </c>
      <c r="C3893" t="s">
        <v>4234</v>
      </c>
      <c r="D3893" s="30">
        <v>0.65500000000000003</v>
      </c>
      <c r="E3893" t="s">
        <v>298</v>
      </c>
      <c r="F3893" t="s">
        <v>299</v>
      </c>
      <c r="G3893" t="s">
        <v>299</v>
      </c>
      <c r="H3893">
        <v>62</v>
      </c>
      <c r="I3893" s="30">
        <v>4.5833333333333334E-3</v>
      </c>
      <c r="J3893">
        <v>5</v>
      </c>
    </row>
    <row r="3894" spans="1:10" x14ac:dyDescent="0.35">
      <c r="A3894" t="s">
        <v>4270</v>
      </c>
      <c r="B3894" t="s">
        <v>301</v>
      </c>
      <c r="C3894" t="s">
        <v>4234</v>
      </c>
      <c r="D3894" s="30">
        <v>0.65599537037037037</v>
      </c>
      <c r="E3894" t="s">
        <v>298</v>
      </c>
      <c r="F3894" t="s">
        <v>299</v>
      </c>
      <c r="G3894" t="s">
        <v>303</v>
      </c>
      <c r="H3894">
        <v>79</v>
      </c>
      <c r="I3894" s="30">
        <v>4.1898148148148146E-3</v>
      </c>
      <c r="J3894">
        <v>1</v>
      </c>
    </row>
    <row r="3895" spans="1:10" x14ac:dyDescent="0.35">
      <c r="A3895" t="s">
        <v>4271</v>
      </c>
      <c r="B3895" t="s">
        <v>296</v>
      </c>
      <c r="C3895" t="s">
        <v>4234</v>
      </c>
      <c r="D3895" s="30">
        <v>0.65599537037037037</v>
      </c>
      <c r="E3895" t="s">
        <v>309</v>
      </c>
      <c r="F3895" t="s">
        <v>299</v>
      </c>
      <c r="G3895" t="s">
        <v>299</v>
      </c>
      <c r="H3895">
        <v>85</v>
      </c>
      <c r="I3895" s="30">
        <v>2.1643518518518518E-3</v>
      </c>
      <c r="J3895">
        <v>4</v>
      </c>
    </row>
    <row r="3896" spans="1:10" x14ac:dyDescent="0.35">
      <c r="A3896" t="s">
        <v>4272</v>
      </c>
      <c r="B3896" t="s">
        <v>305</v>
      </c>
      <c r="C3896" t="s">
        <v>4234</v>
      </c>
      <c r="D3896" s="30">
        <v>0.66599537037037038</v>
      </c>
      <c r="E3896" t="s">
        <v>302</v>
      </c>
      <c r="F3896" t="s">
        <v>299</v>
      </c>
      <c r="G3896" t="s">
        <v>299</v>
      </c>
      <c r="H3896">
        <v>74</v>
      </c>
      <c r="I3896" s="30">
        <v>5.4398148148148144E-4</v>
      </c>
      <c r="J3896">
        <v>5</v>
      </c>
    </row>
    <row r="3897" spans="1:10" x14ac:dyDescent="0.35">
      <c r="A3897" t="s">
        <v>4273</v>
      </c>
      <c r="B3897" t="s">
        <v>316</v>
      </c>
      <c r="C3897" t="s">
        <v>4234</v>
      </c>
      <c r="D3897" s="30">
        <v>0.66599537037037038</v>
      </c>
      <c r="E3897" t="s">
        <v>317</v>
      </c>
      <c r="F3897" t="s">
        <v>299</v>
      </c>
      <c r="G3897" t="s">
        <v>299</v>
      </c>
      <c r="H3897">
        <v>61</v>
      </c>
      <c r="I3897" s="30">
        <v>3.472222222222222E-3</v>
      </c>
      <c r="J3897">
        <v>4</v>
      </c>
    </row>
    <row r="3898" spans="1:10" x14ac:dyDescent="0.35">
      <c r="A3898" t="s">
        <v>4274</v>
      </c>
      <c r="B3898" t="s">
        <v>296</v>
      </c>
      <c r="C3898" t="s">
        <v>4234</v>
      </c>
      <c r="D3898" s="30">
        <v>0.70299768518518524</v>
      </c>
      <c r="E3898" t="s">
        <v>309</v>
      </c>
      <c r="F3898" t="s">
        <v>299</v>
      </c>
      <c r="G3898" t="s">
        <v>299</v>
      </c>
      <c r="H3898">
        <v>81</v>
      </c>
      <c r="I3898" s="30">
        <v>3.1828703703703702E-3</v>
      </c>
      <c r="J3898">
        <v>2</v>
      </c>
    </row>
    <row r="3899" spans="1:10" x14ac:dyDescent="0.35">
      <c r="A3899" t="s">
        <v>4275</v>
      </c>
      <c r="B3899" t="s">
        <v>319</v>
      </c>
      <c r="C3899" t="s">
        <v>4234</v>
      </c>
      <c r="D3899" s="30">
        <v>0.70299768518518524</v>
      </c>
      <c r="E3899" t="s">
        <v>314</v>
      </c>
      <c r="F3899" t="s">
        <v>303</v>
      </c>
      <c r="G3899" t="s">
        <v>303</v>
      </c>
    </row>
    <row r="3900" spans="1:10" x14ac:dyDescent="0.35">
      <c r="A3900" t="s">
        <v>4276</v>
      </c>
      <c r="B3900" t="s">
        <v>319</v>
      </c>
      <c r="C3900" t="s">
        <v>4234</v>
      </c>
      <c r="D3900" s="30">
        <v>0.70799768518518513</v>
      </c>
      <c r="E3900" t="s">
        <v>298</v>
      </c>
      <c r="F3900" t="s">
        <v>299</v>
      </c>
      <c r="G3900" t="s">
        <v>299</v>
      </c>
      <c r="H3900">
        <v>74</v>
      </c>
      <c r="I3900" s="30">
        <v>4.363425925925926E-3</v>
      </c>
      <c r="J3900">
        <v>5</v>
      </c>
    </row>
    <row r="3901" spans="1:10" x14ac:dyDescent="0.35">
      <c r="A3901" t="s">
        <v>4277</v>
      </c>
      <c r="B3901" t="s">
        <v>305</v>
      </c>
      <c r="C3901" t="s">
        <v>4234</v>
      </c>
      <c r="D3901" s="30">
        <v>0.70799768518518513</v>
      </c>
      <c r="E3901" t="s">
        <v>298</v>
      </c>
      <c r="F3901" t="s">
        <v>299</v>
      </c>
      <c r="G3901" t="s">
        <v>303</v>
      </c>
      <c r="H3901">
        <v>32</v>
      </c>
      <c r="I3901" s="30">
        <v>2.9976851851851853E-3</v>
      </c>
      <c r="J3901">
        <v>4</v>
      </c>
    </row>
    <row r="3902" spans="1:10" x14ac:dyDescent="0.35">
      <c r="A3902" t="s">
        <v>4278</v>
      </c>
      <c r="B3902" t="s">
        <v>307</v>
      </c>
      <c r="C3902" t="s">
        <v>4234</v>
      </c>
      <c r="D3902" s="30">
        <v>0.71299768518518514</v>
      </c>
      <c r="E3902" t="s">
        <v>302</v>
      </c>
      <c r="F3902" t="s">
        <v>299</v>
      </c>
      <c r="G3902" t="s">
        <v>299</v>
      </c>
      <c r="H3902">
        <v>99</v>
      </c>
      <c r="I3902" s="30">
        <v>3.0555555555555557E-3</v>
      </c>
      <c r="J3902">
        <v>3</v>
      </c>
    </row>
    <row r="3903" spans="1:10" x14ac:dyDescent="0.35">
      <c r="A3903" t="s">
        <v>4279</v>
      </c>
      <c r="B3903" t="s">
        <v>301</v>
      </c>
      <c r="C3903" t="s">
        <v>4234</v>
      </c>
      <c r="D3903" s="30">
        <v>0.71299768518518514</v>
      </c>
      <c r="E3903" t="s">
        <v>314</v>
      </c>
      <c r="F3903" t="s">
        <v>303</v>
      </c>
      <c r="G3903" t="s">
        <v>303</v>
      </c>
    </row>
    <row r="3904" spans="1:10" x14ac:dyDescent="0.35">
      <c r="A3904" t="s">
        <v>4280</v>
      </c>
      <c r="B3904" t="s">
        <v>332</v>
      </c>
      <c r="C3904" t="s">
        <v>4281</v>
      </c>
      <c r="D3904" s="30">
        <v>0.38400462962962961</v>
      </c>
      <c r="E3904" t="s">
        <v>302</v>
      </c>
      <c r="F3904" t="s">
        <v>299</v>
      </c>
      <c r="G3904" t="s">
        <v>299</v>
      </c>
      <c r="H3904">
        <v>75</v>
      </c>
      <c r="I3904" s="30">
        <v>1.9560185185185184E-3</v>
      </c>
      <c r="J3904">
        <v>5</v>
      </c>
    </row>
    <row r="3905" spans="1:10" x14ac:dyDescent="0.35">
      <c r="A3905" t="s">
        <v>4282</v>
      </c>
      <c r="B3905" t="s">
        <v>323</v>
      </c>
      <c r="C3905" t="s">
        <v>4281</v>
      </c>
      <c r="D3905" s="30">
        <v>0.38400462962962961</v>
      </c>
      <c r="E3905" t="s">
        <v>309</v>
      </c>
      <c r="F3905" t="s">
        <v>303</v>
      </c>
      <c r="G3905" t="s">
        <v>303</v>
      </c>
    </row>
    <row r="3906" spans="1:10" x14ac:dyDescent="0.35">
      <c r="A3906" t="s">
        <v>4283</v>
      </c>
      <c r="B3906" t="s">
        <v>332</v>
      </c>
      <c r="C3906" t="s">
        <v>4281</v>
      </c>
      <c r="D3906" s="30">
        <v>0.38799768518518518</v>
      </c>
      <c r="E3906" t="s">
        <v>302</v>
      </c>
      <c r="F3906" t="s">
        <v>299</v>
      </c>
      <c r="G3906" t="s">
        <v>299</v>
      </c>
      <c r="H3906">
        <v>114</v>
      </c>
      <c r="I3906" s="30">
        <v>3.1597222222222222E-3</v>
      </c>
      <c r="J3906">
        <v>5</v>
      </c>
    </row>
    <row r="3907" spans="1:10" x14ac:dyDescent="0.35">
      <c r="A3907" t="s">
        <v>4284</v>
      </c>
      <c r="B3907" t="s">
        <v>307</v>
      </c>
      <c r="C3907" t="s">
        <v>4281</v>
      </c>
      <c r="D3907" s="30">
        <v>0.38799768518518518</v>
      </c>
      <c r="E3907" t="s">
        <v>302</v>
      </c>
      <c r="F3907" t="s">
        <v>303</v>
      </c>
      <c r="G3907" t="s">
        <v>303</v>
      </c>
    </row>
    <row r="3908" spans="1:10" x14ac:dyDescent="0.35">
      <c r="A3908" t="s">
        <v>4285</v>
      </c>
      <c r="B3908" t="s">
        <v>316</v>
      </c>
      <c r="C3908" t="s">
        <v>4281</v>
      </c>
      <c r="D3908" s="30">
        <v>0.41099537037037037</v>
      </c>
      <c r="E3908" t="s">
        <v>314</v>
      </c>
      <c r="F3908" t="s">
        <v>299</v>
      </c>
      <c r="G3908" t="s">
        <v>299</v>
      </c>
      <c r="H3908">
        <v>50</v>
      </c>
      <c r="I3908" s="30">
        <v>4.31712962962963E-3</v>
      </c>
      <c r="J3908">
        <v>3</v>
      </c>
    </row>
    <row r="3909" spans="1:10" x14ac:dyDescent="0.35">
      <c r="A3909" t="s">
        <v>4286</v>
      </c>
      <c r="B3909" t="s">
        <v>316</v>
      </c>
      <c r="C3909" t="s">
        <v>4281</v>
      </c>
      <c r="D3909" s="30">
        <v>0.41099537037037037</v>
      </c>
      <c r="E3909" t="s">
        <v>302</v>
      </c>
      <c r="F3909" t="s">
        <v>303</v>
      </c>
      <c r="G3909" t="s">
        <v>303</v>
      </c>
    </row>
    <row r="3910" spans="1:10" x14ac:dyDescent="0.35">
      <c r="A3910" t="s">
        <v>4287</v>
      </c>
      <c r="B3910" t="s">
        <v>316</v>
      </c>
      <c r="C3910" t="s">
        <v>4281</v>
      </c>
      <c r="D3910" s="30">
        <v>0.42099537037037038</v>
      </c>
      <c r="E3910" t="s">
        <v>314</v>
      </c>
      <c r="F3910" t="s">
        <v>299</v>
      </c>
      <c r="G3910" t="s">
        <v>303</v>
      </c>
      <c r="H3910">
        <v>115</v>
      </c>
      <c r="I3910" s="30">
        <v>2.1990740740740742E-3</v>
      </c>
      <c r="J3910">
        <v>2</v>
      </c>
    </row>
    <row r="3911" spans="1:10" x14ac:dyDescent="0.35">
      <c r="A3911" t="s">
        <v>4288</v>
      </c>
      <c r="B3911" t="s">
        <v>301</v>
      </c>
      <c r="C3911" t="s">
        <v>4281</v>
      </c>
      <c r="D3911" s="30">
        <v>0.42099537037037038</v>
      </c>
      <c r="E3911" t="s">
        <v>314</v>
      </c>
      <c r="F3911" t="s">
        <v>299</v>
      </c>
      <c r="G3911" t="s">
        <v>299</v>
      </c>
      <c r="H3911">
        <v>48</v>
      </c>
      <c r="I3911" s="30">
        <v>1.0532407407407407E-3</v>
      </c>
      <c r="J3911">
        <v>4</v>
      </c>
    </row>
    <row r="3912" spans="1:10" x14ac:dyDescent="0.35">
      <c r="A3912" t="s">
        <v>4289</v>
      </c>
      <c r="B3912" t="s">
        <v>319</v>
      </c>
      <c r="C3912" t="s">
        <v>4281</v>
      </c>
      <c r="D3912" s="30">
        <v>0.42200231481481482</v>
      </c>
      <c r="E3912" t="s">
        <v>309</v>
      </c>
      <c r="F3912" t="s">
        <v>299</v>
      </c>
      <c r="G3912" t="s">
        <v>299</v>
      </c>
      <c r="H3912">
        <v>16</v>
      </c>
      <c r="I3912" s="30">
        <v>1.3310185185185185E-3</v>
      </c>
      <c r="J3912">
        <v>1</v>
      </c>
    </row>
    <row r="3913" spans="1:10" x14ac:dyDescent="0.35">
      <c r="A3913" t="s">
        <v>4290</v>
      </c>
      <c r="B3913" t="s">
        <v>305</v>
      </c>
      <c r="C3913" t="s">
        <v>4281</v>
      </c>
      <c r="D3913" s="30">
        <v>0.42200231481481482</v>
      </c>
      <c r="E3913" t="s">
        <v>302</v>
      </c>
      <c r="F3913" t="s">
        <v>299</v>
      </c>
      <c r="G3913" t="s">
        <v>299</v>
      </c>
      <c r="H3913">
        <v>74</v>
      </c>
      <c r="I3913" s="30">
        <v>4.5949074074074078E-3</v>
      </c>
      <c r="J3913">
        <v>5</v>
      </c>
    </row>
    <row r="3914" spans="1:10" x14ac:dyDescent="0.35">
      <c r="A3914" t="s">
        <v>4291</v>
      </c>
      <c r="B3914" t="s">
        <v>319</v>
      </c>
      <c r="C3914" t="s">
        <v>4281</v>
      </c>
      <c r="D3914" s="30">
        <v>0.43200231481481483</v>
      </c>
      <c r="E3914" t="s">
        <v>309</v>
      </c>
      <c r="F3914" t="s">
        <v>303</v>
      </c>
      <c r="G3914" t="s">
        <v>303</v>
      </c>
    </row>
    <row r="3915" spans="1:10" x14ac:dyDescent="0.35">
      <c r="A3915" t="s">
        <v>4292</v>
      </c>
      <c r="B3915" t="s">
        <v>307</v>
      </c>
      <c r="C3915" t="s">
        <v>4281</v>
      </c>
      <c r="D3915" s="30">
        <v>0.43200231481481483</v>
      </c>
      <c r="E3915" t="s">
        <v>298</v>
      </c>
      <c r="F3915" t="s">
        <v>303</v>
      </c>
      <c r="G3915" t="s">
        <v>303</v>
      </c>
    </row>
    <row r="3916" spans="1:10" x14ac:dyDescent="0.35">
      <c r="A3916" t="s">
        <v>4293</v>
      </c>
      <c r="B3916" t="s">
        <v>307</v>
      </c>
      <c r="C3916" t="s">
        <v>4281</v>
      </c>
      <c r="D3916" s="30">
        <v>0.435</v>
      </c>
      <c r="E3916" t="s">
        <v>317</v>
      </c>
      <c r="F3916" t="s">
        <v>303</v>
      </c>
      <c r="G3916" t="s">
        <v>303</v>
      </c>
    </row>
    <row r="3917" spans="1:10" x14ac:dyDescent="0.35">
      <c r="A3917" t="s">
        <v>4294</v>
      </c>
      <c r="B3917" t="s">
        <v>305</v>
      </c>
      <c r="C3917" t="s">
        <v>4281</v>
      </c>
      <c r="D3917" s="30">
        <v>0.435</v>
      </c>
      <c r="E3917" t="s">
        <v>317</v>
      </c>
      <c r="F3917" t="s">
        <v>299</v>
      </c>
      <c r="G3917" t="s">
        <v>299</v>
      </c>
      <c r="H3917">
        <v>37</v>
      </c>
      <c r="I3917" s="30">
        <v>3.5300925925925925E-3</v>
      </c>
      <c r="J3917">
        <v>5</v>
      </c>
    </row>
    <row r="3918" spans="1:10" x14ac:dyDescent="0.35">
      <c r="A3918" t="s">
        <v>4295</v>
      </c>
      <c r="B3918" t="s">
        <v>323</v>
      </c>
      <c r="C3918" t="s">
        <v>4281</v>
      </c>
      <c r="D3918" s="30">
        <v>0.50299768518518517</v>
      </c>
      <c r="E3918" t="s">
        <v>309</v>
      </c>
      <c r="F3918" t="s">
        <v>299</v>
      </c>
      <c r="G3918" t="s">
        <v>299</v>
      </c>
      <c r="H3918">
        <v>125</v>
      </c>
      <c r="I3918" s="30">
        <v>1.4120370370370369E-3</v>
      </c>
      <c r="J3918">
        <v>3</v>
      </c>
    </row>
    <row r="3919" spans="1:10" x14ac:dyDescent="0.35">
      <c r="A3919" t="s">
        <v>4296</v>
      </c>
      <c r="B3919" t="s">
        <v>296</v>
      </c>
      <c r="C3919" t="s">
        <v>4281</v>
      </c>
      <c r="D3919" s="30">
        <v>0.50299768518518517</v>
      </c>
      <c r="E3919" t="s">
        <v>314</v>
      </c>
      <c r="F3919" t="s">
        <v>299</v>
      </c>
      <c r="G3919" t="s">
        <v>299</v>
      </c>
      <c r="H3919">
        <v>42</v>
      </c>
      <c r="I3919" s="30">
        <v>2.7199074074074074E-3</v>
      </c>
      <c r="J3919">
        <v>3</v>
      </c>
    </row>
    <row r="3920" spans="1:10" x14ac:dyDescent="0.35">
      <c r="A3920" t="s">
        <v>4297</v>
      </c>
      <c r="B3920" t="s">
        <v>316</v>
      </c>
      <c r="C3920" t="s">
        <v>4281</v>
      </c>
      <c r="D3920" s="30">
        <v>0.53400462962962958</v>
      </c>
      <c r="E3920" t="s">
        <v>309</v>
      </c>
      <c r="F3920" t="s">
        <v>303</v>
      </c>
      <c r="G3920" t="s">
        <v>303</v>
      </c>
    </row>
    <row r="3921" spans="1:10" x14ac:dyDescent="0.35">
      <c r="A3921" t="s">
        <v>4298</v>
      </c>
      <c r="B3921" t="s">
        <v>301</v>
      </c>
      <c r="C3921" t="s">
        <v>4281</v>
      </c>
      <c r="D3921" s="30">
        <v>0.53400462962962958</v>
      </c>
      <c r="E3921" t="s">
        <v>317</v>
      </c>
      <c r="F3921" t="s">
        <v>299</v>
      </c>
      <c r="G3921" t="s">
        <v>299</v>
      </c>
      <c r="H3921">
        <v>43</v>
      </c>
      <c r="I3921" s="30">
        <v>4.1666666666666669E-4</v>
      </c>
      <c r="J3921">
        <v>3</v>
      </c>
    </row>
    <row r="3922" spans="1:10" x14ac:dyDescent="0.35">
      <c r="A3922" t="s">
        <v>4299</v>
      </c>
      <c r="B3922" t="s">
        <v>301</v>
      </c>
      <c r="C3922" t="s">
        <v>4281</v>
      </c>
      <c r="D3922" s="30">
        <v>0.56200231481481477</v>
      </c>
      <c r="E3922" t="s">
        <v>317</v>
      </c>
      <c r="F3922" t="s">
        <v>299</v>
      </c>
      <c r="G3922" t="s">
        <v>299</v>
      </c>
      <c r="H3922">
        <v>74</v>
      </c>
      <c r="I3922" s="30">
        <v>1.8518518518518519E-3</v>
      </c>
      <c r="J3922">
        <v>4</v>
      </c>
    </row>
    <row r="3923" spans="1:10" x14ac:dyDescent="0.35">
      <c r="A3923" t="s">
        <v>4300</v>
      </c>
      <c r="B3923" t="s">
        <v>319</v>
      </c>
      <c r="C3923" t="s">
        <v>4281</v>
      </c>
      <c r="D3923" s="30">
        <v>0.56200231481481477</v>
      </c>
      <c r="E3923" t="s">
        <v>314</v>
      </c>
      <c r="F3923" t="s">
        <v>299</v>
      </c>
      <c r="G3923" t="s">
        <v>299</v>
      </c>
      <c r="H3923">
        <v>90</v>
      </c>
      <c r="I3923" s="30">
        <v>3.4375E-3</v>
      </c>
      <c r="J3923">
        <v>3</v>
      </c>
    </row>
    <row r="3924" spans="1:10" x14ac:dyDescent="0.35">
      <c r="A3924" t="s">
        <v>4301</v>
      </c>
      <c r="B3924" t="s">
        <v>307</v>
      </c>
      <c r="C3924" t="s">
        <v>4281</v>
      </c>
      <c r="D3924" s="30">
        <v>0.56400462962962961</v>
      </c>
      <c r="E3924" t="s">
        <v>298</v>
      </c>
      <c r="F3924" t="s">
        <v>303</v>
      </c>
      <c r="G3924" t="s">
        <v>303</v>
      </c>
    </row>
    <row r="3925" spans="1:10" x14ac:dyDescent="0.35">
      <c r="A3925" t="s">
        <v>4302</v>
      </c>
      <c r="B3925" t="s">
        <v>316</v>
      </c>
      <c r="C3925" t="s">
        <v>4281</v>
      </c>
      <c r="D3925" s="30">
        <v>0.56400462962962961</v>
      </c>
      <c r="E3925" t="s">
        <v>314</v>
      </c>
      <c r="F3925" t="s">
        <v>299</v>
      </c>
      <c r="G3925" t="s">
        <v>299</v>
      </c>
      <c r="H3925">
        <v>84</v>
      </c>
      <c r="I3925" s="30">
        <v>4.4212962962962964E-3</v>
      </c>
      <c r="J3925">
        <v>5</v>
      </c>
    </row>
    <row r="3926" spans="1:10" x14ac:dyDescent="0.35">
      <c r="A3926" t="s">
        <v>4303</v>
      </c>
      <c r="B3926" t="s">
        <v>319</v>
      </c>
      <c r="C3926" t="s">
        <v>4281</v>
      </c>
      <c r="D3926" s="30">
        <v>0.5709953703703704</v>
      </c>
      <c r="E3926" t="s">
        <v>309</v>
      </c>
      <c r="F3926" t="s">
        <v>299</v>
      </c>
      <c r="G3926" t="s">
        <v>299</v>
      </c>
      <c r="H3926">
        <v>51</v>
      </c>
      <c r="I3926" s="30">
        <v>4.6874999999999998E-3</v>
      </c>
      <c r="J3926">
        <v>3</v>
      </c>
    </row>
    <row r="3927" spans="1:10" x14ac:dyDescent="0.35">
      <c r="A3927" t="s">
        <v>4304</v>
      </c>
      <c r="B3927" t="s">
        <v>296</v>
      </c>
      <c r="C3927" t="s">
        <v>4281</v>
      </c>
      <c r="D3927" s="30">
        <v>0.5709953703703704</v>
      </c>
      <c r="E3927" t="s">
        <v>298</v>
      </c>
      <c r="F3927" t="s">
        <v>303</v>
      </c>
      <c r="G3927" t="s">
        <v>303</v>
      </c>
    </row>
    <row r="3928" spans="1:10" x14ac:dyDescent="0.35">
      <c r="A3928" t="s">
        <v>4305</v>
      </c>
      <c r="B3928" t="s">
        <v>296</v>
      </c>
      <c r="C3928" t="s">
        <v>4281</v>
      </c>
      <c r="D3928" s="30">
        <v>0.57299768518518523</v>
      </c>
      <c r="E3928" t="s">
        <v>317</v>
      </c>
      <c r="F3928" t="s">
        <v>299</v>
      </c>
      <c r="G3928" t="s">
        <v>303</v>
      </c>
      <c r="H3928">
        <v>90</v>
      </c>
      <c r="I3928" s="30">
        <v>3.0439814814814813E-3</v>
      </c>
      <c r="J3928">
        <v>3</v>
      </c>
    </row>
    <row r="3929" spans="1:10" x14ac:dyDescent="0.35">
      <c r="A3929" t="s">
        <v>4306</v>
      </c>
      <c r="B3929" t="s">
        <v>319</v>
      </c>
      <c r="C3929" t="s">
        <v>4281</v>
      </c>
      <c r="D3929" s="30">
        <v>0.57299768518518523</v>
      </c>
      <c r="E3929" t="s">
        <v>314</v>
      </c>
      <c r="F3929" t="s">
        <v>299</v>
      </c>
      <c r="G3929" t="s">
        <v>299</v>
      </c>
      <c r="H3929">
        <v>82</v>
      </c>
      <c r="I3929" s="30">
        <v>5.6712962962962967E-4</v>
      </c>
      <c r="J3929">
        <v>3</v>
      </c>
    </row>
    <row r="3930" spans="1:10" x14ac:dyDescent="0.35">
      <c r="A3930" t="s">
        <v>4307</v>
      </c>
      <c r="B3930" t="s">
        <v>307</v>
      </c>
      <c r="C3930" t="s">
        <v>4281</v>
      </c>
      <c r="D3930" s="30">
        <v>0.57499999999999996</v>
      </c>
      <c r="E3930" t="s">
        <v>314</v>
      </c>
      <c r="F3930" t="s">
        <v>299</v>
      </c>
      <c r="G3930" t="s">
        <v>299</v>
      </c>
      <c r="H3930">
        <v>77</v>
      </c>
      <c r="I3930" s="30">
        <v>2.8472222222222223E-3</v>
      </c>
      <c r="J3930">
        <v>3</v>
      </c>
    </row>
    <row r="3931" spans="1:10" x14ac:dyDescent="0.35">
      <c r="A3931" t="s">
        <v>4308</v>
      </c>
      <c r="B3931" t="s">
        <v>323</v>
      </c>
      <c r="C3931" t="s">
        <v>4281</v>
      </c>
      <c r="D3931" s="30">
        <v>0.57499999999999996</v>
      </c>
      <c r="E3931" t="s">
        <v>302</v>
      </c>
      <c r="F3931" t="s">
        <v>303</v>
      </c>
      <c r="G3931" t="s">
        <v>303</v>
      </c>
    </row>
    <row r="3932" spans="1:10" x14ac:dyDescent="0.35">
      <c r="A3932" t="s">
        <v>4309</v>
      </c>
      <c r="B3932" t="s">
        <v>307</v>
      </c>
      <c r="C3932" t="s">
        <v>4281</v>
      </c>
      <c r="D3932" s="30">
        <v>0.58099537037037041</v>
      </c>
      <c r="E3932" t="s">
        <v>298</v>
      </c>
      <c r="F3932" t="s">
        <v>299</v>
      </c>
      <c r="G3932" t="s">
        <v>299</v>
      </c>
      <c r="H3932">
        <v>116</v>
      </c>
      <c r="I3932" s="30">
        <v>3.5879629629629629E-4</v>
      </c>
      <c r="J3932">
        <v>3</v>
      </c>
    </row>
    <row r="3933" spans="1:10" x14ac:dyDescent="0.35">
      <c r="A3933" t="s">
        <v>4310</v>
      </c>
      <c r="B3933" t="s">
        <v>305</v>
      </c>
      <c r="C3933" t="s">
        <v>4281</v>
      </c>
      <c r="D3933" s="30">
        <v>0.58099537037037041</v>
      </c>
      <c r="E3933" t="s">
        <v>309</v>
      </c>
      <c r="F3933" t="s">
        <v>299</v>
      </c>
      <c r="G3933" t="s">
        <v>299</v>
      </c>
      <c r="H3933">
        <v>120</v>
      </c>
      <c r="I3933" s="30">
        <v>9.7222222222222219E-4</v>
      </c>
      <c r="J3933">
        <v>3</v>
      </c>
    </row>
    <row r="3934" spans="1:10" x14ac:dyDescent="0.35">
      <c r="A3934" t="s">
        <v>4311</v>
      </c>
      <c r="B3934" t="s">
        <v>332</v>
      </c>
      <c r="C3934" t="s">
        <v>4281</v>
      </c>
      <c r="D3934" s="30">
        <v>0.58400462962962962</v>
      </c>
      <c r="E3934" t="s">
        <v>309</v>
      </c>
      <c r="F3934" t="s">
        <v>299</v>
      </c>
      <c r="G3934" t="s">
        <v>299</v>
      </c>
      <c r="H3934">
        <v>13</v>
      </c>
      <c r="I3934" s="30">
        <v>3.0787037037037037E-3</v>
      </c>
      <c r="J3934">
        <v>1</v>
      </c>
    </row>
    <row r="3935" spans="1:10" x14ac:dyDescent="0.35">
      <c r="A3935" t="s">
        <v>4312</v>
      </c>
      <c r="B3935" t="s">
        <v>332</v>
      </c>
      <c r="C3935" t="s">
        <v>4281</v>
      </c>
      <c r="D3935" s="30">
        <v>0.58400462962962962</v>
      </c>
      <c r="E3935" t="s">
        <v>317</v>
      </c>
      <c r="F3935" t="s">
        <v>299</v>
      </c>
      <c r="G3935" t="s">
        <v>299</v>
      </c>
      <c r="H3935">
        <v>26</v>
      </c>
      <c r="I3935" s="30">
        <v>2.0949074074074073E-3</v>
      </c>
      <c r="J3935">
        <v>3</v>
      </c>
    </row>
    <row r="3936" spans="1:10" x14ac:dyDescent="0.35">
      <c r="A3936" t="s">
        <v>4313</v>
      </c>
      <c r="B3936" t="s">
        <v>305</v>
      </c>
      <c r="C3936" t="s">
        <v>4281</v>
      </c>
      <c r="D3936" s="30">
        <v>0.63700231481481484</v>
      </c>
      <c r="E3936" t="s">
        <v>298</v>
      </c>
      <c r="F3936" t="s">
        <v>299</v>
      </c>
      <c r="G3936" t="s">
        <v>299</v>
      </c>
      <c r="H3936">
        <v>93</v>
      </c>
      <c r="I3936" s="30">
        <v>1.5972222222222223E-3</v>
      </c>
      <c r="J3936">
        <v>3</v>
      </c>
    </row>
    <row r="3937" spans="1:10" x14ac:dyDescent="0.35">
      <c r="A3937" t="s">
        <v>4314</v>
      </c>
      <c r="B3937" t="s">
        <v>332</v>
      </c>
      <c r="C3937" t="s">
        <v>4281</v>
      </c>
      <c r="D3937" s="30">
        <v>0.63700231481481484</v>
      </c>
      <c r="E3937" t="s">
        <v>298</v>
      </c>
      <c r="F3937" t="s">
        <v>299</v>
      </c>
      <c r="G3937" t="s">
        <v>299</v>
      </c>
      <c r="H3937">
        <v>20</v>
      </c>
      <c r="I3937" s="30">
        <v>3.8194444444444452E-4</v>
      </c>
      <c r="J3937">
        <v>3</v>
      </c>
    </row>
    <row r="3938" spans="1:10" x14ac:dyDescent="0.35">
      <c r="A3938" t="s">
        <v>4315</v>
      </c>
      <c r="B3938" t="s">
        <v>305</v>
      </c>
      <c r="C3938" t="s">
        <v>4281</v>
      </c>
      <c r="D3938" s="30">
        <v>0.64200231481481485</v>
      </c>
      <c r="E3938" t="s">
        <v>298</v>
      </c>
      <c r="F3938" t="s">
        <v>303</v>
      </c>
      <c r="G3938" t="s">
        <v>303</v>
      </c>
    </row>
    <row r="3939" spans="1:10" x14ac:dyDescent="0.35">
      <c r="A3939" t="s">
        <v>4316</v>
      </c>
      <c r="B3939" t="s">
        <v>319</v>
      </c>
      <c r="C3939" t="s">
        <v>4281</v>
      </c>
      <c r="D3939" s="30">
        <v>0.64200231481481485</v>
      </c>
      <c r="E3939" t="s">
        <v>317</v>
      </c>
      <c r="F3939" t="s">
        <v>299</v>
      </c>
      <c r="G3939" t="s">
        <v>299</v>
      </c>
      <c r="H3939">
        <v>113</v>
      </c>
      <c r="I3939" s="30">
        <v>9.0277777777777774E-4</v>
      </c>
      <c r="J3939">
        <v>1</v>
      </c>
    </row>
    <row r="3940" spans="1:10" x14ac:dyDescent="0.35">
      <c r="A3940" t="s">
        <v>4317</v>
      </c>
      <c r="B3940" t="s">
        <v>305</v>
      </c>
      <c r="C3940" t="s">
        <v>4281</v>
      </c>
      <c r="D3940" s="30">
        <v>0.66700231481481487</v>
      </c>
      <c r="E3940" t="s">
        <v>317</v>
      </c>
      <c r="F3940" t="s">
        <v>303</v>
      </c>
      <c r="G3940" t="s">
        <v>303</v>
      </c>
    </row>
    <row r="3941" spans="1:10" x14ac:dyDescent="0.35">
      <c r="A3941" t="s">
        <v>4318</v>
      </c>
      <c r="B3941" t="s">
        <v>319</v>
      </c>
      <c r="C3941" t="s">
        <v>4281</v>
      </c>
      <c r="D3941" s="30">
        <v>0.66700231481481487</v>
      </c>
      <c r="E3941" t="s">
        <v>309</v>
      </c>
      <c r="F3941" t="s">
        <v>299</v>
      </c>
      <c r="G3941" t="s">
        <v>299</v>
      </c>
      <c r="H3941">
        <v>113</v>
      </c>
      <c r="I3941" s="30">
        <v>4.340277777777778E-3</v>
      </c>
      <c r="J3941">
        <v>2</v>
      </c>
    </row>
    <row r="3942" spans="1:10" x14ac:dyDescent="0.35">
      <c r="A3942" t="s">
        <v>4319</v>
      </c>
      <c r="B3942" t="s">
        <v>307</v>
      </c>
      <c r="C3942" t="s">
        <v>4281</v>
      </c>
      <c r="D3942" s="30">
        <v>0.68799768518518523</v>
      </c>
      <c r="E3942" t="s">
        <v>317</v>
      </c>
      <c r="F3942" t="s">
        <v>299</v>
      </c>
      <c r="G3942" t="s">
        <v>299</v>
      </c>
      <c r="H3942">
        <v>44</v>
      </c>
      <c r="I3942" s="30">
        <v>2.2800925925925927E-3</v>
      </c>
      <c r="J3942">
        <v>5</v>
      </c>
    </row>
    <row r="3943" spans="1:10" x14ac:dyDescent="0.35">
      <c r="A3943" t="s">
        <v>4320</v>
      </c>
      <c r="B3943" t="s">
        <v>301</v>
      </c>
      <c r="C3943" t="s">
        <v>4281</v>
      </c>
      <c r="D3943" s="30">
        <v>0.68799768518518523</v>
      </c>
      <c r="E3943" t="s">
        <v>309</v>
      </c>
      <c r="F3943" t="s">
        <v>299</v>
      </c>
      <c r="G3943" t="s">
        <v>299</v>
      </c>
      <c r="H3943">
        <v>103</v>
      </c>
      <c r="I3943" s="30">
        <v>9.6064814814814819E-4</v>
      </c>
      <c r="J3943">
        <v>3</v>
      </c>
    </row>
    <row r="3944" spans="1:10" x14ac:dyDescent="0.35">
      <c r="A3944" t="s">
        <v>4321</v>
      </c>
      <c r="B3944" t="s">
        <v>307</v>
      </c>
      <c r="C3944" t="s">
        <v>4281</v>
      </c>
      <c r="D3944" s="30">
        <v>0.69900462962962961</v>
      </c>
      <c r="E3944" t="s">
        <v>317</v>
      </c>
      <c r="F3944" t="s">
        <v>299</v>
      </c>
      <c r="G3944" t="s">
        <v>299</v>
      </c>
      <c r="H3944">
        <v>92</v>
      </c>
      <c r="I3944" s="30">
        <v>4.43287037037037E-3</v>
      </c>
      <c r="J3944">
        <v>2</v>
      </c>
    </row>
    <row r="3945" spans="1:10" x14ac:dyDescent="0.35">
      <c r="A3945" t="s">
        <v>4322</v>
      </c>
      <c r="B3945" t="s">
        <v>332</v>
      </c>
      <c r="C3945" t="s">
        <v>4281</v>
      </c>
      <c r="D3945" s="30">
        <v>0.69900462962962961</v>
      </c>
      <c r="E3945" t="s">
        <v>317</v>
      </c>
      <c r="F3945" t="s">
        <v>299</v>
      </c>
      <c r="G3945" t="s">
        <v>303</v>
      </c>
      <c r="H3945">
        <v>92</v>
      </c>
      <c r="I3945" s="30">
        <v>3.0092592592592593E-3</v>
      </c>
      <c r="J3945">
        <v>3</v>
      </c>
    </row>
    <row r="3946" spans="1:10" x14ac:dyDescent="0.35">
      <c r="A3946" t="s">
        <v>4323</v>
      </c>
      <c r="B3946" t="s">
        <v>332</v>
      </c>
      <c r="C3946" t="s">
        <v>4281</v>
      </c>
      <c r="D3946" s="30">
        <v>0.7120023148148148</v>
      </c>
      <c r="E3946" t="s">
        <v>317</v>
      </c>
      <c r="F3946" t="s">
        <v>299</v>
      </c>
      <c r="G3946" t="s">
        <v>299</v>
      </c>
      <c r="H3946">
        <v>33</v>
      </c>
      <c r="I3946" s="30">
        <v>3.6342592592592594E-3</v>
      </c>
      <c r="J3946">
        <v>5</v>
      </c>
    </row>
    <row r="3947" spans="1:10" x14ac:dyDescent="0.35">
      <c r="A3947" t="s">
        <v>4324</v>
      </c>
      <c r="B3947" t="s">
        <v>332</v>
      </c>
      <c r="C3947" t="s">
        <v>4281</v>
      </c>
      <c r="D3947" s="30">
        <v>0.7120023148148148</v>
      </c>
      <c r="E3947" t="s">
        <v>298</v>
      </c>
      <c r="F3947" t="s">
        <v>299</v>
      </c>
      <c r="G3947" t="s">
        <v>299</v>
      </c>
      <c r="H3947">
        <v>24</v>
      </c>
      <c r="I3947" s="30">
        <v>3.2407407407407406E-3</v>
      </c>
      <c r="J3947">
        <v>5</v>
      </c>
    </row>
    <row r="3948" spans="1:10" x14ac:dyDescent="0.35">
      <c r="A3948" t="s">
        <v>4325</v>
      </c>
      <c r="B3948" t="s">
        <v>307</v>
      </c>
      <c r="C3948" t="s">
        <v>4281</v>
      </c>
      <c r="D3948" s="30">
        <v>0.73299768518518515</v>
      </c>
      <c r="E3948" t="s">
        <v>317</v>
      </c>
      <c r="F3948" t="s">
        <v>299</v>
      </c>
      <c r="G3948" t="s">
        <v>299</v>
      </c>
      <c r="H3948">
        <v>84</v>
      </c>
      <c r="I3948" s="30">
        <v>1.4236111111111112E-3</v>
      </c>
      <c r="J3948">
        <v>3</v>
      </c>
    </row>
    <row r="3949" spans="1:10" x14ac:dyDescent="0.35">
      <c r="A3949" t="s">
        <v>4326</v>
      </c>
      <c r="B3949" t="s">
        <v>316</v>
      </c>
      <c r="C3949" t="s">
        <v>4281</v>
      </c>
      <c r="D3949" s="30">
        <v>0.73299768518518515</v>
      </c>
      <c r="E3949" t="s">
        <v>302</v>
      </c>
      <c r="F3949" t="s">
        <v>299</v>
      </c>
      <c r="G3949" t="s">
        <v>299</v>
      </c>
      <c r="H3949">
        <v>99</v>
      </c>
      <c r="I3949" s="30">
        <v>1.9328703703703704E-3</v>
      </c>
      <c r="J3949">
        <v>3</v>
      </c>
    </row>
    <row r="3950" spans="1:10" x14ac:dyDescent="0.35">
      <c r="A3950" t="s">
        <v>4327</v>
      </c>
      <c r="B3950" t="s">
        <v>305</v>
      </c>
      <c r="C3950" t="s">
        <v>4328</v>
      </c>
      <c r="D3950" s="30">
        <v>0.38200231481481484</v>
      </c>
      <c r="E3950" t="s">
        <v>302</v>
      </c>
      <c r="F3950" t="s">
        <v>303</v>
      </c>
      <c r="G3950" t="s">
        <v>303</v>
      </c>
    </row>
    <row r="3951" spans="1:10" x14ac:dyDescent="0.35">
      <c r="A3951" t="s">
        <v>4329</v>
      </c>
      <c r="B3951" t="s">
        <v>296</v>
      </c>
      <c r="C3951" t="s">
        <v>4328</v>
      </c>
      <c r="D3951" s="30">
        <v>0.38200231481481484</v>
      </c>
      <c r="E3951" t="s">
        <v>302</v>
      </c>
      <c r="F3951" t="s">
        <v>299</v>
      </c>
      <c r="G3951" t="s">
        <v>299</v>
      </c>
      <c r="H3951">
        <v>58</v>
      </c>
      <c r="I3951" s="30">
        <v>1.5740740740740741E-3</v>
      </c>
      <c r="J3951">
        <v>5</v>
      </c>
    </row>
    <row r="3952" spans="1:10" x14ac:dyDescent="0.35">
      <c r="A3952" t="s">
        <v>4330</v>
      </c>
      <c r="B3952" t="s">
        <v>319</v>
      </c>
      <c r="C3952" t="s">
        <v>4328</v>
      </c>
      <c r="D3952" s="30">
        <v>0.4020023148148148</v>
      </c>
      <c r="E3952" t="s">
        <v>317</v>
      </c>
      <c r="F3952" t="s">
        <v>303</v>
      </c>
      <c r="G3952" t="s">
        <v>303</v>
      </c>
    </row>
    <row r="3953" spans="1:10" x14ac:dyDescent="0.35">
      <c r="A3953" t="s">
        <v>4331</v>
      </c>
      <c r="B3953" t="s">
        <v>307</v>
      </c>
      <c r="C3953" t="s">
        <v>4328</v>
      </c>
      <c r="D3953" s="30">
        <v>0.4020023148148148</v>
      </c>
      <c r="E3953" t="s">
        <v>314</v>
      </c>
      <c r="F3953" t="s">
        <v>299</v>
      </c>
      <c r="G3953" t="s">
        <v>299</v>
      </c>
      <c r="H3953">
        <v>27</v>
      </c>
      <c r="I3953" s="30">
        <v>1.0185185185185184E-3</v>
      </c>
      <c r="J3953">
        <v>1</v>
      </c>
    </row>
    <row r="3954" spans="1:10" x14ac:dyDescent="0.35">
      <c r="A3954" t="s">
        <v>4332</v>
      </c>
      <c r="B3954" t="s">
        <v>307</v>
      </c>
      <c r="C3954" t="s">
        <v>4328</v>
      </c>
      <c r="D3954" s="30">
        <v>0.40299768518518519</v>
      </c>
      <c r="E3954" t="s">
        <v>309</v>
      </c>
      <c r="F3954" t="s">
        <v>299</v>
      </c>
      <c r="G3954" t="s">
        <v>299</v>
      </c>
      <c r="H3954">
        <v>48</v>
      </c>
      <c r="I3954" s="30">
        <v>5.0925925925925921E-4</v>
      </c>
      <c r="J3954">
        <v>3</v>
      </c>
    </row>
    <row r="3955" spans="1:10" x14ac:dyDescent="0.35">
      <c r="A3955" t="s">
        <v>4333</v>
      </c>
      <c r="B3955" t="s">
        <v>316</v>
      </c>
      <c r="C3955" t="s">
        <v>4328</v>
      </c>
      <c r="D3955" s="30">
        <v>0.40299768518518519</v>
      </c>
      <c r="E3955" t="s">
        <v>298</v>
      </c>
      <c r="F3955" t="s">
        <v>299</v>
      </c>
      <c r="G3955" t="s">
        <v>299</v>
      </c>
      <c r="H3955">
        <v>86</v>
      </c>
      <c r="I3955" s="30">
        <v>4.5949074074074078E-3</v>
      </c>
      <c r="J3955">
        <v>5</v>
      </c>
    </row>
    <row r="3956" spans="1:10" x14ac:dyDescent="0.35">
      <c r="A3956" t="s">
        <v>4334</v>
      </c>
      <c r="B3956" t="s">
        <v>332</v>
      </c>
      <c r="C3956" t="s">
        <v>4328</v>
      </c>
      <c r="D3956" s="30">
        <v>0.41499999999999998</v>
      </c>
      <c r="E3956" t="s">
        <v>317</v>
      </c>
      <c r="F3956" t="s">
        <v>303</v>
      </c>
      <c r="G3956" t="s">
        <v>303</v>
      </c>
    </row>
    <row r="3957" spans="1:10" x14ac:dyDescent="0.35">
      <c r="A3957" t="s">
        <v>4335</v>
      </c>
      <c r="B3957" t="s">
        <v>307</v>
      </c>
      <c r="C3957" t="s">
        <v>4328</v>
      </c>
      <c r="D3957" s="30">
        <v>0.41499999999999998</v>
      </c>
      <c r="E3957" t="s">
        <v>302</v>
      </c>
      <c r="F3957" t="s">
        <v>299</v>
      </c>
      <c r="G3957" t="s">
        <v>299</v>
      </c>
      <c r="H3957">
        <v>82</v>
      </c>
      <c r="I3957" s="30">
        <v>3.6689814814814814E-3</v>
      </c>
      <c r="J3957">
        <v>3</v>
      </c>
    </row>
    <row r="3958" spans="1:10" x14ac:dyDescent="0.35">
      <c r="A3958" t="s">
        <v>4336</v>
      </c>
      <c r="B3958" t="s">
        <v>316</v>
      </c>
      <c r="C3958" t="s">
        <v>4328</v>
      </c>
      <c r="D3958" s="30">
        <v>0.41799768518518521</v>
      </c>
      <c r="E3958" t="s">
        <v>302</v>
      </c>
      <c r="F3958" t="s">
        <v>299</v>
      </c>
      <c r="G3958" t="s">
        <v>299</v>
      </c>
      <c r="H3958">
        <v>54</v>
      </c>
      <c r="I3958" s="30">
        <v>2.9166666666666668E-3</v>
      </c>
      <c r="J3958">
        <v>4</v>
      </c>
    </row>
    <row r="3959" spans="1:10" x14ac:dyDescent="0.35">
      <c r="A3959" t="s">
        <v>4337</v>
      </c>
      <c r="B3959" t="s">
        <v>332</v>
      </c>
      <c r="C3959" t="s">
        <v>4328</v>
      </c>
      <c r="D3959" s="30">
        <v>0.41799768518518521</v>
      </c>
      <c r="E3959" t="s">
        <v>302</v>
      </c>
      <c r="F3959" t="s">
        <v>299</v>
      </c>
      <c r="G3959" t="s">
        <v>299</v>
      </c>
      <c r="H3959">
        <v>87</v>
      </c>
      <c r="I3959" s="30">
        <v>4.409722222222222E-3</v>
      </c>
      <c r="J3959">
        <v>4</v>
      </c>
    </row>
    <row r="3960" spans="1:10" x14ac:dyDescent="0.35">
      <c r="A3960" t="s">
        <v>4338</v>
      </c>
      <c r="B3960" t="s">
        <v>296</v>
      </c>
      <c r="C3960" t="s">
        <v>4328</v>
      </c>
      <c r="D3960" s="30">
        <v>0.42299768518518521</v>
      </c>
      <c r="E3960" t="s">
        <v>314</v>
      </c>
      <c r="F3960" t="s">
        <v>299</v>
      </c>
      <c r="G3960" t="s">
        <v>299</v>
      </c>
      <c r="H3960">
        <v>114</v>
      </c>
      <c r="I3960" s="30">
        <v>4.340277777777778E-3</v>
      </c>
      <c r="J3960">
        <v>5</v>
      </c>
    </row>
    <row r="3961" spans="1:10" x14ac:dyDescent="0.35">
      <c r="A3961" t="s">
        <v>4339</v>
      </c>
      <c r="B3961" t="s">
        <v>316</v>
      </c>
      <c r="C3961" t="s">
        <v>4328</v>
      </c>
      <c r="D3961" s="30">
        <v>0.42299768518518521</v>
      </c>
      <c r="E3961" t="s">
        <v>314</v>
      </c>
      <c r="F3961" t="s">
        <v>303</v>
      </c>
      <c r="G3961" t="s">
        <v>303</v>
      </c>
    </row>
    <row r="3962" spans="1:10" x14ac:dyDescent="0.35">
      <c r="A3962" t="s">
        <v>4340</v>
      </c>
      <c r="B3962" t="s">
        <v>316</v>
      </c>
      <c r="C3962" t="s">
        <v>4328</v>
      </c>
      <c r="D3962" s="30">
        <v>0.43400462962962966</v>
      </c>
      <c r="E3962" t="s">
        <v>314</v>
      </c>
      <c r="F3962" t="s">
        <v>299</v>
      </c>
      <c r="G3962" t="s">
        <v>299</v>
      </c>
      <c r="H3962">
        <v>104</v>
      </c>
      <c r="I3962" s="30">
        <v>5.5555555555555556E-4</v>
      </c>
      <c r="J3962">
        <v>5</v>
      </c>
    </row>
    <row r="3963" spans="1:10" x14ac:dyDescent="0.35">
      <c r="A3963" t="s">
        <v>4341</v>
      </c>
      <c r="B3963" t="s">
        <v>305</v>
      </c>
      <c r="C3963" t="s">
        <v>4328</v>
      </c>
      <c r="D3963" s="30">
        <v>0.43400462962962966</v>
      </c>
      <c r="E3963" t="s">
        <v>317</v>
      </c>
      <c r="F3963" t="s">
        <v>299</v>
      </c>
      <c r="G3963" t="s">
        <v>299</v>
      </c>
      <c r="H3963">
        <v>81</v>
      </c>
      <c r="I3963" s="30">
        <v>1.9675925925925924E-3</v>
      </c>
      <c r="J3963">
        <v>5</v>
      </c>
    </row>
    <row r="3964" spans="1:10" x14ac:dyDescent="0.35">
      <c r="A3964" t="s">
        <v>4342</v>
      </c>
      <c r="B3964" t="s">
        <v>307</v>
      </c>
      <c r="C3964" t="s">
        <v>4328</v>
      </c>
      <c r="D3964" s="30">
        <v>0.43799768518518517</v>
      </c>
      <c r="E3964" t="s">
        <v>309</v>
      </c>
      <c r="F3964" t="s">
        <v>299</v>
      </c>
      <c r="G3964" t="s">
        <v>299</v>
      </c>
      <c r="H3964">
        <v>120</v>
      </c>
      <c r="I3964" s="30">
        <v>2.7430555555555554E-3</v>
      </c>
      <c r="J3964">
        <v>4</v>
      </c>
    </row>
    <row r="3965" spans="1:10" x14ac:dyDescent="0.35">
      <c r="A3965" t="s">
        <v>4343</v>
      </c>
      <c r="B3965" t="s">
        <v>307</v>
      </c>
      <c r="C3965" t="s">
        <v>4328</v>
      </c>
      <c r="D3965" s="30">
        <v>0.43799768518518517</v>
      </c>
      <c r="E3965" t="s">
        <v>309</v>
      </c>
      <c r="F3965" t="s">
        <v>303</v>
      </c>
      <c r="G3965" t="s">
        <v>303</v>
      </c>
    </row>
    <row r="3966" spans="1:10" x14ac:dyDescent="0.35">
      <c r="A3966" t="s">
        <v>4344</v>
      </c>
      <c r="B3966" t="s">
        <v>301</v>
      </c>
      <c r="C3966" t="s">
        <v>4328</v>
      </c>
      <c r="D3966" s="30">
        <v>0.45099537037037035</v>
      </c>
      <c r="E3966" t="s">
        <v>298</v>
      </c>
      <c r="F3966" t="s">
        <v>299</v>
      </c>
      <c r="G3966" t="s">
        <v>299</v>
      </c>
      <c r="H3966">
        <v>72</v>
      </c>
      <c r="I3966" s="30">
        <v>3.5995370370370369E-3</v>
      </c>
      <c r="J3966">
        <v>3</v>
      </c>
    </row>
    <row r="3967" spans="1:10" x14ac:dyDescent="0.35">
      <c r="A3967" t="s">
        <v>4345</v>
      </c>
      <c r="B3967" t="s">
        <v>305</v>
      </c>
      <c r="C3967" t="s">
        <v>4328</v>
      </c>
      <c r="D3967" s="30">
        <v>0.45099537037037035</v>
      </c>
      <c r="E3967" t="s">
        <v>314</v>
      </c>
      <c r="F3967" t="s">
        <v>299</v>
      </c>
      <c r="G3967" t="s">
        <v>299</v>
      </c>
      <c r="H3967">
        <v>57</v>
      </c>
      <c r="I3967" s="30">
        <v>2.0601851851851853E-3</v>
      </c>
      <c r="J3967">
        <v>3</v>
      </c>
    </row>
    <row r="3968" spans="1:10" x14ac:dyDescent="0.35">
      <c r="A3968" t="s">
        <v>4346</v>
      </c>
      <c r="B3968" t="s">
        <v>307</v>
      </c>
      <c r="C3968" t="s">
        <v>4328</v>
      </c>
      <c r="D3968" s="30">
        <v>0.45200231481481479</v>
      </c>
      <c r="E3968" t="s">
        <v>314</v>
      </c>
      <c r="F3968" t="s">
        <v>299</v>
      </c>
      <c r="G3968" t="s">
        <v>299</v>
      </c>
      <c r="H3968">
        <v>74</v>
      </c>
      <c r="I3968" s="30">
        <v>5.5555555555555556E-4</v>
      </c>
      <c r="J3968">
        <v>5</v>
      </c>
    </row>
    <row r="3969" spans="1:10" x14ac:dyDescent="0.35">
      <c r="A3969" t="s">
        <v>4347</v>
      </c>
      <c r="B3969" t="s">
        <v>319</v>
      </c>
      <c r="C3969" t="s">
        <v>4328</v>
      </c>
      <c r="D3969" s="30">
        <v>0.45200231481481479</v>
      </c>
      <c r="E3969" t="s">
        <v>317</v>
      </c>
      <c r="F3969" t="s">
        <v>299</v>
      </c>
      <c r="G3969" t="s">
        <v>299</v>
      </c>
      <c r="H3969">
        <v>53</v>
      </c>
      <c r="I3969" s="30">
        <v>3.9583333333333337E-3</v>
      </c>
      <c r="J3969">
        <v>3</v>
      </c>
    </row>
    <row r="3970" spans="1:10" x14ac:dyDescent="0.35">
      <c r="A3970" t="s">
        <v>4348</v>
      </c>
      <c r="B3970" t="s">
        <v>307</v>
      </c>
      <c r="C3970" t="s">
        <v>4328</v>
      </c>
      <c r="D3970" s="30">
        <v>0.45900462962962962</v>
      </c>
      <c r="E3970" t="s">
        <v>309</v>
      </c>
      <c r="F3970" t="s">
        <v>299</v>
      </c>
      <c r="G3970" t="s">
        <v>299</v>
      </c>
      <c r="H3970">
        <v>79</v>
      </c>
      <c r="I3970" s="30">
        <v>1.5856481481481481E-3</v>
      </c>
      <c r="J3970">
        <v>3</v>
      </c>
    </row>
    <row r="3971" spans="1:10" x14ac:dyDescent="0.35">
      <c r="A3971" t="s">
        <v>4349</v>
      </c>
      <c r="B3971" t="s">
        <v>323</v>
      </c>
      <c r="C3971" t="s">
        <v>4328</v>
      </c>
      <c r="D3971" s="30">
        <v>0.45900462962962962</v>
      </c>
      <c r="E3971" t="s">
        <v>317</v>
      </c>
      <c r="F3971" t="s">
        <v>299</v>
      </c>
      <c r="G3971" t="s">
        <v>299</v>
      </c>
      <c r="H3971">
        <v>100</v>
      </c>
      <c r="I3971" s="30">
        <v>4.1666666666666666E-3</v>
      </c>
      <c r="J3971">
        <v>3</v>
      </c>
    </row>
    <row r="3972" spans="1:10" x14ac:dyDescent="0.35">
      <c r="A3972" t="s">
        <v>4350</v>
      </c>
      <c r="B3972" t="s">
        <v>332</v>
      </c>
      <c r="C3972" t="s">
        <v>4328</v>
      </c>
      <c r="D3972" s="30">
        <v>0.47700231481481481</v>
      </c>
      <c r="E3972" t="s">
        <v>317</v>
      </c>
      <c r="F3972" t="s">
        <v>299</v>
      </c>
      <c r="G3972" t="s">
        <v>299</v>
      </c>
      <c r="H3972">
        <v>116</v>
      </c>
      <c r="I3972" s="30">
        <v>3.1365740740740742E-3</v>
      </c>
      <c r="J3972">
        <v>3</v>
      </c>
    </row>
    <row r="3973" spans="1:10" x14ac:dyDescent="0.35">
      <c r="A3973" t="s">
        <v>4351</v>
      </c>
      <c r="B3973" t="s">
        <v>296</v>
      </c>
      <c r="C3973" t="s">
        <v>4328</v>
      </c>
      <c r="D3973" s="30">
        <v>0.47700231481481481</v>
      </c>
      <c r="E3973" t="s">
        <v>302</v>
      </c>
      <c r="F3973" t="s">
        <v>303</v>
      </c>
      <c r="G3973" t="s">
        <v>303</v>
      </c>
    </row>
    <row r="3974" spans="1:10" x14ac:dyDescent="0.35">
      <c r="A3974" t="s">
        <v>4352</v>
      </c>
      <c r="B3974" t="s">
        <v>323</v>
      </c>
      <c r="C3974" t="s">
        <v>4328</v>
      </c>
      <c r="D3974" s="30">
        <v>0.48499999999999999</v>
      </c>
      <c r="E3974" t="s">
        <v>317</v>
      </c>
      <c r="F3974" t="s">
        <v>299</v>
      </c>
      <c r="G3974" t="s">
        <v>299</v>
      </c>
      <c r="H3974">
        <v>14</v>
      </c>
      <c r="I3974" s="30">
        <v>1.2037037037037038E-3</v>
      </c>
      <c r="J3974">
        <v>5</v>
      </c>
    </row>
    <row r="3975" spans="1:10" x14ac:dyDescent="0.35">
      <c r="A3975" t="s">
        <v>4353</v>
      </c>
      <c r="B3975" t="s">
        <v>319</v>
      </c>
      <c r="C3975" t="s">
        <v>4328</v>
      </c>
      <c r="D3975" s="30">
        <v>0.48499999999999999</v>
      </c>
      <c r="E3975" t="s">
        <v>317</v>
      </c>
      <c r="F3975" t="s">
        <v>299</v>
      </c>
      <c r="G3975" t="s">
        <v>299</v>
      </c>
      <c r="H3975">
        <v>92</v>
      </c>
      <c r="I3975" s="30">
        <v>1.1689814814814816E-3</v>
      </c>
      <c r="J3975">
        <v>5</v>
      </c>
    </row>
    <row r="3976" spans="1:10" x14ac:dyDescent="0.35">
      <c r="A3976" t="s">
        <v>4354</v>
      </c>
      <c r="B3976" t="s">
        <v>316</v>
      </c>
      <c r="C3976" t="s">
        <v>4328</v>
      </c>
      <c r="D3976" s="30">
        <v>0.50200231481481483</v>
      </c>
      <c r="E3976" t="s">
        <v>314</v>
      </c>
      <c r="F3976" t="s">
        <v>299</v>
      </c>
      <c r="G3976" t="s">
        <v>299</v>
      </c>
      <c r="H3976">
        <v>92</v>
      </c>
      <c r="I3976" s="30">
        <v>1.736111111111111E-3</v>
      </c>
      <c r="J3976">
        <v>1</v>
      </c>
    </row>
    <row r="3977" spans="1:10" x14ac:dyDescent="0.35">
      <c r="A3977" t="s">
        <v>4355</v>
      </c>
      <c r="B3977" t="s">
        <v>319</v>
      </c>
      <c r="C3977" t="s">
        <v>4328</v>
      </c>
      <c r="D3977" s="30">
        <v>0.50200231481481483</v>
      </c>
      <c r="E3977" t="s">
        <v>298</v>
      </c>
      <c r="F3977" t="s">
        <v>299</v>
      </c>
      <c r="G3977" t="s">
        <v>299</v>
      </c>
      <c r="H3977">
        <v>78</v>
      </c>
      <c r="I3977" s="30">
        <v>4.4444444444444444E-3</v>
      </c>
      <c r="J3977">
        <v>4</v>
      </c>
    </row>
    <row r="3978" spans="1:10" x14ac:dyDescent="0.35">
      <c r="A3978" t="s">
        <v>4356</v>
      </c>
      <c r="B3978" t="s">
        <v>323</v>
      </c>
      <c r="C3978" t="s">
        <v>4328</v>
      </c>
      <c r="D3978" s="30">
        <v>0.51400462962962967</v>
      </c>
      <c r="E3978" t="s">
        <v>302</v>
      </c>
      <c r="F3978" t="s">
        <v>299</v>
      </c>
      <c r="G3978" t="s">
        <v>299</v>
      </c>
      <c r="H3978">
        <v>36</v>
      </c>
      <c r="I3978" s="30">
        <v>4.861111111111111E-4</v>
      </c>
      <c r="J3978">
        <v>3</v>
      </c>
    </row>
    <row r="3979" spans="1:10" x14ac:dyDescent="0.35">
      <c r="A3979" t="s">
        <v>4357</v>
      </c>
      <c r="B3979" t="s">
        <v>316</v>
      </c>
      <c r="C3979" t="s">
        <v>4328</v>
      </c>
      <c r="D3979" s="30">
        <v>0.51400462962962967</v>
      </c>
      <c r="E3979" t="s">
        <v>317</v>
      </c>
      <c r="F3979" t="s">
        <v>303</v>
      </c>
      <c r="G3979" t="s">
        <v>303</v>
      </c>
    </row>
    <row r="3980" spans="1:10" x14ac:dyDescent="0.35">
      <c r="A3980" t="s">
        <v>4358</v>
      </c>
      <c r="B3980" t="s">
        <v>307</v>
      </c>
      <c r="C3980" t="s">
        <v>4328</v>
      </c>
      <c r="D3980" s="30">
        <v>0.51400462962962967</v>
      </c>
      <c r="E3980" t="s">
        <v>309</v>
      </c>
      <c r="F3980" t="s">
        <v>299</v>
      </c>
      <c r="G3980" t="s">
        <v>299</v>
      </c>
      <c r="H3980">
        <v>20</v>
      </c>
      <c r="I3980" s="30">
        <v>3.1481481481481482E-3</v>
      </c>
      <c r="J3980">
        <v>2</v>
      </c>
    </row>
    <row r="3981" spans="1:10" x14ac:dyDescent="0.35">
      <c r="A3981" t="s">
        <v>4359</v>
      </c>
      <c r="B3981" t="s">
        <v>332</v>
      </c>
      <c r="C3981" t="s">
        <v>4328</v>
      </c>
      <c r="D3981" s="30">
        <v>0.51400462962962967</v>
      </c>
      <c r="E3981" t="s">
        <v>302</v>
      </c>
      <c r="F3981" t="s">
        <v>299</v>
      </c>
      <c r="G3981" t="s">
        <v>303</v>
      </c>
      <c r="H3981">
        <v>29</v>
      </c>
      <c r="I3981" s="30">
        <v>3.5069444444444445E-3</v>
      </c>
      <c r="J3981">
        <v>5</v>
      </c>
    </row>
    <row r="3982" spans="1:10" x14ac:dyDescent="0.35">
      <c r="A3982" t="s">
        <v>4360</v>
      </c>
      <c r="B3982" t="s">
        <v>305</v>
      </c>
      <c r="C3982" t="s">
        <v>4328</v>
      </c>
      <c r="D3982" s="30">
        <v>0.52200231481481485</v>
      </c>
      <c r="E3982" t="s">
        <v>309</v>
      </c>
      <c r="F3982" t="s">
        <v>299</v>
      </c>
      <c r="G3982" t="s">
        <v>299</v>
      </c>
      <c r="H3982">
        <v>119</v>
      </c>
      <c r="I3982" s="30">
        <v>4.7569444444444447E-3</v>
      </c>
      <c r="J3982">
        <v>3</v>
      </c>
    </row>
    <row r="3983" spans="1:10" x14ac:dyDescent="0.35">
      <c r="A3983" t="s">
        <v>4361</v>
      </c>
      <c r="B3983" t="s">
        <v>323</v>
      </c>
      <c r="C3983" t="s">
        <v>4328</v>
      </c>
      <c r="D3983" s="30">
        <v>0.52200231481481485</v>
      </c>
      <c r="E3983" t="s">
        <v>309</v>
      </c>
      <c r="F3983" t="s">
        <v>299</v>
      </c>
      <c r="G3983" t="s">
        <v>299</v>
      </c>
      <c r="H3983">
        <v>67</v>
      </c>
      <c r="I3983" s="30">
        <v>3.5879629629629629E-3</v>
      </c>
      <c r="J3983">
        <v>5</v>
      </c>
    </row>
    <row r="3984" spans="1:10" x14ac:dyDescent="0.35">
      <c r="A3984" t="s">
        <v>4362</v>
      </c>
      <c r="B3984" t="s">
        <v>316</v>
      </c>
      <c r="C3984" t="s">
        <v>4328</v>
      </c>
      <c r="D3984" s="30">
        <v>0.52700231481481485</v>
      </c>
      <c r="E3984" t="s">
        <v>317</v>
      </c>
      <c r="F3984" t="s">
        <v>303</v>
      </c>
      <c r="G3984" t="s">
        <v>303</v>
      </c>
    </row>
    <row r="3985" spans="1:10" x14ac:dyDescent="0.35">
      <c r="A3985" t="s">
        <v>4363</v>
      </c>
      <c r="B3985" t="s">
        <v>323</v>
      </c>
      <c r="C3985" t="s">
        <v>4328</v>
      </c>
      <c r="D3985" s="30">
        <v>0.52700231481481485</v>
      </c>
      <c r="E3985" t="s">
        <v>317</v>
      </c>
      <c r="F3985" t="s">
        <v>299</v>
      </c>
      <c r="G3985" t="s">
        <v>299</v>
      </c>
      <c r="H3985">
        <v>102</v>
      </c>
      <c r="I3985" s="30">
        <v>8.564814814814815E-4</v>
      </c>
      <c r="J3985">
        <v>1</v>
      </c>
    </row>
    <row r="3986" spans="1:10" x14ac:dyDescent="0.35">
      <c r="A3986" t="s">
        <v>4364</v>
      </c>
      <c r="B3986" t="s">
        <v>323</v>
      </c>
      <c r="C3986" t="s">
        <v>4328</v>
      </c>
      <c r="D3986" s="30">
        <v>0.53900462962962958</v>
      </c>
      <c r="E3986" t="s">
        <v>317</v>
      </c>
      <c r="F3986" t="s">
        <v>299</v>
      </c>
      <c r="G3986" t="s">
        <v>299</v>
      </c>
      <c r="H3986">
        <v>72</v>
      </c>
      <c r="I3986" s="30">
        <v>3.7499999999999999E-3</v>
      </c>
      <c r="J3986">
        <v>4</v>
      </c>
    </row>
    <row r="3987" spans="1:10" x14ac:dyDescent="0.35">
      <c r="A3987" t="s">
        <v>4365</v>
      </c>
      <c r="B3987" t="s">
        <v>296</v>
      </c>
      <c r="C3987" t="s">
        <v>4328</v>
      </c>
      <c r="D3987" s="30">
        <v>0.53900462962962958</v>
      </c>
      <c r="E3987" t="s">
        <v>314</v>
      </c>
      <c r="F3987" t="s">
        <v>299</v>
      </c>
      <c r="G3987" t="s">
        <v>299</v>
      </c>
      <c r="H3987">
        <v>107</v>
      </c>
      <c r="I3987" s="30">
        <v>1.3657407407407407E-3</v>
      </c>
      <c r="J3987">
        <v>5</v>
      </c>
    </row>
    <row r="3988" spans="1:10" x14ac:dyDescent="0.35">
      <c r="A3988" t="s">
        <v>4366</v>
      </c>
      <c r="B3988" t="s">
        <v>307</v>
      </c>
      <c r="C3988" t="s">
        <v>4328</v>
      </c>
      <c r="D3988" s="30">
        <v>0.54</v>
      </c>
      <c r="E3988" t="s">
        <v>317</v>
      </c>
      <c r="F3988" t="s">
        <v>303</v>
      </c>
      <c r="G3988" t="s">
        <v>303</v>
      </c>
    </row>
    <row r="3989" spans="1:10" x14ac:dyDescent="0.35">
      <c r="A3989" t="s">
        <v>4367</v>
      </c>
      <c r="B3989" t="s">
        <v>301</v>
      </c>
      <c r="C3989" t="s">
        <v>4328</v>
      </c>
      <c r="D3989" s="30">
        <v>0.54</v>
      </c>
      <c r="E3989" t="s">
        <v>314</v>
      </c>
      <c r="F3989" t="s">
        <v>303</v>
      </c>
      <c r="G3989" t="s">
        <v>303</v>
      </c>
    </row>
    <row r="3990" spans="1:10" x14ac:dyDescent="0.35">
      <c r="A3990" t="s">
        <v>4368</v>
      </c>
      <c r="B3990" t="s">
        <v>319</v>
      </c>
      <c r="C3990" t="s">
        <v>4328</v>
      </c>
      <c r="D3990" s="30">
        <v>0.56400462962962961</v>
      </c>
      <c r="E3990" t="s">
        <v>309</v>
      </c>
      <c r="F3990" t="s">
        <v>299</v>
      </c>
      <c r="G3990" t="s">
        <v>303</v>
      </c>
      <c r="H3990">
        <v>106</v>
      </c>
      <c r="I3990" s="30">
        <v>1.0532407407407407E-3</v>
      </c>
      <c r="J3990">
        <v>4</v>
      </c>
    </row>
    <row r="3991" spans="1:10" x14ac:dyDescent="0.35">
      <c r="A3991" t="s">
        <v>4369</v>
      </c>
      <c r="B3991" t="s">
        <v>319</v>
      </c>
      <c r="C3991" t="s">
        <v>4328</v>
      </c>
      <c r="D3991" s="30">
        <v>0.56400462962962961</v>
      </c>
      <c r="E3991" t="s">
        <v>314</v>
      </c>
      <c r="F3991" t="s">
        <v>299</v>
      </c>
      <c r="G3991" t="s">
        <v>299</v>
      </c>
      <c r="H3991">
        <v>68</v>
      </c>
      <c r="I3991" s="30">
        <v>2.9629629629629628E-3</v>
      </c>
      <c r="J3991">
        <v>2</v>
      </c>
    </row>
    <row r="3992" spans="1:10" x14ac:dyDescent="0.35">
      <c r="A3992" t="s">
        <v>4370</v>
      </c>
      <c r="B3992" t="s">
        <v>332</v>
      </c>
      <c r="C3992" t="s">
        <v>4328</v>
      </c>
      <c r="D3992" s="30">
        <v>0.56999999999999995</v>
      </c>
      <c r="E3992" t="s">
        <v>302</v>
      </c>
      <c r="F3992" t="s">
        <v>299</v>
      </c>
      <c r="G3992" t="s">
        <v>299</v>
      </c>
      <c r="H3992">
        <v>44</v>
      </c>
      <c r="I3992" s="30">
        <v>4.6064814814814814E-3</v>
      </c>
      <c r="J3992">
        <v>3</v>
      </c>
    </row>
    <row r="3993" spans="1:10" x14ac:dyDescent="0.35">
      <c r="A3993" t="s">
        <v>4371</v>
      </c>
      <c r="B3993" t="s">
        <v>301</v>
      </c>
      <c r="C3993" t="s">
        <v>4328</v>
      </c>
      <c r="D3993" s="30">
        <v>0.56999999999999995</v>
      </c>
      <c r="E3993" t="s">
        <v>314</v>
      </c>
      <c r="F3993" t="s">
        <v>299</v>
      </c>
      <c r="G3993" t="s">
        <v>299</v>
      </c>
      <c r="H3993">
        <v>96</v>
      </c>
      <c r="I3993" s="30">
        <v>2.476851851851852E-3</v>
      </c>
      <c r="J3993">
        <v>1</v>
      </c>
    </row>
    <row r="3994" spans="1:10" x14ac:dyDescent="0.35">
      <c r="A3994" t="s">
        <v>4372</v>
      </c>
      <c r="B3994" t="s">
        <v>296</v>
      </c>
      <c r="C3994" t="s">
        <v>4328</v>
      </c>
      <c r="D3994" s="30">
        <v>0.57700231481481479</v>
      </c>
      <c r="E3994" t="s">
        <v>309</v>
      </c>
      <c r="F3994" t="s">
        <v>303</v>
      </c>
      <c r="G3994" t="s">
        <v>303</v>
      </c>
    </row>
    <row r="3995" spans="1:10" x14ac:dyDescent="0.35">
      <c r="A3995" t="s">
        <v>4373</v>
      </c>
      <c r="B3995" t="s">
        <v>305</v>
      </c>
      <c r="C3995" t="s">
        <v>4328</v>
      </c>
      <c r="D3995" s="30">
        <v>0.57700231481481479</v>
      </c>
      <c r="E3995" t="s">
        <v>302</v>
      </c>
      <c r="F3995" t="s">
        <v>299</v>
      </c>
      <c r="G3995" t="s">
        <v>299</v>
      </c>
      <c r="H3995">
        <v>53</v>
      </c>
      <c r="I3995" s="30">
        <v>3.9351851851851852E-4</v>
      </c>
      <c r="J3995">
        <v>4</v>
      </c>
    </row>
    <row r="3996" spans="1:10" x14ac:dyDescent="0.35">
      <c r="A3996" t="s">
        <v>4374</v>
      </c>
      <c r="B3996" t="s">
        <v>332</v>
      </c>
      <c r="C3996" t="s">
        <v>4328</v>
      </c>
      <c r="D3996" s="30">
        <v>0.58099537037037041</v>
      </c>
      <c r="E3996" t="s">
        <v>317</v>
      </c>
      <c r="F3996" t="s">
        <v>299</v>
      </c>
      <c r="G3996" t="s">
        <v>299</v>
      </c>
      <c r="H3996">
        <v>100</v>
      </c>
      <c r="I3996" s="30">
        <v>7.5231481481481482E-4</v>
      </c>
      <c r="J3996">
        <v>1</v>
      </c>
    </row>
    <row r="3997" spans="1:10" x14ac:dyDescent="0.35">
      <c r="A3997" t="s">
        <v>4375</v>
      </c>
      <c r="B3997" t="s">
        <v>301</v>
      </c>
      <c r="C3997" t="s">
        <v>4328</v>
      </c>
      <c r="D3997" s="30">
        <v>0.58099537037037041</v>
      </c>
      <c r="E3997" t="s">
        <v>317</v>
      </c>
      <c r="F3997" t="s">
        <v>299</v>
      </c>
      <c r="G3997" t="s">
        <v>299</v>
      </c>
      <c r="H3997">
        <v>75</v>
      </c>
      <c r="I3997" s="30">
        <v>1.3310185185185185E-3</v>
      </c>
      <c r="J3997">
        <v>2</v>
      </c>
    </row>
    <row r="3998" spans="1:10" x14ac:dyDescent="0.35">
      <c r="A3998" t="s">
        <v>4376</v>
      </c>
      <c r="B3998" t="s">
        <v>316</v>
      </c>
      <c r="C3998" t="s">
        <v>4328</v>
      </c>
      <c r="D3998" s="30">
        <v>0.58299768518518513</v>
      </c>
      <c r="E3998" t="s">
        <v>309</v>
      </c>
      <c r="F3998" t="s">
        <v>299</v>
      </c>
      <c r="G3998" t="s">
        <v>299</v>
      </c>
      <c r="H3998">
        <v>109</v>
      </c>
      <c r="I3998" s="30">
        <v>2.9976851851851853E-3</v>
      </c>
      <c r="J3998">
        <v>3</v>
      </c>
    </row>
    <row r="3999" spans="1:10" x14ac:dyDescent="0.35">
      <c r="A3999" t="s">
        <v>4377</v>
      </c>
      <c r="B3999" t="s">
        <v>319</v>
      </c>
      <c r="C3999" t="s">
        <v>4328</v>
      </c>
      <c r="D3999" s="30">
        <v>0.58299768518518513</v>
      </c>
      <c r="E3999" t="s">
        <v>309</v>
      </c>
      <c r="F3999" t="s">
        <v>299</v>
      </c>
      <c r="G3999" t="s">
        <v>299</v>
      </c>
      <c r="H3999">
        <v>95</v>
      </c>
      <c r="I3999" s="30">
        <v>1.5509259259259259E-3</v>
      </c>
      <c r="J3999">
        <v>4</v>
      </c>
    </row>
    <row r="4000" spans="1:10" x14ac:dyDescent="0.35">
      <c r="A4000" t="s">
        <v>4378</v>
      </c>
      <c r="B4000" t="s">
        <v>305</v>
      </c>
      <c r="C4000" t="s">
        <v>4328</v>
      </c>
      <c r="D4000" s="30">
        <v>0.59900462962962964</v>
      </c>
      <c r="E4000" t="s">
        <v>298</v>
      </c>
      <c r="F4000" t="s">
        <v>299</v>
      </c>
      <c r="G4000" t="s">
        <v>299</v>
      </c>
      <c r="H4000">
        <v>69</v>
      </c>
      <c r="I4000" s="30">
        <v>6.8287037037037036E-4</v>
      </c>
      <c r="J4000">
        <v>4</v>
      </c>
    </row>
    <row r="4001" spans="1:10" x14ac:dyDescent="0.35">
      <c r="A4001" t="s">
        <v>4379</v>
      </c>
      <c r="B4001" t="s">
        <v>301</v>
      </c>
      <c r="C4001" t="s">
        <v>4328</v>
      </c>
      <c r="D4001" s="30">
        <v>0.59900462962962964</v>
      </c>
      <c r="E4001" t="s">
        <v>317</v>
      </c>
      <c r="F4001" t="s">
        <v>299</v>
      </c>
      <c r="G4001" t="s">
        <v>299</v>
      </c>
      <c r="H4001">
        <v>113</v>
      </c>
      <c r="I4001" s="30">
        <v>2.0254629629629629E-3</v>
      </c>
      <c r="J4001">
        <v>5</v>
      </c>
    </row>
    <row r="4002" spans="1:10" x14ac:dyDescent="0.35">
      <c r="A4002" t="s">
        <v>4380</v>
      </c>
      <c r="B4002" t="s">
        <v>319</v>
      </c>
      <c r="C4002" t="s">
        <v>4328</v>
      </c>
      <c r="D4002" s="30">
        <v>0.60200231481481481</v>
      </c>
      <c r="E4002" t="s">
        <v>314</v>
      </c>
      <c r="F4002" t="s">
        <v>299</v>
      </c>
      <c r="G4002" t="s">
        <v>299</v>
      </c>
      <c r="H4002">
        <v>108</v>
      </c>
      <c r="I4002" s="30">
        <v>1.0648148148148149E-3</v>
      </c>
      <c r="J4002">
        <v>2</v>
      </c>
    </row>
    <row r="4003" spans="1:10" x14ac:dyDescent="0.35">
      <c r="A4003" t="s">
        <v>4381</v>
      </c>
      <c r="B4003" t="s">
        <v>319</v>
      </c>
      <c r="C4003" t="s">
        <v>4328</v>
      </c>
      <c r="D4003" s="30">
        <v>0.60200231481481481</v>
      </c>
      <c r="E4003" t="s">
        <v>317</v>
      </c>
      <c r="F4003" t="s">
        <v>299</v>
      </c>
      <c r="G4003" t="s">
        <v>299</v>
      </c>
      <c r="H4003">
        <v>46</v>
      </c>
      <c r="I4003" s="30">
        <v>3.7037037037037038E-3</v>
      </c>
      <c r="J4003">
        <v>2</v>
      </c>
    </row>
    <row r="4004" spans="1:10" x14ac:dyDescent="0.35">
      <c r="A4004" t="s">
        <v>4382</v>
      </c>
      <c r="B4004" t="s">
        <v>319</v>
      </c>
      <c r="C4004" t="s">
        <v>4328</v>
      </c>
      <c r="D4004" s="30">
        <v>0.60299768518518515</v>
      </c>
      <c r="E4004" t="s">
        <v>309</v>
      </c>
      <c r="F4004" t="s">
        <v>299</v>
      </c>
      <c r="G4004" t="s">
        <v>299</v>
      </c>
      <c r="H4004">
        <v>71</v>
      </c>
      <c r="I4004" s="30">
        <v>1.25E-3</v>
      </c>
      <c r="J4004">
        <v>1</v>
      </c>
    </row>
    <row r="4005" spans="1:10" x14ac:dyDescent="0.35">
      <c r="A4005" t="s">
        <v>4383</v>
      </c>
      <c r="B4005" t="s">
        <v>296</v>
      </c>
      <c r="C4005" t="s">
        <v>4328</v>
      </c>
      <c r="D4005" s="30">
        <v>0.60299768518518515</v>
      </c>
      <c r="E4005" t="s">
        <v>314</v>
      </c>
      <c r="F4005" t="s">
        <v>299</v>
      </c>
      <c r="G4005" t="s">
        <v>299</v>
      </c>
      <c r="H4005">
        <v>124</v>
      </c>
      <c r="I4005" s="30">
        <v>1.9907407407407408E-3</v>
      </c>
      <c r="J4005">
        <v>2</v>
      </c>
    </row>
    <row r="4006" spans="1:10" x14ac:dyDescent="0.35">
      <c r="A4006" t="s">
        <v>4384</v>
      </c>
      <c r="B4006" t="s">
        <v>323</v>
      </c>
      <c r="C4006" t="s">
        <v>4328</v>
      </c>
      <c r="D4006" s="30">
        <v>0.64</v>
      </c>
      <c r="E4006" t="s">
        <v>302</v>
      </c>
      <c r="F4006" t="s">
        <v>299</v>
      </c>
      <c r="G4006" t="s">
        <v>299</v>
      </c>
      <c r="H4006">
        <v>79</v>
      </c>
      <c r="I4006" s="30">
        <v>7.0601851851851847E-4</v>
      </c>
      <c r="J4006">
        <v>4</v>
      </c>
    </row>
    <row r="4007" spans="1:10" x14ac:dyDescent="0.35">
      <c r="A4007" t="s">
        <v>4385</v>
      </c>
      <c r="B4007" t="s">
        <v>296</v>
      </c>
      <c r="C4007" t="s">
        <v>4328</v>
      </c>
      <c r="D4007" s="30">
        <v>0.64</v>
      </c>
      <c r="E4007" t="s">
        <v>309</v>
      </c>
      <c r="F4007" t="s">
        <v>299</v>
      </c>
      <c r="G4007" t="s">
        <v>303</v>
      </c>
      <c r="H4007">
        <v>111</v>
      </c>
      <c r="I4007" s="30">
        <v>1.7824074074074075E-3</v>
      </c>
      <c r="J4007">
        <v>5</v>
      </c>
    </row>
    <row r="4008" spans="1:10" x14ac:dyDescent="0.35">
      <c r="A4008" t="s">
        <v>4386</v>
      </c>
      <c r="B4008" t="s">
        <v>332</v>
      </c>
      <c r="C4008" t="s">
        <v>4328</v>
      </c>
      <c r="D4008" s="30">
        <v>0.64200231481481485</v>
      </c>
      <c r="E4008" t="s">
        <v>309</v>
      </c>
      <c r="F4008" t="s">
        <v>299</v>
      </c>
      <c r="G4008" t="s">
        <v>299</v>
      </c>
      <c r="H4008">
        <v>27</v>
      </c>
      <c r="I4008" s="30">
        <v>4.9768518518518521E-4</v>
      </c>
      <c r="J4008">
        <v>4</v>
      </c>
    </row>
    <row r="4009" spans="1:10" x14ac:dyDescent="0.35">
      <c r="A4009" t="s">
        <v>4387</v>
      </c>
      <c r="B4009" t="s">
        <v>301</v>
      </c>
      <c r="C4009" t="s">
        <v>4328</v>
      </c>
      <c r="D4009" s="30">
        <v>0.64200231481481485</v>
      </c>
      <c r="E4009" t="s">
        <v>317</v>
      </c>
      <c r="F4009" t="s">
        <v>299</v>
      </c>
      <c r="G4009" t="s">
        <v>299</v>
      </c>
      <c r="H4009">
        <v>69</v>
      </c>
      <c r="I4009" s="30">
        <v>2.5694444444444445E-3</v>
      </c>
      <c r="J4009">
        <v>4</v>
      </c>
    </row>
    <row r="4010" spans="1:10" x14ac:dyDescent="0.35">
      <c r="A4010" t="s">
        <v>4388</v>
      </c>
      <c r="B4010" t="s">
        <v>319</v>
      </c>
      <c r="C4010" t="s">
        <v>4328</v>
      </c>
      <c r="D4010" s="30">
        <v>0.64900462962962968</v>
      </c>
      <c r="E4010" t="s">
        <v>309</v>
      </c>
      <c r="F4010" t="s">
        <v>299</v>
      </c>
      <c r="G4010" t="s">
        <v>299</v>
      </c>
      <c r="H4010">
        <v>121</v>
      </c>
      <c r="I4010" s="30">
        <v>3.6574074074074074E-3</v>
      </c>
      <c r="J4010">
        <v>1</v>
      </c>
    </row>
    <row r="4011" spans="1:10" x14ac:dyDescent="0.35">
      <c r="A4011" t="s">
        <v>4389</v>
      </c>
      <c r="B4011" t="s">
        <v>305</v>
      </c>
      <c r="C4011" t="s">
        <v>4328</v>
      </c>
      <c r="D4011" s="30">
        <v>0.64900462962962968</v>
      </c>
      <c r="E4011" t="s">
        <v>317</v>
      </c>
      <c r="F4011" t="s">
        <v>299</v>
      </c>
      <c r="G4011" t="s">
        <v>299</v>
      </c>
      <c r="H4011">
        <v>16</v>
      </c>
      <c r="I4011" s="30">
        <v>4.340277777777778E-3</v>
      </c>
      <c r="J4011">
        <v>3</v>
      </c>
    </row>
    <row r="4012" spans="1:10" x14ac:dyDescent="0.35">
      <c r="A4012" t="s">
        <v>4390</v>
      </c>
      <c r="B4012" t="s">
        <v>305</v>
      </c>
      <c r="C4012" t="s">
        <v>4328</v>
      </c>
      <c r="D4012" s="30">
        <v>0.66599537037037038</v>
      </c>
      <c r="E4012" t="s">
        <v>298</v>
      </c>
      <c r="F4012" t="s">
        <v>303</v>
      </c>
      <c r="G4012" t="s">
        <v>303</v>
      </c>
    </row>
    <row r="4013" spans="1:10" x14ac:dyDescent="0.35">
      <c r="A4013" t="s">
        <v>4391</v>
      </c>
      <c r="B4013" t="s">
        <v>316</v>
      </c>
      <c r="C4013" t="s">
        <v>4328</v>
      </c>
      <c r="D4013" s="30">
        <v>0.66599537037037038</v>
      </c>
      <c r="E4013" t="s">
        <v>317</v>
      </c>
      <c r="F4013" t="s">
        <v>299</v>
      </c>
      <c r="G4013" t="s">
        <v>303</v>
      </c>
      <c r="H4013">
        <v>35</v>
      </c>
      <c r="I4013" s="30">
        <v>4.2592592592592595E-3</v>
      </c>
      <c r="J4013">
        <v>5</v>
      </c>
    </row>
    <row r="4014" spans="1:10" x14ac:dyDescent="0.35">
      <c r="A4014" t="s">
        <v>4392</v>
      </c>
      <c r="B4014" t="s">
        <v>301</v>
      </c>
      <c r="C4014" t="s">
        <v>4328</v>
      </c>
      <c r="D4014" s="30">
        <v>0.67400462962962959</v>
      </c>
      <c r="E4014" t="s">
        <v>317</v>
      </c>
      <c r="F4014" t="s">
        <v>299</v>
      </c>
      <c r="G4014" t="s">
        <v>299</v>
      </c>
      <c r="H4014">
        <v>85</v>
      </c>
      <c r="I4014" s="30">
        <v>2.5925925925925925E-3</v>
      </c>
      <c r="J4014">
        <v>3</v>
      </c>
    </row>
    <row r="4015" spans="1:10" x14ac:dyDescent="0.35">
      <c r="A4015" t="s">
        <v>4393</v>
      </c>
      <c r="B4015" t="s">
        <v>332</v>
      </c>
      <c r="C4015" t="s">
        <v>4328</v>
      </c>
      <c r="D4015" s="30">
        <v>0.67400462962962959</v>
      </c>
      <c r="E4015" t="s">
        <v>314</v>
      </c>
      <c r="F4015" t="s">
        <v>299</v>
      </c>
      <c r="G4015" t="s">
        <v>299</v>
      </c>
      <c r="H4015">
        <v>73</v>
      </c>
      <c r="I4015" s="30">
        <v>2.0486111111111113E-3</v>
      </c>
      <c r="J4015">
        <v>2</v>
      </c>
    </row>
    <row r="4016" spans="1:10" x14ac:dyDescent="0.35">
      <c r="A4016" t="s">
        <v>4394</v>
      </c>
      <c r="B4016" t="s">
        <v>323</v>
      </c>
      <c r="C4016" t="s">
        <v>4328</v>
      </c>
      <c r="D4016" s="30">
        <v>0.67599537037037039</v>
      </c>
      <c r="E4016" t="s">
        <v>309</v>
      </c>
      <c r="F4016" t="s">
        <v>299</v>
      </c>
      <c r="G4016" t="s">
        <v>299</v>
      </c>
      <c r="H4016">
        <v>101</v>
      </c>
      <c r="I4016" s="30">
        <v>3.4375E-3</v>
      </c>
      <c r="J4016">
        <v>3</v>
      </c>
    </row>
    <row r="4017" spans="1:10" x14ac:dyDescent="0.35">
      <c r="A4017" t="s">
        <v>4395</v>
      </c>
      <c r="B4017" t="s">
        <v>316</v>
      </c>
      <c r="C4017" t="s">
        <v>4328</v>
      </c>
      <c r="D4017" s="30">
        <v>0.67599537037037039</v>
      </c>
      <c r="E4017" t="s">
        <v>314</v>
      </c>
      <c r="F4017" t="s">
        <v>299</v>
      </c>
      <c r="G4017" t="s">
        <v>299</v>
      </c>
      <c r="H4017">
        <v>89</v>
      </c>
      <c r="I4017" s="30">
        <v>3.1018518518518517E-3</v>
      </c>
      <c r="J4017">
        <v>2</v>
      </c>
    </row>
    <row r="4018" spans="1:10" x14ac:dyDescent="0.35">
      <c r="A4018" t="s">
        <v>4396</v>
      </c>
      <c r="B4018" t="s">
        <v>296</v>
      </c>
      <c r="C4018" t="s">
        <v>4328</v>
      </c>
      <c r="D4018" s="30">
        <v>0.73200231481481481</v>
      </c>
      <c r="E4018" t="s">
        <v>302</v>
      </c>
      <c r="F4018" t="s">
        <v>299</v>
      </c>
      <c r="G4018" t="s">
        <v>299</v>
      </c>
      <c r="H4018">
        <v>70</v>
      </c>
      <c r="I4018" s="30">
        <v>3.4837962962962965E-3</v>
      </c>
      <c r="J4018">
        <v>5</v>
      </c>
    </row>
    <row r="4019" spans="1:10" x14ac:dyDescent="0.35">
      <c r="A4019" t="s">
        <v>4397</v>
      </c>
      <c r="B4019" t="s">
        <v>296</v>
      </c>
      <c r="C4019" t="s">
        <v>4328</v>
      </c>
      <c r="D4019" s="30">
        <v>0.73200231481481481</v>
      </c>
      <c r="E4019" t="s">
        <v>298</v>
      </c>
      <c r="F4019" t="s">
        <v>299</v>
      </c>
      <c r="G4019" t="s">
        <v>299</v>
      </c>
      <c r="H4019">
        <v>52</v>
      </c>
      <c r="I4019" s="30">
        <v>3.8425925925925928E-3</v>
      </c>
      <c r="J4019">
        <v>3</v>
      </c>
    </row>
    <row r="4020" spans="1:10" x14ac:dyDescent="0.35">
      <c r="A4020" t="s">
        <v>4398</v>
      </c>
      <c r="B4020" t="s">
        <v>316</v>
      </c>
      <c r="C4020" t="s">
        <v>4328</v>
      </c>
      <c r="D4020" s="30">
        <v>0.73599537037037033</v>
      </c>
      <c r="E4020" t="s">
        <v>298</v>
      </c>
      <c r="F4020" t="s">
        <v>303</v>
      </c>
      <c r="G4020" t="s">
        <v>303</v>
      </c>
    </row>
    <row r="4021" spans="1:10" x14ac:dyDescent="0.35">
      <c r="A4021" t="s">
        <v>4399</v>
      </c>
      <c r="B4021" t="s">
        <v>332</v>
      </c>
      <c r="C4021" t="s">
        <v>4328</v>
      </c>
      <c r="D4021" s="30">
        <v>0.73599537037037033</v>
      </c>
      <c r="E4021" t="s">
        <v>317</v>
      </c>
      <c r="F4021" t="s">
        <v>299</v>
      </c>
      <c r="G4021" t="s">
        <v>299</v>
      </c>
      <c r="H4021">
        <v>91</v>
      </c>
      <c r="I4021" s="30">
        <v>6.5972222222222224E-4</v>
      </c>
      <c r="J4021">
        <v>1</v>
      </c>
    </row>
    <row r="4022" spans="1:10" x14ac:dyDescent="0.35">
      <c r="A4022" t="s">
        <v>4400</v>
      </c>
      <c r="B4022" t="s">
        <v>319</v>
      </c>
      <c r="C4022" t="s">
        <v>4328</v>
      </c>
      <c r="D4022" s="30">
        <v>0.73599537037037033</v>
      </c>
      <c r="E4022" t="s">
        <v>309</v>
      </c>
      <c r="F4022" t="s">
        <v>303</v>
      </c>
      <c r="G4022" t="s">
        <v>303</v>
      </c>
    </row>
    <row r="4023" spans="1:10" x14ac:dyDescent="0.35">
      <c r="A4023" t="s">
        <v>4401</v>
      </c>
      <c r="B4023" t="s">
        <v>296</v>
      </c>
      <c r="C4023" t="s">
        <v>4328</v>
      </c>
      <c r="D4023" s="30">
        <v>0.73599537037037033</v>
      </c>
      <c r="E4023" t="s">
        <v>302</v>
      </c>
      <c r="F4023" t="s">
        <v>299</v>
      </c>
      <c r="G4023" t="s">
        <v>299</v>
      </c>
      <c r="H4023">
        <v>18</v>
      </c>
      <c r="I4023" s="30">
        <v>3.9814814814814817E-3</v>
      </c>
      <c r="J4023">
        <v>5</v>
      </c>
    </row>
    <row r="4024" spans="1:10" x14ac:dyDescent="0.35">
      <c r="A4024" t="s">
        <v>4402</v>
      </c>
      <c r="B4024" t="s">
        <v>323</v>
      </c>
      <c r="C4024" t="s">
        <v>4403</v>
      </c>
      <c r="D4024" s="30">
        <v>0.38299768518518518</v>
      </c>
      <c r="E4024" t="s">
        <v>298</v>
      </c>
      <c r="F4024" t="s">
        <v>299</v>
      </c>
      <c r="G4024" t="s">
        <v>303</v>
      </c>
      <c r="H4024">
        <v>32</v>
      </c>
      <c r="I4024" s="30">
        <v>3.1944444444444446E-3</v>
      </c>
      <c r="J4024">
        <v>1</v>
      </c>
    </row>
    <row r="4025" spans="1:10" x14ac:dyDescent="0.35">
      <c r="A4025" t="s">
        <v>4404</v>
      </c>
      <c r="B4025" t="s">
        <v>307</v>
      </c>
      <c r="C4025" t="s">
        <v>4403</v>
      </c>
      <c r="D4025" s="30">
        <v>0.38299768518518518</v>
      </c>
      <c r="E4025" t="s">
        <v>309</v>
      </c>
      <c r="F4025" t="s">
        <v>299</v>
      </c>
      <c r="G4025" t="s">
        <v>299</v>
      </c>
      <c r="H4025">
        <v>71</v>
      </c>
      <c r="I4025" s="30">
        <v>3.472222222222222E-3</v>
      </c>
      <c r="J4025">
        <v>3</v>
      </c>
    </row>
    <row r="4026" spans="1:10" x14ac:dyDescent="0.35">
      <c r="A4026" t="s">
        <v>4405</v>
      </c>
      <c r="B4026" t="s">
        <v>305</v>
      </c>
      <c r="C4026" t="s">
        <v>4403</v>
      </c>
      <c r="D4026" s="30">
        <v>0.4</v>
      </c>
      <c r="E4026" t="s">
        <v>302</v>
      </c>
      <c r="F4026" t="s">
        <v>299</v>
      </c>
      <c r="G4026" t="s">
        <v>299</v>
      </c>
      <c r="H4026">
        <v>54</v>
      </c>
      <c r="I4026" s="30">
        <v>1.7939814814814815E-3</v>
      </c>
      <c r="J4026">
        <v>4</v>
      </c>
    </row>
    <row r="4027" spans="1:10" x14ac:dyDescent="0.35">
      <c r="A4027" t="s">
        <v>4406</v>
      </c>
      <c r="B4027" t="s">
        <v>332</v>
      </c>
      <c r="C4027" t="s">
        <v>4403</v>
      </c>
      <c r="D4027" s="30">
        <v>0.4</v>
      </c>
      <c r="E4027" t="s">
        <v>298</v>
      </c>
      <c r="F4027" t="s">
        <v>299</v>
      </c>
      <c r="G4027" t="s">
        <v>299</v>
      </c>
      <c r="H4027">
        <v>121</v>
      </c>
      <c r="I4027" s="30">
        <v>3.0555555555555557E-3</v>
      </c>
      <c r="J4027">
        <v>4</v>
      </c>
    </row>
    <row r="4028" spans="1:10" x14ac:dyDescent="0.35">
      <c r="A4028" t="s">
        <v>4407</v>
      </c>
      <c r="B4028" t="s">
        <v>332</v>
      </c>
      <c r="C4028" t="s">
        <v>4403</v>
      </c>
      <c r="D4028" s="30">
        <v>0.41499999999999998</v>
      </c>
      <c r="E4028" t="s">
        <v>302</v>
      </c>
      <c r="F4028" t="s">
        <v>299</v>
      </c>
      <c r="G4028" t="s">
        <v>299</v>
      </c>
      <c r="H4028">
        <v>59</v>
      </c>
      <c r="I4028" s="30">
        <v>7.7546296296296293E-4</v>
      </c>
      <c r="J4028">
        <v>3</v>
      </c>
    </row>
    <row r="4029" spans="1:10" x14ac:dyDescent="0.35">
      <c r="A4029" t="s">
        <v>4408</v>
      </c>
      <c r="B4029" t="s">
        <v>316</v>
      </c>
      <c r="C4029" t="s">
        <v>4403</v>
      </c>
      <c r="D4029" s="30">
        <v>0.41499999999999998</v>
      </c>
      <c r="E4029" t="s">
        <v>298</v>
      </c>
      <c r="F4029" t="s">
        <v>299</v>
      </c>
      <c r="G4029" t="s">
        <v>299</v>
      </c>
      <c r="H4029">
        <v>59</v>
      </c>
      <c r="I4029" s="30">
        <v>7.291666666666667E-4</v>
      </c>
      <c r="J4029">
        <v>2</v>
      </c>
    </row>
    <row r="4030" spans="1:10" x14ac:dyDescent="0.35">
      <c r="A4030" t="s">
        <v>4409</v>
      </c>
      <c r="B4030" t="s">
        <v>316</v>
      </c>
      <c r="C4030" t="s">
        <v>4403</v>
      </c>
      <c r="D4030" s="30">
        <v>0.41799768518518521</v>
      </c>
      <c r="E4030" t="s">
        <v>309</v>
      </c>
      <c r="F4030" t="s">
        <v>299</v>
      </c>
      <c r="G4030" t="s">
        <v>299</v>
      </c>
      <c r="H4030">
        <v>108</v>
      </c>
      <c r="I4030" s="30">
        <v>2.3148148148148147E-3</v>
      </c>
      <c r="J4030">
        <v>5</v>
      </c>
    </row>
    <row r="4031" spans="1:10" x14ac:dyDescent="0.35">
      <c r="A4031" t="s">
        <v>4410</v>
      </c>
      <c r="B4031" t="s">
        <v>305</v>
      </c>
      <c r="C4031" t="s">
        <v>4403</v>
      </c>
      <c r="D4031" s="30">
        <v>0.41799768518518521</v>
      </c>
      <c r="E4031" t="s">
        <v>302</v>
      </c>
      <c r="F4031" t="s">
        <v>299</v>
      </c>
      <c r="G4031" t="s">
        <v>299</v>
      </c>
      <c r="H4031">
        <v>35</v>
      </c>
      <c r="I4031" s="30">
        <v>1.5162037037037036E-3</v>
      </c>
      <c r="J4031">
        <v>4</v>
      </c>
    </row>
    <row r="4032" spans="1:10" x14ac:dyDescent="0.35">
      <c r="A4032" t="s">
        <v>4411</v>
      </c>
      <c r="B4032" t="s">
        <v>305</v>
      </c>
      <c r="C4032" t="s">
        <v>4403</v>
      </c>
      <c r="D4032" s="30">
        <v>0.41900462962962964</v>
      </c>
      <c r="E4032" t="s">
        <v>309</v>
      </c>
      <c r="F4032" t="s">
        <v>299</v>
      </c>
      <c r="G4032" t="s">
        <v>299</v>
      </c>
      <c r="H4032">
        <v>22</v>
      </c>
      <c r="I4032" s="30">
        <v>3.8310185185185183E-3</v>
      </c>
      <c r="J4032">
        <v>5</v>
      </c>
    </row>
    <row r="4033" spans="1:10" x14ac:dyDescent="0.35">
      <c r="A4033" t="s">
        <v>4412</v>
      </c>
      <c r="B4033" t="s">
        <v>296</v>
      </c>
      <c r="C4033" t="s">
        <v>4403</v>
      </c>
      <c r="D4033" s="30">
        <v>0.41900462962962964</v>
      </c>
      <c r="E4033" t="s">
        <v>302</v>
      </c>
      <c r="F4033" t="s">
        <v>299</v>
      </c>
      <c r="G4033" t="s">
        <v>299</v>
      </c>
      <c r="H4033">
        <v>37</v>
      </c>
      <c r="I4033" s="30">
        <v>3.1134259259259257E-3</v>
      </c>
      <c r="J4033">
        <v>5</v>
      </c>
    </row>
    <row r="4034" spans="1:10" x14ac:dyDescent="0.35">
      <c r="A4034" t="s">
        <v>4413</v>
      </c>
      <c r="B4034" t="s">
        <v>323</v>
      </c>
      <c r="C4034" t="s">
        <v>4403</v>
      </c>
      <c r="D4034" s="30">
        <v>0.42299768518518521</v>
      </c>
      <c r="E4034" t="s">
        <v>309</v>
      </c>
      <c r="F4034" t="s">
        <v>299</v>
      </c>
      <c r="G4034" t="s">
        <v>299</v>
      </c>
      <c r="H4034">
        <v>14</v>
      </c>
      <c r="I4034" s="30">
        <v>4.7685185185185183E-3</v>
      </c>
      <c r="J4034">
        <v>3</v>
      </c>
    </row>
    <row r="4035" spans="1:10" x14ac:dyDescent="0.35">
      <c r="A4035" t="s">
        <v>4414</v>
      </c>
      <c r="B4035" t="s">
        <v>307</v>
      </c>
      <c r="C4035" t="s">
        <v>4403</v>
      </c>
      <c r="D4035" s="30">
        <v>0.42299768518518521</v>
      </c>
      <c r="E4035" t="s">
        <v>309</v>
      </c>
      <c r="F4035" t="s">
        <v>303</v>
      </c>
      <c r="G4035" t="s">
        <v>303</v>
      </c>
    </row>
    <row r="4036" spans="1:10" x14ac:dyDescent="0.35">
      <c r="A4036" t="s">
        <v>4415</v>
      </c>
      <c r="B4036" t="s">
        <v>323</v>
      </c>
      <c r="C4036" t="s">
        <v>4403</v>
      </c>
      <c r="D4036" s="30">
        <v>0.42499999999999999</v>
      </c>
      <c r="E4036" t="s">
        <v>309</v>
      </c>
      <c r="F4036" t="s">
        <v>299</v>
      </c>
      <c r="G4036" t="s">
        <v>299</v>
      </c>
      <c r="H4036">
        <v>73</v>
      </c>
      <c r="I4036" s="30">
        <v>7.0601851851851847E-4</v>
      </c>
      <c r="J4036">
        <v>3</v>
      </c>
    </row>
    <row r="4037" spans="1:10" x14ac:dyDescent="0.35">
      <c r="A4037" t="s">
        <v>4416</v>
      </c>
      <c r="B4037" t="s">
        <v>319</v>
      </c>
      <c r="C4037" t="s">
        <v>4403</v>
      </c>
      <c r="D4037" s="30">
        <v>0.42499999999999999</v>
      </c>
      <c r="E4037" t="s">
        <v>317</v>
      </c>
      <c r="F4037" t="s">
        <v>303</v>
      </c>
      <c r="G4037" t="s">
        <v>303</v>
      </c>
    </row>
    <row r="4038" spans="1:10" x14ac:dyDescent="0.35">
      <c r="A4038" t="s">
        <v>4417</v>
      </c>
      <c r="B4038" t="s">
        <v>296</v>
      </c>
      <c r="C4038" t="s">
        <v>4403</v>
      </c>
      <c r="D4038" s="30">
        <v>0.43200231481481483</v>
      </c>
      <c r="E4038" t="s">
        <v>314</v>
      </c>
      <c r="F4038" t="s">
        <v>303</v>
      </c>
      <c r="G4038" t="s">
        <v>303</v>
      </c>
    </row>
    <row r="4039" spans="1:10" x14ac:dyDescent="0.35">
      <c r="A4039" t="s">
        <v>4418</v>
      </c>
      <c r="B4039" t="s">
        <v>316</v>
      </c>
      <c r="C4039" t="s">
        <v>4403</v>
      </c>
      <c r="D4039" s="30">
        <v>0.43200231481481483</v>
      </c>
      <c r="E4039" t="s">
        <v>302</v>
      </c>
      <c r="F4039" t="s">
        <v>299</v>
      </c>
      <c r="G4039" t="s">
        <v>299</v>
      </c>
      <c r="H4039">
        <v>63</v>
      </c>
      <c r="I4039" s="30">
        <v>2.0254629629629629E-3</v>
      </c>
      <c r="J4039">
        <v>1</v>
      </c>
    </row>
    <row r="4040" spans="1:10" x14ac:dyDescent="0.35">
      <c r="A4040" t="s">
        <v>4419</v>
      </c>
      <c r="B4040" t="s">
        <v>316</v>
      </c>
      <c r="C4040" t="s">
        <v>4403</v>
      </c>
      <c r="D4040" s="30">
        <v>0.44599537037037035</v>
      </c>
      <c r="E4040" t="s">
        <v>302</v>
      </c>
      <c r="F4040" t="s">
        <v>299</v>
      </c>
      <c r="G4040" t="s">
        <v>299</v>
      </c>
      <c r="H4040">
        <v>64</v>
      </c>
      <c r="I4040" s="30">
        <v>4.0509259259259257E-3</v>
      </c>
      <c r="J4040">
        <v>4</v>
      </c>
    </row>
    <row r="4041" spans="1:10" x14ac:dyDescent="0.35">
      <c r="A4041" t="s">
        <v>4420</v>
      </c>
      <c r="B4041" t="s">
        <v>319</v>
      </c>
      <c r="C4041" t="s">
        <v>4403</v>
      </c>
      <c r="D4041" s="30">
        <v>0.44599537037037035</v>
      </c>
      <c r="E4041" t="s">
        <v>302</v>
      </c>
      <c r="F4041" t="s">
        <v>299</v>
      </c>
      <c r="G4041" t="s">
        <v>299</v>
      </c>
      <c r="H4041">
        <v>17</v>
      </c>
      <c r="I4041" s="30">
        <v>3.9351851851851848E-3</v>
      </c>
      <c r="J4041">
        <v>3</v>
      </c>
    </row>
    <row r="4042" spans="1:10" x14ac:dyDescent="0.35">
      <c r="A4042" t="s">
        <v>4421</v>
      </c>
      <c r="B4042" t="s">
        <v>296</v>
      </c>
      <c r="C4042" t="s">
        <v>4403</v>
      </c>
      <c r="D4042" s="30">
        <v>0.4670023148148148</v>
      </c>
      <c r="E4042" t="s">
        <v>298</v>
      </c>
      <c r="F4042" t="s">
        <v>299</v>
      </c>
      <c r="G4042" t="s">
        <v>299</v>
      </c>
      <c r="H4042">
        <v>42</v>
      </c>
      <c r="I4042" s="30">
        <v>1.8402777777777777E-3</v>
      </c>
      <c r="J4042">
        <v>4</v>
      </c>
    </row>
    <row r="4043" spans="1:10" x14ac:dyDescent="0.35">
      <c r="A4043" t="s">
        <v>4422</v>
      </c>
      <c r="B4043" t="s">
        <v>296</v>
      </c>
      <c r="C4043" t="s">
        <v>4403</v>
      </c>
      <c r="D4043" s="30">
        <v>0.4670023148148148</v>
      </c>
      <c r="E4043" t="s">
        <v>302</v>
      </c>
      <c r="F4043" t="s">
        <v>299</v>
      </c>
      <c r="G4043" t="s">
        <v>299</v>
      </c>
      <c r="H4043">
        <v>121</v>
      </c>
      <c r="I4043" s="30">
        <v>2.8587962962962963E-3</v>
      </c>
      <c r="J4043">
        <v>1</v>
      </c>
    </row>
    <row r="4044" spans="1:10" x14ac:dyDescent="0.35">
      <c r="A4044" t="s">
        <v>4423</v>
      </c>
      <c r="B4044" t="s">
        <v>296</v>
      </c>
      <c r="C4044" t="s">
        <v>4403</v>
      </c>
      <c r="D4044" s="30">
        <v>0.4679976851851852</v>
      </c>
      <c r="E4044" t="s">
        <v>309</v>
      </c>
      <c r="F4044" t="s">
        <v>299</v>
      </c>
      <c r="G4044" t="s">
        <v>299</v>
      </c>
      <c r="H4044">
        <v>56</v>
      </c>
      <c r="I4044" s="30">
        <v>2.4189814814814816E-3</v>
      </c>
      <c r="J4044">
        <v>4</v>
      </c>
    </row>
    <row r="4045" spans="1:10" x14ac:dyDescent="0.35">
      <c r="A4045" t="s">
        <v>4424</v>
      </c>
      <c r="B4045" t="s">
        <v>319</v>
      </c>
      <c r="C4045" t="s">
        <v>4403</v>
      </c>
      <c r="D4045" s="30">
        <v>0.4679976851851852</v>
      </c>
      <c r="E4045" t="s">
        <v>302</v>
      </c>
      <c r="F4045" t="s">
        <v>299</v>
      </c>
      <c r="G4045" t="s">
        <v>299</v>
      </c>
      <c r="H4045">
        <v>123</v>
      </c>
      <c r="I4045" s="30">
        <v>3.6458333333333334E-3</v>
      </c>
      <c r="J4045">
        <v>4</v>
      </c>
    </row>
    <row r="4046" spans="1:10" x14ac:dyDescent="0.35">
      <c r="A4046" t="s">
        <v>4425</v>
      </c>
      <c r="B4046" t="s">
        <v>296</v>
      </c>
      <c r="C4046" t="s">
        <v>4403</v>
      </c>
      <c r="D4046" s="30">
        <v>0.47</v>
      </c>
      <c r="E4046" t="s">
        <v>314</v>
      </c>
      <c r="F4046" t="s">
        <v>299</v>
      </c>
      <c r="G4046" t="s">
        <v>299</v>
      </c>
      <c r="H4046">
        <v>27</v>
      </c>
      <c r="I4046" s="30">
        <v>5.6712962962962967E-4</v>
      </c>
      <c r="J4046">
        <v>5</v>
      </c>
    </row>
    <row r="4047" spans="1:10" x14ac:dyDescent="0.35">
      <c r="A4047" t="s">
        <v>4426</v>
      </c>
      <c r="B4047" t="s">
        <v>332</v>
      </c>
      <c r="C4047" t="s">
        <v>4403</v>
      </c>
      <c r="D4047" s="30">
        <v>0.47</v>
      </c>
      <c r="E4047" t="s">
        <v>302</v>
      </c>
      <c r="F4047" t="s">
        <v>299</v>
      </c>
      <c r="G4047" t="s">
        <v>299</v>
      </c>
      <c r="H4047">
        <v>46</v>
      </c>
      <c r="I4047" s="30">
        <v>2.650462962962963E-3</v>
      </c>
      <c r="J4047">
        <v>4</v>
      </c>
    </row>
    <row r="4048" spans="1:10" x14ac:dyDescent="0.35">
      <c r="A4048" t="s">
        <v>4427</v>
      </c>
      <c r="B4048" t="s">
        <v>296</v>
      </c>
      <c r="C4048" t="s">
        <v>4403</v>
      </c>
      <c r="D4048" s="30">
        <v>0.50099537037037034</v>
      </c>
      <c r="E4048" t="s">
        <v>302</v>
      </c>
      <c r="F4048" t="s">
        <v>299</v>
      </c>
      <c r="G4048" t="s">
        <v>299</v>
      </c>
      <c r="H4048">
        <v>117</v>
      </c>
      <c r="I4048" s="30">
        <v>1.4699074074074074E-3</v>
      </c>
      <c r="J4048">
        <v>2</v>
      </c>
    </row>
    <row r="4049" spans="1:10" x14ac:dyDescent="0.35">
      <c r="A4049" t="s">
        <v>4428</v>
      </c>
      <c r="B4049" t="s">
        <v>301</v>
      </c>
      <c r="C4049" t="s">
        <v>4403</v>
      </c>
      <c r="D4049" s="30">
        <v>0.50099537037037034</v>
      </c>
      <c r="E4049" t="s">
        <v>309</v>
      </c>
      <c r="F4049" t="s">
        <v>303</v>
      </c>
      <c r="G4049" t="s">
        <v>303</v>
      </c>
    </row>
    <row r="4050" spans="1:10" x14ac:dyDescent="0.35">
      <c r="A4050" t="s">
        <v>4429</v>
      </c>
      <c r="B4050" t="s">
        <v>307</v>
      </c>
      <c r="C4050" t="s">
        <v>4403</v>
      </c>
      <c r="D4050" s="30">
        <v>0.54</v>
      </c>
      <c r="E4050" t="s">
        <v>298</v>
      </c>
      <c r="F4050" t="s">
        <v>299</v>
      </c>
      <c r="G4050" t="s">
        <v>299</v>
      </c>
      <c r="H4050">
        <v>64</v>
      </c>
      <c r="I4050" s="30">
        <v>3.7152777777777778E-3</v>
      </c>
      <c r="J4050">
        <v>3</v>
      </c>
    </row>
    <row r="4051" spans="1:10" x14ac:dyDescent="0.35">
      <c r="A4051" t="s">
        <v>4430</v>
      </c>
      <c r="B4051" t="s">
        <v>316</v>
      </c>
      <c r="C4051" t="s">
        <v>4403</v>
      </c>
      <c r="D4051" s="30">
        <v>0.54</v>
      </c>
      <c r="E4051" t="s">
        <v>298</v>
      </c>
      <c r="F4051" t="s">
        <v>299</v>
      </c>
      <c r="G4051" t="s">
        <v>299</v>
      </c>
      <c r="H4051">
        <v>20</v>
      </c>
      <c r="I4051" s="30">
        <v>1.9444444444444444E-3</v>
      </c>
      <c r="J4051">
        <v>4</v>
      </c>
    </row>
    <row r="4052" spans="1:10" x14ac:dyDescent="0.35">
      <c r="A4052" t="s">
        <v>4431</v>
      </c>
      <c r="B4052" t="s">
        <v>305</v>
      </c>
      <c r="C4052" t="s">
        <v>4403</v>
      </c>
      <c r="D4052" s="30">
        <v>0.56200231481481477</v>
      </c>
      <c r="E4052" t="s">
        <v>298</v>
      </c>
      <c r="F4052" t="s">
        <v>299</v>
      </c>
      <c r="G4052" t="s">
        <v>299</v>
      </c>
      <c r="H4052">
        <v>21</v>
      </c>
      <c r="I4052" s="30">
        <v>4.5601851851851853E-3</v>
      </c>
      <c r="J4052">
        <v>5</v>
      </c>
    </row>
    <row r="4053" spans="1:10" x14ac:dyDescent="0.35">
      <c r="A4053" t="s">
        <v>4432</v>
      </c>
      <c r="B4053" t="s">
        <v>307</v>
      </c>
      <c r="C4053" t="s">
        <v>4403</v>
      </c>
      <c r="D4053" s="30">
        <v>0.56200231481481477</v>
      </c>
      <c r="E4053" t="s">
        <v>302</v>
      </c>
      <c r="F4053" t="s">
        <v>303</v>
      </c>
      <c r="G4053" t="s">
        <v>303</v>
      </c>
    </row>
    <row r="4054" spans="1:10" x14ac:dyDescent="0.35">
      <c r="A4054" t="s">
        <v>4433</v>
      </c>
      <c r="B4054" t="s">
        <v>332</v>
      </c>
      <c r="C4054" t="s">
        <v>4403</v>
      </c>
      <c r="D4054" s="30">
        <v>0.58400462962962962</v>
      </c>
      <c r="E4054" t="s">
        <v>317</v>
      </c>
      <c r="F4054" t="s">
        <v>299</v>
      </c>
      <c r="G4054" t="s">
        <v>303</v>
      </c>
      <c r="H4054">
        <v>118</v>
      </c>
      <c r="I4054" s="30">
        <v>1.8171296296296297E-3</v>
      </c>
      <c r="J4054">
        <v>3</v>
      </c>
    </row>
    <row r="4055" spans="1:10" x14ac:dyDescent="0.35">
      <c r="A4055" t="s">
        <v>4434</v>
      </c>
      <c r="B4055" t="s">
        <v>305</v>
      </c>
      <c r="C4055" t="s">
        <v>4403</v>
      </c>
      <c r="D4055" s="30">
        <v>0.58400462962962962</v>
      </c>
      <c r="E4055" t="s">
        <v>314</v>
      </c>
      <c r="F4055" t="s">
        <v>299</v>
      </c>
      <c r="G4055" t="s">
        <v>299</v>
      </c>
      <c r="H4055">
        <v>105</v>
      </c>
      <c r="I4055" s="30">
        <v>3.7962962962962963E-3</v>
      </c>
      <c r="J4055">
        <v>2</v>
      </c>
    </row>
    <row r="4056" spans="1:10" x14ac:dyDescent="0.35">
      <c r="A4056" t="s">
        <v>4435</v>
      </c>
      <c r="B4056" t="s">
        <v>319</v>
      </c>
      <c r="C4056" t="s">
        <v>4403</v>
      </c>
      <c r="D4056" s="30">
        <v>0.59599537037037043</v>
      </c>
      <c r="E4056" t="s">
        <v>302</v>
      </c>
      <c r="F4056" t="s">
        <v>299</v>
      </c>
      <c r="G4056" t="s">
        <v>299</v>
      </c>
      <c r="H4056">
        <v>117</v>
      </c>
      <c r="I4056" s="30">
        <v>5.3240740740740744E-4</v>
      </c>
      <c r="J4056">
        <v>4</v>
      </c>
    </row>
    <row r="4057" spans="1:10" x14ac:dyDescent="0.35">
      <c r="A4057" t="s">
        <v>4436</v>
      </c>
      <c r="B4057" t="s">
        <v>323</v>
      </c>
      <c r="C4057" t="s">
        <v>4403</v>
      </c>
      <c r="D4057" s="30">
        <v>0.59599537037037043</v>
      </c>
      <c r="E4057" t="s">
        <v>309</v>
      </c>
      <c r="F4057" t="s">
        <v>299</v>
      </c>
      <c r="G4057" t="s">
        <v>303</v>
      </c>
      <c r="H4057">
        <v>16</v>
      </c>
      <c r="I4057" s="30">
        <v>2.4652777777777776E-3</v>
      </c>
      <c r="J4057">
        <v>4</v>
      </c>
    </row>
    <row r="4058" spans="1:10" x14ac:dyDescent="0.35">
      <c r="A4058" t="s">
        <v>4437</v>
      </c>
      <c r="B4058" t="s">
        <v>319</v>
      </c>
      <c r="C4058" t="s">
        <v>4403</v>
      </c>
      <c r="D4058" s="30">
        <v>0.60499999999999998</v>
      </c>
      <c r="E4058" t="s">
        <v>314</v>
      </c>
      <c r="F4058" t="s">
        <v>299</v>
      </c>
      <c r="G4058" t="s">
        <v>299</v>
      </c>
      <c r="H4058">
        <v>110</v>
      </c>
      <c r="I4058" s="30">
        <v>1.4004629629629629E-3</v>
      </c>
      <c r="J4058">
        <v>5</v>
      </c>
    </row>
    <row r="4059" spans="1:10" x14ac:dyDescent="0.35">
      <c r="A4059" t="s">
        <v>4438</v>
      </c>
      <c r="B4059" t="s">
        <v>296</v>
      </c>
      <c r="C4059" t="s">
        <v>4403</v>
      </c>
      <c r="D4059" s="30">
        <v>0.60499999999999998</v>
      </c>
      <c r="E4059" t="s">
        <v>314</v>
      </c>
      <c r="F4059" t="s">
        <v>303</v>
      </c>
      <c r="G4059" t="s">
        <v>303</v>
      </c>
    </row>
    <row r="4060" spans="1:10" x14ac:dyDescent="0.35">
      <c r="A4060" t="s">
        <v>4439</v>
      </c>
      <c r="B4060" t="s">
        <v>305</v>
      </c>
      <c r="C4060" t="s">
        <v>4403</v>
      </c>
      <c r="D4060" s="30">
        <v>0.60599537037037032</v>
      </c>
      <c r="E4060" t="s">
        <v>314</v>
      </c>
      <c r="F4060" t="s">
        <v>299</v>
      </c>
      <c r="G4060" t="s">
        <v>299</v>
      </c>
      <c r="H4060">
        <v>57</v>
      </c>
      <c r="I4060" s="30">
        <v>1.4467592592592592E-3</v>
      </c>
      <c r="J4060">
        <v>5</v>
      </c>
    </row>
    <row r="4061" spans="1:10" x14ac:dyDescent="0.35">
      <c r="A4061" t="s">
        <v>4440</v>
      </c>
      <c r="B4061" t="s">
        <v>319</v>
      </c>
      <c r="C4061" t="s">
        <v>4403</v>
      </c>
      <c r="D4061" s="30">
        <v>0.60599537037037032</v>
      </c>
      <c r="E4061" t="s">
        <v>302</v>
      </c>
      <c r="F4061" t="s">
        <v>299</v>
      </c>
      <c r="G4061" t="s">
        <v>299</v>
      </c>
      <c r="H4061">
        <v>105</v>
      </c>
      <c r="I4061" s="30">
        <v>4.7453703703703703E-3</v>
      </c>
      <c r="J4061">
        <v>3</v>
      </c>
    </row>
    <row r="4062" spans="1:10" x14ac:dyDescent="0.35">
      <c r="A4062" t="s">
        <v>4441</v>
      </c>
      <c r="B4062" t="s">
        <v>307</v>
      </c>
      <c r="C4062" t="s">
        <v>4403</v>
      </c>
      <c r="D4062" s="30">
        <v>0.62299768518518517</v>
      </c>
      <c r="E4062" t="s">
        <v>314</v>
      </c>
      <c r="F4062" t="s">
        <v>299</v>
      </c>
      <c r="G4062" t="s">
        <v>299</v>
      </c>
      <c r="H4062">
        <v>95</v>
      </c>
      <c r="I4062" s="30">
        <v>4.3055555555555555E-3</v>
      </c>
      <c r="J4062">
        <v>5</v>
      </c>
    </row>
    <row r="4063" spans="1:10" x14ac:dyDescent="0.35">
      <c r="A4063" t="s">
        <v>4442</v>
      </c>
      <c r="B4063" t="s">
        <v>316</v>
      </c>
      <c r="C4063" t="s">
        <v>4403</v>
      </c>
      <c r="D4063" s="30">
        <v>0.62299768518518517</v>
      </c>
      <c r="E4063" t="s">
        <v>302</v>
      </c>
      <c r="F4063" t="s">
        <v>299</v>
      </c>
      <c r="G4063" t="s">
        <v>299</v>
      </c>
      <c r="H4063">
        <v>19</v>
      </c>
      <c r="I4063" s="30">
        <v>4.0162037037037041E-3</v>
      </c>
      <c r="J4063">
        <v>2</v>
      </c>
    </row>
    <row r="4064" spans="1:10" x14ac:dyDescent="0.35">
      <c r="A4064" t="s">
        <v>4443</v>
      </c>
      <c r="B4064" t="s">
        <v>301</v>
      </c>
      <c r="C4064" t="s">
        <v>4403</v>
      </c>
      <c r="D4064" s="30">
        <v>0.67099537037037038</v>
      </c>
      <c r="E4064" t="s">
        <v>302</v>
      </c>
      <c r="F4064" t="s">
        <v>299</v>
      </c>
      <c r="G4064" t="s">
        <v>299</v>
      </c>
      <c r="H4064">
        <v>25</v>
      </c>
      <c r="I4064" s="30">
        <v>3.5879629629629629E-3</v>
      </c>
      <c r="J4064">
        <v>3</v>
      </c>
    </row>
    <row r="4065" spans="1:10" x14ac:dyDescent="0.35">
      <c r="A4065" t="s">
        <v>4444</v>
      </c>
      <c r="B4065" t="s">
        <v>301</v>
      </c>
      <c r="C4065" t="s">
        <v>4403</v>
      </c>
      <c r="D4065" s="30">
        <v>0.67099537037037038</v>
      </c>
      <c r="E4065" t="s">
        <v>317</v>
      </c>
      <c r="F4065" t="s">
        <v>299</v>
      </c>
      <c r="G4065" t="s">
        <v>303</v>
      </c>
      <c r="H4065">
        <v>65</v>
      </c>
      <c r="I4065" s="30">
        <v>1.4699074074074074E-3</v>
      </c>
      <c r="J4065">
        <v>2</v>
      </c>
    </row>
    <row r="4066" spans="1:10" x14ac:dyDescent="0.35">
      <c r="A4066" t="s">
        <v>4445</v>
      </c>
      <c r="B4066" t="s">
        <v>316</v>
      </c>
      <c r="C4066" t="s">
        <v>4403</v>
      </c>
      <c r="D4066" s="30">
        <v>0.68299768518518522</v>
      </c>
      <c r="E4066" t="s">
        <v>302</v>
      </c>
      <c r="F4066" t="s">
        <v>299</v>
      </c>
      <c r="G4066" t="s">
        <v>299</v>
      </c>
      <c r="H4066">
        <v>27</v>
      </c>
      <c r="I4066" s="30">
        <v>1.9444444444444444E-3</v>
      </c>
      <c r="J4066">
        <v>1</v>
      </c>
    </row>
    <row r="4067" spans="1:10" x14ac:dyDescent="0.35">
      <c r="A4067" t="s">
        <v>4446</v>
      </c>
      <c r="B4067" t="s">
        <v>316</v>
      </c>
      <c r="C4067" t="s">
        <v>4403</v>
      </c>
      <c r="D4067" s="30">
        <v>0.68299768518518522</v>
      </c>
      <c r="E4067" t="s">
        <v>298</v>
      </c>
      <c r="F4067" t="s">
        <v>299</v>
      </c>
      <c r="G4067" t="s">
        <v>299</v>
      </c>
      <c r="H4067">
        <v>107</v>
      </c>
      <c r="I4067" s="30">
        <v>1.6550925925925926E-3</v>
      </c>
      <c r="J4067">
        <v>1</v>
      </c>
    </row>
    <row r="4068" spans="1:10" x14ac:dyDescent="0.35">
      <c r="A4068" t="s">
        <v>4447</v>
      </c>
      <c r="B4068" t="s">
        <v>301</v>
      </c>
      <c r="C4068" t="s">
        <v>4403</v>
      </c>
      <c r="D4068" s="30">
        <v>0.70900462962962962</v>
      </c>
      <c r="E4068" t="s">
        <v>314</v>
      </c>
      <c r="F4068" t="s">
        <v>299</v>
      </c>
      <c r="G4068" t="s">
        <v>299</v>
      </c>
      <c r="H4068">
        <v>90</v>
      </c>
      <c r="I4068" s="30">
        <v>2.5347222222222221E-3</v>
      </c>
      <c r="J4068">
        <v>3</v>
      </c>
    </row>
    <row r="4069" spans="1:10" x14ac:dyDescent="0.35">
      <c r="A4069" t="s">
        <v>4448</v>
      </c>
      <c r="B4069" t="s">
        <v>301</v>
      </c>
      <c r="C4069" t="s">
        <v>4403</v>
      </c>
      <c r="D4069" s="30">
        <v>0.70900462962962962</v>
      </c>
      <c r="E4069" t="s">
        <v>309</v>
      </c>
      <c r="F4069" t="s">
        <v>299</v>
      </c>
      <c r="G4069" t="s">
        <v>299</v>
      </c>
      <c r="H4069">
        <v>45</v>
      </c>
      <c r="I4069" s="30">
        <v>1.0532407407407407E-3</v>
      </c>
      <c r="J4069">
        <v>3</v>
      </c>
    </row>
    <row r="4070" spans="1:10" x14ac:dyDescent="0.35">
      <c r="A4070" t="s">
        <v>4449</v>
      </c>
      <c r="B4070" t="s">
        <v>332</v>
      </c>
      <c r="C4070" t="s">
        <v>4403</v>
      </c>
      <c r="D4070" s="30">
        <v>0.71599537037037042</v>
      </c>
      <c r="E4070" t="s">
        <v>309</v>
      </c>
      <c r="F4070" t="s">
        <v>299</v>
      </c>
      <c r="G4070" t="s">
        <v>299</v>
      </c>
      <c r="H4070">
        <v>39</v>
      </c>
      <c r="I4070" s="30">
        <v>3.9699074074074072E-3</v>
      </c>
      <c r="J4070">
        <v>4</v>
      </c>
    </row>
    <row r="4071" spans="1:10" x14ac:dyDescent="0.35">
      <c r="A4071" t="s">
        <v>4450</v>
      </c>
      <c r="B4071" t="s">
        <v>319</v>
      </c>
      <c r="C4071" t="s">
        <v>4403</v>
      </c>
      <c r="D4071" s="30">
        <v>0.71599537037037042</v>
      </c>
      <c r="E4071" t="s">
        <v>317</v>
      </c>
      <c r="F4071" t="s">
        <v>299</v>
      </c>
      <c r="G4071" t="s">
        <v>299</v>
      </c>
      <c r="H4071">
        <v>63</v>
      </c>
      <c r="I4071" s="30">
        <v>3.2754629629629631E-3</v>
      </c>
      <c r="J4071">
        <v>5</v>
      </c>
    </row>
    <row r="4072" spans="1:10" x14ac:dyDescent="0.35">
      <c r="A4072" t="s">
        <v>4451</v>
      </c>
      <c r="B4072" t="s">
        <v>307</v>
      </c>
      <c r="C4072" t="s">
        <v>4403</v>
      </c>
      <c r="D4072" s="30">
        <v>0.745</v>
      </c>
      <c r="E4072" t="s">
        <v>314</v>
      </c>
      <c r="F4072" t="s">
        <v>299</v>
      </c>
      <c r="G4072" t="s">
        <v>303</v>
      </c>
      <c r="H4072">
        <v>95</v>
      </c>
      <c r="I4072" s="30">
        <v>4.3981481481481481E-4</v>
      </c>
      <c r="J4072">
        <v>1</v>
      </c>
    </row>
    <row r="4073" spans="1:10" x14ac:dyDescent="0.35">
      <c r="A4073" t="s">
        <v>4452</v>
      </c>
      <c r="B4073" t="s">
        <v>319</v>
      </c>
      <c r="C4073" t="s">
        <v>4403</v>
      </c>
      <c r="D4073" s="30">
        <v>0.745</v>
      </c>
      <c r="E4073" t="s">
        <v>314</v>
      </c>
      <c r="F4073" t="s">
        <v>299</v>
      </c>
      <c r="G4073" t="s">
        <v>299</v>
      </c>
      <c r="H4073">
        <v>39</v>
      </c>
      <c r="I4073" s="30">
        <v>3.7499999999999999E-3</v>
      </c>
      <c r="J4073">
        <v>4</v>
      </c>
    </row>
    <row r="4074" spans="1:10" x14ac:dyDescent="0.35">
      <c r="A4074" t="s">
        <v>4453</v>
      </c>
      <c r="B4074" t="s">
        <v>296</v>
      </c>
      <c r="C4074" t="s">
        <v>4454</v>
      </c>
      <c r="D4074" s="30">
        <v>0.37700231481481483</v>
      </c>
      <c r="E4074" t="s">
        <v>314</v>
      </c>
      <c r="F4074" t="s">
        <v>303</v>
      </c>
      <c r="G4074" t="s">
        <v>303</v>
      </c>
    </row>
    <row r="4075" spans="1:10" x14ac:dyDescent="0.35">
      <c r="A4075" t="s">
        <v>4455</v>
      </c>
      <c r="B4075" t="s">
        <v>323</v>
      </c>
      <c r="C4075" t="s">
        <v>4454</v>
      </c>
      <c r="D4075" s="30">
        <v>0.37700231481481483</v>
      </c>
      <c r="E4075" t="s">
        <v>314</v>
      </c>
      <c r="F4075" t="s">
        <v>303</v>
      </c>
      <c r="G4075" t="s">
        <v>303</v>
      </c>
    </row>
    <row r="4076" spans="1:10" x14ac:dyDescent="0.35">
      <c r="A4076" t="s">
        <v>4456</v>
      </c>
      <c r="B4076" t="s">
        <v>323</v>
      </c>
      <c r="C4076" t="s">
        <v>4454</v>
      </c>
      <c r="D4076" s="30">
        <v>0.37700231481481483</v>
      </c>
      <c r="E4076" t="s">
        <v>314</v>
      </c>
      <c r="F4076" t="s">
        <v>299</v>
      </c>
      <c r="G4076" t="s">
        <v>299</v>
      </c>
      <c r="H4076">
        <v>125</v>
      </c>
      <c r="I4076" s="30">
        <v>6.9444444444444447E-4</v>
      </c>
      <c r="J4076">
        <v>3</v>
      </c>
    </row>
    <row r="4077" spans="1:10" x14ac:dyDescent="0.35">
      <c r="A4077" t="s">
        <v>4457</v>
      </c>
      <c r="B4077" t="s">
        <v>323</v>
      </c>
      <c r="C4077" t="s">
        <v>4454</v>
      </c>
      <c r="D4077" s="30">
        <v>0.37700231481481483</v>
      </c>
      <c r="E4077" t="s">
        <v>302</v>
      </c>
      <c r="F4077" t="s">
        <v>299</v>
      </c>
      <c r="G4077" t="s">
        <v>299</v>
      </c>
      <c r="H4077">
        <v>73</v>
      </c>
      <c r="I4077" s="30">
        <v>1.0416666666666667E-3</v>
      </c>
      <c r="J4077">
        <v>4</v>
      </c>
    </row>
    <row r="4078" spans="1:10" x14ac:dyDescent="0.35">
      <c r="A4078" t="s">
        <v>4458</v>
      </c>
      <c r="B4078" t="s">
        <v>307</v>
      </c>
      <c r="C4078" t="s">
        <v>4454</v>
      </c>
      <c r="D4078" s="30">
        <v>0.4020023148148148</v>
      </c>
      <c r="E4078" t="s">
        <v>314</v>
      </c>
      <c r="F4078" t="s">
        <v>299</v>
      </c>
      <c r="G4078" t="s">
        <v>299</v>
      </c>
      <c r="H4078">
        <v>116</v>
      </c>
      <c r="I4078" s="30">
        <v>6.4814814814814813E-4</v>
      </c>
      <c r="J4078">
        <v>4</v>
      </c>
    </row>
    <row r="4079" spans="1:10" x14ac:dyDescent="0.35">
      <c r="A4079" t="s">
        <v>4459</v>
      </c>
      <c r="B4079" t="s">
        <v>319</v>
      </c>
      <c r="C4079" t="s">
        <v>4454</v>
      </c>
      <c r="D4079" s="30">
        <v>0.4020023148148148</v>
      </c>
      <c r="E4079" t="s">
        <v>302</v>
      </c>
      <c r="F4079" t="s">
        <v>299</v>
      </c>
      <c r="G4079" t="s">
        <v>299</v>
      </c>
      <c r="H4079">
        <v>115</v>
      </c>
      <c r="I4079" s="30">
        <v>1.6319444444444445E-3</v>
      </c>
      <c r="J4079">
        <v>2</v>
      </c>
    </row>
    <row r="4080" spans="1:10" x14ac:dyDescent="0.35">
      <c r="A4080" t="s">
        <v>4460</v>
      </c>
      <c r="B4080" t="s">
        <v>319</v>
      </c>
      <c r="C4080" t="s">
        <v>4454</v>
      </c>
      <c r="D4080" s="30">
        <v>0.45099537037037035</v>
      </c>
      <c r="E4080" t="s">
        <v>314</v>
      </c>
      <c r="F4080" t="s">
        <v>303</v>
      </c>
      <c r="G4080" t="s">
        <v>303</v>
      </c>
    </row>
    <row r="4081" spans="1:10" x14ac:dyDescent="0.35">
      <c r="A4081" t="s">
        <v>4461</v>
      </c>
      <c r="B4081" t="s">
        <v>305</v>
      </c>
      <c r="C4081" t="s">
        <v>4454</v>
      </c>
      <c r="D4081" s="30">
        <v>0.45099537037037035</v>
      </c>
      <c r="E4081" t="s">
        <v>309</v>
      </c>
      <c r="F4081" t="s">
        <v>299</v>
      </c>
      <c r="G4081" t="s">
        <v>299</v>
      </c>
      <c r="H4081">
        <v>56</v>
      </c>
      <c r="I4081" s="30">
        <v>4.2476851851851851E-3</v>
      </c>
      <c r="J4081">
        <v>2</v>
      </c>
    </row>
    <row r="4082" spans="1:10" x14ac:dyDescent="0.35">
      <c r="A4082" t="s">
        <v>4462</v>
      </c>
      <c r="B4082" t="s">
        <v>332</v>
      </c>
      <c r="C4082" t="s">
        <v>4454</v>
      </c>
      <c r="D4082" s="30">
        <v>0.46900462962962963</v>
      </c>
      <c r="E4082" t="s">
        <v>302</v>
      </c>
      <c r="F4082" t="s">
        <v>299</v>
      </c>
      <c r="G4082" t="s">
        <v>299</v>
      </c>
      <c r="H4082">
        <v>123</v>
      </c>
      <c r="I4082" s="30">
        <v>1.8402777777777777E-3</v>
      </c>
      <c r="J4082">
        <v>2</v>
      </c>
    </row>
    <row r="4083" spans="1:10" x14ac:dyDescent="0.35">
      <c r="A4083" t="s">
        <v>4463</v>
      </c>
      <c r="B4083" t="s">
        <v>301</v>
      </c>
      <c r="C4083" t="s">
        <v>4454</v>
      </c>
      <c r="D4083" s="30">
        <v>0.46900462962962963</v>
      </c>
      <c r="E4083" t="s">
        <v>314</v>
      </c>
      <c r="F4083" t="s">
        <v>299</v>
      </c>
      <c r="G4083" t="s">
        <v>299</v>
      </c>
      <c r="H4083">
        <v>36</v>
      </c>
      <c r="I4083" s="30">
        <v>5.7870370370370367E-4</v>
      </c>
      <c r="J4083">
        <v>1</v>
      </c>
    </row>
    <row r="4084" spans="1:10" x14ac:dyDescent="0.35">
      <c r="A4084" t="s">
        <v>4464</v>
      </c>
      <c r="B4084" t="s">
        <v>307</v>
      </c>
      <c r="C4084" t="s">
        <v>4454</v>
      </c>
      <c r="D4084" s="30">
        <v>0.47799768518518521</v>
      </c>
      <c r="E4084" t="s">
        <v>302</v>
      </c>
      <c r="F4084" t="s">
        <v>299</v>
      </c>
      <c r="G4084" t="s">
        <v>299</v>
      </c>
      <c r="H4084">
        <v>84</v>
      </c>
      <c r="I4084" s="30">
        <v>1.0763888888888889E-3</v>
      </c>
      <c r="J4084">
        <v>5</v>
      </c>
    </row>
    <row r="4085" spans="1:10" x14ac:dyDescent="0.35">
      <c r="A4085" t="s">
        <v>4465</v>
      </c>
      <c r="B4085" t="s">
        <v>323</v>
      </c>
      <c r="C4085" t="s">
        <v>4454</v>
      </c>
      <c r="D4085" s="30">
        <v>0.47799768518518521</v>
      </c>
      <c r="E4085" t="s">
        <v>317</v>
      </c>
      <c r="F4085" t="s">
        <v>299</v>
      </c>
      <c r="G4085" t="s">
        <v>299</v>
      </c>
      <c r="H4085">
        <v>74</v>
      </c>
      <c r="I4085" s="30">
        <v>2.0949074074074073E-3</v>
      </c>
      <c r="J4085">
        <v>3</v>
      </c>
    </row>
    <row r="4086" spans="1:10" x14ac:dyDescent="0.35">
      <c r="A4086" t="s">
        <v>4466</v>
      </c>
      <c r="B4086" t="s">
        <v>316</v>
      </c>
      <c r="C4086" t="s">
        <v>4454</v>
      </c>
      <c r="D4086" s="30">
        <v>0.48499999999999999</v>
      </c>
      <c r="E4086" t="s">
        <v>317</v>
      </c>
      <c r="F4086" t="s">
        <v>299</v>
      </c>
      <c r="G4086" t="s">
        <v>299</v>
      </c>
      <c r="H4086">
        <v>20</v>
      </c>
      <c r="I4086" s="30">
        <v>2.9629629629629628E-3</v>
      </c>
      <c r="J4086">
        <v>5</v>
      </c>
    </row>
    <row r="4087" spans="1:10" x14ac:dyDescent="0.35">
      <c r="A4087" t="s">
        <v>4467</v>
      </c>
      <c r="B4087" t="s">
        <v>323</v>
      </c>
      <c r="C4087" t="s">
        <v>4454</v>
      </c>
      <c r="D4087" s="30">
        <v>0.48499999999999999</v>
      </c>
      <c r="E4087" t="s">
        <v>317</v>
      </c>
      <c r="F4087" t="s">
        <v>303</v>
      </c>
      <c r="G4087" t="s">
        <v>303</v>
      </c>
    </row>
    <row r="4088" spans="1:10" x14ac:dyDescent="0.35">
      <c r="A4088" t="s">
        <v>4468</v>
      </c>
      <c r="B4088" t="s">
        <v>296</v>
      </c>
      <c r="C4088" t="s">
        <v>4454</v>
      </c>
      <c r="D4088" s="30">
        <v>0.48799768518518516</v>
      </c>
      <c r="E4088" t="s">
        <v>309</v>
      </c>
      <c r="F4088" t="s">
        <v>299</v>
      </c>
      <c r="G4088" t="s">
        <v>299</v>
      </c>
      <c r="H4088">
        <v>13</v>
      </c>
      <c r="I4088" s="30">
        <v>3.1597222222222222E-3</v>
      </c>
      <c r="J4088">
        <v>3</v>
      </c>
    </row>
    <row r="4089" spans="1:10" x14ac:dyDescent="0.35">
      <c r="A4089" t="s">
        <v>4469</v>
      </c>
      <c r="B4089" t="s">
        <v>307</v>
      </c>
      <c r="C4089" t="s">
        <v>4454</v>
      </c>
      <c r="D4089" s="30">
        <v>0.48799768518518516</v>
      </c>
      <c r="E4089" t="s">
        <v>298</v>
      </c>
      <c r="F4089" t="s">
        <v>299</v>
      </c>
      <c r="G4089" t="s">
        <v>303</v>
      </c>
      <c r="H4089">
        <v>28</v>
      </c>
      <c r="I4089" s="30">
        <v>6.8287037037037036E-4</v>
      </c>
      <c r="J4089">
        <v>3</v>
      </c>
    </row>
    <row r="4090" spans="1:10" x14ac:dyDescent="0.35">
      <c r="A4090" t="s">
        <v>4470</v>
      </c>
      <c r="B4090" t="s">
        <v>332</v>
      </c>
      <c r="C4090" t="s">
        <v>4454</v>
      </c>
      <c r="D4090" s="30">
        <v>0.5709953703703704</v>
      </c>
      <c r="E4090" t="s">
        <v>298</v>
      </c>
      <c r="F4090" t="s">
        <v>299</v>
      </c>
      <c r="G4090" t="s">
        <v>299</v>
      </c>
      <c r="H4090">
        <v>13</v>
      </c>
      <c r="I4090" s="30">
        <v>1.3310185185185185E-3</v>
      </c>
      <c r="J4090">
        <v>4</v>
      </c>
    </row>
    <row r="4091" spans="1:10" x14ac:dyDescent="0.35">
      <c r="A4091" t="s">
        <v>4471</v>
      </c>
      <c r="B4091" t="s">
        <v>323</v>
      </c>
      <c r="C4091" t="s">
        <v>4454</v>
      </c>
      <c r="D4091" s="30">
        <v>0.5709953703703704</v>
      </c>
      <c r="E4091" t="s">
        <v>317</v>
      </c>
      <c r="F4091" t="s">
        <v>299</v>
      </c>
      <c r="G4091" t="s">
        <v>299</v>
      </c>
      <c r="H4091">
        <v>100</v>
      </c>
      <c r="I4091" s="30">
        <v>8.4490740740740739E-4</v>
      </c>
      <c r="J4091">
        <v>3</v>
      </c>
    </row>
    <row r="4092" spans="1:10" x14ac:dyDescent="0.35">
      <c r="A4092" t="s">
        <v>4472</v>
      </c>
      <c r="B4092" t="s">
        <v>316</v>
      </c>
      <c r="C4092" t="s">
        <v>4454</v>
      </c>
      <c r="D4092" s="30">
        <v>0.59299768518518514</v>
      </c>
      <c r="E4092" t="s">
        <v>298</v>
      </c>
      <c r="F4092" t="s">
        <v>299</v>
      </c>
      <c r="G4092" t="s">
        <v>299</v>
      </c>
      <c r="H4092">
        <v>119</v>
      </c>
      <c r="I4092" s="30">
        <v>2.0254629629629629E-3</v>
      </c>
      <c r="J4092">
        <v>3</v>
      </c>
    </row>
    <row r="4093" spans="1:10" x14ac:dyDescent="0.35">
      <c r="A4093" t="s">
        <v>4473</v>
      </c>
      <c r="B4093" t="s">
        <v>305</v>
      </c>
      <c r="C4093" t="s">
        <v>4454</v>
      </c>
      <c r="D4093" s="30">
        <v>0.59299768518518514</v>
      </c>
      <c r="E4093" t="s">
        <v>302</v>
      </c>
      <c r="F4093" t="s">
        <v>303</v>
      </c>
      <c r="G4093" t="s">
        <v>303</v>
      </c>
    </row>
    <row r="4094" spans="1:10" x14ac:dyDescent="0.35">
      <c r="A4094" t="s">
        <v>4474</v>
      </c>
      <c r="B4094" t="s">
        <v>323</v>
      </c>
      <c r="C4094" t="s">
        <v>4454</v>
      </c>
      <c r="D4094" s="30">
        <v>0.59599537037037043</v>
      </c>
      <c r="E4094" t="s">
        <v>302</v>
      </c>
      <c r="F4094" t="s">
        <v>299</v>
      </c>
      <c r="G4094" t="s">
        <v>299</v>
      </c>
      <c r="H4094">
        <v>125</v>
      </c>
      <c r="I4094" s="30">
        <v>3.9699074074074072E-3</v>
      </c>
      <c r="J4094">
        <v>5</v>
      </c>
    </row>
    <row r="4095" spans="1:10" x14ac:dyDescent="0.35">
      <c r="A4095" t="s">
        <v>4475</v>
      </c>
      <c r="B4095" t="s">
        <v>319</v>
      </c>
      <c r="C4095" t="s">
        <v>4454</v>
      </c>
      <c r="D4095" s="30">
        <v>0.59599537037037043</v>
      </c>
      <c r="E4095" t="s">
        <v>317</v>
      </c>
      <c r="F4095" t="s">
        <v>303</v>
      </c>
      <c r="G4095" t="s">
        <v>303</v>
      </c>
    </row>
    <row r="4096" spans="1:10" x14ac:dyDescent="0.35">
      <c r="A4096" t="s">
        <v>4476</v>
      </c>
      <c r="B4096" t="s">
        <v>316</v>
      </c>
      <c r="C4096" t="s">
        <v>4454</v>
      </c>
      <c r="D4096" s="30">
        <v>0.61</v>
      </c>
      <c r="E4096" t="s">
        <v>302</v>
      </c>
      <c r="F4096" t="s">
        <v>299</v>
      </c>
      <c r="G4096" t="s">
        <v>303</v>
      </c>
      <c r="H4096">
        <v>88</v>
      </c>
      <c r="I4096" s="30">
        <v>1.238425925925926E-3</v>
      </c>
      <c r="J4096">
        <v>4</v>
      </c>
    </row>
    <row r="4097" spans="1:10" x14ac:dyDescent="0.35">
      <c r="A4097" t="s">
        <v>4477</v>
      </c>
      <c r="B4097" t="s">
        <v>301</v>
      </c>
      <c r="C4097" t="s">
        <v>4454</v>
      </c>
      <c r="D4097" s="30">
        <v>0.61</v>
      </c>
      <c r="E4097" t="s">
        <v>302</v>
      </c>
      <c r="F4097" t="s">
        <v>299</v>
      </c>
      <c r="G4097" t="s">
        <v>299</v>
      </c>
      <c r="H4097">
        <v>71</v>
      </c>
      <c r="I4097" s="30">
        <v>3.9351851851851852E-4</v>
      </c>
      <c r="J4097">
        <v>4</v>
      </c>
    </row>
    <row r="4098" spans="1:10" x14ac:dyDescent="0.35">
      <c r="A4098" t="s">
        <v>4478</v>
      </c>
      <c r="B4098" t="s">
        <v>332</v>
      </c>
      <c r="C4098" t="s">
        <v>4454</v>
      </c>
      <c r="D4098" s="30">
        <v>0.61200231481481482</v>
      </c>
      <c r="E4098" t="s">
        <v>298</v>
      </c>
      <c r="F4098" t="s">
        <v>299</v>
      </c>
      <c r="G4098" t="s">
        <v>299</v>
      </c>
      <c r="H4098">
        <v>99</v>
      </c>
      <c r="I4098" s="30">
        <v>3.9351851851851852E-4</v>
      </c>
      <c r="J4098">
        <v>4</v>
      </c>
    </row>
    <row r="4099" spans="1:10" x14ac:dyDescent="0.35">
      <c r="A4099" t="s">
        <v>4479</v>
      </c>
      <c r="B4099" t="s">
        <v>332</v>
      </c>
      <c r="C4099" t="s">
        <v>4454</v>
      </c>
      <c r="D4099" s="30">
        <v>0.61200231481481482</v>
      </c>
      <c r="E4099" t="s">
        <v>314</v>
      </c>
      <c r="F4099" t="s">
        <v>299</v>
      </c>
      <c r="G4099" t="s">
        <v>299</v>
      </c>
      <c r="H4099">
        <v>94</v>
      </c>
      <c r="I4099" s="30">
        <v>4.0740740740740737E-3</v>
      </c>
      <c r="J4099">
        <v>1</v>
      </c>
    </row>
    <row r="4100" spans="1:10" x14ac:dyDescent="0.35">
      <c r="A4100" t="s">
        <v>4480</v>
      </c>
      <c r="B4100" t="s">
        <v>301</v>
      </c>
      <c r="C4100" t="s">
        <v>4454</v>
      </c>
      <c r="D4100" s="30">
        <v>0.625</v>
      </c>
      <c r="E4100" t="s">
        <v>314</v>
      </c>
      <c r="F4100" t="s">
        <v>299</v>
      </c>
      <c r="G4100" t="s">
        <v>299</v>
      </c>
      <c r="H4100">
        <v>115</v>
      </c>
      <c r="I4100" s="30">
        <v>3.6111111111111109E-3</v>
      </c>
      <c r="J4100">
        <v>1</v>
      </c>
    </row>
    <row r="4101" spans="1:10" x14ac:dyDescent="0.35">
      <c r="A4101" t="s">
        <v>4481</v>
      </c>
      <c r="B4101" t="s">
        <v>301</v>
      </c>
      <c r="C4101" t="s">
        <v>4454</v>
      </c>
      <c r="D4101" s="30">
        <v>0.625</v>
      </c>
      <c r="E4101" t="s">
        <v>298</v>
      </c>
      <c r="F4101" t="s">
        <v>299</v>
      </c>
      <c r="G4101" t="s">
        <v>299</v>
      </c>
      <c r="H4101">
        <v>36</v>
      </c>
      <c r="I4101" s="30">
        <v>3.5995370370370369E-3</v>
      </c>
      <c r="J4101">
        <v>5</v>
      </c>
    </row>
    <row r="4102" spans="1:10" x14ac:dyDescent="0.35">
      <c r="A4102" t="s">
        <v>4482</v>
      </c>
      <c r="B4102" t="s">
        <v>305</v>
      </c>
      <c r="C4102" t="s">
        <v>4454</v>
      </c>
      <c r="D4102" s="30">
        <v>0.62700231481481483</v>
      </c>
      <c r="E4102" t="s">
        <v>309</v>
      </c>
      <c r="F4102" t="s">
        <v>299</v>
      </c>
      <c r="G4102" t="s">
        <v>299</v>
      </c>
      <c r="H4102">
        <v>72</v>
      </c>
      <c r="I4102" s="30">
        <v>2.685185185185185E-3</v>
      </c>
      <c r="J4102">
        <v>3</v>
      </c>
    </row>
    <row r="4103" spans="1:10" x14ac:dyDescent="0.35">
      <c r="A4103" t="s">
        <v>4483</v>
      </c>
      <c r="B4103" t="s">
        <v>301</v>
      </c>
      <c r="C4103" t="s">
        <v>4454</v>
      </c>
      <c r="D4103" s="30">
        <v>0.62700231481481483</v>
      </c>
      <c r="E4103" t="s">
        <v>298</v>
      </c>
      <c r="F4103" t="s">
        <v>299</v>
      </c>
      <c r="G4103" t="s">
        <v>299</v>
      </c>
      <c r="H4103">
        <v>51</v>
      </c>
      <c r="I4103" s="30">
        <v>7.291666666666667E-4</v>
      </c>
      <c r="J4103">
        <v>3</v>
      </c>
    </row>
    <row r="4104" spans="1:10" x14ac:dyDescent="0.35">
      <c r="A4104" t="s">
        <v>4484</v>
      </c>
      <c r="B4104" t="s">
        <v>296</v>
      </c>
      <c r="C4104" t="s">
        <v>4454</v>
      </c>
      <c r="D4104" s="30">
        <v>0.65</v>
      </c>
      <c r="E4104" t="s">
        <v>314</v>
      </c>
      <c r="F4104" t="s">
        <v>299</v>
      </c>
      <c r="G4104" t="s">
        <v>299</v>
      </c>
      <c r="H4104">
        <v>11</v>
      </c>
      <c r="I4104" s="30">
        <v>3.1597222222222222E-3</v>
      </c>
      <c r="J4104">
        <v>2</v>
      </c>
    </row>
    <row r="4105" spans="1:10" x14ac:dyDescent="0.35">
      <c r="A4105" t="s">
        <v>4485</v>
      </c>
      <c r="B4105" t="s">
        <v>305</v>
      </c>
      <c r="C4105" t="s">
        <v>4454</v>
      </c>
      <c r="D4105" s="30">
        <v>0.65</v>
      </c>
      <c r="E4105" t="s">
        <v>314</v>
      </c>
      <c r="F4105" t="s">
        <v>299</v>
      </c>
      <c r="G4105" t="s">
        <v>303</v>
      </c>
      <c r="H4105">
        <v>101</v>
      </c>
      <c r="I4105" s="30">
        <v>4.0046296296296297E-3</v>
      </c>
      <c r="J4105">
        <v>5</v>
      </c>
    </row>
    <row r="4106" spans="1:10" x14ac:dyDescent="0.35">
      <c r="A4106" t="s">
        <v>4486</v>
      </c>
      <c r="B4106" t="s">
        <v>305</v>
      </c>
      <c r="C4106" t="s">
        <v>4454</v>
      </c>
      <c r="D4106" s="30">
        <v>0.65200231481481485</v>
      </c>
      <c r="E4106" t="s">
        <v>314</v>
      </c>
      <c r="F4106" t="s">
        <v>299</v>
      </c>
      <c r="G4106" t="s">
        <v>299</v>
      </c>
      <c r="H4106">
        <v>119</v>
      </c>
      <c r="I4106" s="30">
        <v>3.9004629629629628E-3</v>
      </c>
      <c r="J4106">
        <v>3</v>
      </c>
    </row>
    <row r="4107" spans="1:10" x14ac:dyDescent="0.35">
      <c r="A4107" t="s">
        <v>4487</v>
      </c>
      <c r="B4107" t="s">
        <v>296</v>
      </c>
      <c r="C4107" t="s">
        <v>4454</v>
      </c>
      <c r="D4107" s="30">
        <v>0.65200231481481485</v>
      </c>
      <c r="E4107" t="s">
        <v>302</v>
      </c>
      <c r="F4107" t="s">
        <v>299</v>
      </c>
      <c r="G4107" t="s">
        <v>299</v>
      </c>
      <c r="H4107">
        <v>64</v>
      </c>
      <c r="I4107" s="30">
        <v>1.8171296296296297E-3</v>
      </c>
      <c r="J4107">
        <v>3</v>
      </c>
    </row>
    <row r="4108" spans="1:10" x14ac:dyDescent="0.35">
      <c r="A4108" t="s">
        <v>4488</v>
      </c>
      <c r="B4108" t="s">
        <v>323</v>
      </c>
      <c r="C4108" t="s">
        <v>4454</v>
      </c>
      <c r="D4108" s="30">
        <v>0.65599537037037037</v>
      </c>
      <c r="E4108" t="s">
        <v>302</v>
      </c>
      <c r="F4108" t="s">
        <v>299</v>
      </c>
      <c r="G4108" t="s">
        <v>299</v>
      </c>
      <c r="H4108">
        <v>12</v>
      </c>
      <c r="I4108" s="30">
        <v>2.8935185185185184E-3</v>
      </c>
      <c r="J4108">
        <v>3</v>
      </c>
    </row>
    <row r="4109" spans="1:10" x14ac:dyDescent="0.35">
      <c r="A4109" t="s">
        <v>4489</v>
      </c>
      <c r="B4109" t="s">
        <v>307</v>
      </c>
      <c r="C4109" t="s">
        <v>4454</v>
      </c>
      <c r="D4109" s="30">
        <v>0.65599537037037037</v>
      </c>
      <c r="E4109" t="s">
        <v>317</v>
      </c>
      <c r="F4109" t="s">
        <v>299</v>
      </c>
      <c r="G4109" t="s">
        <v>299</v>
      </c>
      <c r="H4109">
        <v>118</v>
      </c>
      <c r="I4109" s="30">
        <v>3.5995370370370369E-3</v>
      </c>
      <c r="J4109">
        <v>3</v>
      </c>
    </row>
    <row r="4110" spans="1:10" x14ac:dyDescent="0.35">
      <c r="A4110" t="s">
        <v>4490</v>
      </c>
      <c r="B4110" t="s">
        <v>307</v>
      </c>
      <c r="C4110" t="s">
        <v>4454</v>
      </c>
      <c r="D4110" s="30">
        <v>0.66599537037037038</v>
      </c>
      <c r="E4110" t="s">
        <v>309</v>
      </c>
      <c r="F4110" t="s">
        <v>299</v>
      </c>
      <c r="G4110" t="s">
        <v>299</v>
      </c>
      <c r="H4110">
        <v>107</v>
      </c>
      <c r="I4110" s="30">
        <v>1.7476851851851852E-3</v>
      </c>
      <c r="J4110">
        <v>2</v>
      </c>
    </row>
    <row r="4111" spans="1:10" x14ac:dyDescent="0.35">
      <c r="A4111" t="s">
        <v>4491</v>
      </c>
      <c r="B4111" t="s">
        <v>323</v>
      </c>
      <c r="C4111" t="s">
        <v>4454</v>
      </c>
      <c r="D4111" s="30">
        <v>0.66599537037037038</v>
      </c>
      <c r="E4111" t="s">
        <v>309</v>
      </c>
      <c r="F4111" t="s">
        <v>299</v>
      </c>
      <c r="G4111" t="s">
        <v>299</v>
      </c>
      <c r="H4111">
        <v>122</v>
      </c>
      <c r="I4111" s="30">
        <v>3.5069444444444445E-3</v>
      </c>
      <c r="J4111">
        <v>3</v>
      </c>
    </row>
    <row r="4112" spans="1:10" x14ac:dyDescent="0.35">
      <c r="A4112" t="s">
        <v>4492</v>
      </c>
      <c r="B4112" t="s">
        <v>301</v>
      </c>
      <c r="C4112" t="s">
        <v>4454</v>
      </c>
      <c r="D4112" s="30">
        <v>0.6790046296296296</v>
      </c>
      <c r="E4112" t="s">
        <v>309</v>
      </c>
      <c r="F4112" t="s">
        <v>299</v>
      </c>
      <c r="G4112" t="s">
        <v>299</v>
      </c>
      <c r="H4112">
        <v>41</v>
      </c>
      <c r="I4112" s="30">
        <v>2.5578703703703705E-3</v>
      </c>
      <c r="J4112">
        <v>4</v>
      </c>
    </row>
    <row r="4113" spans="1:10" x14ac:dyDescent="0.35">
      <c r="A4113" t="s">
        <v>4493</v>
      </c>
      <c r="B4113" t="s">
        <v>301</v>
      </c>
      <c r="C4113" t="s">
        <v>4454</v>
      </c>
      <c r="D4113" s="30">
        <v>0.6790046296296296</v>
      </c>
      <c r="E4113" t="s">
        <v>317</v>
      </c>
      <c r="F4113" t="s">
        <v>299</v>
      </c>
      <c r="G4113" t="s">
        <v>299</v>
      </c>
      <c r="H4113">
        <v>22</v>
      </c>
      <c r="I4113" s="30">
        <v>4.9768518518518521E-4</v>
      </c>
      <c r="J4113">
        <v>1</v>
      </c>
    </row>
    <row r="4114" spans="1:10" x14ac:dyDescent="0.35">
      <c r="A4114" t="s">
        <v>4494</v>
      </c>
      <c r="B4114" t="s">
        <v>323</v>
      </c>
      <c r="C4114" t="s">
        <v>4454</v>
      </c>
      <c r="D4114" s="30">
        <v>0.70400462962962962</v>
      </c>
      <c r="E4114" t="s">
        <v>302</v>
      </c>
      <c r="F4114" t="s">
        <v>303</v>
      </c>
      <c r="G4114" t="s">
        <v>303</v>
      </c>
    </row>
    <row r="4115" spans="1:10" x14ac:dyDescent="0.35">
      <c r="A4115" t="s">
        <v>4495</v>
      </c>
      <c r="B4115" t="s">
        <v>323</v>
      </c>
      <c r="C4115" t="s">
        <v>4454</v>
      </c>
      <c r="D4115" s="30">
        <v>0.70400462962962962</v>
      </c>
      <c r="E4115" t="s">
        <v>298</v>
      </c>
      <c r="F4115" t="s">
        <v>299</v>
      </c>
      <c r="G4115" t="s">
        <v>299</v>
      </c>
      <c r="H4115">
        <v>93</v>
      </c>
      <c r="I4115" s="30">
        <v>2.5347222222222221E-3</v>
      </c>
      <c r="J4115">
        <v>3</v>
      </c>
    </row>
    <row r="4116" spans="1:10" x14ac:dyDescent="0.35">
      <c r="A4116" t="s">
        <v>4496</v>
      </c>
      <c r="B4116" t="s">
        <v>316</v>
      </c>
      <c r="C4116" t="s">
        <v>4454</v>
      </c>
      <c r="D4116" s="30">
        <v>0.71</v>
      </c>
      <c r="E4116" t="s">
        <v>314</v>
      </c>
      <c r="F4116" t="s">
        <v>299</v>
      </c>
      <c r="G4116" t="s">
        <v>299</v>
      </c>
      <c r="H4116">
        <v>20</v>
      </c>
      <c r="I4116" s="30">
        <v>3.0092592592592593E-3</v>
      </c>
      <c r="J4116">
        <v>5</v>
      </c>
    </row>
    <row r="4117" spans="1:10" x14ac:dyDescent="0.35">
      <c r="A4117" t="s">
        <v>4497</v>
      </c>
      <c r="B4117" t="s">
        <v>332</v>
      </c>
      <c r="C4117" t="s">
        <v>4454</v>
      </c>
      <c r="D4117" s="30">
        <v>0.71</v>
      </c>
      <c r="E4117" t="s">
        <v>298</v>
      </c>
      <c r="F4117" t="s">
        <v>299</v>
      </c>
      <c r="G4117" t="s">
        <v>299</v>
      </c>
      <c r="H4117">
        <v>90</v>
      </c>
      <c r="I4117" s="30">
        <v>2.8356481481481483E-3</v>
      </c>
      <c r="J4117">
        <v>4</v>
      </c>
    </row>
    <row r="4118" spans="1:10" x14ac:dyDescent="0.35">
      <c r="A4118" t="s">
        <v>4498</v>
      </c>
      <c r="B4118" t="s">
        <v>301</v>
      </c>
      <c r="C4118" t="s">
        <v>4454</v>
      </c>
      <c r="D4118" s="30">
        <v>0.72499999999999998</v>
      </c>
      <c r="E4118" t="s">
        <v>302</v>
      </c>
      <c r="F4118" t="s">
        <v>299</v>
      </c>
      <c r="G4118" t="s">
        <v>299</v>
      </c>
      <c r="H4118">
        <v>107</v>
      </c>
      <c r="I4118" s="30">
        <v>4.5486111111111109E-3</v>
      </c>
      <c r="J4118">
        <v>3</v>
      </c>
    </row>
    <row r="4119" spans="1:10" x14ac:dyDescent="0.35">
      <c r="A4119" t="s">
        <v>4499</v>
      </c>
      <c r="B4119" t="s">
        <v>316</v>
      </c>
      <c r="C4119" t="s">
        <v>4454</v>
      </c>
      <c r="D4119" s="30">
        <v>0.72499999999999998</v>
      </c>
      <c r="E4119" t="s">
        <v>302</v>
      </c>
      <c r="F4119" t="s">
        <v>303</v>
      </c>
      <c r="G4119" t="s">
        <v>303</v>
      </c>
    </row>
    <row r="4120" spans="1:10" x14ac:dyDescent="0.35">
      <c r="A4120" t="s">
        <v>4500</v>
      </c>
      <c r="B4120" t="s">
        <v>332</v>
      </c>
      <c r="C4120" t="s">
        <v>4454</v>
      </c>
      <c r="D4120" s="30">
        <v>0.73900462962962965</v>
      </c>
      <c r="E4120" t="s">
        <v>298</v>
      </c>
      <c r="F4120" t="s">
        <v>299</v>
      </c>
      <c r="G4120" t="s">
        <v>299</v>
      </c>
      <c r="H4120">
        <v>38</v>
      </c>
      <c r="I4120" s="30">
        <v>3.9699074074074072E-3</v>
      </c>
      <c r="J4120">
        <v>3</v>
      </c>
    </row>
    <row r="4121" spans="1:10" x14ac:dyDescent="0.35">
      <c r="A4121" t="s">
        <v>4501</v>
      </c>
      <c r="B4121" t="s">
        <v>319</v>
      </c>
      <c r="C4121" t="s">
        <v>4454</v>
      </c>
      <c r="D4121" s="30">
        <v>0.73900462962962965</v>
      </c>
      <c r="E4121" t="s">
        <v>298</v>
      </c>
      <c r="F4121" t="s">
        <v>303</v>
      </c>
      <c r="G4121" t="s">
        <v>303</v>
      </c>
    </row>
    <row r="4122" spans="1:10" x14ac:dyDescent="0.35">
      <c r="A4122" t="s">
        <v>4502</v>
      </c>
      <c r="B4122" t="s">
        <v>301</v>
      </c>
      <c r="C4122" t="s">
        <v>4503</v>
      </c>
      <c r="D4122" s="30">
        <v>0.375</v>
      </c>
      <c r="E4122" t="s">
        <v>317</v>
      </c>
      <c r="F4122" t="s">
        <v>299</v>
      </c>
      <c r="G4122" t="s">
        <v>299</v>
      </c>
      <c r="H4122">
        <v>50</v>
      </c>
      <c r="I4122" s="30">
        <v>1.3541666666666667E-3</v>
      </c>
      <c r="J4122">
        <v>4</v>
      </c>
    </row>
    <row r="4123" spans="1:10" x14ac:dyDescent="0.35">
      <c r="A4123" t="s">
        <v>4504</v>
      </c>
      <c r="B4123" t="s">
        <v>307</v>
      </c>
      <c r="C4123" t="s">
        <v>4503</v>
      </c>
      <c r="D4123" s="30">
        <v>0.375</v>
      </c>
      <c r="E4123" t="s">
        <v>314</v>
      </c>
      <c r="F4123" t="s">
        <v>299</v>
      </c>
      <c r="G4123" t="s">
        <v>299</v>
      </c>
      <c r="H4123">
        <v>90</v>
      </c>
      <c r="I4123" s="30">
        <v>3.5416666666666665E-3</v>
      </c>
      <c r="J4123">
        <v>4</v>
      </c>
    </row>
    <row r="4124" spans="1:10" x14ac:dyDescent="0.35">
      <c r="A4124" t="s">
        <v>4505</v>
      </c>
      <c r="B4124" t="s">
        <v>301</v>
      </c>
      <c r="C4124" t="s">
        <v>4503</v>
      </c>
      <c r="D4124" s="30">
        <v>0.38900462962962962</v>
      </c>
      <c r="E4124" t="s">
        <v>314</v>
      </c>
      <c r="F4124" t="s">
        <v>299</v>
      </c>
      <c r="G4124" t="s">
        <v>299</v>
      </c>
      <c r="H4124">
        <v>22</v>
      </c>
      <c r="I4124" s="30">
        <v>3.0208333333333333E-3</v>
      </c>
      <c r="J4124">
        <v>4</v>
      </c>
    </row>
    <row r="4125" spans="1:10" x14ac:dyDescent="0.35">
      <c r="A4125" t="s">
        <v>4506</v>
      </c>
      <c r="B4125" t="s">
        <v>319</v>
      </c>
      <c r="C4125" t="s">
        <v>4503</v>
      </c>
      <c r="D4125" s="30">
        <v>0.38900462962962962</v>
      </c>
      <c r="E4125" t="s">
        <v>314</v>
      </c>
      <c r="F4125" t="s">
        <v>303</v>
      </c>
      <c r="G4125" t="s">
        <v>303</v>
      </c>
    </row>
    <row r="4126" spans="1:10" x14ac:dyDescent="0.35">
      <c r="A4126" t="s">
        <v>4507</v>
      </c>
      <c r="B4126" t="s">
        <v>323</v>
      </c>
      <c r="C4126" t="s">
        <v>4503</v>
      </c>
      <c r="D4126" s="30">
        <v>0.41499999999999998</v>
      </c>
      <c r="E4126" t="s">
        <v>317</v>
      </c>
      <c r="F4126" t="s">
        <v>299</v>
      </c>
      <c r="G4126" t="s">
        <v>299</v>
      </c>
      <c r="H4126">
        <v>67</v>
      </c>
      <c r="I4126" s="30">
        <v>3.5300925925925925E-3</v>
      </c>
      <c r="J4126">
        <v>4</v>
      </c>
    </row>
    <row r="4127" spans="1:10" x14ac:dyDescent="0.35">
      <c r="A4127" t="s">
        <v>4508</v>
      </c>
      <c r="B4127" t="s">
        <v>332</v>
      </c>
      <c r="C4127" t="s">
        <v>4503</v>
      </c>
      <c r="D4127" s="30">
        <v>0.41499999999999998</v>
      </c>
      <c r="E4127" t="s">
        <v>298</v>
      </c>
      <c r="F4127" t="s">
        <v>299</v>
      </c>
      <c r="G4127" t="s">
        <v>299</v>
      </c>
      <c r="H4127">
        <v>89</v>
      </c>
      <c r="I4127" s="30">
        <v>4.3981481481481484E-3</v>
      </c>
      <c r="J4127">
        <v>3</v>
      </c>
    </row>
    <row r="4128" spans="1:10" x14ac:dyDescent="0.35">
      <c r="A4128" t="s">
        <v>4509</v>
      </c>
      <c r="B4128" t="s">
        <v>301</v>
      </c>
      <c r="C4128" t="s">
        <v>4503</v>
      </c>
      <c r="D4128" s="30">
        <v>0.42200231481481482</v>
      </c>
      <c r="E4128" t="s">
        <v>309</v>
      </c>
      <c r="F4128" t="s">
        <v>299</v>
      </c>
      <c r="G4128" t="s">
        <v>299</v>
      </c>
      <c r="H4128">
        <v>21</v>
      </c>
      <c r="I4128" s="30">
        <v>4.0046296296296297E-3</v>
      </c>
      <c r="J4128">
        <v>3</v>
      </c>
    </row>
    <row r="4129" spans="1:10" x14ac:dyDescent="0.35">
      <c r="A4129" t="s">
        <v>4510</v>
      </c>
      <c r="B4129" t="s">
        <v>296</v>
      </c>
      <c r="C4129" t="s">
        <v>4503</v>
      </c>
      <c r="D4129" s="30">
        <v>0.42200231481481482</v>
      </c>
      <c r="E4129" t="s">
        <v>298</v>
      </c>
      <c r="F4129" t="s">
        <v>299</v>
      </c>
      <c r="G4129" t="s">
        <v>299</v>
      </c>
      <c r="H4129">
        <v>34</v>
      </c>
      <c r="I4129" s="30">
        <v>7.407407407407407E-4</v>
      </c>
      <c r="J4129">
        <v>4</v>
      </c>
    </row>
    <row r="4130" spans="1:10" x14ac:dyDescent="0.35">
      <c r="A4130" t="s">
        <v>4511</v>
      </c>
      <c r="B4130" t="s">
        <v>296</v>
      </c>
      <c r="C4130" t="s">
        <v>4503</v>
      </c>
      <c r="D4130" s="30">
        <v>0.42299768518518521</v>
      </c>
      <c r="E4130" t="s">
        <v>298</v>
      </c>
      <c r="F4130" t="s">
        <v>299</v>
      </c>
      <c r="G4130" t="s">
        <v>299</v>
      </c>
      <c r="H4130">
        <v>77</v>
      </c>
      <c r="I4130" s="30">
        <v>5.5555555555555556E-4</v>
      </c>
      <c r="J4130">
        <v>2</v>
      </c>
    </row>
    <row r="4131" spans="1:10" x14ac:dyDescent="0.35">
      <c r="A4131" t="s">
        <v>4512</v>
      </c>
      <c r="B4131" t="s">
        <v>296</v>
      </c>
      <c r="C4131" t="s">
        <v>4503</v>
      </c>
      <c r="D4131" s="30">
        <v>0.42299768518518521</v>
      </c>
      <c r="E4131" t="s">
        <v>314</v>
      </c>
      <c r="F4131" t="s">
        <v>299</v>
      </c>
      <c r="G4131" t="s">
        <v>299</v>
      </c>
      <c r="H4131">
        <v>72</v>
      </c>
      <c r="I4131" s="30">
        <v>1.9097222222222222E-3</v>
      </c>
      <c r="J4131">
        <v>1</v>
      </c>
    </row>
    <row r="4132" spans="1:10" x14ac:dyDescent="0.35">
      <c r="A4132" t="s">
        <v>4513</v>
      </c>
      <c r="B4132" t="s">
        <v>319</v>
      </c>
      <c r="C4132" t="s">
        <v>4503</v>
      </c>
      <c r="D4132" s="30">
        <v>0.43900462962962961</v>
      </c>
      <c r="E4132" t="s">
        <v>317</v>
      </c>
      <c r="F4132" t="s">
        <v>299</v>
      </c>
      <c r="G4132" t="s">
        <v>299</v>
      </c>
      <c r="H4132">
        <v>83</v>
      </c>
      <c r="I4132" s="30">
        <v>1.4004629629629629E-3</v>
      </c>
      <c r="J4132">
        <v>3</v>
      </c>
    </row>
    <row r="4133" spans="1:10" x14ac:dyDescent="0.35">
      <c r="A4133" t="s">
        <v>4514</v>
      </c>
      <c r="B4133" t="s">
        <v>316</v>
      </c>
      <c r="C4133" t="s">
        <v>4503</v>
      </c>
      <c r="D4133" s="30">
        <v>0.43900462962962961</v>
      </c>
      <c r="E4133" t="s">
        <v>317</v>
      </c>
      <c r="F4133" t="s">
        <v>299</v>
      </c>
      <c r="G4133" t="s">
        <v>299</v>
      </c>
      <c r="H4133">
        <v>120</v>
      </c>
      <c r="I4133" s="30">
        <v>1.2268518518518518E-3</v>
      </c>
      <c r="J4133">
        <v>3</v>
      </c>
    </row>
    <row r="4134" spans="1:10" x14ac:dyDescent="0.35">
      <c r="A4134" t="s">
        <v>4515</v>
      </c>
      <c r="B4134" t="s">
        <v>296</v>
      </c>
      <c r="C4134" t="s">
        <v>4503</v>
      </c>
      <c r="D4134" s="30">
        <v>0.46500000000000002</v>
      </c>
      <c r="E4134" t="s">
        <v>298</v>
      </c>
      <c r="F4134" t="s">
        <v>299</v>
      </c>
      <c r="G4134" t="s">
        <v>299</v>
      </c>
      <c r="H4134">
        <v>82</v>
      </c>
      <c r="I4134" s="30">
        <v>2.9629629629629628E-3</v>
      </c>
      <c r="J4134">
        <v>5</v>
      </c>
    </row>
    <row r="4135" spans="1:10" x14ac:dyDescent="0.35">
      <c r="A4135" t="s">
        <v>4516</v>
      </c>
      <c r="B4135" t="s">
        <v>323</v>
      </c>
      <c r="C4135" t="s">
        <v>4503</v>
      </c>
      <c r="D4135" s="30">
        <v>0.46500000000000002</v>
      </c>
      <c r="E4135" t="s">
        <v>317</v>
      </c>
      <c r="F4135" t="s">
        <v>299</v>
      </c>
      <c r="G4135" t="s">
        <v>299</v>
      </c>
      <c r="H4135">
        <v>61</v>
      </c>
      <c r="I4135" s="30">
        <v>4.6180555555555558E-3</v>
      </c>
      <c r="J4135">
        <v>5</v>
      </c>
    </row>
    <row r="4136" spans="1:10" x14ac:dyDescent="0.35">
      <c r="A4136" t="s">
        <v>4517</v>
      </c>
      <c r="B4136" t="s">
        <v>316</v>
      </c>
      <c r="C4136" t="s">
        <v>4503</v>
      </c>
      <c r="D4136" s="30">
        <v>0.47599537037037037</v>
      </c>
      <c r="E4136" t="s">
        <v>298</v>
      </c>
      <c r="F4136" t="s">
        <v>299</v>
      </c>
      <c r="G4136" t="s">
        <v>299</v>
      </c>
      <c r="H4136">
        <v>69</v>
      </c>
      <c r="I4136" s="30">
        <v>1.8402777777777777E-3</v>
      </c>
      <c r="J4136">
        <v>2</v>
      </c>
    </row>
    <row r="4137" spans="1:10" x14ac:dyDescent="0.35">
      <c r="A4137" t="s">
        <v>4518</v>
      </c>
      <c r="B4137" t="s">
        <v>316</v>
      </c>
      <c r="C4137" t="s">
        <v>4503</v>
      </c>
      <c r="D4137" s="30">
        <v>0.47599537037037037</v>
      </c>
      <c r="E4137" t="s">
        <v>302</v>
      </c>
      <c r="F4137" t="s">
        <v>299</v>
      </c>
      <c r="G4137" t="s">
        <v>303</v>
      </c>
      <c r="H4137">
        <v>19</v>
      </c>
      <c r="I4137" s="30">
        <v>2.9745370370370373E-3</v>
      </c>
      <c r="J4137">
        <v>4</v>
      </c>
    </row>
    <row r="4138" spans="1:10" x14ac:dyDescent="0.35">
      <c r="A4138" t="s">
        <v>4519</v>
      </c>
      <c r="B4138" t="s">
        <v>296</v>
      </c>
      <c r="C4138" t="s">
        <v>4503</v>
      </c>
      <c r="D4138" s="30">
        <v>0.48400462962962965</v>
      </c>
      <c r="E4138" t="s">
        <v>302</v>
      </c>
      <c r="F4138" t="s">
        <v>299</v>
      </c>
      <c r="G4138" t="s">
        <v>299</v>
      </c>
      <c r="H4138">
        <v>35</v>
      </c>
      <c r="I4138" s="30">
        <v>2.9513888888888888E-3</v>
      </c>
      <c r="J4138">
        <v>2</v>
      </c>
    </row>
    <row r="4139" spans="1:10" x14ac:dyDescent="0.35">
      <c r="A4139" t="s">
        <v>4520</v>
      </c>
      <c r="B4139" t="s">
        <v>316</v>
      </c>
      <c r="C4139" t="s">
        <v>4503</v>
      </c>
      <c r="D4139" s="30">
        <v>0.48400462962962965</v>
      </c>
      <c r="E4139" t="s">
        <v>309</v>
      </c>
      <c r="F4139" t="s">
        <v>303</v>
      </c>
      <c r="G4139" t="s">
        <v>303</v>
      </c>
    </row>
    <row r="4140" spans="1:10" x14ac:dyDescent="0.35">
      <c r="A4140" t="s">
        <v>4521</v>
      </c>
      <c r="B4140" t="s">
        <v>316</v>
      </c>
      <c r="C4140" t="s">
        <v>4503</v>
      </c>
      <c r="D4140" s="30">
        <v>0.495</v>
      </c>
      <c r="E4140" t="s">
        <v>298</v>
      </c>
      <c r="F4140" t="s">
        <v>299</v>
      </c>
      <c r="G4140" t="s">
        <v>299</v>
      </c>
      <c r="H4140">
        <v>11</v>
      </c>
      <c r="I4140" s="30">
        <v>4.4907407407407405E-3</v>
      </c>
      <c r="J4140">
        <v>3</v>
      </c>
    </row>
    <row r="4141" spans="1:10" x14ac:dyDescent="0.35">
      <c r="A4141" t="s">
        <v>4522</v>
      </c>
      <c r="B4141" t="s">
        <v>316</v>
      </c>
      <c r="C4141" t="s">
        <v>4503</v>
      </c>
      <c r="D4141" s="30">
        <v>0.495</v>
      </c>
      <c r="E4141" t="s">
        <v>314</v>
      </c>
      <c r="F4141" t="s">
        <v>299</v>
      </c>
      <c r="G4141" t="s">
        <v>299</v>
      </c>
      <c r="H4141">
        <v>110</v>
      </c>
      <c r="I4141" s="30">
        <v>5.6712962962962967E-4</v>
      </c>
      <c r="J4141">
        <v>3</v>
      </c>
    </row>
    <row r="4142" spans="1:10" x14ac:dyDescent="0.35">
      <c r="A4142" t="s">
        <v>4523</v>
      </c>
      <c r="B4142" t="s">
        <v>332</v>
      </c>
      <c r="C4142" t="s">
        <v>4503</v>
      </c>
      <c r="D4142" s="30">
        <v>0.54200231481481487</v>
      </c>
      <c r="E4142" t="s">
        <v>309</v>
      </c>
      <c r="F4142" t="s">
        <v>299</v>
      </c>
      <c r="G4142" t="s">
        <v>299</v>
      </c>
      <c r="H4142">
        <v>119</v>
      </c>
      <c r="I4142" s="30">
        <v>1.5856481481481481E-3</v>
      </c>
      <c r="J4142">
        <v>1</v>
      </c>
    </row>
    <row r="4143" spans="1:10" x14ac:dyDescent="0.35">
      <c r="A4143" t="s">
        <v>4524</v>
      </c>
      <c r="B4143" t="s">
        <v>316</v>
      </c>
      <c r="C4143" t="s">
        <v>4503</v>
      </c>
      <c r="D4143" s="30">
        <v>0.54200231481481487</v>
      </c>
      <c r="E4143" t="s">
        <v>298</v>
      </c>
      <c r="F4143" t="s">
        <v>299</v>
      </c>
      <c r="G4143" t="s">
        <v>299</v>
      </c>
      <c r="H4143">
        <v>38</v>
      </c>
      <c r="I4143" s="30">
        <v>1.0069444444444444E-3</v>
      </c>
      <c r="J4143">
        <v>4</v>
      </c>
    </row>
    <row r="4144" spans="1:10" x14ac:dyDescent="0.35">
      <c r="A4144" t="s">
        <v>4525</v>
      </c>
      <c r="B4144" t="s">
        <v>319</v>
      </c>
      <c r="C4144" t="s">
        <v>4503</v>
      </c>
      <c r="D4144" s="30">
        <v>0.54799768518518521</v>
      </c>
      <c r="E4144" t="s">
        <v>309</v>
      </c>
      <c r="F4144" t="s">
        <v>299</v>
      </c>
      <c r="G4144" t="s">
        <v>299</v>
      </c>
      <c r="H4144">
        <v>40</v>
      </c>
      <c r="I4144" s="30">
        <v>3.5648148148148149E-3</v>
      </c>
      <c r="J4144">
        <v>4</v>
      </c>
    </row>
    <row r="4145" spans="1:10" x14ac:dyDescent="0.35">
      <c r="A4145" t="s">
        <v>4526</v>
      </c>
      <c r="B4145" t="s">
        <v>332</v>
      </c>
      <c r="C4145" t="s">
        <v>4503</v>
      </c>
      <c r="D4145" s="30">
        <v>0.54799768518518521</v>
      </c>
      <c r="E4145" t="s">
        <v>317</v>
      </c>
      <c r="F4145" t="s">
        <v>299</v>
      </c>
      <c r="G4145" t="s">
        <v>299</v>
      </c>
      <c r="H4145">
        <v>19</v>
      </c>
      <c r="I4145" s="30">
        <v>3.0787037037037037E-3</v>
      </c>
      <c r="J4145">
        <v>5</v>
      </c>
    </row>
    <row r="4146" spans="1:10" x14ac:dyDescent="0.35">
      <c r="A4146" t="s">
        <v>4527</v>
      </c>
      <c r="B4146" t="s">
        <v>332</v>
      </c>
      <c r="C4146" t="s">
        <v>4503</v>
      </c>
      <c r="D4146" s="30">
        <v>0.55299768518518522</v>
      </c>
      <c r="E4146" t="s">
        <v>302</v>
      </c>
      <c r="F4146" t="s">
        <v>303</v>
      </c>
      <c r="G4146" t="s">
        <v>303</v>
      </c>
    </row>
    <row r="4147" spans="1:10" x14ac:dyDescent="0.35">
      <c r="A4147" t="s">
        <v>4528</v>
      </c>
      <c r="B4147" t="s">
        <v>323</v>
      </c>
      <c r="C4147" t="s">
        <v>4503</v>
      </c>
      <c r="D4147" s="30">
        <v>0.55299768518518522</v>
      </c>
      <c r="E4147" t="s">
        <v>309</v>
      </c>
      <c r="F4147" t="s">
        <v>299</v>
      </c>
      <c r="G4147" t="s">
        <v>299</v>
      </c>
      <c r="H4147">
        <v>63</v>
      </c>
      <c r="I4147" s="30">
        <v>3.9930555555555552E-3</v>
      </c>
      <c r="J4147">
        <v>3</v>
      </c>
    </row>
    <row r="4148" spans="1:10" x14ac:dyDescent="0.35">
      <c r="A4148" t="s">
        <v>4529</v>
      </c>
      <c r="B4148" t="s">
        <v>316</v>
      </c>
      <c r="C4148" t="s">
        <v>4503</v>
      </c>
      <c r="D4148" s="30">
        <v>0.5590046296296296</v>
      </c>
      <c r="E4148" t="s">
        <v>302</v>
      </c>
      <c r="F4148" t="s">
        <v>299</v>
      </c>
      <c r="G4148" t="s">
        <v>299</v>
      </c>
      <c r="H4148">
        <v>33</v>
      </c>
      <c r="I4148" s="30">
        <v>2.1990740740740742E-3</v>
      </c>
      <c r="J4148">
        <v>5</v>
      </c>
    </row>
    <row r="4149" spans="1:10" x14ac:dyDescent="0.35">
      <c r="A4149" t="s">
        <v>4530</v>
      </c>
      <c r="B4149" t="s">
        <v>301</v>
      </c>
      <c r="C4149" t="s">
        <v>4503</v>
      </c>
      <c r="D4149" s="30">
        <v>0.5590046296296296</v>
      </c>
      <c r="E4149" t="s">
        <v>302</v>
      </c>
      <c r="F4149" t="s">
        <v>303</v>
      </c>
      <c r="G4149" t="s">
        <v>303</v>
      </c>
    </row>
    <row r="4150" spans="1:10" x14ac:dyDescent="0.35">
      <c r="A4150" t="s">
        <v>4531</v>
      </c>
      <c r="B4150" t="s">
        <v>316</v>
      </c>
      <c r="C4150" t="s">
        <v>4503</v>
      </c>
      <c r="D4150" s="30">
        <v>0.56999999999999995</v>
      </c>
      <c r="E4150" t="s">
        <v>314</v>
      </c>
      <c r="F4150" t="s">
        <v>299</v>
      </c>
      <c r="G4150" t="s">
        <v>303</v>
      </c>
      <c r="H4150">
        <v>26</v>
      </c>
      <c r="I4150" s="30">
        <v>3.5648148148148149E-3</v>
      </c>
      <c r="J4150">
        <v>5</v>
      </c>
    </row>
    <row r="4151" spans="1:10" x14ac:dyDescent="0.35">
      <c r="A4151" t="s">
        <v>4532</v>
      </c>
      <c r="B4151" t="s">
        <v>316</v>
      </c>
      <c r="C4151" t="s">
        <v>4503</v>
      </c>
      <c r="D4151" s="30">
        <v>0.56999999999999995</v>
      </c>
      <c r="E4151" t="s">
        <v>317</v>
      </c>
      <c r="F4151" t="s">
        <v>303</v>
      </c>
      <c r="G4151" t="s">
        <v>303</v>
      </c>
    </row>
    <row r="4152" spans="1:10" x14ac:dyDescent="0.35">
      <c r="A4152" t="s">
        <v>4533</v>
      </c>
      <c r="B4152" t="s">
        <v>296</v>
      </c>
      <c r="C4152" t="s">
        <v>4503</v>
      </c>
      <c r="D4152" s="30">
        <v>0.57400462962962961</v>
      </c>
      <c r="E4152" t="s">
        <v>298</v>
      </c>
      <c r="F4152" t="s">
        <v>303</v>
      </c>
      <c r="G4152" t="s">
        <v>303</v>
      </c>
    </row>
    <row r="4153" spans="1:10" x14ac:dyDescent="0.35">
      <c r="A4153" t="s">
        <v>4534</v>
      </c>
      <c r="B4153" t="s">
        <v>316</v>
      </c>
      <c r="C4153" t="s">
        <v>4503</v>
      </c>
      <c r="D4153" s="30">
        <v>0.57400462962962961</v>
      </c>
      <c r="E4153" t="s">
        <v>314</v>
      </c>
      <c r="F4153" t="s">
        <v>299</v>
      </c>
      <c r="G4153" t="s">
        <v>299</v>
      </c>
      <c r="H4153">
        <v>81</v>
      </c>
      <c r="I4153" s="30">
        <v>2.4421296296296296E-3</v>
      </c>
      <c r="J4153">
        <v>5</v>
      </c>
    </row>
    <row r="4154" spans="1:10" x14ac:dyDescent="0.35">
      <c r="A4154" t="s">
        <v>4535</v>
      </c>
      <c r="B4154" t="s">
        <v>323</v>
      </c>
      <c r="C4154" t="s">
        <v>4503</v>
      </c>
      <c r="D4154" s="30">
        <v>0.58599537037037042</v>
      </c>
      <c r="E4154" t="s">
        <v>302</v>
      </c>
      <c r="F4154" t="s">
        <v>299</v>
      </c>
      <c r="G4154" t="s">
        <v>299</v>
      </c>
      <c r="H4154">
        <v>65</v>
      </c>
      <c r="I4154" s="30">
        <v>4.4907407407407405E-3</v>
      </c>
      <c r="J4154">
        <v>3</v>
      </c>
    </row>
    <row r="4155" spans="1:10" x14ac:dyDescent="0.35">
      <c r="A4155" t="s">
        <v>4536</v>
      </c>
      <c r="B4155" t="s">
        <v>316</v>
      </c>
      <c r="C4155" t="s">
        <v>4503</v>
      </c>
      <c r="D4155" s="30">
        <v>0.58599537037037042</v>
      </c>
      <c r="E4155" t="s">
        <v>314</v>
      </c>
      <c r="F4155" t="s">
        <v>299</v>
      </c>
      <c r="G4155" t="s">
        <v>299</v>
      </c>
      <c r="H4155">
        <v>84</v>
      </c>
      <c r="I4155" s="30">
        <v>2.9398148148148148E-3</v>
      </c>
      <c r="J4155">
        <v>3</v>
      </c>
    </row>
    <row r="4156" spans="1:10" x14ac:dyDescent="0.35">
      <c r="A4156" t="s">
        <v>4537</v>
      </c>
      <c r="B4156" t="s">
        <v>316</v>
      </c>
      <c r="C4156" t="s">
        <v>4503</v>
      </c>
      <c r="D4156" s="30">
        <v>0.60099537037037032</v>
      </c>
      <c r="E4156" t="s">
        <v>314</v>
      </c>
      <c r="F4156" t="s">
        <v>299</v>
      </c>
      <c r="G4156" t="s">
        <v>299</v>
      </c>
      <c r="H4156">
        <v>42</v>
      </c>
      <c r="I4156" s="30">
        <v>3.3796296296296296E-3</v>
      </c>
      <c r="J4156">
        <v>1</v>
      </c>
    </row>
    <row r="4157" spans="1:10" x14ac:dyDescent="0.35">
      <c r="A4157" t="s">
        <v>4538</v>
      </c>
      <c r="B4157" t="s">
        <v>332</v>
      </c>
      <c r="C4157" t="s">
        <v>4503</v>
      </c>
      <c r="D4157" s="30">
        <v>0.60099537037037032</v>
      </c>
      <c r="E4157" t="s">
        <v>314</v>
      </c>
      <c r="F4157" t="s">
        <v>303</v>
      </c>
      <c r="G4157" t="s">
        <v>303</v>
      </c>
    </row>
    <row r="4158" spans="1:10" x14ac:dyDescent="0.35">
      <c r="A4158" t="s">
        <v>4539</v>
      </c>
      <c r="B4158" t="s">
        <v>301</v>
      </c>
      <c r="C4158" t="s">
        <v>4503</v>
      </c>
      <c r="D4158" s="30">
        <v>0.61099537037037033</v>
      </c>
      <c r="E4158" t="s">
        <v>314</v>
      </c>
      <c r="F4158" t="s">
        <v>303</v>
      </c>
      <c r="G4158" t="s">
        <v>303</v>
      </c>
    </row>
    <row r="4159" spans="1:10" x14ac:dyDescent="0.35">
      <c r="A4159" t="s">
        <v>4540</v>
      </c>
      <c r="B4159" t="s">
        <v>323</v>
      </c>
      <c r="C4159" t="s">
        <v>4503</v>
      </c>
      <c r="D4159" s="30">
        <v>0.61099537037037033</v>
      </c>
      <c r="E4159" t="s">
        <v>317</v>
      </c>
      <c r="F4159" t="s">
        <v>299</v>
      </c>
      <c r="G4159" t="s">
        <v>299</v>
      </c>
      <c r="H4159">
        <v>123</v>
      </c>
      <c r="I4159" s="30">
        <v>2.5231481481481481E-3</v>
      </c>
      <c r="J4159">
        <v>2</v>
      </c>
    </row>
    <row r="4160" spans="1:10" x14ac:dyDescent="0.35">
      <c r="A4160" t="s">
        <v>4541</v>
      </c>
      <c r="B4160" t="s">
        <v>307</v>
      </c>
      <c r="C4160" t="s">
        <v>4503</v>
      </c>
      <c r="D4160" s="30">
        <v>0.63700231481481484</v>
      </c>
      <c r="E4160" t="s">
        <v>298</v>
      </c>
      <c r="F4160" t="s">
        <v>299</v>
      </c>
      <c r="G4160" t="s">
        <v>299</v>
      </c>
      <c r="H4160">
        <v>65</v>
      </c>
      <c r="I4160" s="30">
        <v>4.5949074074074078E-3</v>
      </c>
      <c r="J4160">
        <v>4</v>
      </c>
    </row>
    <row r="4161" spans="1:10" x14ac:dyDescent="0.35">
      <c r="A4161" t="s">
        <v>4542</v>
      </c>
      <c r="B4161" t="s">
        <v>296</v>
      </c>
      <c r="C4161" t="s">
        <v>4503</v>
      </c>
      <c r="D4161" s="30">
        <v>0.63700231481481484</v>
      </c>
      <c r="E4161" t="s">
        <v>298</v>
      </c>
      <c r="F4161" t="s">
        <v>299</v>
      </c>
      <c r="G4161" t="s">
        <v>299</v>
      </c>
      <c r="H4161">
        <v>33</v>
      </c>
      <c r="I4161" s="30">
        <v>3.9699074074074072E-3</v>
      </c>
      <c r="J4161">
        <v>5</v>
      </c>
    </row>
    <row r="4162" spans="1:10" x14ac:dyDescent="0.35">
      <c r="A4162" t="s">
        <v>4543</v>
      </c>
      <c r="B4162" t="s">
        <v>296</v>
      </c>
      <c r="C4162" t="s">
        <v>4503</v>
      </c>
      <c r="D4162" s="30">
        <v>0.64400462962962968</v>
      </c>
      <c r="E4162" t="s">
        <v>309</v>
      </c>
      <c r="F4162" t="s">
        <v>299</v>
      </c>
      <c r="G4162" t="s">
        <v>299</v>
      </c>
      <c r="H4162">
        <v>117</v>
      </c>
      <c r="I4162" s="30">
        <v>2.8240740740740739E-3</v>
      </c>
      <c r="J4162">
        <v>3</v>
      </c>
    </row>
    <row r="4163" spans="1:10" x14ac:dyDescent="0.35">
      <c r="A4163" t="s">
        <v>4544</v>
      </c>
      <c r="B4163" t="s">
        <v>296</v>
      </c>
      <c r="C4163" t="s">
        <v>4503</v>
      </c>
      <c r="D4163" s="30">
        <v>0.64400462962962968</v>
      </c>
      <c r="E4163" t="s">
        <v>317</v>
      </c>
      <c r="F4163" t="s">
        <v>299</v>
      </c>
      <c r="G4163" t="s">
        <v>299</v>
      </c>
      <c r="H4163">
        <v>122</v>
      </c>
      <c r="I4163" s="30">
        <v>1.1111111111111111E-3</v>
      </c>
      <c r="J4163">
        <v>3</v>
      </c>
    </row>
    <row r="4164" spans="1:10" x14ac:dyDescent="0.35">
      <c r="A4164" t="s">
        <v>4545</v>
      </c>
      <c r="B4164" t="s">
        <v>316</v>
      </c>
      <c r="C4164" t="s">
        <v>4503</v>
      </c>
      <c r="D4164" s="30">
        <v>0.65500000000000003</v>
      </c>
      <c r="E4164" t="s">
        <v>302</v>
      </c>
      <c r="F4164" t="s">
        <v>299</v>
      </c>
      <c r="G4164" t="s">
        <v>299</v>
      </c>
      <c r="H4164">
        <v>21</v>
      </c>
      <c r="I4164" s="30">
        <v>3.7615740740740739E-3</v>
      </c>
      <c r="J4164">
        <v>4</v>
      </c>
    </row>
    <row r="4165" spans="1:10" x14ac:dyDescent="0.35">
      <c r="A4165" t="s">
        <v>4546</v>
      </c>
      <c r="B4165" t="s">
        <v>332</v>
      </c>
      <c r="C4165" t="s">
        <v>4503</v>
      </c>
      <c r="D4165" s="30">
        <v>0.65500000000000003</v>
      </c>
      <c r="E4165" t="s">
        <v>317</v>
      </c>
      <c r="F4165" t="s">
        <v>299</v>
      </c>
      <c r="G4165" t="s">
        <v>303</v>
      </c>
      <c r="H4165">
        <v>48</v>
      </c>
      <c r="I4165" s="30">
        <v>2.9629629629629628E-3</v>
      </c>
      <c r="J4165">
        <v>4</v>
      </c>
    </row>
    <row r="4166" spans="1:10" x14ac:dyDescent="0.35">
      <c r="A4166" t="s">
        <v>4547</v>
      </c>
      <c r="B4166" t="s">
        <v>307</v>
      </c>
      <c r="C4166" t="s">
        <v>4503</v>
      </c>
      <c r="D4166" s="30">
        <v>0.69200231481481478</v>
      </c>
      <c r="E4166" t="s">
        <v>298</v>
      </c>
      <c r="F4166" t="s">
        <v>303</v>
      </c>
      <c r="G4166" t="s">
        <v>303</v>
      </c>
    </row>
    <row r="4167" spans="1:10" x14ac:dyDescent="0.35">
      <c r="A4167" t="s">
        <v>4548</v>
      </c>
      <c r="B4167" t="s">
        <v>296</v>
      </c>
      <c r="C4167" t="s">
        <v>4503</v>
      </c>
      <c r="D4167" s="30">
        <v>0.69200231481481478</v>
      </c>
      <c r="E4167" t="s">
        <v>302</v>
      </c>
      <c r="F4167" t="s">
        <v>299</v>
      </c>
      <c r="G4167" t="s">
        <v>299</v>
      </c>
      <c r="H4167">
        <v>98</v>
      </c>
      <c r="I4167" s="30">
        <v>2.0486111111111113E-3</v>
      </c>
      <c r="J4167">
        <v>1</v>
      </c>
    </row>
    <row r="4168" spans="1:10" x14ac:dyDescent="0.35">
      <c r="A4168" t="s">
        <v>4549</v>
      </c>
      <c r="B4168" t="s">
        <v>332</v>
      </c>
      <c r="C4168" t="s">
        <v>4503</v>
      </c>
      <c r="D4168" s="30">
        <v>0.69200231481481478</v>
      </c>
      <c r="E4168" t="s">
        <v>317</v>
      </c>
      <c r="F4168" t="s">
        <v>299</v>
      </c>
      <c r="G4168" t="s">
        <v>299</v>
      </c>
      <c r="H4168">
        <v>95</v>
      </c>
      <c r="I4168" s="30">
        <v>1.7476851851851852E-3</v>
      </c>
      <c r="J4168">
        <v>4</v>
      </c>
    </row>
    <row r="4169" spans="1:10" x14ac:dyDescent="0.35">
      <c r="A4169" t="s">
        <v>4550</v>
      </c>
      <c r="B4169" t="s">
        <v>332</v>
      </c>
      <c r="C4169" t="s">
        <v>4503</v>
      </c>
      <c r="D4169" s="30">
        <v>0.69200231481481478</v>
      </c>
      <c r="E4169" t="s">
        <v>298</v>
      </c>
      <c r="F4169" t="s">
        <v>299</v>
      </c>
      <c r="G4169" t="s">
        <v>299</v>
      </c>
      <c r="H4169">
        <v>28</v>
      </c>
      <c r="I4169" s="30">
        <v>4.7222222222222223E-3</v>
      </c>
      <c r="J4169">
        <v>3</v>
      </c>
    </row>
    <row r="4170" spans="1:10" x14ac:dyDescent="0.35">
      <c r="A4170" t="s">
        <v>4551</v>
      </c>
      <c r="B4170" t="s">
        <v>319</v>
      </c>
      <c r="C4170" t="s">
        <v>4503</v>
      </c>
      <c r="D4170" s="30">
        <v>0.74799768518518517</v>
      </c>
      <c r="E4170" t="s">
        <v>314</v>
      </c>
      <c r="F4170" t="s">
        <v>303</v>
      </c>
      <c r="G4170" t="s">
        <v>303</v>
      </c>
    </row>
    <row r="4171" spans="1:10" x14ac:dyDescent="0.35">
      <c r="A4171" t="s">
        <v>4552</v>
      </c>
      <c r="B4171" t="s">
        <v>332</v>
      </c>
      <c r="C4171" t="s">
        <v>4503</v>
      </c>
      <c r="D4171" s="30">
        <v>0.74799768518518517</v>
      </c>
      <c r="E4171" t="s">
        <v>317</v>
      </c>
      <c r="F4171" t="s">
        <v>303</v>
      </c>
      <c r="G4171" t="s">
        <v>303</v>
      </c>
    </row>
    <row r="4172" spans="1:10" x14ac:dyDescent="0.35">
      <c r="A4172" t="s">
        <v>4553</v>
      </c>
      <c r="B4172" t="s">
        <v>332</v>
      </c>
      <c r="C4172" t="s">
        <v>4554</v>
      </c>
      <c r="D4172" s="30">
        <v>0.38099537037037035</v>
      </c>
      <c r="E4172" t="s">
        <v>314</v>
      </c>
      <c r="F4172" t="s">
        <v>303</v>
      </c>
      <c r="G4172" t="s">
        <v>303</v>
      </c>
    </row>
    <row r="4173" spans="1:10" x14ac:dyDescent="0.35">
      <c r="A4173" t="s">
        <v>4555</v>
      </c>
      <c r="B4173" t="s">
        <v>307</v>
      </c>
      <c r="C4173" t="s">
        <v>4554</v>
      </c>
      <c r="D4173" s="30">
        <v>0.38099537037037035</v>
      </c>
      <c r="E4173" t="s">
        <v>317</v>
      </c>
      <c r="F4173" t="s">
        <v>299</v>
      </c>
      <c r="G4173" t="s">
        <v>299</v>
      </c>
      <c r="H4173">
        <v>40</v>
      </c>
      <c r="I4173" s="30">
        <v>3.3796296296296296E-3</v>
      </c>
      <c r="J4173">
        <v>3</v>
      </c>
    </row>
    <row r="4174" spans="1:10" x14ac:dyDescent="0.35">
      <c r="A4174" t="s">
        <v>4556</v>
      </c>
      <c r="B4174" t="s">
        <v>323</v>
      </c>
      <c r="C4174" t="s">
        <v>4554</v>
      </c>
      <c r="D4174" s="30">
        <v>0.39599537037037036</v>
      </c>
      <c r="E4174" t="s">
        <v>317</v>
      </c>
      <c r="F4174" t="s">
        <v>299</v>
      </c>
      <c r="G4174" t="s">
        <v>299</v>
      </c>
      <c r="H4174">
        <v>13</v>
      </c>
      <c r="I4174" s="30">
        <v>2.5810185185185185E-3</v>
      </c>
      <c r="J4174">
        <v>2</v>
      </c>
    </row>
    <row r="4175" spans="1:10" x14ac:dyDescent="0.35">
      <c r="A4175" t="s">
        <v>4557</v>
      </c>
      <c r="B4175" t="s">
        <v>301</v>
      </c>
      <c r="C4175" t="s">
        <v>4554</v>
      </c>
      <c r="D4175" s="30">
        <v>0.39599537037037036</v>
      </c>
      <c r="E4175" t="s">
        <v>317</v>
      </c>
      <c r="F4175" t="s">
        <v>299</v>
      </c>
      <c r="G4175" t="s">
        <v>299</v>
      </c>
      <c r="H4175">
        <v>71</v>
      </c>
      <c r="I4175" s="30">
        <v>9.1435185185185185E-4</v>
      </c>
      <c r="J4175">
        <v>5</v>
      </c>
    </row>
    <row r="4176" spans="1:10" x14ac:dyDescent="0.35">
      <c r="A4176" t="s">
        <v>4558</v>
      </c>
      <c r="B4176" t="s">
        <v>323</v>
      </c>
      <c r="C4176" t="s">
        <v>4554</v>
      </c>
      <c r="D4176" s="30">
        <v>0.40599537037037037</v>
      </c>
      <c r="E4176" t="s">
        <v>302</v>
      </c>
      <c r="F4176" t="s">
        <v>299</v>
      </c>
      <c r="G4176" t="s">
        <v>299</v>
      </c>
      <c r="H4176">
        <v>106</v>
      </c>
      <c r="I4176" s="30">
        <v>5.3240740740740744E-4</v>
      </c>
      <c r="J4176">
        <v>4</v>
      </c>
    </row>
    <row r="4177" spans="1:10" x14ac:dyDescent="0.35">
      <c r="A4177" t="s">
        <v>4559</v>
      </c>
      <c r="B4177" t="s">
        <v>332</v>
      </c>
      <c r="C4177" t="s">
        <v>4554</v>
      </c>
      <c r="D4177" s="30">
        <v>0.40599537037037037</v>
      </c>
      <c r="E4177" t="s">
        <v>317</v>
      </c>
      <c r="F4177" t="s">
        <v>299</v>
      </c>
      <c r="G4177" t="s">
        <v>303</v>
      </c>
      <c r="H4177">
        <v>94</v>
      </c>
      <c r="I4177" s="30">
        <v>2.4421296296296296E-3</v>
      </c>
      <c r="J4177">
        <v>4</v>
      </c>
    </row>
    <row r="4178" spans="1:10" x14ac:dyDescent="0.35">
      <c r="A4178" t="s">
        <v>4560</v>
      </c>
      <c r="B4178" t="s">
        <v>307</v>
      </c>
      <c r="C4178" t="s">
        <v>4554</v>
      </c>
      <c r="D4178" s="30">
        <v>0.41700231481481481</v>
      </c>
      <c r="E4178" t="s">
        <v>309</v>
      </c>
      <c r="F4178" t="s">
        <v>299</v>
      </c>
      <c r="G4178" t="s">
        <v>299</v>
      </c>
      <c r="H4178">
        <v>74</v>
      </c>
      <c r="I4178" s="30">
        <v>2.7662037037037039E-3</v>
      </c>
      <c r="J4178">
        <v>5</v>
      </c>
    </row>
    <row r="4179" spans="1:10" x14ac:dyDescent="0.35">
      <c r="A4179" t="s">
        <v>4561</v>
      </c>
      <c r="B4179" t="s">
        <v>332</v>
      </c>
      <c r="C4179" t="s">
        <v>4554</v>
      </c>
      <c r="D4179" s="30">
        <v>0.41700231481481481</v>
      </c>
      <c r="E4179" t="s">
        <v>298</v>
      </c>
      <c r="F4179" t="s">
        <v>299</v>
      </c>
      <c r="G4179" t="s">
        <v>299</v>
      </c>
      <c r="H4179">
        <v>34</v>
      </c>
      <c r="I4179" s="30">
        <v>4.3981481481481481E-4</v>
      </c>
      <c r="J4179">
        <v>4</v>
      </c>
    </row>
    <row r="4180" spans="1:10" x14ac:dyDescent="0.35">
      <c r="A4180" t="s">
        <v>4562</v>
      </c>
      <c r="B4180" t="s">
        <v>316</v>
      </c>
      <c r="C4180" t="s">
        <v>4554</v>
      </c>
      <c r="D4180" s="30">
        <v>0.42299768518518521</v>
      </c>
      <c r="E4180" t="s">
        <v>314</v>
      </c>
      <c r="F4180" t="s">
        <v>299</v>
      </c>
      <c r="G4180" t="s">
        <v>299</v>
      </c>
      <c r="H4180">
        <v>38</v>
      </c>
      <c r="I4180" s="30">
        <v>1.4583333333333334E-3</v>
      </c>
      <c r="J4180">
        <v>2</v>
      </c>
    </row>
    <row r="4181" spans="1:10" x14ac:dyDescent="0.35">
      <c r="A4181" t="s">
        <v>4563</v>
      </c>
      <c r="B4181" t="s">
        <v>316</v>
      </c>
      <c r="C4181" t="s">
        <v>4554</v>
      </c>
      <c r="D4181" s="30">
        <v>0.42299768518518521</v>
      </c>
      <c r="E4181" t="s">
        <v>302</v>
      </c>
      <c r="F4181" t="s">
        <v>299</v>
      </c>
      <c r="G4181" t="s">
        <v>299</v>
      </c>
      <c r="H4181">
        <v>31</v>
      </c>
      <c r="I4181" s="30">
        <v>2.0023148148148148E-3</v>
      </c>
      <c r="J4181">
        <v>4</v>
      </c>
    </row>
    <row r="4182" spans="1:10" x14ac:dyDescent="0.35">
      <c r="A4182" t="s">
        <v>4564</v>
      </c>
      <c r="B4182" t="s">
        <v>323</v>
      </c>
      <c r="C4182" t="s">
        <v>4554</v>
      </c>
      <c r="D4182" s="30">
        <v>0.42599537037037039</v>
      </c>
      <c r="E4182" t="s">
        <v>298</v>
      </c>
      <c r="F4182" t="s">
        <v>299</v>
      </c>
      <c r="G4182" t="s">
        <v>299</v>
      </c>
      <c r="H4182">
        <v>13</v>
      </c>
      <c r="I4182" s="30">
        <v>2.1412037037037038E-3</v>
      </c>
      <c r="J4182">
        <v>3</v>
      </c>
    </row>
    <row r="4183" spans="1:10" x14ac:dyDescent="0.35">
      <c r="A4183" t="s">
        <v>4565</v>
      </c>
      <c r="B4183" t="s">
        <v>305</v>
      </c>
      <c r="C4183" t="s">
        <v>4554</v>
      </c>
      <c r="D4183" s="30">
        <v>0.42599537037037039</v>
      </c>
      <c r="E4183" t="s">
        <v>302</v>
      </c>
      <c r="F4183" t="s">
        <v>299</v>
      </c>
      <c r="G4183" t="s">
        <v>299</v>
      </c>
      <c r="H4183">
        <v>79</v>
      </c>
      <c r="I4183" s="30">
        <v>1.25E-3</v>
      </c>
      <c r="J4183">
        <v>3</v>
      </c>
    </row>
    <row r="4184" spans="1:10" x14ac:dyDescent="0.35">
      <c r="A4184" t="s">
        <v>4566</v>
      </c>
      <c r="B4184" t="s">
        <v>305</v>
      </c>
      <c r="C4184" t="s">
        <v>4554</v>
      </c>
      <c r="D4184" s="30">
        <v>0.46299768518518519</v>
      </c>
      <c r="E4184" t="s">
        <v>298</v>
      </c>
      <c r="F4184" t="s">
        <v>299</v>
      </c>
      <c r="G4184" t="s">
        <v>299</v>
      </c>
      <c r="H4184">
        <v>49</v>
      </c>
      <c r="I4184" s="30">
        <v>3.472222222222222E-3</v>
      </c>
      <c r="J4184">
        <v>2</v>
      </c>
    </row>
    <row r="4185" spans="1:10" x14ac:dyDescent="0.35">
      <c r="A4185" t="s">
        <v>4567</v>
      </c>
      <c r="B4185" t="s">
        <v>305</v>
      </c>
      <c r="C4185" t="s">
        <v>4554</v>
      </c>
      <c r="D4185" s="30">
        <v>0.46299768518518519</v>
      </c>
      <c r="E4185" t="s">
        <v>302</v>
      </c>
      <c r="F4185" t="s">
        <v>299</v>
      </c>
      <c r="G4185" t="s">
        <v>299</v>
      </c>
      <c r="H4185">
        <v>89</v>
      </c>
      <c r="I4185" s="30">
        <v>2.7662037037037039E-3</v>
      </c>
      <c r="J4185">
        <v>1</v>
      </c>
    </row>
    <row r="4186" spans="1:10" x14ac:dyDescent="0.35">
      <c r="A4186" t="s">
        <v>4568</v>
      </c>
      <c r="B4186" t="s">
        <v>316</v>
      </c>
      <c r="C4186" t="s">
        <v>4554</v>
      </c>
      <c r="D4186" s="30">
        <v>0.46500000000000002</v>
      </c>
      <c r="E4186" t="s">
        <v>317</v>
      </c>
      <c r="F4186" t="s">
        <v>299</v>
      </c>
      <c r="G4186" t="s">
        <v>299</v>
      </c>
      <c r="H4186">
        <v>37</v>
      </c>
      <c r="I4186" s="30">
        <v>3.4375E-3</v>
      </c>
      <c r="J4186">
        <v>5</v>
      </c>
    </row>
    <row r="4187" spans="1:10" x14ac:dyDescent="0.35">
      <c r="A4187" t="s">
        <v>4569</v>
      </c>
      <c r="B4187" t="s">
        <v>301</v>
      </c>
      <c r="C4187" t="s">
        <v>4554</v>
      </c>
      <c r="D4187" s="30">
        <v>0.46500000000000002</v>
      </c>
      <c r="E4187" t="s">
        <v>317</v>
      </c>
      <c r="F4187" t="s">
        <v>303</v>
      </c>
      <c r="G4187" t="s">
        <v>303</v>
      </c>
    </row>
    <row r="4188" spans="1:10" x14ac:dyDescent="0.35">
      <c r="A4188" t="s">
        <v>4570</v>
      </c>
      <c r="B4188" t="s">
        <v>316</v>
      </c>
      <c r="C4188" t="s">
        <v>4554</v>
      </c>
      <c r="D4188" s="30">
        <v>0.4990046296296296</v>
      </c>
      <c r="E4188" t="s">
        <v>298</v>
      </c>
      <c r="F4188" t="s">
        <v>303</v>
      </c>
      <c r="G4188" t="s">
        <v>303</v>
      </c>
    </row>
    <row r="4189" spans="1:10" x14ac:dyDescent="0.35">
      <c r="A4189" t="s">
        <v>4571</v>
      </c>
      <c r="B4189" t="s">
        <v>296</v>
      </c>
      <c r="C4189" t="s">
        <v>4554</v>
      </c>
      <c r="D4189" s="30">
        <v>0.4990046296296296</v>
      </c>
      <c r="E4189" t="s">
        <v>314</v>
      </c>
      <c r="F4189" t="s">
        <v>299</v>
      </c>
      <c r="G4189" t="s">
        <v>299</v>
      </c>
      <c r="H4189">
        <v>51</v>
      </c>
      <c r="I4189" s="30">
        <v>1.6435185185185185E-3</v>
      </c>
      <c r="J4189">
        <v>3</v>
      </c>
    </row>
    <row r="4190" spans="1:10" x14ac:dyDescent="0.35">
      <c r="A4190" t="s">
        <v>4572</v>
      </c>
      <c r="B4190" t="s">
        <v>307</v>
      </c>
      <c r="C4190" t="s">
        <v>4554</v>
      </c>
      <c r="D4190" s="30">
        <v>0.50700231481481484</v>
      </c>
      <c r="E4190" t="s">
        <v>309</v>
      </c>
      <c r="F4190" t="s">
        <v>299</v>
      </c>
      <c r="G4190" t="s">
        <v>299</v>
      </c>
      <c r="H4190">
        <v>49</v>
      </c>
      <c r="I4190" s="30">
        <v>1.5162037037037036E-3</v>
      </c>
      <c r="J4190">
        <v>1</v>
      </c>
    </row>
    <row r="4191" spans="1:10" x14ac:dyDescent="0.35">
      <c r="A4191" t="s">
        <v>4573</v>
      </c>
      <c r="B4191" t="s">
        <v>316</v>
      </c>
      <c r="C4191" t="s">
        <v>4554</v>
      </c>
      <c r="D4191" s="30">
        <v>0.50700231481481484</v>
      </c>
      <c r="E4191" t="s">
        <v>309</v>
      </c>
      <c r="F4191" t="s">
        <v>303</v>
      </c>
      <c r="G4191" t="s">
        <v>303</v>
      </c>
    </row>
    <row r="4192" spans="1:10" x14ac:dyDescent="0.35">
      <c r="A4192" t="s">
        <v>4574</v>
      </c>
      <c r="B4192" t="s">
        <v>301</v>
      </c>
      <c r="C4192" t="s">
        <v>4554</v>
      </c>
      <c r="D4192" s="30">
        <v>0.52</v>
      </c>
      <c r="E4192" t="s">
        <v>314</v>
      </c>
      <c r="F4192" t="s">
        <v>299</v>
      </c>
      <c r="G4192" t="s">
        <v>299</v>
      </c>
      <c r="H4192">
        <v>14</v>
      </c>
      <c r="I4192" s="30">
        <v>3.9814814814814817E-3</v>
      </c>
      <c r="J4192">
        <v>4</v>
      </c>
    </row>
    <row r="4193" spans="1:10" x14ac:dyDescent="0.35">
      <c r="A4193" t="s">
        <v>4575</v>
      </c>
      <c r="B4193" t="s">
        <v>319</v>
      </c>
      <c r="C4193" t="s">
        <v>4554</v>
      </c>
      <c r="D4193" s="30">
        <v>0.52</v>
      </c>
      <c r="E4193" t="s">
        <v>309</v>
      </c>
      <c r="F4193" t="s">
        <v>299</v>
      </c>
      <c r="G4193" t="s">
        <v>299</v>
      </c>
      <c r="H4193">
        <v>91</v>
      </c>
      <c r="I4193" s="30">
        <v>3.3217592592592591E-3</v>
      </c>
      <c r="J4193">
        <v>3</v>
      </c>
    </row>
    <row r="4194" spans="1:10" x14ac:dyDescent="0.35">
      <c r="A4194" t="s">
        <v>4576</v>
      </c>
      <c r="B4194" t="s">
        <v>301</v>
      </c>
      <c r="C4194" t="s">
        <v>4554</v>
      </c>
      <c r="D4194" s="30">
        <v>0.54700231481481476</v>
      </c>
      <c r="E4194" t="s">
        <v>298</v>
      </c>
      <c r="F4194" t="s">
        <v>303</v>
      </c>
      <c r="G4194" t="s">
        <v>303</v>
      </c>
    </row>
    <row r="4195" spans="1:10" x14ac:dyDescent="0.35">
      <c r="A4195" t="s">
        <v>4577</v>
      </c>
      <c r="B4195" t="s">
        <v>307</v>
      </c>
      <c r="C4195" t="s">
        <v>4554</v>
      </c>
      <c r="D4195" s="30">
        <v>0.54700231481481476</v>
      </c>
      <c r="E4195" t="s">
        <v>314</v>
      </c>
      <c r="F4195" t="s">
        <v>299</v>
      </c>
      <c r="G4195" t="s">
        <v>299</v>
      </c>
      <c r="H4195">
        <v>111</v>
      </c>
      <c r="I4195" s="30">
        <v>2.1759259259259258E-3</v>
      </c>
      <c r="J4195">
        <v>3</v>
      </c>
    </row>
    <row r="4196" spans="1:10" x14ac:dyDescent="0.35">
      <c r="A4196" t="s">
        <v>4578</v>
      </c>
      <c r="B4196" t="s">
        <v>323</v>
      </c>
      <c r="C4196" t="s">
        <v>4554</v>
      </c>
      <c r="D4196" s="30">
        <v>0.56499999999999995</v>
      </c>
      <c r="E4196" t="s">
        <v>298</v>
      </c>
      <c r="F4196" t="s">
        <v>299</v>
      </c>
      <c r="G4196" t="s">
        <v>299</v>
      </c>
      <c r="H4196">
        <v>80</v>
      </c>
      <c r="I4196" s="30">
        <v>3.3101851851851851E-3</v>
      </c>
      <c r="J4196">
        <v>5</v>
      </c>
    </row>
    <row r="4197" spans="1:10" x14ac:dyDescent="0.35">
      <c r="A4197" t="s">
        <v>4579</v>
      </c>
      <c r="B4197" t="s">
        <v>332</v>
      </c>
      <c r="C4197" t="s">
        <v>4554</v>
      </c>
      <c r="D4197" s="30">
        <v>0.56499999999999995</v>
      </c>
      <c r="E4197" t="s">
        <v>314</v>
      </c>
      <c r="F4197" t="s">
        <v>299</v>
      </c>
      <c r="G4197" t="s">
        <v>299</v>
      </c>
      <c r="H4197">
        <v>119</v>
      </c>
      <c r="I4197" s="30">
        <v>1.3194444444444445E-3</v>
      </c>
      <c r="J4197">
        <v>3</v>
      </c>
    </row>
    <row r="4198" spans="1:10" x14ac:dyDescent="0.35">
      <c r="A4198" t="s">
        <v>4580</v>
      </c>
      <c r="B4198" t="s">
        <v>316</v>
      </c>
      <c r="C4198" t="s">
        <v>4554</v>
      </c>
      <c r="D4198" s="30">
        <v>0.57799768518518524</v>
      </c>
      <c r="E4198" t="s">
        <v>298</v>
      </c>
      <c r="F4198" t="s">
        <v>299</v>
      </c>
      <c r="G4198" t="s">
        <v>299</v>
      </c>
      <c r="H4198">
        <v>68</v>
      </c>
      <c r="I4198" s="30">
        <v>2.2800925925925927E-3</v>
      </c>
      <c r="J4198">
        <v>3</v>
      </c>
    </row>
    <row r="4199" spans="1:10" x14ac:dyDescent="0.35">
      <c r="A4199" t="s">
        <v>4581</v>
      </c>
      <c r="B4199" t="s">
        <v>305</v>
      </c>
      <c r="C4199" t="s">
        <v>4554</v>
      </c>
      <c r="D4199" s="30">
        <v>0.57799768518518524</v>
      </c>
      <c r="E4199" t="s">
        <v>309</v>
      </c>
      <c r="F4199" t="s">
        <v>303</v>
      </c>
      <c r="G4199" t="s">
        <v>303</v>
      </c>
    </row>
    <row r="4200" spans="1:10" x14ac:dyDescent="0.35">
      <c r="A4200" t="s">
        <v>4582</v>
      </c>
      <c r="B4200" t="s">
        <v>316</v>
      </c>
      <c r="C4200" t="s">
        <v>4554</v>
      </c>
      <c r="D4200" s="30">
        <v>0.59</v>
      </c>
      <c r="E4200" t="s">
        <v>298</v>
      </c>
      <c r="F4200" t="s">
        <v>299</v>
      </c>
      <c r="G4200" t="s">
        <v>299</v>
      </c>
      <c r="H4200">
        <v>109</v>
      </c>
      <c r="I4200" s="30">
        <v>1.6782407407407408E-3</v>
      </c>
      <c r="J4200">
        <v>3</v>
      </c>
    </row>
    <row r="4201" spans="1:10" x14ac:dyDescent="0.35">
      <c r="A4201" t="s">
        <v>4583</v>
      </c>
      <c r="B4201" t="s">
        <v>305</v>
      </c>
      <c r="C4201" t="s">
        <v>4554</v>
      </c>
      <c r="D4201" s="30">
        <v>0.59</v>
      </c>
      <c r="E4201" t="s">
        <v>317</v>
      </c>
      <c r="F4201" t="s">
        <v>299</v>
      </c>
      <c r="G4201" t="s">
        <v>299</v>
      </c>
      <c r="H4201">
        <v>24</v>
      </c>
      <c r="I4201" s="30">
        <v>4.8148148148148152E-3</v>
      </c>
      <c r="J4201">
        <v>4</v>
      </c>
    </row>
    <row r="4202" spans="1:10" x14ac:dyDescent="0.35">
      <c r="A4202" t="s">
        <v>4584</v>
      </c>
      <c r="B4202" t="s">
        <v>296</v>
      </c>
      <c r="C4202" t="s">
        <v>4554</v>
      </c>
      <c r="D4202" s="30">
        <v>0.60200231481481481</v>
      </c>
      <c r="E4202" t="s">
        <v>302</v>
      </c>
      <c r="F4202" t="s">
        <v>299</v>
      </c>
      <c r="G4202" t="s">
        <v>299</v>
      </c>
      <c r="H4202">
        <v>55</v>
      </c>
      <c r="I4202" s="30">
        <v>1.6782407407407408E-3</v>
      </c>
      <c r="J4202">
        <v>5</v>
      </c>
    </row>
    <row r="4203" spans="1:10" x14ac:dyDescent="0.35">
      <c r="A4203" t="s">
        <v>4585</v>
      </c>
      <c r="B4203" t="s">
        <v>332</v>
      </c>
      <c r="C4203" t="s">
        <v>4554</v>
      </c>
      <c r="D4203" s="30">
        <v>0.60200231481481481</v>
      </c>
      <c r="E4203" t="s">
        <v>314</v>
      </c>
      <c r="F4203" t="s">
        <v>299</v>
      </c>
      <c r="G4203" t="s">
        <v>299</v>
      </c>
      <c r="H4203">
        <v>92</v>
      </c>
      <c r="I4203" s="30">
        <v>2.9398148148148148E-3</v>
      </c>
      <c r="J4203">
        <v>5</v>
      </c>
    </row>
    <row r="4204" spans="1:10" x14ac:dyDescent="0.35">
      <c r="A4204" t="s">
        <v>4586</v>
      </c>
      <c r="B4204" t="s">
        <v>323</v>
      </c>
      <c r="C4204" t="s">
        <v>4554</v>
      </c>
      <c r="D4204" s="30">
        <v>0.66099537037037037</v>
      </c>
      <c r="E4204" t="s">
        <v>302</v>
      </c>
      <c r="F4204" t="s">
        <v>299</v>
      </c>
      <c r="G4204" t="s">
        <v>299</v>
      </c>
      <c r="H4204">
        <v>106</v>
      </c>
      <c r="I4204" s="30">
        <v>2.3379629629629631E-3</v>
      </c>
      <c r="J4204">
        <v>3</v>
      </c>
    </row>
    <row r="4205" spans="1:10" x14ac:dyDescent="0.35">
      <c r="A4205" t="s">
        <v>4587</v>
      </c>
      <c r="B4205" t="s">
        <v>296</v>
      </c>
      <c r="C4205" t="s">
        <v>4554</v>
      </c>
      <c r="D4205" s="30">
        <v>0.66099537037037037</v>
      </c>
      <c r="E4205" t="s">
        <v>314</v>
      </c>
      <c r="F4205" t="s">
        <v>299</v>
      </c>
      <c r="G4205" t="s">
        <v>299</v>
      </c>
      <c r="H4205">
        <v>28</v>
      </c>
      <c r="I4205" s="30">
        <v>9.837962962962962E-4</v>
      </c>
      <c r="J4205">
        <v>3</v>
      </c>
    </row>
    <row r="4206" spans="1:10" x14ac:dyDescent="0.35">
      <c r="A4206" t="s">
        <v>4588</v>
      </c>
      <c r="B4206" t="s">
        <v>301</v>
      </c>
      <c r="C4206" t="s">
        <v>4554</v>
      </c>
      <c r="D4206" s="30">
        <v>0.67</v>
      </c>
      <c r="E4206" t="s">
        <v>309</v>
      </c>
      <c r="F4206" t="s">
        <v>299</v>
      </c>
      <c r="G4206" t="s">
        <v>299</v>
      </c>
      <c r="H4206">
        <v>28</v>
      </c>
      <c r="I4206" s="30">
        <v>1.7592592592592592E-3</v>
      </c>
      <c r="J4206">
        <v>5</v>
      </c>
    </row>
    <row r="4207" spans="1:10" x14ac:dyDescent="0.35">
      <c r="A4207" t="s">
        <v>4589</v>
      </c>
      <c r="B4207" t="s">
        <v>332</v>
      </c>
      <c r="C4207" t="s">
        <v>4554</v>
      </c>
      <c r="D4207" s="30">
        <v>0.67</v>
      </c>
      <c r="E4207" t="s">
        <v>298</v>
      </c>
      <c r="F4207" t="s">
        <v>299</v>
      </c>
      <c r="G4207" t="s">
        <v>303</v>
      </c>
      <c r="H4207">
        <v>40</v>
      </c>
      <c r="I4207" s="30">
        <v>4.1319444444444442E-3</v>
      </c>
      <c r="J4207">
        <v>2</v>
      </c>
    </row>
    <row r="4208" spans="1:10" x14ac:dyDescent="0.35">
      <c r="A4208" t="s">
        <v>4590</v>
      </c>
      <c r="B4208" t="s">
        <v>307</v>
      </c>
      <c r="C4208" t="s">
        <v>4554</v>
      </c>
      <c r="D4208" s="30">
        <v>0.68599537037037039</v>
      </c>
      <c r="E4208" t="s">
        <v>302</v>
      </c>
      <c r="F4208" t="s">
        <v>299</v>
      </c>
      <c r="G4208" t="s">
        <v>299</v>
      </c>
      <c r="H4208">
        <v>12</v>
      </c>
      <c r="I4208" s="30">
        <v>4.6874999999999998E-3</v>
      </c>
      <c r="J4208">
        <v>5</v>
      </c>
    </row>
    <row r="4209" spans="1:10" x14ac:dyDescent="0.35">
      <c r="A4209" t="s">
        <v>4591</v>
      </c>
      <c r="B4209" t="s">
        <v>319</v>
      </c>
      <c r="C4209" t="s">
        <v>4554</v>
      </c>
      <c r="D4209" s="30">
        <v>0.68599537037037039</v>
      </c>
      <c r="E4209" t="s">
        <v>317</v>
      </c>
      <c r="F4209" t="s">
        <v>299</v>
      </c>
      <c r="G4209" t="s">
        <v>299</v>
      </c>
      <c r="H4209">
        <v>61</v>
      </c>
      <c r="I4209" s="30">
        <v>1.724537037037037E-3</v>
      </c>
      <c r="J4209">
        <v>5</v>
      </c>
    </row>
    <row r="4210" spans="1:10" x14ac:dyDescent="0.35">
      <c r="A4210" t="s">
        <v>4592</v>
      </c>
      <c r="B4210" t="s">
        <v>301</v>
      </c>
      <c r="C4210" t="s">
        <v>4554</v>
      </c>
      <c r="D4210" s="30">
        <v>0.7120023148148148</v>
      </c>
      <c r="E4210" t="s">
        <v>317</v>
      </c>
      <c r="F4210" t="s">
        <v>299</v>
      </c>
      <c r="G4210" t="s">
        <v>299</v>
      </c>
      <c r="H4210">
        <v>92</v>
      </c>
      <c r="I4210" s="30">
        <v>9.7222222222222219E-4</v>
      </c>
      <c r="J4210">
        <v>1</v>
      </c>
    </row>
    <row r="4211" spans="1:10" x14ac:dyDescent="0.35">
      <c r="A4211" t="s">
        <v>4593</v>
      </c>
      <c r="B4211" t="s">
        <v>316</v>
      </c>
      <c r="C4211" t="s">
        <v>4554</v>
      </c>
      <c r="D4211" s="30">
        <v>0.7120023148148148</v>
      </c>
      <c r="E4211" t="s">
        <v>302</v>
      </c>
      <c r="F4211" t="s">
        <v>303</v>
      </c>
      <c r="G4211" t="s">
        <v>303</v>
      </c>
    </row>
    <row r="4212" spans="1:10" x14ac:dyDescent="0.35">
      <c r="A4212" t="s">
        <v>4594</v>
      </c>
      <c r="B4212" t="s">
        <v>307</v>
      </c>
      <c r="C4212" t="s">
        <v>4554</v>
      </c>
      <c r="D4212" s="30">
        <v>0.71599537037037042</v>
      </c>
      <c r="E4212" t="s">
        <v>309</v>
      </c>
      <c r="F4212" t="s">
        <v>303</v>
      </c>
      <c r="G4212" t="s">
        <v>303</v>
      </c>
    </row>
    <row r="4213" spans="1:10" x14ac:dyDescent="0.35">
      <c r="A4213" t="s">
        <v>4595</v>
      </c>
      <c r="B4213" t="s">
        <v>307</v>
      </c>
      <c r="C4213" t="s">
        <v>4554</v>
      </c>
      <c r="D4213" s="30">
        <v>0.71599537037037042</v>
      </c>
      <c r="E4213" t="s">
        <v>314</v>
      </c>
      <c r="F4213" t="s">
        <v>299</v>
      </c>
      <c r="G4213" t="s">
        <v>299</v>
      </c>
      <c r="H4213">
        <v>43</v>
      </c>
      <c r="I4213" s="30">
        <v>4.1666666666666669E-4</v>
      </c>
      <c r="J4213">
        <v>3</v>
      </c>
    </row>
    <row r="4214" spans="1:10" x14ac:dyDescent="0.35">
      <c r="A4214" t="s">
        <v>4596</v>
      </c>
      <c r="B4214" t="s">
        <v>319</v>
      </c>
      <c r="C4214" t="s">
        <v>4554</v>
      </c>
      <c r="D4214" s="30">
        <v>0.72099537037037043</v>
      </c>
      <c r="E4214" t="s">
        <v>314</v>
      </c>
      <c r="F4214" t="s">
        <v>299</v>
      </c>
      <c r="G4214" t="s">
        <v>299</v>
      </c>
      <c r="H4214">
        <v>46</v>
      </c>
      <c r="I4214" s="30">
        <v>2.6967592592592594E-3</v>
      </c>
      <c r="J4214">
        <v>5</v>
      </c>
    </row>
    <row r="4215" spans="1:10" x14ac:dyDescent="0.35">
      <c r="A4215" t="s">
        <v>4597</v>
      </c>
      <c r="B4215" t="s">
        <v>332</v>
      </c>
      <c r="C4215" t="s">
        <v>4554</v>
      </c>
      <c r="D4215" s="30">
        <v>0.72099537037037043</v>
      </c>
      <c r="E4215" t="s">
        <v>302</v>
      </c>
      <c r="F4215" t="s">
        <v>299</v>
      </c>
      <c r="G4215" t="s">
        <v>299</v>
      </c>
      <c r="H4215">
        <v>51</v>
      </c>
      <c r="I4215" s="30">
        <v>4.1898148148148146E-3</v>
      </c>
      <c r="J4215">
        <v>4</v>
      </c>
    </row>
    <row r="4216" spans="1:10" x14ac:dyDescent="0.35">
      <c r="A4216" t="s">
        <v>4598</v>
      </c>
      <c r="B4216" t="s">
        <v>296</v>
      </c>
      <c r="C4216" t="s">
        <v>4554</v>
      </c>
      <c r="D4216" s="30">
        <v>0.72799768518518515</v>
      </c>
      <c r="E4216" t="s">
        <v>298</v>
      </c>
      <c r="F4216" t="s">
        <v>299</v>
      </c>
      <c r="G4216" t="s">
        <v>299</v>
      </c>
      <c r="H4216">
        <v>13</v>
      </c>
      <c r="I4216" s="30">
        <v>8.564814814814815E-4</v>
      </c>
      <c r="J4216">
        <v>3</v>
      </c>
    </row>
    <row r="4217" spans="1:10" x14ac:dyDescent="0.35">
      <c r="A4217" t="s">
        <v>4599</v>
      </c>
      <c r="B4217" t="s">
        <v>296</v>
      </c>
      <c r="C4217" t="s">
        <v>4554</v>
      </c>
      <c r="D4217" s="30">
        <v>0.72799768518518515</v>
      </c>
      <c r="E4217" t="s">
        <v>309</v>
      </c>
      <c r="F4217" t="s">
        <v>299</v>
      </c>
      <c r="G4217" t="s">
        <v>303</v>
      </c>
      <c r="H4217">
        <v>19</v>
      </c>
      <c r="I4217" s="30">
        <v>1.2037037037037038E-3</v>
      </c>
      <c r="J4217">
        <v>5</v>
      </c>
    </row>
    <row r="4218" spans="1:10" x14ac:dyDescent="0.35">
      <c r="A4218" t="s">
        <v>4600</v>
      </c>
      <c r="B4218" t="s">
        <v>301</v>
      </c>
      <c r="C4218" t="s">
        <v>4554</v>
      </c>
      <c r="D4218" s="30">
        <v>0.73099537037037032</v>
      </c>
      <c r="E4218" t="s">
        <v>314</v>
      </c>
      <c r="F4218" t="s">
        <v>299</v>
      </c>
      <c r="G4218" t="s">
        <v>299</v>
      </c>
      <c r="H4218">
        <v>30</v>
      </c>
      <c r="I4218" s="30">
        <v>2.4189814814814816E-3</v>
      </c>
      <c r="J4218">
        <v>3</v>
      </c>
    </row>
    <row r="4219" spans="1:10" x14ac:dyDescent="0.35">
      <c r="A4219" t="s">
        <v>4601</v>
      </c>
      <c r="B4219" t="s">
        <v>332</v>
      </c>
      <c r="C4219" t="s">
        <v>4554</v>
      </c>
      <c r="D4219" s="30">
        <v>0.73099537037037032</v>
      </c>
      <c r="E4219" t="s">
        <v>302</v>
      </c>
      <c r="F4219" t="s">
        <v>299</v>
      </c>
      <c r="G4219" t="s">
        <v>299</v>
      </c>
      <c r="H4219">
        <v>122</v>
      </c>
      <c r="I4219" s="30">
        <v>4.5601851851851853E-3</v>
      </c>
      <c r="J4219">
        <v>3</v>
      </c>
    </row>
    <row r="4220" spans="1:10" x14ac:dyDescent="0.35">
      <c r="A4220" t="s">
        <v>4602</v>
      </c>
      <c r="B4220" t="s">
        <v>307</v>
      </c>
      <c r="C4220" t="s">
        <v>4554</v>
      </c>
      <c r="D4220" s="30">
        <v>0.74099537037037033</v>
      </c>
      <c r="E4220" t="s">
        <v>314</v>
      </c>
      <c r="F4220" t="s">
        <v>299</v>
      </c>
      <c r="G4220" t="s">
        <v>299</v>
      </c>
      <c r="H4220">
        <v>83</v>
      </c>
      <c r="I4220" s="30">
        <v>2.5578703703703705E-3</v>
      </c>
      <c r="J4220">
        <v>2</v>
      </c>
    </row>
    <row r="4221" spans="1:10" x14ac:dyDescent="0.35">
      <c r="A4221" t="s">
        <v>4603</v>
      </c>
      <c r="B4221" t="s">
        <v>316</v>
      </c>
      <c r="C4221" t="s">
        <v>4554</v>
      </c>
      <c r="D4221" s="30">
        <v>0.74099537037037033</v>
      </c>
      <c r="E4221" t="s">
        <v>302</v>
      </c>
      <c r="F4221" t="s">
        <v>303</v>
      </c>
      <c r="G4221" t="s">
        <v>303</v>
      </c>
    </row>
    <row r="4222" spans="1:10" x14ac:dyDescent="0.35">
      <c r="A4222" t="s">
        <v>4604</v>
      </c>
      <c r="B4222" t="s">
        <v>319</v>
      </c>
      <c r="C4222" t="s">
        <v>4605</v>
      </c>
      <c r="D4222" s="30">
        <v>0.38299768518518518</v>
      </c>
      <c r="E4222" t="s">
        <v>302</v>
      </c>
      <c r="F4222" t="s">
        <v>299</v>
      </c>
      <c r="G4222" t="s">
        <v>299</v>
      </c>
      <c r="H4222">
        <v>125</v>
      </c>
      <c r="I4222" s="30">
        <v>8.6805555555555551E-4</v>
      </c>
      <c r="J4222">
        <v>4</v>
      </c>
    </row>
    <row r="4223" spans="1:10" x14ac:dyDescent="0.35">
      <c r="A4223" t="s">
        <v>4606</v>
      </c>
      <c r="B4223" t="s">
        <v>319</v>
      </c>
      <c r="C4223" t="s">
        <v>4605</v>
      </c>
      <c r="D4223" s="30">
        <v>0.38299768518518518</v>
      </c>
      <c r="E4223" t="s">
        <v>314</v>
      </c>
      <c r="F4223" t="s">
        <v>299</v>
      </c>
      <c r="G4223" t="s">
        <v>299</v>
      </c>
      <c r="H4223">
        <v>80</v>
      </c>
      <c r="I4223" s="30">
        <v>7.9861111111111116E-4</v>
      </c>
      <c r="J4223">
        <v>2</v>
      </c>
    </row>
    <row r="4224" spans="1:10" x14ac:dyDescent="0.35">
      <c r="A4224" t="s">
        <v>4607</v>
      </c>
      <c r="B4224" t="s">
        <v>305</v>
      </c>
      <c r="C4224" t="s">
        <v>4605</v>
      </c>
      <c r="D4224" s="30">
        <v>0.4070023148148148</v>
      </c>
      <c r="E4224" t="s">
        <v>317</v>
      </c>
      <c r="F4224" t="s">
        <v>299</v>
      </c>
      <c r="G4224" t="s">
        <v>299</v>
      </c>
      <c r="H4224">
        <v>112</v>
      </c>
      <c r="I4224" s="30">
        <v>4.0162037037037041E-3</v>
      </c>
      <c r="J4224">
        <v>2</v>
      </c>
    </row>
    <row r="4225" spans="1:10" x14ac:dyDescent="0.35">
      <c r="A4225" t="s">
        <v>4608</v>
      </c>
      <c r="B4225" t="s">
        <v>307</v>
      </c>
      <c r="C4225" t="s">
        <v>4605</v>
      </c>
      <c r="D4225" s="30">
        <v>0.4070023148148148</v>
      </c>
      <c r="E4225" t="s">
        <v>317</v>
      </c>
      <c r="F4225" t="s">
        <v>299</v>
      </c>
      <c r="G4225" t="s">
        <v>299</v>
      </c>
      <c r="H4225">
        <v>113</v>
      </c>
      <c r="I4225" s="30">
        <v>2.3842592592592591E-3</v>
      </c>
      <c r="J4225">
        <v>5</v>
      </c>
    </row>
    <row r="4226" spans="1:10" x14ac:dyDescent="0.35">
      <c r="A4226" t="s">
        <v>4609</v>
      </c>
      <c r="B4226" t="s">
        <v>332</v>
      </c>
      <c r="C4226" t="s">
        <v>4605</v>
      </c>
      <c r="D4226" s="30">
        <v>0.42299768518518521</v>
      </c>
      <c r="E4226" t="s">
        <v>314</v>
      </c>
      <c r="F4226" t="s">
        <v>299</v>
      </c>
      <c r="G4226" t="s">
        <v>299</v>
      </c>
      <c r="H4226">
        <v>95</v>
      </c>
      <c r="I4226" s="30">
        <v>2.7777777777777779E-3</v>
      </c>
      <c r="J4226">
        <v>4</v>
      </c>
    </row>
    <row r="4227" spans="1:10" x14ac:dyDescent="0.35">
      <c r="A4227" t="s">
        <v>4610</v>
      </c>
      <c r="B4227" t="s">
        <v>319</v>
      </c>
      <c r="C4227" t="s">
        <v>4605</v>
      </c>
      <c r="D4227" s="30">
        <v>0.42299768518518521</v>
      </c>
      <c r="E4227" t="s">
        <v>317</v>
      </c>
      <c r="F4227" t="s">
        <v>299</v>
      </c>
      <c r="G4227" t="s">
        <v>299</v>
      </c>
      <c r="H4227">
        <v>40</v>
      </c>
      <c r="I4227" s="30">
        <v>2.2569444444444442E-3</v>
      </c>
      <c r="J4227">
        <v>3</v>
      </c>
    </row>
    <row r="4228" spans="1:10" x14ac:dyDescent="0.35">
      <c r="A4228" t="s">
        <v>4611</v>
      </c>
      <c r="B4228" t="s">
        <v>332</v>
      </c>
      <c r="C4228" t="s">
        <v>4605</v>
      </c>
      <c r="D4228" s="30">
        <v>0.42400462962962965</v>
      </c>
      <c r="E4228" t="s">
        <v>317</v>
      </c>
      <c r="F4228" t="s">
        <v>299</v>
      </c>
      <c r="G4228" t="s">
        <v>299</v>
      </c>
      <c r="H4228">
        <v>106</v>
      </c>
      <c r="I4228" s="30">
        <v>4.7685185185185183E-3</v>
      </c>
      <c r="J4228">
        <v>3</v>
      </c>
    </row>
    <row r="4229" spans="1:10" x14ac:dyDescent="0.35">
      <c r="A4229" t="s">
        <v>4612</v>
      </c>
      <c r="B4229" t="s">
        <v>307</v>
      </c>
      <c r="C4229" t="s">
        <v>4605</v>
      </c>
      <c r="D4229" s="30">
        <v>0.42400462962962965</v>
      </c>
      <c r="E4229" t="s">
        <v>309</v>
      </c>
      <c r="F4229" t="s">
        <v>299</v>
      </c>
      <c r="G4229" t="s">
        <v>299</v>
      </c>
      <c r="H4229">
        <v>38</v>
      </c>
      <c r="I4229" s="30">
        <v>2.4652777777777776E-3</v>
      </c>
      <c r="J4229">
        <v>3</v>
      </c>
    </row>
    <row r="4230" spans="1:10" x14ac:dyDescent="0.35">
      <c r="A4230" t="s">
        <v>4613</v>
      </c>
      <c r="B4230" t="s">
        <v>323</v>
      </c>
      <c r="C4230" t="s">
        <v>4605</v>
      </c>
      <c r="D4230" s="30">
        <v>0.43299768518518517</v>
      </c>
      <c r="E4230" t="s">
        <v>298</v>
      </c>
      <c r="F4230" t="s">
        <v>303</v>
      </c>
      <c r="G4230" t="s">
        <v>303</v>
      </c>
    </row>
    <row r="4231" spans="1:10" x14ac:dyDescent="0.35">
      <c r="A4231" t="s">
        <v>4614</v>
      </c>
      <c r="B4231" t="s">
        <v>307</v>
      </c>
      <c r="C4231" t="s">
        <v>4605</v>
      </c>
      <c r="D4231" s="30">
        <v>0.43299768518518517</v>
      </c>
      <c r="E4231" t="s">
        <v>317</v>
      </c>
      <c r="F4231" t="s">
        <v>299</v>
      </c>
      <c r="G4231" t="s">
        <v>299</v>
      </c>
      <c r="H4231">
        <v>61</v>
      </c>
      <c r="I4231" s="30">
        <v>2.7777777777777779E-3</v>
      </c>
      <c r="J4231">
        <v>3</v>
      </c>
    </row>
    <row r="4232" spans="1:10" x14ac:dyDescent="0.35">
      <c r="A4232" t="s">
        <v>4615</v>
      </c>
      <c r="B4232" t="s">
        <v>332</v>
      </c>
      <c r="C4232" t="s">
        <v>4605</v>
      </c>
      <c r="D4232" s="30">
        <v>0.43299768518518517</v>
      </c>
      <c r="E4232" t="s">
        <v>314</v>
      </c>
      <c r="F4232" t="s">
        <v>303</v>
      </c>
      <c r="G4232" t="s">
        <v>303</v>
      </c>
    </row>
    <row r="4233" spans="1:10" x14ac:dyDescent="0.35">
      <c r="A4233" t="s">
        <v>4616</v>
      </c>
      <c r="B4233" t="s">
        <v>319</v>
      </c>
      <c r="C4233" t="s">
        <v>4605</v>
      </c>
      <c r="D4233" s="30">
        <v>0.43299768518518517</v>
      </c>
      <c r="E4233" t="s">
        <v>317</v>
      </c>
      <c r="F4233" t="s">
        <v>303</v>
      </c>
      <c r="G4233" t="s">
        <v>303</v>
      </c>
    </row>
    <row r="4234" spans="1:10" x14ac:dyDescent="0.35">
      <c r="A4234" t="s">
        <v>4617</v>
      </c>
      <c r="B4234" t="s">
        <v>323</v>
      </c>
      <c r="C4234" t="s">
        <v>4605</v>
      </c>
      <c r="D4234" s="30">
        <v>0.44099537037037034</v>
      </c>
      <c r="E4234" t="s">
        <v>317</v>
      </c>
      <c r="F4234" t="s">
        <v>303</v>
      </c>
      <c r="G4234" t="s">
        <v>303</v>
      </c>
    </row>
    <row r="4235" spans="1:10" x14ac:dyDescent="0.35">
      <c r="A4235" t="s">
        <v>4618</v>
      </c>
      <c r="B4235" t="s">
        <v>316</v>
      </c>
      <c r="C4235" t="s">
        <v>4605</v>
      </c>
      <c r="D4235" s="30">
        <v>0.44099537037037034</v>
      </c>
      <c r="E4235" t="s">
        <v>314</v>
      </c>
      <c r="F4235" t="s">
        <v>299</v>
      </c>
      <c r="G4235" t="s">
        <v>299</v>
      </c>
      <c r="H4235">
        <v>70</v>
      </c>
      <c r="I4235" s="30">
        <v>2.9050925925925928E-3</v>
      </c>
      <c r="J4235">
        <v>1</v>
      </c>
    </row>
    <row r="4236" spans="1:10" x14ac:dyDescent="0.35">
      <c r="A4236" t="s">
        <v>4619</v>
      </c>
      <c r="B4236" t="s">
        <v>301</v>
      </c>
      <c r="C4236" t="s">
        <v>4605</v>
      </c>
      <c r="D4236" s="30">
        <v>0.4670023148148148</v>
      </c>
      <c r="E4236" t="s">
        <v>302</v>
      </c>
      <c r="F4236" t="s">
        <v>303</v>
      </c>
      <c r="G4236" t="s">
        <v>303</v>
      </c>
    </row>
    <row r="4237" spans="1:10" x14ac:dyDescent="0.35">
      <c r="A4237" t="s">
        <v>4620</v>
      </c>
      <c r="B4237" t="s">
        <v>332</v>
      </c>
      <c r="C4237" t="s">
        <v>4605</v>
      </c>
      <c r="D4237" s="30">
        <v>0.4670023148148148</v>
      </c>
      <c r="E4237" t="s">
        <v>317</v>
      </c>
      <c r="F4237" t="s">
        <v>303</v>
      </c>
      <c r="G4237" t="s">
        <v>303</v>
      </c>
    </row>
    <row r="4238" spans="1:10" x14ac:dyDescent="0.35">
      <c r="A4238" t="s">
        <v>4621</v>
      </c>
      <c r="B4238" t="s">
        <v>305</v>
      </c>
      <c r="C4238" t="s">
        <v>4605</v>
      </c>
      <c r="D4238" s="30">
        <v>0.48900462962962965</v>
      </c>
      <c r="E4238" t="s">
        <v>302</v>
      </c>
      <c r="F4238" t="s">
        <v>299</v>
      </c>
      <c r="G4238" t="s">
        <v>299</v>
      </c>
      <c r="H4238">
        <v>56</v>
      </c>
      <c r="I4238" s="30">
        <v>3.8888888888888888E-3</v>
      </c>
      <c r="J4238">
        <v>4</v>
      </c>
    </row>
    <row r="4239" spans="1:10" x14ac:dyDescent="0.35">
      <c r="A4239" t="s">
        <v>4622</v>
      </c>
      <c r="B4239" t="s">
        <v>305</v>
      </c>
      <c r="C4239" t="s">
        <v>4605</v>
      </c>
      <c r="D4239" s="30">
        <v>0.48900462962962965</v>
      </c>
      <c r="E4239" t="s">
        <v>317</v>
      </c>
      <c r="F4239" t="s">
        <v>299</v>
      </c>
      <c r="G4239" t="s">
        <v>299</v>
      </c>
      <c r="H4239">
        <v>26</v>
      </c>
      <c r="I4239" s="30">
        <v>4.2939814814814811E-3</v>
      </c>
      <c r="J4239">
        <v>4</v>
      </c>
    </row>
    <row r="4240" spans="1:10" x14ac:dyDescent="0.35">
      <c r="A4240" t="s">
        <v>4623</v>
      </c>
      <c r="B4240" t="s">
        <v>296</v>
      </c>
      <c r="C4240" t="s">
        <v>4605</v>
      </c>
      <c r="D4240" s="30">
        <v>0.51500000000000001</v>
      </c>
      <c r="E4240" t="s">
        <v>302</v>
      </c>
      <c r="F4240" t="s">
        <v>299</v>
      </c>
      <c r="G4240" t="s">
        <v>299</v>
      </c>
      <c r="H4240">
        <v>11</v>
      </c>
      <c r="I4240" s="30">
        <v>2.1527777777777778E-3</v>
      </c>
      <c r="J4240">
        <v>4</v>
      </c>
    </row>
    <row r="4241" spans="1:10" x14ac:dyDescent="0.35">
      <c r="A4241" t="s">
        <v>4624</v>
      </c>
      <c r="B4241" t="s">
        <v>307</v>
      </c>
      <c r="C4241" t="s">
        <v>4605</v>
      </c>
      <c r="D4241" s="30">
        <v>0.51500000000000001</v>
      </c>
      <c r="E4241" t="s">
        <v>309</v>
      </c>
      <c r="F4241" t="s">
        <v>299</v>
      </c>
      <c r="G4241" t="s">
        <v>299</v>
      </c>
      <c r="H4241">
        <v>22</v>
      </c>
      <c r="I4241" s="30">
        <v>4.5254629629629629E-3</v>
      </c>
      <c r="J4241">
        <v>1</v>
      </c>
    </row>
    <row r="4242" spans="1:10" x14ac:dyDescent="0.35">
      <c r="A4242" t="s">
        <v>4625</v>
      </c>
      <c r="B4242" t="s">
        <v>316</v>
      </c>
      <c r="C4242" t="s">
        <v>4605</v>
      </c>
      <c r="D4242" s="30">
        <v>0.53</v>
      </c>
      <c r="E4242" t="s">
        <v>317</v>
      </c>
      <c r="F4242" t="s">
        <v>299</v>
      </c>
      <c r="G4242" t="s">
        <v>299</v>
      </c>
      <c r="H4242">
        <v>33</v>
      </c>
      <c r="I4242" s="30">
        <v>4.6296296296296294E-3</v>
      </c>
      <c r="J4242">
        <v>3</v>
      </c>
    </row>
    <row r="4243" spans="1:10" x14ac:dyDescent="0.35">
      <c r="A4243" t="s">
        <v>4626</v>
      </c>
      <c r="B4243" t="s">
        <v>305</v>
      </c>
      <c r="C4243" t="s">
        <v>4605</v>
      </c>
      <c r="D4243" s="30">
        <v>0.53</v>
      </c>
      <c r="E4243" t="s">
        <v>317</v>
      </c>
      <c r="F4243" t="s">
        <v>299</v>
      </c>
      <c r="G4243" t="s">
        <v>299</v>
      </c>
      <c r="H4243">
        <v>58</v>
      </c>
      <c r="I4243" s="30">
        <v>7.6388888888888893E-4</v>
      </c>
      <c r="J4243">
        <v>4</v>
      </c>
    </row>
    <row r="4244" spans="1:10" x14ac:dyDescent="0.35">
      <c r="A4244" t="s">
        <v>4627</v>
      </c>
      <c r="B4244" t="s">
        <v>307</v>
      </c>
      <c r="C4244" t="s">
        <v>4605</v>
      </c>
      <c r="D4244" s="30">
        <v>0.53400462962962958</v>
      </c>
      <c r="E4244" t="s">
        <v>298</v>
      </c>
      <c r="F4244" t="s">
        <v>299</v>
      </c>
      <c r="G4244" t="s">
        <v>299</v>
      </c>
      <c r="H4244">
        <v>72</v>
      </c>
      <c r="I4244" s="30">
        <v>4.0162037037037041E-3</v>
      </c>
      <c r="J4244">
        <v>3</v>
      </c>
    </row>
    <row r="4245" spans="1:10" x14ac:dyDescent="0.35">
      <c r="A4245" t="s">
        <v>4628</v>
      </c>
      <c r="B4245" t="s">
        <v>307</v>
      </c>
      <c r="C4245" t="s">
        <v>4605</v>
      </c>
      <c r="D4245" s="30">
        <v>0.53400462962962958</v>
      </c>
      <c r="E4245" t="s">
        <v>309</v>
      </c>
      <c r="F4245" t="s">
        <v>299</v>
      </c>
      <c r="G4245" t="s">
        <v>299</v>
      </c>
      <c r="H4245">
        <v>63</v>
      </c>
      <c r="I4245" s="30">
        <v>3.7847222222222223E-3</v>
      </c>
      <c r="J4245">
        <v>5</v>
      </c>
    </row>
    <row r="4246" spans="1:10" x14ac:dyDescent="0.35">
      <c r="A4246" t="s">
        <v>4629</v>
      </c>
      <c r="B4246" t="s">
        <v>296</v>
      </c>
      <c r="C4246" t="s">
        <v>4605</v>
      </c>
      <c r="D4246" s="30">
        <v>0.54500000000000004</v>
      </c>
      <c r="E4246" t="s">
        <v>317</v>
      </c>
      <c r="F4246" t="s">
        <v>299</v>
      </c>
      <c r="G4246" t="s">
        <v>299</v>
      </c>
      <c r="H4246">
        <v>52</v>
      </c>
      <c r="I4246" s="30">
        <v>2.4537037037037036E-3</v>
      </c>
      <c r="J4246">
        <v>4</v>
      </c>
    </row>
    <row r="4247" spans="1:10" x14ac:dyDescent="0.35">
      <c r="A4247" t="s">
        <v>4630</v>
      </c>
      <c r="B4247" t="s">
        <v>319</v>
      </c>
      <c r="C4247" t="s">
        <v>4605</v>
      </c>
      <c r="D4247" s="30">
        <v>0.54500000000000004</v>
      </c>
      <c r="E4247" t="s">
        <v>317</v>
      </c>
      <c r="F4247" t="s">
        <v>303</v>
      </c>
      <c r="G4247" t="s">
        <v>303</v>
      </c>
    </row>
    <row r="4248" spans="1:10" x14ac:dyDescent="0.35">
      <c r="A4248" t="s">
        <v>4631</v>
      </c>
      <c r="B4248" t="s">
        <v>305</v>
      </c>
      <c r="C4248" t="s">
        <v>4605</v>
      </c>
      <c r="D4248" s="30">
        <v>0.55299768518518522</v>
      </c>
      <c r="E4248" t="s">
        <v>302</v>
      </c>
      <c r="F4248" t="s">
        <v>299</v>
      </c>
      <c r="G4248" t="s">
        <v>299</v>
      </c>
      <c r="H4248">
        <v>106</v>
      </c>
      <c r="I4248" s="30">
        <v>3.8310185185185183E-3</v>
      </c>
      <c r="J4248">
        <v>5</v>
      </c>
    </row>
    <row r="4249" spans="1:10" x14ac:dyDescent="0.35">
      <c r="A4249" t="s">
        <v>4632</v>
      </c>
      <c r="B4249" t="s">
        <v>296</v>
      </c>
      <c r="C4249" t="s">
        <v>4605</v>
      </c>
      <c r="D4249" s="30">
        <v>0.55299768518518522</v>
      </c>
      <c r="E4249" t="s">
        <v>314</v>
      </c>
      <c r="F4249" t="s">
        <v>299</v>
      </c>
      <c r="G4249" t="s">
        <v>299</v>
      </c>
      <c r="H4249">
        <v>26</v>
      </c>
      <c r="I4249" s="30">
        <v>4.5601851851851853E-3</v>
      </c>
      <c r="J4249">
        <v>3</v>
      </c>
    </row>
    <row r="4250" spans="1:10" x14ac:dyDescent="0.35">
      <c r="A4250" t="s">
        <v>4633</v>
      </c>
      <c r="B4250" t="s">
        <v>296</v>
      </c>
      <c r="C4250" t="s">
        <v>4605</v>
      </c>
      <c r="D4250" s="30">
        <v>0.56200231481481477</v>
      </c>
      <c r="E4250" t="s">
        <v>309</v>
      </c>
      <c r="F4250" t="s">
        <v>299</v>
      </c>
      <c r="G4250" t="s">
        <v>299</v>
      </c>
      <c r="H4250">
        <v>76</v>
      </c>
      <c r="I4250" s="30">
        <v>2.4189814814814816E-3</v>
      </c>
      <c r="J4250">
        <v>5</v>
      </c>
    </row>
    <row r="4251" spans="1:10" x14ac:dyDescent="0.35">
      <c r="A4251" t="s">
        <v>4634</v>
      </c>
      <c r="B4251" t="s">
        <v>305</v>
      </c>
      <c r="C4251" t="s">
        <v>4605</v>
      </c>
      <c r="D4251" s="30">
        <v>0.56200231481481477</v>
      </c>
      <c r="E4251" t="s">
        <v>302</v>
      </c>
      <c r="F4251" t="s">
        <v>299</v>
      </c>
      <c r="G4251" t="s">
        <v>299</v>
      </c>
      <c r="H4251">
        <v>45</v>
      </c>
      <c r="I4251" s="30">
        <v>4.5023148148148149E-3</v>
      </c>
      <c r="J4251">
        <v>5</v>
      </c>
    </row>
    <row r="4252" spans="1:10" x14ac:dyDescent="0.35">
      <c r="A4252" t="s">
        <v>4635</v>
      </c>
      <c r="B4252" t="s">
        <v>323</v>
      </c>
      <c r="C4252" t="s">
        <v>4605</v>
      </c>
      <c r="D4252" s="30">
        <v>0.56400462962962961</v>
      </c>
      <c r="E4252" t="s">
        <v>298</v>
      </c>
      <c r="F4252" t="s">
        <v>303</v>
      </c>
      <c r="G4252" t="s">
        <v>303</v>
      </c>
    </row>
    <row r="4253" spans="1:10" x14ac:dyDescent="0.35">
      <c r="A4253" t="s">
        <v>4636</v>
      </c>
      <c r="B4253" t="s">
        <v>332</v>
      </c>
      <c r="C4253" t="s">
        <v>4605</v>
      </c>
      <c r="D4253" s="30">
        <v>0.56400462962962961</v>
      </c>
      <c r="E4253" t="s">
        <v>309</v>
      </c>
      <c r="F4253" t="s">
        <v>299</v>
      </c>
      <c r="G4253" t="s">
        <v>299</v>
      </c>
      <c r="H4253">
        <v>61</v>
      </c>
      <c r="I4253" s="30">
        <v>1.0416666666666667E-3</v>
      </c>
      <c r="J4253">
        <v>3</v>
      </c>
    </row>
    <row r="4254" spans="1:10" x14ac:dyDescent="0.35">
      <c r="A4254" t="s">
        <v>4637</v>
      </c>
      <c r="B4254" t="s">
        <v>307</v>
      </c>
      <c r="C4254" t="s">
        <v>4605</v>
      </c>
      <c r="D4254" s="30">
        <v>0.58099537037037041</v>
      </c>
      <c r="E4254" t="s">
        <v>302</v>
      </c>
      <c r="F4254" t="s">
        <v>303</v>
      </c>
      <c r="G4254" t="s">
        <v>303</v>
      </c>
    </row>
    <row r="4255" spans="1:10" x14ac:dyDescent="0.35">
      <c r="A4255" t="s">
        <v>4638</v>
      </c>
      <c r="B4255" t="s">
        <v>332</v>
      </c>
      <c r="C4255" t="s">
        <v>4605</v>
      </c>
      <c r="D4255" s="30">
        <v>0.58099537037037041</v>
      </c>
      <c r="E4255" t="s">
        <v>298</v>
      </c>
      <c r="F4255" t="s">
        <v>299</v>
      </c>
      <c r="G4255" t="s">
        <v>303</v>
      </c>
      <c r="H4255">
        <v>38</v>
      </c>
      <c r="I4255" s="30">
        <v>3.414351851851852E-3</v>
      </c>
      <c r="J4255">
        <v>2</v>
      </c>
    </row>
    <row r="4256" spans="1:10" x14ac:dyDescent="0.35">
      <c r="A4256" t="s">
        <v>4639</v>
      </c>
      <c r="B4256" t="s">
        <v>316</v>
      </c>
      <c r="C4256" t="s">
        <v>4605</v>
      </c>
      <c r="D4256" s="30">
        <v>0.59</v>
      </c>
      <c r="E4256" t="s">
        <v>298</v>
      </c>
      <c r="F4256" t="s">
        <v>299</v>
      </c>
      <c r="G4256" t="s">
        <v>299</v>
      </c>
      <c r="H4256">
        <v>19</v>
      </c>
      <c r="I4256" s="30">
        <v>1.5393518518518519E-3</v>
      </c>
      <c r="J4256">
        <v>4</v>
      </c>
    </row>
    <row r="4257" spans="1:10" x14ac:dyDescent="0.35">
      <c r="A4257" t="s">
        <v>4640</v>
      </c>
      <c r="B4257" t="s">
        <v>319</v>
      </c>
      <c r="C4257" t="s">
        <v>4605</v>
      </c>
      <c r="D4257" s="30">
        <v>0.59</v>
      </c>
      <c r="E4257" t="s">
        <v>317</v>
      </c>
      <c r="F4257" t="s">
        <v>299</v>
      </c>
      <c r="G4257" t="s">
        <v>299</v>
      </c>
      <c r="H4257">
        <v>15</v>
      </c>
      <c r="I4257" s="30">
        <v>2.1180555555555558E-3</v>
      </c>
      <c r="J4257">
        <v>4</v>
      </c>
    </row>
    <row r="4258" spans="1:10" x14ac:dyDescent="0.35">
      <c r="A4258" t="s">
        <v>4641</v>
      </c>
      <c r="B4258" t="s">
        <v>301</v>
      </c>
      <c r="C4258" t="s">
        <v>4605</v>
      </c>
      <c r="D4258" s="30">
        <v>0.59299768518518514</v>
      </c>
      <c r="E4258" t="s">
        <v>317</v>
      </c>
      <c r="F4258" t="s">
        <v>299</v>
      </c>
      <c r="G4258" t="s">
        <v>299</v>
      </c>
      <c r="H4258">
        <v>90</v>
      </c>
      <c r="I4258" s="30">
        <v>3.414351851851852E-3</v>
      </c>
      <c r="J4258">
        <v>3</v>
      </c>
    </row>
    <row r="4259" spans="1:10" x14ac:dyDescent="0.35">
      <c r="A4259" t="s">
        <v>4642</v>
      </c>
      <c r="B4259" t="s">
        <v>305</v>
      </c>
      <c r="C4259" t="s">
        <v>4605</v>
      </c>
      <c r="D4259" s="30">
        <v>0.59299768518518514</v>
      </c>
      <c r="E4259" t="s">
        <v>314</v>
      </c>
      <c r="F4259" t="s">
        <v>299</v>
      </c>
      <c r="G4259" t="s">
        <v>299</v>
      </c>
      <c r="H4259">
        <v>99</v>
      </c>
      <c r="I4259" s="30">
        <v>7.407407407407407E-4</v>
      </c>
      <c r="J4259">
        <v>3</v>
      </c>
    </row>
    <row r="4260" spans="1:10" x14ac:dyDescent="0.35">
      <c r="A4260" t="s">
        <v>4643</v>
      </c>
      <c r="B4260" t="s">
        <v>301</v>
      </c>
      <c r="C4260" t="s">
        <v>4605</v>
      </c>
      <c r="D4260" s="30">
        <v>0.59299768518518514</v>
      </c>
      <c r="E4260" t="s">
        <v>298</v>
      </c>
      <c r="F4260" t="s">
        <v>299</v>
      </c>
      <c r="G4260" t="s">
        <v>299</v>
      </c>
      <c r="H4260">
        <v>18</v>
      </c>
      <c r="I4260" s="30">
        <v>1.3425925925925925E-3</v>
      </c>
      <c r="J4260">
        <v>5</v>
      </c>
    </row>
    <row r="4261" spans="1:10" x14ac:dyDescent="0.35">
      <c r="A4261" t="s">
        <v>4644</v>
      </c>
      <c r="B4261" t="s">
        <v>316</v>
      </c>
      <c r="C4261" t="s">
        <v>4605</v>
      </c>
      <c r="D4261" s="30">
        <v>0.59299768518518514</v>
      </c>
      <c r="E4261" t="s">
        <v>309</v>
      </c>
      <c r="F4261" t="s">
        <v>299</v>
      </c>
      <c r="G4261" t="s">
        <v>299</v>
      </c>
      <c r="H4261">
        <v>65</v>
      </c>
      <c r="I4261" s="30">
        <v>1.7939814814814815E-3</v>
      </c>
      <c r="J4261">
        <v>4</v>
      </c>
    </row>
    <row r="4262" spans="1:10" x14ac:dyDescent="0.35">
      <c r="A4262" t="s">
        <v>4645</v>
      </c>
      <c r="B4262" t="s">
        <v>323</v>
      </c>
      <c r="C4262" t="s">
        <v>4605</v>
      </c>
      <c r="D4262" s="30">
        <v>0.60099537037037032</v>
      </c>
      <c r="E4262" t="s">
        <v>314</v>
      </c>
      <c r="F4262" t="s">
        <v>299</v>
      </c>
      <c r="G4262" t="s">
        <v>299</v>
      </c>
      <c r="H4262">
        <v>91</v>
      </c>
      <c r="I4262" s="30">
        <v>3.9004629629629628E-3</v>
      </c>
      <c r="J4262">
        <v>4</v>
      </c>
    </row>
    <row r="4263" spans="1:10" x14ac:dyDescent="0.35">
      <c r="A4263" t="s">
        <v>4646</v>
      </c>
      <c r="B4263" t="s">
        <v>316</v>
      </c>
      <c r="C4263" t="s">
        <v>4605</v>
      </c>
      <c r="D4263" s="30">
        <v>0.60099537037037032</v>
      </c>
      <c r="E4263" t="s">
        <v>317</v>
      </c>
      <c r="F4263" t="s">
        <v>299</v>
      </c>
      <c r="G4263" t="s">
        <v>299</v>
      </c>
      <c r="H4263">
        <v>95</v>
      </c>
      <c r="I4263" s="30">
        <v>1.4351851851851852E-3</v>
      </c>
      <c r="J4263">
        <v>4</v>
      </c>
    </row>
    <row r="4264" spans="1:10" x14ac:dyDescent="0.35">
      <c r="A4264" t="s">
        <v>4647</v>
      </c>
      <c r="B4264" t="s">
        <v>316</v>
      </c>
      <c r="C4264" t="s">
        <v>4605</v>
      </c>
      <c r="D4264" s="30">
        <v>0.60700231481481481</v>
      </c>
      <c r="E4264" t="s">
        <v>317</v>
      </c>
      <c r="F4264" t="s">
        <v>299</v>
      </c>
      <c r="G4264" t="s">
        <v>299</v>
      </c>
      <c r="H4264">
        <v>87</v>
      </c>
      <c r="I4264" s="30">
        <v>3.2870370370370371E-3</v>
      </c>
      <c r="J4264">
        <v>4</v>
      </c>
    </row>
    <row r="4265" spans="1:10" x14ac:dyDescent="0.35">
      <c r="A4265" t="s">
        <v>4648</v>
      </c>
      <c r="B4265" t="s">
        <v>332</v>
      </c>
      <c r="C4265" t="s">
        <v>4605</v>
      </c>
      <c r="D4265" s="30">
        <v>0.60700231481481481</v>
      </c>
      <c r="E4265" t="s">
        <v>309</v>
      </c>
      <c r="F4265" t="s">
        <v>299</v>
      </c>
      <c r="G4265" t="s">
        <v>299</v>
      </c>
      <c r="H4265">
        <v>71</v>
      </c>
      <c r="I4265" s="30">
        <v>4.178240740740741E-3</v>
      </c>
      <c r="J4265">
        <v>3</v>
      </c>
    </row>
    <row r="4266" spans="1:10" x14ac:dyDescent="0.35">
      <c r="A4266" t="s">
        <v>4649</v>
      </c>
      <c r="B4266" t="s">
        <v>316</v>
      </c>
      <c r="C4266" t="s">
        <v>4605</v>
      </c>
      <c r="D4266" s="30">
        <v>0.64</v>
      </c>
      <c r="E4266" t="s">
        <v>314</v>
      </c>
      <c r="F4266" t="s">
        <v>299</v>
      </c>
      <c r="G4266" t="s">
        <v>299</v>
      </c>
      <c r="H4266">
        <v>74</v>
      </c>
      <c r="I4266" s="30">
        <v>2.1296296296296298E-3</v>
      </c>
      <c r="J4266">
        <v>5</v>
      </c>
    </row>
    <row r="4267" spans="1:10" x14ac:dyDescent="0.35">
      <c r="A4267" t="s">
        <v>4650</v>
      </c>
      <c r="B4267" t="s">
        <v>316</v>
      </c>
      <c r="C4267" t="s">
        <v>4605</v>
      </c>
      <c r="D4267" s="30">
        <v>0.64</v>
      </c>
      <c r="E4267" t="s">
        <v>302</v>
      </c>
      <c r="F4267" t="s">
        <v>299</v>
      </c>
      <c r="G4267" t="s">
        <v>299</v>
      </c>
      <c r="H4267">
        <v>28</v>
      </c>
      <c r="I4267" s="30">
        <v>3.5300925925925925E-3</v>
      </c>
      <c r="J4267">
        <v>4</v>
      </c>
    </row>
    <row r="4268" spans="1:10" x14ac:dyDescent="0.35">
      <c r="A4268" t="s">
        <v>4651</v>
      </c>
      <c r="B4268" t="s">
        <v>319</v>
      </c>
      <c r="C4268" t="s">
        <v>4605</v>
      </c>
      <c r="D4268" s="30">
        <v>0.65299768518518519</v>
      </c>
      <c r="E4268" t="s">
        <v>298</v>
      </c>
      <c r="F4268" t="s">
        <v>299</v>
      </c>
      <c r="G4268" t="s">
        <v>299</v>
      </c>
      <c r="H4268">
        <v>101</v>
      </c>
      <c r="I4268" s="30">
        <v>2.0023148148148148E-3</v>
      </c>
      <c r="J4268">
        <v>3</v>
      </c>
    </row>
    <row r="4269" spans="1:10" x14ac:dyDescent="0.35">
      <c r="A4269" t="s">
        <v>4652</v>
      </c>
      <c r="B4269" t="s">
        <v>323</v>
      </c>
      <c r="C4269" t="s">
        <v>4605</v>
      </c>
      <c r="D4269" s="30">
        <v>0.65299768518518519</v>
      </c>
      <c r="E4269" t="s">
        <v>298</v>
      </c>
      <c r="F4269" t="s">
        <v>303</v>
      </c>
      <c r="G4269" t="s">
        <v>303</v>
      </c>
    </row>
    <row r="4270" spans="1:10" x14ac:dyDescent="0.35">
      <c r="A4270" t="s">
        <v>4653</v>
      </c>
      <c r="B4270" t="s">
        <v>323</v>
      </c>
      <c r="C4270" t="s">
        <v>4605</v>
      </c>
      <c r="D4270" s="30">
        <v>0.65500000000000003</v>
      </c>
      <c r="E4270" t="s">
        <v>309</v>
      </c>
      <c r="F4270" t="s">
        <v>299</v>
      </c>
      <c r="G4270" t="s">
        <v>299</v>
      </c>
      <c r="H4270">
        <v>90</v>
      </c>
      <c r="I4270" s="30">
        <v>3.3333333333333335E-3</v>
      </c>
      <c r="J4270">
        <v>3</v>
      </c>
    </row>
    <row r="4271" spans="1:10" x14ac:dyDescent="0.35">
      <c r="A4271" t="s">
        <v>4654</v>
      </c>
      <c r="B4271" t="s">
        <v>319</v>
      </c>
      <c r="C4271" t="s">
        <v>4605</v>
      </c>
      <c r="D4271" s="30">
        <v>0.65500000000000003</v>
      </c>
      <c r="E4271" t="s">
        <v>298</v>
      </c>
      <c r="F4271" t="s">
        <v>299</v>
      </c>
      <c r="G4271" t="s">
        <v>299</v>
      </c>
      <c r="H4271">
        <v>76</v>
      </c>
      <c r="I4271" s="30">
        <v>3.425925925925926E-3</v>
      </c>
      <c r="J4271">
        <v>5</v>
      </c>
    </row>
    <row r="4272" spans="1:10" x14ac:dyDescent="0.35">
      <c r="A4272" t="s">
        <v>4655</v>
      </c>
      <c r="B4272" t="s">
        <v>296</v>
      </c>
      <c r="C4272" t="s">
        <v>4605</v>
      </c>
      <c r="D4272" s="30">
        <v>0.66700231481481487</v>
      </c>
      <c r="E4272" t="s">
        <v>309</v>
      </c>
      <c r="F4272" t="s">
        <v>303</v>
      </c>
      <c r="G4272" t="s">
        <v>303</v>
      </c>
    </row>
    <row r="4273" spans="1:10" x14ac:dyDescent="0.35">
      <c r="A4273" t="s">
        <v>4656</v>
      </c>
      <c r="B4273" t="s">
        <v>319</v>
      </c>
      <c r="C4273" t="s">
        <v>4605</v>
      </c>
      <c r="D4273" s="30">
        <v>0.66700231481481487</v>
      </c>
      <c r="E4273" t="s">
        <v>298</v>
      </c>
      <c r="F4273" t="s">
        <v>299</v>
      </c>
      <c r="G4273" t="s">
        <v>303</v>
      </c>
      <c r="H4273">
        <v>20</v>
      </c>
      <c r="I4273" s="30">
        <v>9.1435185185185185E-4</v>
      </c>
      <c r="J4273">
        <v>5</v>
      </c>
    </row>
    <row r="4274" spans="1:10" x14ac:dyDescent="0.35">
      <c r="A4274" t="s">
        <v>4657</v>
      </c>
      <c r="B4274" t="s">
        <v>301</v>
      </c>
      <c r="C4274" t="s">
        <v>4605</v>
      </c>
      <c r="D4274" s="30">
        <v>0.67599537037037039</v>
      </c>
      <c r="E4274" t="s">
        <v>298</v>
      </c>
      <c r="F4274" t="s">
        <v>299</v>
      </c>
      <c r="G4274" t="s">
        <v>303</v>
      </c>
      <c r="H4274">
        <v>26</v>
      </c>
      <c r="I4274" s="30">
        <v>4.386574074074074E-3</v>
      </c>
      <c r="J4274">
        <v>3</v>
      </c>
    </row>
    <row r="4275" spans="1:10" x14ac:dyDescent="0.35">
      <c r="A4275" t="s">
        <v>4658</v>
      </c>
      <c r="B4275" t="s">
        <v>305</v>
      </c>
      <c r="C4275" t="s">
        <v>4605</v>
      </c>
      <c r="D4275" s="30">
        <v>0.67599537037037039</v>
      </c>
      <c r="E4275" t="s">
        <v>298</v>
      </c>
      <c r="F4275" t="s">
        <v>299</v>
      </c>
      <c r="G4275" t="s">
        <v>299</v>
      </c>
      <c r="H4275">
        <v>53</v>
      </c>
      <c r="I4275" s="30">
        <v>8.3333333333333339E-4</v>
      </c>
      <c r="J4275">
        <v>3</v>
      </c>
    </row>
    <row r="4276" spans="1:10" x14ac:dyDescent="0.35">
      <c r="A4276" t="s">
        <v>4659</v>
      </c>
      <c r="B4276" t="s">
        <v>307</v>
      </c>
      <c r="C4276" t="s">
        <v>4605</v>
      </c>
      <c r="D4276" s="30">
        <v>0.69200231481481478</v>
      </c>
      <c r="E4276" t="s">
        <v>298</v>
      </c>
      <c r="F4276" t="s">
        <v>299</v>
      </c>
      <c r="G4276" t="s">
        <v>299</v>
      </c>
      <c r="H4276">
        <v>26</v>
      </c>
      <c r="I4276" s="30">
        <v>2.0486111111111113E-3</v>
      </c>
      <c r="J4276">
        <v>4</v>
      </c>
    </row>
    <row r="4277" spans="1:10" x14ac:dyDescent="0.35">
      <c r="A4277" t="s">
        <v>4660</v>
      </c>
      <c r="B4277" t="s">
        <v>319</v>
      </c>
      <c r="C4277" t="s">
        <v>4605</v>
      </c>
      <c r="D4277" s="30">
        <v>0.69200231481481478</v>
      </c>
      <c r="E4277" t="s">
        <v>309</v>
      </c>
      <c r="F4277" t="s">
        <v>299</v>
      </c>
      <c r="G4277" t="s">
        <v>299</v>
      </c>
      <c r="H4277">
        <v>66</v>
      </c>
      <c r="I4277" s="30">
        <v>2.5694444444444445E-3</v>
      </c>
      <c r="J4277">
        <v>3</v>
      </c>
    </row>
    <row r="4278" spans="1:10" x14ac:dyDescent="0.35">
      <c r="A4278" t="s">
        <v>4661</v>
      </c>
      <c r="B4278" t="s">
        <v>332</v>
      </c>
      <c r="C4278" t="s">
        <v>4605</v>
      </c>
      <c r="D4278" s="30">
        <v>0.71499999999999997</v>
      </c>
      <c r="E4278" t="s">
        <v>309</v>
      </c>
      <c r="F4278" t="s">
        <v>299</v>
      </c>
      <c r="G4278" t="s">
        <v>303</v>
      </c>
      <c r="H4278">
        <v>105</v>
      </c>
      <c r="I4278" s="30">
        <v>3.8425925925925928E-3</v>
      </c>
      <c r="J4278">
        <v>4</v>
      </c>
    </row>
    <row r="4279" spans="1:10" x14ac:dyDescent="0.35">
      <c r="A4279" t="s">
        <v>4662</v>
      </c>
      <c r="B4279" t="s">
        <v>296</v>
      </c>
      <c r="C4279" t="s">
        <v>4605</v>
      </c>
      <c r="D4279" s="30">
        <v>0.71499999999999997</v>
      </c>
      <c r="E4279" t="s">
        <v>314</v>
      </c>
      <c r="F4279" t="s">
        <v>299</v>
      </c>
      <c r="G4279" t="s">
        <v>299</v>
      </c>
      <c r="H4279">
        <v>111</v>
      </c>
      <c r="I4279" s="30">
        <v>8.4490740740740739E-4</v>
      </c>
      <c r="J4279">
        <v>3</v>
      </c>
    </row>
    <row r="4280" spans="1:10" x14ac:dyDescent="0.35">
      <c r="A4280" t="s">
        <v>4663</v>
      </c>
      <c r="B4280" t="s">
        <v>323</v>
      </c>
      <c r="C4280" t="s">
        <v>4605</v>
      </c>
      <c r="D4280" s="30">
        <v>0.74299768518518516</v>
      </c>
      <c r="E4280" t="s">
        <v>298</v>
      </c>
      <c r="F4280" t="s">
        <v>299</v>
      </c>
      <c r="G4280" t="s">
        <v>299</v>
      </c>
      <c r="H4280">
        <v>26</v>
      </c>
      <c r="I4280" s="30">
        <v>4.5138888888888885E-3</v>
      </c>
      <c r="J4280">
        <v>1</v>
      </c>
    </row>
    <row r="4281" spans="1:10" x14ac:dyDescent="0.35">
      <c r="A4281" t="s">
        <v>4664</v>
      </c>
      <c r="B4281" t="s">
        <v>316</v>
      </c>
      <c r="C4281" t="s">
        <v>4605</v>
      </c>
      <c r="D4281" s="30">
        <v>0.74299768518518516</v>
      </c>
      <c r="E4281" t="s">
        <v>298</v>
      </c>
      <c r="F4281" t="s">
        <v>303</v>
      </c>
      <c r="G4281" t="s">
        <v>303</v>
      </c>
    </row>
    <row r="4282" spans="1:10" x14ac:dyDescent="0.35">
      <c r="A4282" t="s">
        <v>4665</v>
      </c>
      <c r="B4282" t="s">
        <v>305</v>
      </c>
      <c r="C4282" t="s">
        <v>4666</v>
      </c>
      <c r="D4282" s="30">
        <v>0.37900462962962961</v>
      </c>
      <c r="E4282" t="s">
        <v>309</v>
      </c>
      <c r="F4282" t="s">
        <v>299</v>
      </c>
      <c r="G4282" t="s">
        <v>303</v>
      </c>
      <c r="H4282">
        <v>50</v>
      </c>
      <c r="I4282" s="30">
        <v>1.9907407407407408E-3</v>
      </c>
      <c r="J4282">
        <v>4</v>
      </c>
    </row>
    <row r="4283" spans="1:10" x14ac:dyDescent="0.35">
      <c r="A4283" t="s">
        <v>4667</v>
      </c>
      <c r="B4283" t="s">
        <v>332</v>
      </c>
      <c r="C4283" t="s">
        <v>4666</v>
      </c>
      <c r="D4283" s="30">
        <v>0.37900462962962961</v>
      </c>
      <c r="E4283" t="s">
        <v>317</v>
      </c>
      <c r="F4283" t="s">
        <v>299</v>
      </c>
      <c r="G4283" t="s">
        <v>299</v>
      </c>
      <c r="H4283">
        <v>57</v>
      </c>
      <c r="I4283" s="30">
        <v>4.2361111111111115E-3</v>
      </c>
      <c r="J4283">
        <v>5</v>
      </c>
    </row>
    <row r="4284" spans="1:10" x14ac:dyDescent="0.35">
      <c r="A4284" t="s">
        <v>4668</v>
      </c>
      <c r="B4284" t="s">
        <v>316</v>
      </c>
      <c r="C4284" t="s">
        <v>4666</v>
      </c>
      <c r="D4284" s="30">
        <v>0.40500000000000003</v>
      </c>
      <c r="E4284" t="s">
        <v>302</v>
      </c>
      <c r="F4284" t="s">
        <v>299</v>
      </c>
      <c r="G4284" t="s">
        <v>299</v>
      </c>
      <c r="H4284">
        <v>26</v>
      </c>
      <c r="I4284" s="30">
        <v>9.1435185185185185E-4</v>
      </c>
      <c r="J4284">
        <v>5</v>
      </c>
    </row>
    <row r="4285" spans="1:10" x14ac:dyDescent="0.35">
      <c r="A4285" t="s">
        <v>4669</v>
      </c>
      <c r="B4285" t="s">
        <v>307</v>
      </c>
      <c r="C4285" t="s">
        <v>4666</v>
      </c>
      <c r="D4285" s="30">
        <v>0.40500000000000003</v>
      </c>
      <c r="E4285" t="s">
        <v>314</v>
      </c>
      <c r="F4285" t="s">
        <v>299</v>
      </c>
      <c r="G4285" t="s">
        <v>299</v>
      </c>
      <c r="H4285">
        <v>104</v>
      </c>
      <c r="I4285" s="30">
        <v>4.8379629629629632E-3</v>
      </c>
      <c r="J4285">
        <v>1</v>
      </c>
    </row>
    <row r="4286" spans="1:10" x14ac:dyDescent="0.35">
      <c r="A4286" t="s">
        <v>4670</v>
      </c>
      <c r="B4286" t="s">
        <v>301</v>
      </c>
      <c r="C4286" t="s">
        <v>4666</v>
      </c>
      <c r="D4286" s="30">
        <v>0.45799768518518519</v>
      </c>
      <c r="E4286" t="s">
        <v>302</v>
      </c>
      <c r="F4286" t="s">
        <v>299</v>
      </c>
      <c r="G4286" t="s">
        <v>299</v>
      </c>
      <c r="H4286">
        <v>93</v>
      </c>
      <c r="I4286" s="30">
        <v>3.7152777777777778E-3</v>
      </c>
      <c r="J4286">
        <v>1</v>
      </c>
    </row>
    <row r="4287" spans="1:10" x14ac:dyDescent="0.35">
      <c r="A4287" t="s">
        <v>4671</v>
      </c>
      <c r="B4287" t="s">
        <v>316</v>
      </c>
      <c r="C4287" t="s">
        <v>4666</v>
      </c>
      <c r="D4287" s="30">
        <v>0.45799768518518519</v>
      </c>
      <c r="E4287" t="s">
        <v>302</v>
      </c>
      <c r="F4287" t="s">
        <v>299</v>
      </c>
      <c r="G4287" t="s">
        <v>299</v>
      </c>
      <c r="H4287">
        <v>108</v>
      </c>
      <c r="I4287" s="30">
        <v>1.4467592592592592E-3</v>
      </c>
      <c r="J4287">
        <v>3</v>
      </c>
    </row>
    <row r="4288" spans="1:10" x14ac:dyDescent="0.35">
      <c r="A4288" t="s">
        <v>4672</v>
      </c>
      <c r="B4288" t="s">
        <v>323</v>
      </c>
      <c r="C4288" t="s">
        <v>4666</v>
      </c>
      <c r="D4288" s="30">
        <v>0.47599537037037037</v>
      </c>
      <c r="E4288" t="s">
        <v>317</v>
      </c>
      <c r="F4288" t="s">
        <v>299</v>
      </c>
      <c r="G4288" t="s">
        <v>299</v>
      </c>
      <c r="H4288">
        <v>42</v>
      </c>
      <c r="I4288" s="30">
        <v>1.6435185185185185E-3</v>
      </c>
      <c r="J4288">
        <v>5</v>
      </c>
    </row>
    <row r="4289" spans="1:10" x14ac:dyDescent="0.35">
      <c r="A4289" t="s">
        <v>4673</v>
      </c>
      <c r="B4289" t="s">
        <v>323</v>
      </c>
      <c r="C4289" t="s">
        <v>4666</v>
      </c>
      <c r="D4289" s="30">
        <v>0.47599537037037037</v>
      </c>
      <c r="E4289" t="s">
        <v>302</v>
      </c>
      <c r="F4289" t="s">
        <v>303</v>
      </c>
      <c r="G4289" t="s">
        <v>303</v>
      </c>
    </row>
    <row r="4290" spans="1:10" x14ac:dyDescent="0.35">
      <c r="A4290" t="s">
        <v>4674</v>
      </c>
      <c r="B4290" t="s">
        <v>316</v>
      </c>
      <c r="C4290" t="s">
        <v>4666</v>
      </c>
      <c r="D4290" s="30">
        <v>0.48900462962962965</v>
      </c>
      <c r="E4290" t="s">
        <v>314</v>
      </c>
      <c r="F4290" t="s">
        <v>299</v>
      </c>
      <c r="G4290" t="s">
        <v>299</v>
      </c>
      <c r="H4290">
        <v>94</v>
      </c>
      <c r="I4290" s="30">
        <v>3.6689814814814814E-3</v>
      </c>
      <c r="J4290">
        <v>5</v>
      </c>
    </row>
    <row r="4291" spans="1:10" x14ac:dyDescent="0.35">
      <c r="A4291" t="s">
        <v>4675</v>
      </c>
      <c r="B4291" t="s">
        <v>332</v>
      </c>
      <c r="C4291" t="s">
        <v>4666</v>
      </c>
      <c r="D4291" s="30">
        <v>0.48900462962962965</v>
      </c>
      <c r="E4291" t="s">
        <v>298</v>
      </c>
      <c r="F4291" t="s">
        <v>299</v>
      </c>
      <c r="G4291" t="s">
        <v>299</v>
      </c>
      <c r="H4291">
        <v>74</v>
      </c>
      <c r="I4291" s="30">
        <v>2.1412037037037038E-3</v>
      </c>
      <c r="J4291">
        <v>3</v>
      </c>
    </row>
    <row r="4292" spans="1:10" x14ac:dyDescent="0.35">
      <c r="A4292" t="s">
        <v>4676</v>
      </c>
      <c r="B4292" t="s">
        <v>296</v>
      </c>
      <c r="C4292" t="s">
        <v>4666</v>
      </c>
      <c r="D4292" s="30">
        <v>0.53</v>
      </c>
      <c r="E4292" t="s">
        <v>298</v>
      </c>
      <c r="F4292" t="s">
        <v>299</v>
      </c>
      <c r="G4292" t="s">
        <v>299</v>
      </c>
      <c r="H4292">
        <v>117</v>
      </c>
      <c r="I4292" s="30">
        <v>1.6319444444444445E-3</v>
      </c>
      <c r="J4292">
        <v>5</v>
      </c>
    </row>
    <row r="4293" spans="1:10" x14ac:dyDescent="0.35">
      <c r="A4293" t="s">
        <v>4677</v>
      </c>
      <c r="B4293" t="s">
        <v>332</v>
      </c>
      <c r="C4293" t="s">
        <v>4666</v>
      </c>
      <c r="D4293" s="30">
        <v>0.53</v>
      </c>
      <c r="E4293" t="s">
        <v>314</v>
      </c>
      <c r="F4293" t="s">
        <v>303</v>
      </c>
      <c r="G4293" t="s">
        <v>303</v>
      </c>
    </row>
    <row r="4294" spans="1:10" x14ac:dyDescent="0.35">
      <c r="A4294" t="s">
        <v>4678</v>
      </c>
      <c r="B4294" t="s">
        <v>323</v>
      </c>
      <c r="C4294" t="s">
        <v>4666</v>
      </c>
      <c r="D4294" s="30">
        <v>0.54299768518518521</v>
      </c>
      <c r="E4294" t="s">
        <v>309</v>
      </c>
      <c r="F4294" t="s">
        <v>299</v>
      </c>
      <c r="G4294" t="s">
        <v>299</v>
      </c>
      <c r="H4294">
        <v>49</v>
      </c>
      <c r="I4294" s="30">
        <v>6.2500000000000001E-4</v>
      </c>
      <c r="J4294">
        <v>1</v>
      </c>
    </row>
    <row r="4295" spans="1:10" x14ac:dyDescent="0.35">
      <c r="A4295" t="s">
        <v>4679</v>
      </c>
      <c r="B4295" t="s">
        <v>296</v>
      </c>
      <c r="C4295" t="s">
        <v>4666</v>
      </c>
      <c r="D4295" s="30">
        <v>0.54299768518518521</v>
      </c>
      <c r="E4295" t="s">
        <v>317</v>
      </c>
      <c r="F4295" t="s">
        <v>299</v>
      </c>
      <c r="G4295" t="s">
        <v>299</v>
      </c>
      <c r="H4295">
        <v>23</v>
      </c>
      <c r="I4295" s="30">
        <v>3.2407407407407406E-3</v>
      </c>
      <c r="J4295">
        <v>3</v>
      </c>
    </row>
    <row r="4296" spans="1:10" x14ac:dyDescent="0.35">
      <c r="A4296" t="s">
        <v>4680</v>
      </c>
      <c r="B4296" t="s">
        <v>319</v>
      </c>
      <c r="C4296" t="s">
        <v>4666</v>
      </c>
      <c r="D4296" s="30">
        <v>0.5590046296296296</v>
      </c>
      <c r="E4296" t="s">
        <v>317</v>
      </c>
      <c r="F4296" t="s">
        <v>303</v>
      </c>
      <c r="G4296" t="s">
        <v>303</v>
      </c>
    </row>
    <row r="4297" spans="1:10" x14ac:dyDescent="0.35">
      <c r="A4297" t="s">
        <v>4681</v>
      </c>
      <c r="B4297" t="s">
        <v>323</v>
      </c>
      <c r="C4297" t="s">
        <v>4666</v>
      </c>
      <c r="D4297" s="30">
        <v>0.5590046296296296</v>
      </c>
      <c r="E4297" t="s">
        <v>317</v>
      </c>
      <c r="F4297" t="s">
        <v>299</v>
      </c>
      <c r="G4297" t="s">
        <v>299</v>
      </c>
      <c r="H4297">
        <v>84</v>
      </c>
      <c r="I4297" s="30">
        <v>1.5740740740740741E-3</v>
      </c>
      <c r="J4297">
        <v>5</v>
      </c>
    </row>
    <row r="4298" spans="1:10" x14ac:dyDescent="0.35">
      <c r="A4298" t="s">
        <v>4682</v>
      </c>
      <c r="B4298" t="s">
        <v>323</v>
      </c>
      <c r="C4298" t="s">
        <v>4666</v>
      </c>
      <c r="D4298" s="30">
        <v>0.58200231481481479</v>
      </c>
      <c r="E4298" t="s">
        <v>309</v>
      </c>
      <c r="F4298" t="s">
        <v>299</v>
      </c>
      <c r="G4298" t="s">
        <v>299</v>
      </c>
      <c r="H4298">
        <v>69</v>
      </c>
      <c r="I4298" s="30">
        <v>9.1435185185185185E-4</v>
      </c>
      <c r="J4298">
        <v>1</v>
      </c>
    </row>
    <row r="4299" spans="1:10" x14ac:dyDescent="0.35">
      <c r="A4299" t="s">
        <v>4683</v>
      </c>
      <c r="B4299" t="s">
        <v>296</v>
      </c>
      <c r="C4299" t="s">
        <v>4666</v>
      </c>
      <c r="D4299" s="30">
        <v>0.58200231481481479</v>
      </c>
      <c r="E4299" t="s">
        <v>302</v>
      </c>
      <c r="F4299" t="s">
        <v>299</v>
      </c>
      <c r="G4299" t="s">
        <v>299</v>
      </c>
      <c r="H4299">
        <v>25</v>
      </c>
      <c r="I4299" s="30">
        <v>3.2870370370370371E-3</v>
      </c>
      <c r="J4299">
        <v>3</v>
      </c>
    </row>
    <row r="4300" spans="1:10" x14ac:dyDescent="0.35">
      <c r="A4300" t="s">
        <v>4684</v>
      </c>
      <c r="B4300" t="s">
        <v>301</v>
      </c>
      <c r="C4300" t="s">
        <v>4666</v>
      </c>
      <c r="D4300" s="30">
        <v>0.58400462962962962</v>
      </c>
      <c r="E4300" t="s">
        <v>309</v>
      </c>
      <c r="F4300" t="s">
        <v>303</v>
      </c>
      <c r="G4300" t="s">
        <v>303</v>
      </c>
    </row>
    <row r="4301" spans="1:10" x14ac:dyDescent="0.35">
      <c r="A4301" t="s">
        <v>4685</v>
      </c>
      <c r="B4301" t="s">
        <v>323</v>
      </c>
      <c r="C4301" t="s">
        <v>4666</v>
      </c>
      <c r="D4301" s="30">
        <v>0.58400462962962962</v>
      </c>
      <c r="E4301" t="s">
        <v>302</v>
      </c>
      <c r="F4301" t="s">
        <v>303</v>
      </c>
      <c r="G4301" t="s">
        <v>303</v>
      </c>
    </row>
    <row r="4302" spans="1:10" x14ac:dyDescent="0.35">
      <c r="A4302" t="s">
        <v>4686</v>
      </c>
      <c r="B4302" t="s">
        <v>307</v>
      </c>
      <c r="C4302" t="s">
        <v>4666</v>
      </c>
      <c r="D4302" s="30">
        <v>0.59700231481481481</v>
      </c>
      <c r="E4302" t="s">
        <v>309</v>
      </c>
      <c r="F4302" t="s">
        <v>299</v>
      </c>
      <c r="G4302" t="s">
        <v>299</v>
      </c>
      <c r="H4302">
        <v>34</v>
      </c>
      <c r="I4302" s="30">
        <v>3.1597222222222222E-3</v>
      </c>
      <c r="J4302">
        <v>4</v>
      </c>
    </row>
    <row r="4303" spans="1:10" x14ac:dyDescent="0.35">
      <c r="A4303" t="s">
        <v>4687</v>
      </c>
      <c r="B4303" t="s">
        <v>319</v>
      </c>
      <c r="C4303" t="s">
        <v>4666</v>
      </c>
      <c r="D4303" s="30">
        <v>0.59700231481481481</v>
      </c>
      <c r="E4303" t="s">
        <v>317</v>
      </c>
      <c r="F4303" t="s">
        <v>299</v>
      </c>
      <c r="G4303" t="s">
        <v>303</v>
      </c>
      <c r="H4303">
        <v>45</v>
      </c>
      <c r="I4303" s="30">
        <v>2.6041666666666665E-3</v>
      </c>
      <c r="J4303">
        <v>1</v>
      </c>
    </row>
    <row r="4304" spans="1:10" x14ac:dyDescent="0.35">
      <c r="A4304" t="s">
        <v>4688</v>
      </c>
      <c r="B4304" t="s">
        <v>323</v>
      </c>
      <c r="C4304" t="s">
        <v>4666</v>
      </c>
      <c r="D4304" s="30">
        <v>0.59799768518518515</v>
      </c>
      <c r="E4304" t="s">
        <v>317</v>
      </c>
      <c r="F4304" t="s">
        <v>303</v>
      </c>
      <c r="G4304" t="s">
        <v>303</v>
      </c>
    </row>
    <row r="4305" spans="1:10" x14ac:dyDescent="0.35">
      <c r="A4305" t="s">
        <v>4689</v>
      </c>
      <c r="B4305" t="s">
        <v>332</v>
      </c>
      <c r="C4305" t="s">
        <v>4666</v>
      </c>
      <c r="D4305" s="30">
        <v>0.59799768518518515</v>
      </c>
      <c r="E4305" t="s">
        <v>309</v>
      </c>
      <c r="F4305" t="s">
        <v>299</v>
      </c>
      <c r="G4305" t="s">
        <v>299</v>
      </c>
      <c r="H4305">
        <v>29</v>
      </c>
      <c r="I4305" s="30">
        <v>1.2731481481481483E-3</v>
      </c>
      <c r="J4305">
        <v>5</v>
      </c>
    </row>
    <row r="4306" spans="1:10" x14ac:dyDescent="0.35">
      <c r="A4306" t="s">
        <v>4690</v>
      </c>
      <c r="B4306" t="s">
        <v>316</v>
      </c>
      <c r="C4306" t="s">
        <v>4666</v>
      </c>
      <c r="D4306" s="30">
        <v>0.63700231481481484</v>
      </c>
      <c r="E4306" t="s">
        <v>302</v>
      </c>
      <c r="F4306" t="s">
        <v>299</v>
      </c>
      <c r="G4306" t="s">
        <v>299</v>
      </c>
      <c r="H4306">
        <v>26</v>
      </c>
      <c r="I4306" s="30">
        <v>2.2569444444444442E-3</v>
      </c>
      <c r="J4306">
        <v>4</v>
      </c>
    </row>
    <row r="4307" spans="1:10" x14ac:dyDescent="0.35">
      <c r="A4307" t="s">
        <v>4691</v>
      </c>
      <c r="B4307" t="s">
        <v>296</v>
      </c>
      <c r="C4307" t="s">
        <v>4666</v>
      </c>
      <c r="D4307" s="30">
        <v>0.63700231481481484</v>
      </c>
      <c r="E4307" t="s">
        <v>317</v>
      </c>
      <c r="F4307" t="s">
        <v>299</v>
      </c>
      <c r="G4307" t="s">
        <v>299</v>
      </c>
      <c r="H4307">
        <v>115</v>
      </c>
      <c r="I4307" s="30">
        <v>3.1018518518518517E-3</v>
      </c>
      <c r="J4307">
        <v>4</v>
      </c>
    </row>
    <row r="4308" spans="1:10" x14ac:dyDescent="0.35">
      <c r="A4308" t="s">
        <v>4692</v>
      </c>
      <c r="B4308" t="s">
        <v>323</v>
      </c>
      <c r="C4308" t="s">
        <v>4666</v>
      </c>
      <c r="D4308" s="30">
        <v>0.6579976851851852</v>
      </c>
      <c r="E4308" t="s">
        <v>309</v>
      </c>
      <c r="F4308" t="s">
        <v>299</v>
      </c>
      <c r="G4308" t="s">
        <v>299</v>
      </c>
      <c r="H4308">
        <v>78</v>
      </c>
      <c r="I4308" s="30">
        <v>2.8703703703703703E-3</v>
      </c>
      <c r="J4308">
        <v>3</v>
      </c>
    </row>
    <row r="4309" spans="1:10" x14ac:dyDescent="0.35">
      <c r="A4309" t="s">
        <v>4693</v>
      </c>
      <c r="B4309" t="s">
        <v>316</v>
      </c>
      <c r="C4309" t="s">
        <v>4666</v>
      </c>
      <c r="D4309" s="30">
        <v>0.6579976851851852</v>
      </c>
      <c r="E4309" t="s">
        <v>317</v>
      </c>
      <c r="F4309" t="s">
        <v>299</v>
      </c>
      <c r="G4309" t="s">
        <v>303</v>
      </c>
      <c r="H4309">
        <v>41</v>
      </c>
      <c r="I4309" s="30">
        <v>2.9050925925925928E-3</v>
      </c>
      <c r="J4309">
        <v>3</v>
      </c>
    </row>
    <row r="4310" spans="1:10" x14ac:dyDescent="0.35">
      <c r="A4310" t="s">
        <v>4694</v>
      </c>
      <c r="B4310" t="s">
        <v>296</v>
      </c>
      <c r="C4310" t="s">
        <v>4666</v>
      </c>
      <c r="D4310" s="30">
        <v>0.68099537037037039</v>
      </c>
      <c r="E4310" t="s">
        <v>298</v>
      </c>
      <c r="F4310" t="s">
        <v>299</v>
      </c>
      <c r="G4310" t="s">
        <v>299</v>
      </c>
      <c r="H4310">
        <v>21</v>
      </c>
      <c r="I4310" s="30">
        <v>1.6898148148148148E-3</v>
      </c>
      <c r="J4310">
        <v>5</v>
      </c>
    </row>
    <row r="4311" spans="1:10" x14ac:dyDescent="0.35">
      <c r="A4311" t="s">
        <v>4695</v>
      </c>
      <c r="B4311" t="s">
        <v>332</v>
      </c>
      <c r="C4311" t="s">
        <v>4666</v>
      </c>
      <c r="D4311" s="30">
        <v>0.68099537037037039</v>
      </c>
      <c r="E4311" t="s">
        <v>317</v>
      </c>
      <c r="F4311" t="s">
        <v>303</v>
      </c>
      <c r="G4311" t="s">
        <v>303</v>
      </c>
    </row>
    <row r="4312" spans="1:10" x14ac:dyDescent="0.35">
      <c r="A4312" t="s">
        <v>4696</v>
      </c>
      <c r="B4312" t="s">
        <v>323</v>
      </c>
      <c r="C4312" t="s">
        <v>4666</v>
      </c>
      <c r="D4312" s="30">
        <v>0.68200231481481477</v>
      </c>
      <c r="E4312" t="s">
        <v>317</v>
      </c>
      <c r="F4312" t="s">
        <v>299</v>
      </c>
      <c r="G4312" t="s">
        <v>299</v>
      </c>
      <c r="H4312">
        <v>47</v>
      </c>
      <c r="I4312" s="30">
        <v>3.1250000000000002E-3</v>
      </c>
      <c r="J4312">
        <v>5</v>
      </c>
    </row>
    <row r="4313" spans="1:10" x14ac:dyDescent="0.35">
      <c r="A4313" t="s">
        <v>4697</v>
      </c>
      <c r="B4313" t="s">
        <v>316</v>
      </c>
      <c r="C4313" t="s">
        <v>4666</v>
      </c>
      <c r="D4313" s="30">
        <v>0.68200231481481477</v>
      </c>
      <c r="E4313" t="s">
        <v>309</v>
      </c>
      <c r="F4313" t="s">
        <v>299</v>
      </c>
      <c r="G4313" t="s">
        <v>303</v>
      </c>
      <c r="H4313">
        <v>98</v>
      </c>
      <c r="I4313" s="30">
        <v>4.1550925925925922E-3</v>
      </c>
      <c r="J4313">
        <v>2</v>
      </c>
    </row>
    <row r="4314" spans="1:10" x14ac:dyDescent="0.35">
      <c r="A4314" t="s">
        <v>4698</v>
      </c>
      <c r="B4314" t="s">
        <v>319</v>
      </c>
      <c r="C4314" t="s">
        <v>4666</v>
      </c>
      <c r="D4314" s="30">
        <v>0.6959953703703704</v>
      </c>
      <c r="E4314" t="s">
        <v>298</v>
      </c>
      <c r="F4314" t="s">
        <v>303</v>
      </c>
      <c r="G4314" t="s">
        <v>303</v>
      </c>
    </row>
    <row r="4315" spans="1:10" x14ac:dyDescent="0.35">
      <c r="A4315" t="s">
        <v>4699</v>
      </c>
      <c r="B4315" t="s">
        <v>323</v>
      </c>
      <c r="C4315" t="s">
        <v>4666</v>
      </c>
      <c r="D4315" s="30">
        <v>0.6959953703703704</v>
      </c>
      <c r="E4315" t="s">
        <v>309</v>
      </c>
      <c r="F4315" t="s">
        <v>299</v>
      </c>
      <c r="G4315" t="s">
        <v>299</v>
      </c>
      <c r="H4315">
        <v>51</v>
      </c>
      <c r="I4315" s="30">
        <v>3.1712962962962962E-3</v>
      </c>
      <c r="J4315">
        <v>4</v>
      </c>
    </row>
    <row r="4316" spans="1:10" x14ac:dyDescent="0.35">
      <c r="A4316" t="s">
        <v>4700</v>
      </c>
      <c r="B4316" t="s">
        <v>301</v>
      </c>
      <c r="C4316" t="s">
        <v>4666</v>
      </c>
      <c r="D4316" s="30">
        <v>0.69900462962962961</v>
      </c>
      <c r="E4316" t="s">
        <v>317</v>
      </c>
      <c r="F4316" t="s">
        <v>299</v>
      </c>
      <c r="G4316" t="s">
        <v>299</v>
      </c>
      <c r="H4316">
        <v>70</v>
      </c>
      <c r="I4316" s="30">
        <v>3.8773148148148148E-3</v>
      </c>
      <c r="J4316">
        <v>4</v>
      </c>
    </row>
    <row r="4317" spans="1:10" x14ac:dyDescent="0.35">
      <c r="A4317" t="s">
        <v>4701</v>
      </c>
      <c r="B4317" t="s">
        <v>296</v>
      </c>
      <c r="C4317" t="s">
        <v>4666</v>
      </c>
      <c r="D4317" s="30">
        <v>0.69900462962962961</v>
      </c>
      <c r="E4317" t="s">
        <v>298</v>
      </c>
      <c r="F4317" t="s">
        <v>299</v>
      </c>
      <c r="G4317" t="s">
        <v>299</v>
      </c>
      <c r="H4317">
        <v>58</v>
      </c>
      <c r="I4317" s="30">
        <v>4.3981481481481484E-3</v>
      </c>
      <c r="J4317">
        <v>2</v>
      </c>
    </row>
    <row r="4318" spans="1:10" x14ac:dyDescent="0.35">
      <c r="A4318" t="s">
        <v>4702</v>
      </c>
      <c r="B4318" t="s">
        <v>316</v>
      </c>
      <c r="C4318" t="s">
        <v>4666</v>
      </c>
      <c r="D4318" s="30">
        <v>0.70299768518518524</v>
      </c>
      <c r="E4318" t="s">
        <v>302</v>
      </c>
      <c r="F4318" t="s">
        <v>303</v>
      </c>
      <c r="G4318" t="s">
        <v>303</v>
      </c>
    </row>
    <row r="4319" spans="1:10" x14ac:dyDescent="0.35">
      <c r="A4319" t="s">
        <v>4703</v>
      </c>
      <c r="B4319" t="s">
        <v>307</v>
      </c>
      <c r="C4319" t="s">
        <v>4666</v>
      </c>
      <c r="D4319" s="30">
        <v>0.70299768518518524</v>
      </c>
      <c r="E4319" t="s">
        <v>314</v>
      </c>
      <c r="F4319" t="s">
        <v>303</v>
      </c>
      <c r="G4319" t="s">
        <v>303</v>
      </c>
    </row>
    <row r="4320" spans="1:10" x14ac:dyDescent="0.35">
      <c r="A4320" t="s">
        <v>4704</v>
      </c>
      <c r="B4320" t="s">
        <v>307</v>
      </c>
      <c r="C4320" t="s">
        <v>4666</v>
      </c>
      <c r="D4320" s="30">
        <v>0.7170023148148148</v>
      </c>
      <c r="E4320" t="s">
        <v>317</v>
      </c>
      <c r="F4320" t="s">
        <v>299</v>
      </c>
      <c r="G4320" t="s">
        <v>299</v>
      </c>
      <c r="H4320">
        <v>39</v>
      </c>
      <c r="I4320" s="30">
        <v>2.7083333333333334E-3</v>
      </c>
      <c r="J4320">
        <v>5</v>
      </c>
    </row>
    <row r="4321" spans="1:10" x14ac:dyDescent="0.35">
      <c r="A4321" t="s">
        <v>4705</v>
      </c>
      <c r="B4321" t="s">
        <v>319</v>
      </c>
      <c r="C4321" t="s">
        <v>4666</v>
      </c>
      <c r="D4321" s="30">
        <v>0.7170023148148148</v>
      </c>
      <c r="E4321" t="s">
        <v>309</v>
      </c>
      <c r="F4321" t="s">
        <v>299</v>
      </c>
      <c r="G4321" t="s">
        <v>299</v>
      </c>
      <c r="H4321">
        <v>55</v>
      </c>
      <c r="I4321" s="30">
        <v>2.3726851851851851E-3</v>
      </c>
      <c r="J4321">
        <v>1</v>
      </c>
    </row>
    <row r="4322" spans="1:10" x14ac:dyDescent="0.35">
      <c r="A4322" t="s">
        <v>4706</v>
      </c>
      <c r="B4322" t="s">
        <v>296</v>
      </c>
      <c r="C4322" t="s">
        <v>4666</v>
      </c>
      <c r="D4322" s="30">
        <v>0.71799768518518514</v>
      </c>
      <c r="E4322" t="s">
        <v>298</v>
      </c>
      <c r="F4322" t="s">
        <v>299</v>
      </c>
      <c r="G4322" t="s">
        <v>299</v>
      </c>
      <c r="H4322">
        <v>80</v>
      </c>
      <c r="I4322" s="30">
        <v>2.1412037037037038E-3</v>
      </c>
      <c r="J4322">
        <v>3</v>
      </c>
    </row>
    <row r="4323" spans="1:10" x14ac:dyDescent="0.35">
      <c r="A4323" t="s">
        <v>4707</v>
      </c>
      <c r="B4323" t="s">
        <v>332</v>
      </c>
      <c r="C4323" t="s">
        <v>4666</v>
      </c>
      <c r="D4323" s="30">
        <v>0.71799768518518514</v>
      </c>
      <c r="E4323" t="s">
        <v>309</v>
      </c>
      <c r="F4323" t="s">
        <v>299</v>
      </c>
      <c r="G4323" t="s">
        <v>299</v>
      </c>
      <c r="H4323">
        <v>68</v>
      </c>
      <c r="I4323" s="30">
        <v>2.4189814814814816E-3</v>
      </c>
      <c r="J4323">
        <v>4</v>
      </c>
    </row>
    <row r="4324" spans="1:10" x14ac:dyDescent="0.35">
      <c r="A4324" t="s">
        <v>4708</v>
      </c>
      <c r="B4324" t="s">
        <v>296</v>
      </c>
      <c r="C4324" t="s">
        <v>4666</v>
      </c>
      <c r="D4324" s="30">
        <v>0.72499999999999998</v>
      </c>
      <c r="E4324" t="s">
        <v>302</v>
      </c>
      <c r="F4324" t="s">
        <v>299</v>
      </c>
      <c r="G4324" t="s">
        <v>299</v>
      </c>
      <c r="H4324">
        <v>96</v>
      </c>
      <c r="I4324" s="30">
        <v>1.5509259259259259E-3</v>
      </c>
      <c r="J4324">
        <v>3</v>
      </c>
    </row>
    <row r="4325" spans="1:10" x14ac:dyDescent="0.35">
      <c r="A4325" t="s">
        <v>4709</v>
      </c>
      <c r="B4325" t="s">
        <v>307</v>
      </c>
      <c r="C4325" t="s">
        <v>4666</v>
      </c>
      <c r="D4325" s="30">
        <v>0.72499999999999998</v>
      </c>
      <c r="E4325" t="s">
        <v>309</v>
      </c>
      <c r="F4325" t="s">
        <v>299</v>
      </c>
      <c r="G4325" t="s">
        <v>299</v>
      </c>
      <c r="H4325">
        <v>32</v>
      </c>
      <c r="I4325" s="30">
        <v>2.638888888888889E-3</v>
      </c>
      <c r="J4325">
        <v>3</v>
      </c>
    </row>
    <row r="4326" spans="1:10" x14ac:dyDescent="0.35">
      <c r="A4326" t="s">
        <v>4710</v>
      </c>
      <c r="B4326" t="s">
        <v>305</v>
      </c>
      <c r="C4326" t="s">
        <v>4666</v>
      </c>
      <c r="D4326" s="30">
        <v>0.72700231481481481</v>
      </c>
      <c r="E4326" t="s">
        <v>314</v>
      </c>
      <c r="F4326" t="s">
        <v>303</v>
      </c>
      <c r="G4326" t="s">
        <v>303</v>
      </c>
    </row>
    <row r="4327" spans="1:10" x14ac:dyDescent="0.35">
      <c r="A4327" t="s">
        <v>4711</v>
      </c>
      <c r="B4327" t="s">
        <v>296</v>
      </c>
      <c r="C4327" t="s">
        <v>4666</v>
      </c>
      <c r="D4327" s="30">
        <v>0.72700231481481481</v>
      </c>
      <c r="E4327" t="s">
        <v>317</v>
      </c>
      <c r="F4327" t="s">
        <v>299</v>
      </c>
      <c r="G4327" t="s">
        <v>299</v>
      </c>
      <c r="H4327">
        <v>90</v>
      </c>
      <c r="I4327" s="30">
        <v>1.3078703703703703E-3</v>
      </c>
      <c r="J4327">
        <v>3</v>
      </c>
    </row>
    <row r="4328" spans="1:10" x14ac:dyDescent="0.35">
      <c r="A4328" t="s">
        <v>4712</v>
      </c>
      <c r="B4328" t="s">
        <v>332</v>
      </c>
      <c r="C4328" t="s">
        <v>4666</v>
      </c>
      <c r="D4328" s="30">
        <v>0.74200231481481482</v>
      </c>
      <c r="E4328" t="s">
        <v>317</v>
      </c>
      <c r="F4328" t="s">
        <v>299</v>
      </c>
      <c r="G4328" t="s">
        <v>299</v>
      </c>
      <c r="H4328">
        <v>108</v>
      </c>
      <c r="I4328" s="30">
        <v>2.2569444444444442E-3</v>
      </c>
      <c r="J4328">
        <v>4</v>
      </c>
    </row>
    <row r="4329" spans="1:10" x14ac:dyDescent="0.35">
      <c r="A4329" t="s">
        <v>4713</v>
      </c>
      <c r="B4329" t="s">
        <v>305</v>
      </c>
      <c r="C4329" t="s">
        <v>4666</v>
      </c>
      <c r="D4329" s="30">
        <v>0.74200231481481482</v>
      </c>
      <c r="E4329" t="s">
        <v>302</v>
      </c>
      <c r="F4329" t="s">
        <v>299</v>
      </c>
      <c r="G4329" t="s">
        <v>303</v>
      </c>
      <c r="H4329">
        <v>120</v>
      </c>
      <c r="I4329" s="30">
        <v>3.8657407407407408E-3</v>
      </c>
      <c r="J4329">
        <v>4</v>
      </c>
    </row>
    <row r="4330" spans="1:10" x14ac:dyDescent="0.35">
      <c r="A4330" t="s">
        <v>4714</v>
      </c>
      <c r="B4330" t="s">
        <v>332</v>
      </c>
      <c r="C4330" t="s">
        <v>4666</v>
      </c>
      <c r="D4330" s="30">
        <v>0.75</v>
      </c>
      <c r="E4330" t="s">
        <v>298</v>
      </c>
      <c r="F4330" t="s">
        <v>299</v>
      </c>
      <c r="G4330" t="s">
        <v>299</v>
      </c>
      <c r="H4330">
        <v>21</v>
      </c>
      <c r="I4330" s="30">
        <v>3.2291666666666666E-3</v>
      </c>
      <c r="J4330">
        <v>5</v>
      </c>
    </row>
    <row r="4331" spans="1:10" x14ac:dyDescent="0.35">
      <c r="A4331" t="s">
        <v>4715</v>
      </c>
      <c r="B4331" t="s">
        <v>307</v>
      </c>
      <c r="C4331" t="s">
        <v>4666</v>
      </c>
      <c r="D4331" s="30">
        <v>0.75</v>
      </c>
      <c r="E4331" t="s">
        <v>298</v>
      </c>
      <c r="F4331" t="s">
        <v>303</v>
      </c>
      <c r="G4331" t="s">
        <v>303</v>
      </c>
    </row>
    <row r="4332" spans="1:10" x14ac:dyDescent="0.35">
      <c r="A4332" t="s">
        <v>4716</v>
      </c>
      <c r="B4332" t="s">
        <v>323</v>
      </c>
      <c r="C4332" t="s">
        <v>4717</v>
      </c>
      <c r="D4332" s="30">
        <v>0.38500000000000001</v>
      </c>
      <c r="E4332" t="s">
        <v>309</v>
      </c>
      <c r="F4332" t="s">
        <v>299</v>
      </c>
      <c r="G4332" t="s">
        <v>303</v>
      </c>
      <c r="H4332">
        <v>59</v>
      </c>
      <c r="I4332" s="30">
        <v>1.9328703703703704E-3</v>
      </c>
      <c r="J4332">
        <v>4</v>
      </c>
    </row>
    <row r="4333" spans="1:10" x14ac:dyDescent="0.35">
      <c r="A4333" t="s">
        <v>4718</v>
      </c>
      <c r="B4333" t="s">
        <v>305</v>
      </c>
      <c r="C4333" t="s">
        <v>4717</v>
      </c>
      <c r="D4333" s="30">
        <v>0.38500000000000001</v>
      </c>
      <c r="E4333" t="s">
        <v>314</v>
      </c>
      <c r="F4333" t="s">
        <v>299</v>
      </c>
      <c r="G4333" t="s">
        <v>299</v>
      </c>
      <c r="H4333">
        <v>14</v>
      </c>
      <c r="I4333" s="30">
        <v>3.7268518518518519E-3</v>
      </c>
      <c r="J4333">
        <v>3</v>
      </c>
    </row>
    <row r="4334" spans="1:10" x14ac:dyDescent="0.35">
      <c r="A4334" t="s">
        <v>4719</v>
      </c>
      <c r="B4334" t="s">
        <v>319</v>
      </c>
      <c r="C4334" t="s">
        <v>4717</v>
      </c>
      <c r="D4334" s="30">
        <v>0.39</v>
      </c>
      <c r="E4334" t="s">
        <v>298</v>
      </c>
      <c r="F4334" t="s">
        <v>303</v>
      </c>
      <c r="G4334" t="s">
        <v>303</v>
      </c>
    </row>
    <row r="4335" spans="1:10" x14ac:dyDescent="0.35">
      <c r="A4335" t="s">
        <v>4720</v>
      </c>
      <c r="B4335" t="s">
        <v>305</v>
      </c>
      <c r="C4335" t="s">
        <v>4717</v>
      </c>
      <c r="D4335" s="30">
        <v>0.39</v>
      </c>
      <c r="E4335" t="s">
        <v>317</v>
      </c>
      <c r="F4335" t="s">
        <v>299</v>
      </c>
      <c r="G4335" t="s">
        <v>299</v>
      </c>
      <c r="H4335">
        <v>57</v>
      </c>
      <c r="I4335" s="30">
        <v>5.0925925925925921E-4</v>
      </c>
      <c r="J4335">
        <v>3</v>
      </c>
    </row>
    <row r="4336" spans="1:10" x14ac:dyDescent="0.35">
      <c r="A4336" t="s">
        <v>4721</v>
      </c>
      <c r="B4336" t="s">
        <v>332</v>
      </c>
      <c r="C4336" t="s">
        <v>4717</v>
      </c>
      <c r="D4336" s="30">
        <v>0.43900462962962961</v>
      </c>
      <c r="E4336" t="s">
        <v>317</v>
      </c>
      <c r="F4336" t="s">
        <v>299</v>
      </c>
      <c r="G4336" t="s">
        <v>299</v>
      </c>
      <c r="H4336">
        <v>123</v>
      </c>
      <c r="I4336" s="30">
        <v>2.8240740740740739E-3</v>
      </c>
      <c r="J4336">
        <v>3</v>
      </c>
    </row>
    <row r="4337" spans="1:10" x14ac:dyDescent="0.35">
      <c r="A4337" t="s">
        <v>4722</v>
      </c>
      <c r="B4337" t="s">
        <v>332</v>
      </c>
      <c r="C4337" t="s">
        <v>4717</v>
      </c>
      <c r="D4337" s="30">
        <v>0.43900462962962961</v>
      </c>
      <c r="E4337" t="s">
        <v>317</v>
      </c>
      <c r="F4337" t="s">
        <v>299</v>
      </c>
      <c r="G4337" t="s">
        <v>299</v>
      </c>
      <c r="H4337">
        <v>71</v>
      </c>
      <c r="I4337" s="30">
        <v>3.9467592592592592E-3</v>
      </c>
      <c r="J4337">
        <v>3</v>
      </c>
    </row>
    <row r="4338" spans="1:10" x14ac:dyDescent="0.35">
      <c r="A4338" t="s">
        <v>4723</v>
      </c>
      <c r="B4338" t="s">
        <v>305</v>
      </c>
      <c r="C4338" t="s">
        <v>4717</v>
      </c>
      <c r="D4338" s="30">
        <v>0.45599537037037036</v>
      </c>
      <c r="E4338" t="s">
        <v>298</v>
      </c>
      <c r="F4338" t="s">
        <v>299</v>
      </c>
      <c r="G4338" t="s">
        <v>303</v>
      </c>
      <c r="H4338">
        <v>71</v>
      </c>
      <c r="I4338" s="30">
        <v>2.9629629629629628E-3</v>
      </c>
      <c r="J4338">
        <v>3</v>
      </c>
    </row>
    <row r="4339" spans="1:10" x14ac:dyDescent="0.35">
      <c r="A4339" t="s">
        <v>4724</v>
      </c>
      <c r="B4339" t="s">
        <v>323</v>
      </c>
      <c r="C4339" t="s">
        <v>4717</v>
      </c>
      <c r="D4339" s="30">
        <v>0.45599537037037036</v>
      </c>
      <c r="E4339" t="s">
        <v>302</v>
      </c>
      <c r="F4339" t="s">
        <v>299</v>
      </c>
      <c r="G4339" t="s">
        <v>299</v>
      </c>
      <c r="H4339">
        <v>41</v>
      </c>
      <c r="I4339" s="30">
        <v>4.4212962962962964E-3</v>
      </c>
      <c r="J4339">
        <v>3</v>
      </c>
    </row>
    <row r="4340" spans="1:10" x14ac:dyDescent="0.35">
      <c r="A4340" t="s">
        <v>4725</v>
      </c>
      <c r="B4340" t="s">
        <v>332</v>
      </c>
      <c r="C4340" t="s">
        <v>4717</v>
      </c>
      <c r="D4340" s="30">
        <v>0.48499999999999999</v>
      </c>
      <c r="E4340" t="s">
        <v>298</v>
      </c>
      <c r="F4340" t="s">
        <v>303</v>
      </c>
      <c r="G4340" t="s">
        <v>303</v>
      </c>
    </row>
    <row r="4341" spans="1:10" x14ac:dyDescent="0.35">
      <c r="A4341" t="s">
        <v>4726</v>
      </c>
      <c r="B4341" t="s">
        <v>323</v>
      </c>
      <c r="C4341" t="s">
        <v>4717</v>
      </c>
      <c r="D4341" s="30">
        <v>0.48499999999999999</v>
      </c>
      <c r="E4341" t="s">
        <v>302</v>
      </c>
      <c r="F4341" t="s">
        <v>299</v>
      </c>
      <c r="G4341" t="s">
        <v>299</v>
      </c>
      <c r="H4341">
        <v>80</v>
      </c>
      <c r="I4341" s="30">
        <v>3.9699074074074072E-3</v>
      </c>
      <c r="J4341">
        <v>4</v>
      </c>
    </row>
    <row r="4342" spans="1:10" x14ac:dyDescent="0.35">
      <c r="A4342" t="s">
        <v>4727</v>
      </c>
      <c r="B4342" t="s">
        <v>305</v>
      </c>
      <c r="C4342" t="s">
        <v>4717</v>
      </c>
      <c r="D4342" s="30">
        <v>0.50200231481481483</v>
      </c>
      <c r="E4342" t="s">
        <v>309</v>
      </c>
      <c r="F4342" t="s">
        <v>303</v>
      </c>
      <c r="G4342" t="s">
        <v>303</v>
      </c>
    </row>
    <row r="4343" spans="1:10" x14ac:dyDescent="0.35">
      <c r="A4343" t="s">
        <v>4728</v>
      </c>
      <c r="B4343" t="s">
        <v>307</v>
      </c>
      <c r="C4343" t="s">
        <v>4717</v>
      </c>
      <c r="D4343" s="30">
        <v>0.50200231481481483</v>
      </c>
      <c r="E4343" t="s">
        <v>309</v>
      </c>
      <c r="F4343" t="s">
        <v>299</v>
      </c>
      <c r="G4343" t="s">
        <v>299</v>
      </c>
      <c r="H4343">
        <v>57</v>
      </c>
      <c r="I4343" s="30">
        <v>8.3333333333333339E-4</v>
      </c>
      <c r="J4343">
        <v>2</v>
      </c>
    </row>
    <row r="4344" spans="1:10" x14ac:dyDescent="0.35">
      <c r="A4344" t="s">
        <v>4729</v>
      </c>
      <c r="B4344" t="s">
        <v>305</v>
      </c>
      <c r="C4344" t="s">
        <v>4717</v>
      </c>
      <c r="D4344" s="30">
        <v>0.52099537037037036</v>
      </c>
      <c r="E4344" t="s">
        <v>317</v>
      </c>
      <c r="F4344" t="s">
        <v>299</v>
      </c>
      <c r="G4344" t="s">
        <v>299</v>
      </c>
      <c r="H4344">
        <v>17</v>
      </c>
      <c r="I4344" s="30">
        <v>1.8402777777777777E-3</v>
      </c>
      <c r="J4344">
        <v>3</v>
      </c>
    </row>
    <row r="4345" spans="1:10" x14ac:dyDescent="0.35">
      <c r="A4345" t="s">
        <v>4730</v>
      </c>
      <c r="B4345" t="s">
        <v>323</v>
      </c>
      <c r="C4345" t="s">
        <v>4717</v>
      </c>
      <c r="D4345" s="30">
        <v>0.52099537037037036</v>
      </c>
      <c r="E4345" t="s">
        <v>314</v>
      </c>
      <c r="F4345" t="s">
        <v>299</v>
      </c>
      <c r="G4345" t="s">
        <v>299</v>
      </c>
      <c r="H4345">
        <v>93</v>
      </c>
      <c r="I4345" s="30">
        <v>3.3217592592592591E-3</v>
      </c>
      <c r="J4345">
        <v>5</v>
      </c>
    </row>
    <row r="4346" spans="1:10" x14ac:dyDescent="0.35">
      <c r="A4346" t="s">
        <v>4731</v>
      </c>
      <c r="B4346" t="s">
        <v>307</v>
      </c>
      <c r="C4346" t="s">
        <v>4717</v>
      </c>
      <c r="D4346" s="30">
        <v>0.53599537037037037</v>
      </c>
      <c r="E4346" t="s">
        <v>309</v>
      </c>
      <c r="F4346" t="s">
        <v>299</v>
      </c>
      <c r="G4346" t="s">
        <v>299</v>
      </c>
      <c r="H4346">
        <v>13</v>
      </c>
      <c r="I4346" s="30">
        <v>4.9768518518518521E-4</v>
      </c>
      <c r="J4346">
        <v>3</v>
      </c>
    </row>
    <row r="4347" spans="1:10" x14ac:dyDescent="0.35">
      <c r="A4347" t="s">
        <v>4732</v>
      </c>
      <c r="B4347" t="s">
        <v>305</v>
      </c>
      <c r="C4347" t="s">
        <v>4717</v>
      </c>
      <c r="D4347" s="30">
        <v>0.53599537037037037</v>
      </c>
      <c r="E4347" t="s">
        <v>309</v>
      </c>
      <c r="F4347" t="s">
        <v>299</v>
      </c>
      <c r="G4347" t="s">
        <v>299</v>
      </c>
      <c r="H4347">
        <v>64</v>
      </c>
      <c r="I4347" s="30">
        <v>1.1805555555555556E-3</v>
      </c>
      <c r="J4347">
        <v>4</v>
      </c>
    </row>
    <row r="4348" spans="1:10" x14ac:dyDescent="0.35">
      <c r="A4348" t="s">
        <v>4733</v>
      </c>
      <c r="B4348" t="s">
        <v>305</v>
      </c>
      <c r="C4348" t="s">
        <v>4717</v>
      </c>
      <c r="D4348" s="30">
        <v>0.56700231481481478</v>
      </c>
      <c r="E4348" t="s">
        <v>302</v>
      </c>
      <c r="F4348" t="s">
        <v>299</v>
      </c>
      <c r="G4348" t="s">
        <v>299</v>
      </c>
      <c r="H4348">
        <v>98</v>
      </c>
      <c r="I4348" s="30">
        <v>1.2731481481481483E-3</v>
      </c>
      <c r="J4348">
        <v>5</v>
      </c>
    </row>
    <row r="4349" spans="1:10" x14ac:dyDescent="0.35">
      <c r="A4349" t="s">
        <v>4734</v>
      </c>
      <c r="B4349" t="s">
        <v>307</v>
      </c>
      <c r="C4349" t="s">
        <v>4717</v>
      </c>
      <c r="D4349" s="30">
        <v>0.56700231481481478</v>
      </c>
      <c r="E4349" t="s">
        <v>302</v>
      </c>
      <c r="F4349" t="s">
        <v>299</v>
      </c>
      <c r="G4349" t="s">
        <v>303</v>
      </c>
      <c r="H4349">
        <v>83</v>
      </c>
      <c r="I4349" s="30">
        <v>1.712962962962963E-3</v>
      </c>
      <c r="J4349">
        <v>2</v>
      </c>
    </row>
    <row r="4350" spans="1:10" x14ac:dyDescent="0.35">
      <c r="A4350" t="s">
        <v>4735</v>
      </c>
      <c r="B4350" t="s">
        <v>323</v>
      </c>
      <c r="C4350" t="s">
        <v>4717</v>
      </c>
      <c r="D4350" s="30">
        <v>0.57599537037037041</v>
      </c>
      <c r="E4350" t="s">
        <v>317</v>
      </c>
      <c r="F4350" t="s">
        <v>299</v>
      </c>
      <c r="G4350" t="s">
        <v>303</v>
      </c>
      <c r="H4350">
        <v>116</v>
      </c>
      <c r="I4350" s="30">
        <v>4.3750000000000004E-3</v>
      </c>
      <c r="J4350">
        <v>5</v>
      </c>
    </row>
    <row r="4351" spans="1:10" x14ac:dyDescent="0.35">
      <c r="A4351" t="s">
        <v>4736</v>
      </c>
      <c r="B4351" t="s">
        <v>301</v>
      </c>
      <c r="C4351" t="s">
        <v>4717</v>
      </c>
      <c r="D4351" s="30">
        <v>0.57599537037037041</v>
      </c>
      <c r="E4351" t="s">
        <v>317</v>
      </c>
      <c r="F4351" t="s">
        <v>299</v>
      </c>
      <c r="G4351" t="s">
        <v>299</v>
      </c>
      <c r="H4351">
        <v>104</v>
      </c>
      <c r="I4351" s="30">
        <v>5.3240740740740744E-4</v>
      </c>
      <c r="J4351">
        <v>2</v>
      </c>
    </row>
    <row r="4352" spans="1:10" x14ac:dyDescent="0.35">
      <c r="A4352" t="s">
        <v>4737</v>
      </c>
      <c r="B4352" t="s">
        <v>323</v>
      </c>
      <c r="C4352" t="s">
        <v>4717</v>
      </c>
      <c r="D4352" s="30">
        <v>0.58499999999999996</v>
      </c>
      <c r="E4352" t="s">
        <v>317</v>
      </c>
      <c r="F4352" t="s">
        <v>299</v>
      </c>
      <c r="G4352" t="s">
        <v>299</v>
      </c>
      <c r="H4352">
        <v>83</v>
      </c>
      <c r="I4352" s="30">
        <v>3.8657407407407408E-3</v>
      </c>
      <c r="J4352">
        <v>5</v>
      </c>
    </row>
    <row r="4353" spans="1:10" x14ac:dyDescent="0.35">
      <c r="A4353" t="s">
        <v>4738</v>
      </c>
      <c r="B4353" t="s">
        <v>323</v>
      </c>
      <c r="C4353" t="s">
        <v>4717</v>
      </c>
      <c r="D4353" s="30">
        <v>0.58499999999999996</v>
      </c>
      <c r="E4353" t="s">
        <v>314</v>
      </c>
      <c r="F4353" t="s">
        <v>299</v>
      </c>
      <c r="G4353" t="s">
        <v>299</v>
      </c>
      <c r="H4353">
        <v>26</v>
      </c>
      <c r="I4353" s="30">
        <v>4.7222222222222223E-3</v>
      </c>
      <c r="J4353">
        <v>4</v>
      </c>
    </row>
    <row r="4354" spans="1:10" x14ac:dyDescent="0.35">
      <c r="A4354" t="s">
        <v>4739</v>
      </c>
      <c r="B4354" t="s">
        <v>296</v>
      </c>
      <c r="C4354" t="s">
        <v>4717</v>
      </c>
      <c r="D4354" s="30">
        <v>0.60099537037037032</v>
      </c>
      <c r="E4354" t="s">
        <v>314</v>
      </c>
      <c r="F4354" t="s">
        <v>299</v>
      </c>
      <c r="G4354" t="s">
        <v>299</v>
      </c>
      <c r="H4354">
        <v>47</v>
      </c>
      <c r="I4354" s="30">
        <v>4.1666666666666669E-4</v>
      </c>
      <c r="J4354">
        <v>2</v>
      </c>
    </row>
    <row r="4355" spans="1:10" x14ac:dyDescent="0.35">
      <c r="A4355" t="s">
        <v>4740</v>
      </c>
      <c r="B4355" t="s">
        <v>316</v>
      </c>
      <c r="C4355" t="s">
        <v>4717</v>
      </c>
      <c r="D4355" s="30">
        <v>0.60099537037037032</v>
      </c>
      <c r="E4355" t="s">
        <v>298</v>
      </c>
      <c r="F4355" t="s">
        <v>303</v>
      </c>
      <c r="G4355" t="s">
        <v>303</v>
      </c>
    </row>
    <row r="4356" spans="1:10" x14ac:dyDescent="0.35">
      <c r="A4356" t="s">
        <v>4741</v>
      </c>
      <c r="B4356" t="s">
        <v>332</v>
      </c>
      <c r="C4356" t="s">
        <v>4717</v>
      </c>
      <c r="D4356" s="30">
        <v>0.61200231481481482</v>
      </c>
      <c r="E4356" t="s">
        <v>314</v>
      </c>
      <c r="F4356" t="s">
        <v>303</v>
      </c>
      <c r="G4356" t="s">
        <v>303</v>
      </c>
    </row>
    <row r="4357" spans="1:10" x14ac:dyDescent="0.35">
      <c r="A4357" t="s">
        <v>4742</v>
      </c>
      <c r="B4357" t="s">
        <v>319</v>
      </c>
      <c r="C4357" t="s">
        <v>4717</v>
      </c>
      <c r="D4357" s="30">
        <v>0.61200231481481482</v>
      </c>
      <c r="E4357" t="s">
        <v>302</v>
      </c>
      <c r="F4357" t="s">
        <v>299</v>
      </c>
      <c r="G4357" t="s">
        <v>303</v>
      </c>
      <c r="H4357">
        <v>34</v>
      </c>
      <c r="I4357" s="30">
        <v>2.1643518518518518E-3</v>
      </c>
      <c r="J4357">
        <v>4</v>
      </c>
    </row>
    <row r="4358" spans="1:10" x14ac:dyDescent="0.35">
      <c r="A4358" t="s">
        <v>4743</v>
      </c>
      <c r="B4358" t="s">
        <v>301</v>
      </c>
      <c r="C4358" t="s">
        <v>4717</v>
      </c>
      <c r="D4358" s="30">
        <v>0.62</v>
      </c>
      <c r="E4358" t="s">
        <v>302</v>
      </c>
      <c r="F4358" t="s">
        <v>299</v>
      </c>
      <c r="G4358" t="s">
        <v>299</v>
      </c>
      <c r="H4358">
        <v>65</v>
      </c>
      <c r="I4358" s="30">
        <v>2.5694444444444445E-3</v>
      </c>
      <c r="J4358">
        <v>5</v>
      </c>
    </row>
    <row r="4359" spans="1:10" x14ac:dyDescent="0.35">
      <c r="A4359" t="s">
        <v>4744</v>
      </c>
      <c r="B4359" t="s">
        <v>296</v>
      </c>
      <c r="C4359" t="s">
        <v>4717</v>
      </c>
      <c r="D4359" s="30">
        <v>0.62</v>
      </c>
      <c r="E4359" t="s">
        <v>317</v>
      </c>
      <c r="F4359" t="s">
        <v>299</v>
      </c>
      <c r="G4359" t="s">
        <v>299</v>
      </c>
      <c r="H4359">
        <v>54</v>
      </c>
      <c r="I4359" s="30">
        <v>4.386574074074074E-3</v>
      </c>
      <c r="J4359">
        <v>3</v>
      </c>
    </row>
    <row r="4360" spans="1:10" x14ac:dyDescent="0.35">
      <c r="A4360" t="s">
        <v>4745</v>
      </c>
      <c r="B4360" t="s">
        <v>319</v>
      </c>
      <c r="C4360" t="s">
        <v>4717</v>
      </c>
      <c r="D4360" s="30">
        <v>0.62</v>
      </c>
      <c r="E4360" t="s">
        <v>302</v>
      </c>
      <c r="F4360" t="s">
        <v>299</v>
      </c>
      <c r="G4360" t="s">
        <v>299</v>
      </c>
      <c r="H4360">
        <v>108</v>
      </c>
      <c r="I4360" s="30">
        <v>3.6458333333333334E-3</v>
      </c>
      <c r="J4360">
        <v>4</v>
      </c>
    </row>
    <row r="4361" spans="1:10" x14ac:dyDescent="0.35">
      <c r="A4361" t="s">
        <v>4746</v>
      </c>
      <c r="B4361" t="s">
        <v>316</v>
      </c>
      <c r="C4361" t="s">
        <v>4717</v>
      </c>
      <c r="D4361" s="30">
        <v>0.62</v>
      </c>
      <c r="E4361" t="s">
        <v>298</v>
      </c>
      <c r="F4361" t="s">
        <v>299</v>
      </c>
      <c r="G4361" t="s">
        <v>299</v>
      </c>
      <c r="H4361">
        <v>114</v>
      </c>
      <c r="I4361" s="30">
        <v>3.2638888888888891E-3</v>
      </c>
      <c r="J4361">
        <v>4</v>
      </c>
    </row>
    <row r="4362" spans="1:10" x14ac:dyDescent="0.35">
      <c r="A4362" t="s">
        <v>4747</v>
      </c>
      <c r="B4362" t="s">
        <v>316</v>
      </c>
      <c r="C4362" t="s">
        <v>4717</v>
      </c>
      <c r="D4362" s="30">
        <v>0.65900462962962958</v>
      </c>
      <c r="E4362" t="s">
        <v>314</v>
      </c>
      <c r="F4362" t="s">
        <v>299</v>
      </c>
      <c r="G4362" t="s">
        <v>299</v>
      </c>
      <c r="H4362">
        <v>109</v>
      </c>
      <c r="I4362" s="30">
        <v>2.0717592592592593E-3</v>
      </c>
      <c r="J4362">
        <v>3</v>
      </c>
    </row>
    <row r="4363" spans="1:10" x14ac:dyDescent="0.35">
      <c r="A4363" t="s">
        <v>4748</v>
      </c>
      <c r="B4363" t="s">
        <v>316</v>
      </c>
      <c r="C4363" t="s">
        <v>4717</v>
      </c>
      <c r="D4363" s="30">
        <v>0.65900462962962958</v>
      </c>
      <c r="E4363" t="s">
        <v>317</v>
      </c>
      <c r="F4363" t="s">
        <v>299</v>
      </c>
      <c r="G4363" t="s">
        <v>299</v>
      </c>
      <c r="H4363">
        <v>115</v>
      </c>
      <c r="I4363" s="30">
        <v>2.488425925925926E-3</v>
      </c>
      <c r="J4363">
        <v>3</v>
      </c>
    </row>
    <row r="4364" spans="1:10" x14ac:dyDescent="0.35">
      <c r="A4364" t="s">
        <v>4749</v>
      </c>
      <c r="B4364" t="s">
        <v>319</v>
      </c>
      <c r="C4364" t="s">
        <v>4717</v>
      </c>
      <c r="D4364" s="30">
        <v>0.66900462962962959</v>
      </c>
      <c r="E4364" t="s">
        <v>317</v>
      </c>
      <c r="F4364" t="s">
        <v>299</v>
      </c>
      <c r="G4364" t="s">
        <v>299</v>
      </c>
      <c r="H4364">
        <v>125</v>
      </c>
      <c r="I4364" s="30">
        <v>2.8587962962962963E-3</v>
      </c>
      <c r="J4364">
        <v>3</v>
      </c>
    </row>
    <row r="4365" spans="1:10" x14ac:dyDescent="0.35">
      <c r="A4365" t="s">
        <v>4750</v>
      </c>
      <c r="B4365" t="s">
        <v>319</v>
      </c>
      <c r="C4365" t="s">
        <v>4717</v>
      </c>
      <c r="D4365" s="30">
        <v>0.66900462962962959</v>
      </c>
      <c r="E4365" t="s">
        <v>302</v>
      </c>
      <c r="F4365" t="s">
        <v>299</v>
      </c>
      <c r="G4365" t="s">
        <v>299</v>
      </c>
      <c r="H4365">
        <v>116</v>
      </c>
      <c r="I4365" s="30">
        <v>2.3032407407407407E-3</v>
      </c>
      <c r="J4365">
        <v>4</v>
      </c>
    </row>
    <row r="4366" spans="1:10" x14ac:dyDescent="0.35">
      <c r="A4366" t="s">
        <v>4751</v>
      </c>
      <c r="B4366" t="s">
        <v>307</v>
      </c>
      <c r="C4366" t="s">
        <v>4717</v>
      </c>
      <c r="D4366" s="30">
        <v>0.67799768518518522</v>
      </c>
      <c r="E4366" t="s">
        <v>314</v>
      </c>
      <c r="F4366" t="s">
        <v>299</v>
      </c>
      <c r="G4366" t="s">
        <v>299</v>
      </c>
      <c r="H4366">
        <v>12</v>
      </c>
      <c r="I4366" s="30">
        <v>1.9791666666666668E-3</v>
      </c>
      <c r="J4366">
        <v>3</v>
      </c>
    </row>
    <row r="4367" spans="1:10" x14ac:dyDescent="0.35">
      <c r="A4367" t="s">
        <v>4752</v>
      </c>
      <c r="B4367" t="s">
        <v>301</v>
      </c>
      <c r="C4367" t="s">
        <v>4717</v>
      </c>
      <c r="D4367" s="30">
        <v>0.67799768518518522</v>
      </c>
      <c r="E4367" t="s">
        <v>317</v>
      </c>
      <c r="F4367" t="s">
        <v>299</v>
      </c>
      <c r="G4367" t="s">
        <v>299</v>
      </c>
      <c r="H4367">
        <v>96</v>
      </c>
      <c r="I4367" s="30">
        <v>1.5509259259259259E-3</v>
      </c>
      <c r="J4367">
        <v>5</v>
      </c>
    </row>
    <row r="4368" spans="1:10" x14ac:dyDescent="0.35">
      <c r="A4368" t="s">
        <v>4753</v>
      </c>
      <c r="B4368" t="s">
        <v>296</v>
      </c>
      <c r="C4368" t="s">
        <v>4717</v>
      </c>
      <c r="D4368" s="30">
        <v>0.68799768518518523</v>
      </c>
      <c r="E4368" t="s">
        <v>317</v>
      </c>
      <c r="F4368" t="s">
        <v>299</v>
      </c>
      <c r="G4368" t="s">
        <v>299</v>
      </c>
      <c r="H4368">
        <v>13</v>
      </c>
      <c r="I4368" s="30">
        <v>3.6689814814814814E-3</v>
      </c>
      <c r="J4368">
        <v>5</v>
      </c>
    </row>
    <row r="4369" spans="1:10" x14ac:dyDescent="0.35">
      <c r="A4369" t="s">
        <v>4754</v>
      </c>
      <c r="B4369" t="s">
        <v>316</v>
      </c>
      <c r="C4369" t="s">
        <v>4717</v>
      </c>
      <c r="D4369" s="30">
        <v>0.68799768518518523</v>
      </c>
      <c r="E4369" t="s">
        <v>309</v>
      </c>
      <c r="F4369" t="s">
        <v>303</v>
      </c>
      <c r="G4369" t="s">
        <v>303</v>
      </c>
    </row>
    <row r="4370" spans="1:10" x14ac:dyDescent="0.35">
      <c r="A4370" t="s">
        <v>4755</v>
      </c>
      <c r="B4370" t="s">
        <v>316</v>
      </c>
      <c r="C4370" t="s">
        <v>4717</v>
      </c>
      <c r="D4370" s="30">
        <v>0.70700231481481479</v>
      </c>
      <c r="E4370" t="s">
        <v>298</v>
      </c>
      <c r="F4370" t="s">
        <v>299</v>
      </c>
      <c r="G4370" t="s">
        <v>299</v>
      </c>
      <c r="H4370">
        <v>96</v>
      </c>
      <c r="I4370" s="30">
        <v>4.4212962962962964E-3</v>
      </c>
      <c r="J4370">
        <v>3</v>
      </c>
    </row>
    <row r="4371" spans="1:10" x14ac:dyDescent="0.35">
      <c r="A4371" t="s">
        <v>4756</v>
      </c>
      <c r="B4371" t="s">
        <v>307</v>
      </c>
      <c r="C4371" t="s">
        <v>4717</v>
      </c>
      <c r="D4371" s="30">
        <v>0.70700231481481479</v>
      </c>
      <c r="E4371" t="s">
        <v>309</v>
      </c>
      <c r="F4371" t="s">
        <v>303</v>
      </c>
      <c r="G4371" t="s">
        <v>303</v>
      </c>
    </row>
    <row r="4372" spans="1:10" x14ac:dyDescent="0.35">
      <c r="A4372" t="s">
        <v>4757</v>
      </c>
      <c r="B4372" t="s">
        <v>332</v>
      </c>
      <c r="C4372" t="s">
        <v>4717</v>
      </c>
      <c r="D4372" s="30">
        <v>0.71400462962962963</v>
      </c>
      <c r="E4372" t="s">
        <v>317</v>
      </c>
      <c r="F4372" t="s">
        <v>299</v>
      </c>
      <c r="G4372" t="s">
        <v>299</v>
      </c>
      <c r="H4372">
        <v>37</v>
      </c>
      <c r="I4372" s="30">
        <v>4.1087962962962962E-3</v>
      </c>
      <c r="J4372">
        <v>3</v>
      </c>
    </row>
    <row r="4373" spans="1:10" x14ac:dyDescent="0.35">
      <c r="A4373" t="s">
        <v>4758</v>
      </c>
      <c r="B4373" t="s">
        <v>305</v>
      </c>
      <c r="C4373" t="s">
        <v>4717</v>
      </c>
      <c r="D4373" s="30">
        <v>0.71400462962962963</v>
      </c>
      <c r="E4373" t="s">
        <v>302</v>
      </c>
      <c r="F4373" t="s">
        <v>299</v>
      </c>
      <c r="G4373" t="s">
        <v>299</v>
      </c>
      <c r="H4373">
        <v>45</v>
      </c>
      <c r="I4373" s="30">
        <v>4.340277777777778E-3</v>
      </c>
      <c r="J4373">
        <v>4</v>
      </c>
    </row>
    <row r="4374" spans="1:10" x14ac:dyDescent="0.35">
      <c r="A4374" t="s">
        <v>4759</v>
      </c>
      <c r="B4374" t="s">
        <v>301</v>
      </c>
      <c r="C4374" t="s">
        <v>4717</v>
      </c>
      <c r="D4374" s="30">
        <v>0.72400462962962964</v>
      </c>
      <c r="E4374" t="s">
        <v>317</v>
      </c>
      <c r="F4374" t="s">
        <v>299</v>
      </c>
      <c r="G4374" t="s">
        <v>299</v>
      </c>
      <c r="H4374">
        <v>44</v>
      </c>
      <c r="I4374" s="30">
        <v>1.8981481481481482E-3</v>
      </c>
      <c r="J4374">
        <v>5</v>
      </c>
    </row>
    <row r="4375" spans="1:10" x14ac:dyDescent="0.35">
      <c r="A4375" t="s">
        <v>4760</v>
      </c>
      <c r="B4375" t="s">
        <v>307</v>
      </c>
      <c r="C4375" t="s">
        <v>4717</v>
      </c>
      <c r="D4375" s="30">
        <v>0.72400462962962964</v>
      </c>
      <c r="E4375" t="s">
        <v>298</v>
      </c>
      <c r="F4375" t="s">
        <v>303</v>
      </c>
      <c r="G4375" t="s">
        <v>303</v>
      </c>
    </row>
    <row r="4376" spans="1:10" x14ac:dyDescent="0.35">
      <c r="A4376" t="s">
        <v>4761</v>
      </c>
      <c r="B4376" t="s">
        <v>323</v>
      </c>
      <c r="C4376" t="s">
        <v>4717</v>
      </c>
      <c r="D4376" s="30">
        <v>0.72700231481481481</v>
      </c>
      <c r="E4376" t="s">
        <v>298</v>
      </c>
      <c r="F4376" t="s">
        <v>299</v>
      </c>
      <c r="G4376" t="s">
        <v>299</v>
      </c>
      <c r="H4376">
        <v>65</v>
      </c>
      <c r="I4376" s="30">
        <v>2.3032407407407407E-3</v>
      </c>
      <c r="J4376">
        <v>3</v>
      </c>
    </row>
    <row r="4377" spans="1:10" x14ac:dyDescent="0.35">
      <c r="A4377" t="s">
        <v>4762</v>
      </c>
      <c r="B4377" t="s">
        <v>323</v>
      </c>
      <c r="C4377" t="s">
        <v>4717</v>
      </c>
      <c r="D4377" s="30">
        <v>0.72700231481481481</v>
      </c>
      <c r="E4377" t="s">
        <v>317</v>
      </c>
      <c r="F4377" t="s">
        <v>299</v>
      </c>
      <c r="G4377" t="s">
        <v>299</v>
      </c>
      <c r="H4377">
        <v>48</v>
      </c>
      <c r="I4377" s="30">
        <v>1.4699074074074074E-3</v>
      </c>
      <c r="J4377">
        <v>4</v>
      </c>
    </row>
    <row r="4378" spans="1:10" x14ac:dyDescent="0.35">
      <c r="A4378" t="s">
        <v>4763</v>
      </c>
      <c r="B4378" t="s">
        <v>305</v>
      </c>
      <c r="C4378" t="s">
        <v>4717</v>
      </c>
      <c r="D4378" s="30">
        <v>0.73700231481481482</v>
      </c>
      <c r="E4378" t="s">
        <v>302</v>
      </c>
      <c r="F4378" t="s">
        <v>299</v>
      </c>
      <c r="G4378" t="s">
        <v>299</v>
      </c>
      <c r="H4378">
        <v>119</v>
      </c>
      <c r="I4378" s="30">
        <v>1.7824074074074075E-3</v>
      </c>
      <c r="J4378">
        <v>1</v>
      </c>
    </row>
    <row r="4379" spans="1:10" x14ac:dyDescent="0.35">
      <c r="A4379" t="s">
        <v>4764</v>
      </c>
      <c r="B4379" t="s">
        <v>316</v>
      </c>
      <c r="C4379" t="s">
        <v>4717</v>
      </c>
      <c r="D4379" s="30">
        <v>0.73700231481481482</v>
      </c>
      <c r="E4379" t="s">
        <v>298</v>
      </c>
      <c r="F4379" t="s">
        <v>299</v>
      </c>
      <c r="G4379" t="s">
        <v>303</v>
      </c>
      <c r="H4379">
        <v>102</v>
      </c>
      <c r="I4379" s="30">
        <v>3.6574074074074074E-3</v>
      </c>
      <c r="J4379">
        <v>3</v>
      </c>
    </row>
    <row r="4380" spans="1:10" x14ac:dyDescent="0.35">
      <c r="A4380" t="s">
        <v>4765</v>
      </c>
      <c r="B4380" t="s">
        <v>305</v>
      </c>
      <c r="C4380" t="s">
        <v>4766</v>
      </c>
      <c r="D4380" s="30">
        <v>0.38599537037037035</v>
      </c>
      <c r="E4380" t="s">
        <v>298</v>
      </c>
      <c r="F4380" t="s">
        <v>299</v>
      </c>
      <c r="G4380" t="s">
        <v>299</v>
      </c>
      <c r="H4380">
        <v>30</v>
      </c>
      <c r="I4380" s="30">
        <v>3.5879629629629629E-3</v>
      </c>
      <c r="J4380">
        <v>5</v>
      </c>
    </row>
    <row r="4381" spans="1:10" x14ac:dyDescent="0.35">
      <c r="A4381" t="s">
        <v>4767</v>
      </c>
      <c r="B4381" t="s">
        <v>319</v>
      </c>
      <c r="C4381" t="s">
        <v>4766</v>
      </c>
      <c r="D4381" s="30">
        <v>0.38599537037037035</v>
      </c>
      <c r="E4381" t="s">
        <v>309</v>
      </c>
      <c r="F4381" t="s">
        <v>299</v>
      </c>
      <c r="G4381" t="s">
        <v>299</v>
      </c>
      <c r="H4381">
        <v>51</v>
      </c>
      <c r="I4381" s="30">
        <v>3.6921296296296298E-3</v>
      </c>
      <c r="J4381">
        <v>1</v>
      </c>
    </row>
    <row r="4382" spans="1:10" x14ac:dyDescent="0.35">
      <c r="A4382" t="s">
        <v>4768</v>
      </c>
      <c r="B4382" t="s">
        <v>316</v>
      </c>
      <c r="C4382" t="s">
        <v>4766</v>
      </c>
      <c r="D4382" s="30">
        <v>0.4079976851851852</v>
      </c>
      <c r="E4382" t="s">
        <v>298</v>
      </c>
      <c r="F4382" t="s">
        <v>303</v>
      </c>
      <c r="G4382" t="s">
        <v>303</v>
      </c>
    </row>
    <row r="4383" spans="1:10" x14ac:dyDescent="0.35">
      <c r="A4383" t="s">
        <v>4769</v>
      </c>
      <c r="B4383" t="s">
        <v>301</v>
      </c>
      <c r="C4383" t="s">
        <v>4766</v>
      </c>
      <c r="D4383" s="30">
        <v>0.4079976851851852</v>
      </c>
      <c r="E4383" t="s">
        <v>302</v>
      </c>
      <c r="F4383" t="s">
        <v>299</v>
      </c>
      <c r="G4383" t="s">
        <v>299</v>
      </c>
      <c r="H4383">
        <v>39</v>
      </c>
      <c r="I4383" s="30">
        <v>3.5879629629629629E-3</v>
      </c>
      <c r="J4383">
        <v>5</v>
      </c>
    </row>
    <row r="4384" spans="1:10" x14ac:dyDescent="0.35">
      <c r="A4384" t="s">
        <v>4770</v>
      </c>
      <c r="B4384" t="s">
        <v>301</v>
      </c>
      <c r="C4384" t="s">
        <v>4766</v>
      </c>
      <c r="D4384" s="30">
        <v>0.41900462962962964</v>
      </c>
      <c r="E4384" t="s">
        <v>309</v>
      </c>
      <c r="F4384" t="s">
        <v>299</v>
      </c>
      <c r="G4384" t="s">
        <v>299</v>
      </c>
      <c r="H4384">
        <v>102</v>
      </c>
      <c r="I4384" s="30">
        <v>3.7847222222222223E-3</v>
      </c>
      <c r="J4384">
        <v>2</v>
      </c>
    </row>
    <row r="4385" spans="1:10" x14ac:dyDescent="0.35">
      <c r="A4385" t="s">
        <v>4771</v>
      </c>
      <c r="B4385" t="s">
        <v>305</v>
      </c>
      <c r="C4385" t="s">
        <v>4766</v>
      </c>
      <c r="D4385" s="30">
        <v>0.41900462962962964</v>
      </c>
      <c r="E4385" t="s">
        <v>309</v>
      </c>
      <c r="F4385" t="s">
        <v>299</v>
      </c>
      <c r="G4385" t="s">
        <v>299</v>
      </c>
      <c r="H4385">
        <v>112</v>
      </c>
      <c r="I4385" s="30">
        <v>4.6296296296296298E-4</v>
      </c>
      <c r="J4385">
        <v>3</v>
      </c>
    </row>
    <row r="4386" spans="1:10" x14ac:dyDescent="0.35">
      <c r="A4386" t="s">
        <v>4772</v>
      </c>
      <c r="B4386" t="s">
        <v>301</v>
      </c>
      <c r="C4386" t="s">
        <v>4766</v>
      </c>
      <c r="D4386" s="30">
        <v>0.42700231481481482</v>
      </c>
      <c r="E4386" t="s">
        <v>309</v>
      </c>
      <c r="F4386" t="s">
        <v>303</v>
      </c>
      <c r="G4386" t="s">
        <v>303</v>
      </c>
    </row>
    <row r="4387" spans="1:10" x14ac:dyDescent="0.35">
      <c r="A4387" t="s">
        <v>4773</v>
      </c>
      <c r="B4387" t="s">
        <v>323</v>
      </c>
      <c r="C4387" t="s">
        <v>4766</v>
      </c>
      <c r="D4387" s="30">
        <v>0.42700231481481482</v>
      </c>
      <c r="E4387" t="s">
        <v>302</v>
      </c>
      <c r="F4387" t="s">
        <v>299</v>
      </c>
      <c r="G4387" t="s">
        <v>299</v>
      </c>
      <c r="H4387">
        <v>42</v>
      </c>
      <c r="I4387" s="30">
        <v>3.1944444444444446E-3</v>
      </c>
      <c r="J4387">
        <v>5</v>
      </c>
    </row>
    <row r="4388" spans="1:10" x14ac:dyDescent="0.35">
      <c r="A4388" t="s">
        <v>4774</v>
      </c>
      <c r="B4388" t="s">
        <v>307</v>
      </c>
      <c r="C4388" t="s">
        <v>4766</v>
      </c>
      <c r="D4388" s="30">
        <v>0.4670023148148148</v>
      </c>
      <c r="E4388" t="s">
        <v>314</v>
      </c>
      <c r="F4388" t="s">
        <v>299</v>
      </c>
      <c r="G4388" t="s">
        <v>299</v>
      </c>
      <c r="H4388">
        <v>87</v>
      </c>
      <c r="I4388" s="30">
        <v>1.0185185185185184E-3</v>
      </c>
      <c r="J4388">
        <v>3</v>
      </c>
    </row>
    <row r="4389" spans="1:10" x14ac:dyDescent="0.35">
      <c r="A4389" t="s">
        <v>4775</v>
      </c>
      <c r="B4389" t="s">
        <v>301</v>
      </c>
      <c r="C4389" t="s">
        <v>4766</v>
      </c>
      <c r="D4389" s="30">
        <v>0.4670023148148148</v>
      </c>
      <c r="E4389" t="s">
        <v>309</v>
      </c>
      <c r="F4389" t="s">
        <v>303</v>
      </c>
      <c r="G4389" t="s">
        <v>303</v>
      </c>
    </row>
    <row r="4390" spans="1:10" x14ac:dyDescent="0.35">
      <c r="A4390" t="s">
        <v>4776</v>
      </c>
      <c r="B4390" t="s">
        <v>301</v>
      </c>
      <c r="C4390" t="s">
        <v>4766</v>
      </c>
      <c r="D4390" s="30">
        <v>0.4679976851851852</v>
      </c>
      <c r="E4390" t="s">
        <v>298</v>
      </c>
      <c r="F4390" t="s">
        <v>299</v>
      </c>
      <c r="G4390" t="s">
        <v>299</v>
      </c>
      <c r="H4390">
        <v>123</v>
      </c>
      <c r="I4390" s="30">
        <v>1.7592592592592592E-3</v>
      </c>
      <c r="J4390">
        <v>3</v>
      </c>
    </row>
    <row r="4391" spans="1:10" x14ac:dyDescent="0.35">
      <c r="A4391" t="s">
        <v>4777</v>
      </c>
      <c r="B4391" t="s">
        <v>305</v>
      </c>
      <c r="C4391" t="s">
        <v>4766</v>
      </c>
      <c r="D4391" s="30">
        <v>0.4679976851851852</v>
      </c>
      <c r="E4391" t="s">
        <v>309</v>
      </c>
      <c r="F4391" t="s">
        <v>303</v>
      </c>
      <c r="G4391" t="s">
        <v>303</v>
      </c>
    </row>
    <row r="4392" spans="1:10" x14ac:dyDescent="0.35">
      <c r="A4392" t="s">
        <v>4778</v>
      </c>
      <c r="B4392" t="s">
        <v>332</v>
      </c>
      <c r="C4392" t="s">
        <v>4766</v>
      </c>
      <c r="D4392" s="30">
        <v>0.47900462962962964</v>
      </c>
      <c r="E4392" t="s">
        <v>298</v>
      </c>
      <c r="F4392" t="s">
        <v>299</v>
      </c>
      <c r="G4392" t="s">
        <v>299</v>
      </c>
      <c r="H4392">
        <v>98</v>
      </c>
      <c r="I4392" s="30">
        <v>9.9537037037037042E-4</v>
      </c>
      <c r="J4392">
        <v>3</v>
      </c>
    </row>
    <row r="4393" spans="1:10" x14ac:dyDescent="0.35">
      <c r="A4393" t="s">
        <v>4779</v>
      </c>
      <c r="B4393" t="s">
        <v>316</v>
      </c>
      <c r="C4393" t="s">
        <v>4766</v>
      </c>
      <c r="D4393" s="30">
        <v>0.47900462962962964</v>
      </c>
      <c r="E4393" t="s">
        <v>317</v>
      </c>
      <c r="F4393" t="s">
        <v>299</v>
      </c>
      <c r="G4393" t="s">
        <v>299</v>
      </c>
      <c r="H4393">
        <v>45</v>
      </c>
      <c r="I4393" s="30">
        <v>4.5138888888888892E-4</v>
      </c>
      <c r="J4393">
        <v>4</v>
      </c>
    </row>
    <row r="4394" spans="1:10" x14ac:dyDescent="0.35">
      <c r="A4394" t="s">
        <v>4780</v>
      </c>
      <c r="B4394" t="s">
        <v>305</v>
      </c>
      <c r="C4394" t="s">
        <v>4766</v>
      </c>
      <c r="D4394" s="30">
        <v>0.51</v>
      </c>
      <c r="E4394" t="s">
        <v>309</v>
      </c>
      <c r="F4394" t="s">
        <v>299</v>
      </c>
      <c r="G4394" t="s">
        <v>299</v>
      </c>
      <c r="H4394">
        <v>50</v>
      </c>
      <c r="I4394" s="30">
        <v>1.5509259259259259E-3</v>
      </c>
      <c r="J4394">
        <v>3</v>
      </c>
    </row>
    <row r="4395" spans="1:10" x14ac:dyDescent="0.35">
      <c r="A4395" t="s">
        <v>4781</v>
      </c>
      <c r="B4395" t="s">
        <v>319</v>
      </c>
      <c r="C4395" t="s">
        <v>4766</v>
      </c>
      <c r="D4395" s="30">
        <v>0.51</v>
      </c>
      <c r="E4395" t="s">
        <v>309</v>
      </c>
      <c r="F4395" t="s">
        <v>299</v>
      </c>
      <c r="G4395" t="s">
        <v>299</v>
      </c>
      <c r="H4395">
        <v>102</v>
      </c>
      <c r="I4395" s="30">
        <v>3.1250000000000002E-3</v>
      </c>
      <c r="J4395">
        <v>4</v>
      </c>
    </row>
    <row r="4396" spans="1:10" x14ac:dyDescent="0.35">
      <c r="A4396" t="s">
        <v>4782</v>
      </c>
      <c r="B4396" t="s">
        <v>296</v>
      </c>
      <c r="C4396" t="s">
        <v>4766</v>
      </c>
      <c r="D4396" s="30">
        <v>0.51900462962962968</v>
      </c>
      <c r="E4396" t="s">
        <v>314</v>
      </c>
      <c r="F4396" t="s">
        <v>299</v>
      </c>
      <c r="G4396" t="s">
        <v>299</v>
      </c>
      <c r="H4396">
        <v>93</v>
      </c>
      <c r="I4396" s="30">
        <v>1.5277777777777779E-3</v>
      </c>
      <c r="J4396">
        <v>1</v>
      </c>
    </row>
    <row r="4397" spans="1:10" x14ac:dyDescent="0.35">
      <c r="A4397" t="s">
        <v>4783</v>
      </c>
      <c r="B4397" t="s">
        <v>305</v>
      </c>
      <c r="C4397" t="s">
        <v>4766</v>
      </c>
      <c r="D4397" s="30">
        <v>0.51900462962962968</v>
      </c>
      <c r="E4397" t="s">
        <v>314</v>
      </c>
      <c r="F4397" t="s">
        <v>299</v>
      </c>
      <c r="G4397" t="s">
        <v>299</v>
      </c>
      <c r="H4397">
        <v>28</v>
      </c>
      <c r="I4397" s="30">
        <v>3.7847222222222223E-3</v>
      </c>
      <c r="J4397">
        <v>3</v>
      </c>
    </row>
    <row r="4398" spans="1:10" x14ac:dyDescent="0.35">
      <c r="A4398" t="s">
        <v>4784</v>
      </c>
      <c r="B4398" t="s">
        <v>316</v>
      </c>
      <c r="C4398" t="s">
        <v>4766</v>
      </c>
      <c r="D4398" s="30">
        <v>0.54099537037037038</v>
      </c>
      <c r="E4398" t="s">
        <v>309</v>
      </c>
      <c r="F4398" t="s">
        <v>303</v>
      </c>
      <c r="G4398" t="s">
        <v>303</v>
      </c>
    </row>
    <row r="4399" spans="1:10" x14ac:dyDescent="0.35">
      <c r="A4399" t="s">
        <v>4785</v>
      </c>
      <c r="B4399" t="s">
        <v>323</v>
      </c>
      <c r="C4399" t="s">
        <v>4766</v>
      </c>
      <c r="D4399" s="30">
        <v>0.54099537037037038</v>
      </c>
      <c r="E4399" t="s">
        <v>317</v>
      </c>
      <c r="F4399" t="s">
        <v>303</v>
      </c>
      <c r="G4399" t="s">
        <v>303</v>
      </c>
    </row>
    <row r="4400" spans="1:10" x14ac:dyDescent="0.35">
      <c r="A4400" t="s">
        <v>4786</v>
      </c>
      <c r="B4400" t="s">
        <v>319</v>
      </c>
      <c r="C4400" t="s">
        <v>4766</v>
      </c>
      <c r="D4400" s="30">
        <v>0.54099537037037038</v>
      </c>
      <c r="E4400" t="s">
        <v>302</v>
      </c>
      <c r="F4400" t="s">
        <v>299</v>
      </c>
      <c r="G4400" t="s">
        <v>303</v>
      </c>
      <c r="H4400">
        <v>123</v>
      </c>
      <c r="I4400" s="30">
        <v>5.3240740740740744E-4</v>
      </c>
      <c r="J4400">
        <v>4</v>
      </c>
    </row>
    <row r="4401" spans="1:10" x14ac:dyDescent="0.35">
      <c r="A4401" t="s">
        <v>4787</v>
      </c>
      <c r="B4401" t="s">
        <v>307</v>
      </c>
      <c r="C4401" t="s">
        <v>4766</v>
      </c>
      <c r="D4401" s="30">
        <v>0.54099537037037038</v>
      </c>
      <c r="E4401" t="s">
        <v>314</v>
      </c>
      <c r="F4401" t="s">
        <v>299</v>
      </c>
      <c r="G4401" t="s">
        <v>299</v>
      </c>
      <c r="H4401">
        <v>112</v>
      </c>
      <c r="I4401" s="30">
        <v>2.8819444444444444E-3</v>
      </c>
      <c r="J4401">
        <v>4</v>
      </c>
    </row>
    <row r="4402" spans="1:10" x14ac:dyDescent="0.35">
      <c r="A4402" t="s">
        <v>4788</v>
      </c>
      <c r="B4402" t="s">
        <v>305</v>
      </c>
      <c r="C4402" t="s">
        <v>4766</v>
      </c>
      <c r="D4402" s="30">
        <v>0.54700231481481476</v>
      </c>
      <c r="E4402" t="s">
        <v>298</v>
      </c>
      <c r="F4402" t="s">
        <v>299</v>
      </c>
      <c r="G4402" t="s">
        <v>299</v>
      </c>
      <c r="H4402">
        <v>12</v>
      </c>
      <c r="I4402" s="30">
        <v>8.7962962962962962E-4</v>
      </c>
      <c r="J4402">
        <v>3</v>
      </c>
    </row>
    <row r="4403" spans="1:10" x14ac:dyDescent="0.35">
      <c r="A4403" t="s">
        <v>4789</v>
      </c>
      <c r="B4403" t="s">
        <v>332</v>
      </c>
      <c r="C4403" t="s">
        <v>4766</v>
      </c>
      <c r="D4403" s="30">
        <v>0.54700231481481476</v>
      </c>
      <c r="E4403" t="s">
        <v>298</v>
      </c>
      <c r="F4403" t="s">
        <v>299</v>
      </c>
      <c r="G4403" t="s">
        <v>299</v>
      </c>
      <c r="H4403">
        <v>107</v>
      </c>
      <c r="I4403" s="30">
        <v>4.178240740740741E-3</v>
      </c>
      <c r="J4403">
        <v>4</v>
      </c>
    </row>
    <row r="4404" spans="1:10" x14ac:dyDescent="0.35">
      <c r="A4404" t="s">
        <v>4790</v>
      </c>
      <c r="B4404" t="s">
        <v>296</v>
      </c>
      <c r="C4404" t="s">
        <v>4766</v>
      </c>
      <c r="D4404" s="30">
        <v>0.57999999999999996</v>
      </c>
      <c r="E4404" t="s">
        <v>302</v>
      </c>
      <c r="F4404" t="s">
        <v>299</v>
      </c>
      <c r="G4404" t="s">
        <v>299</v>
      </c>
      <c r="H4404">
        <v>97</v>
      </c>
      <c r="I4404" s="30">
        <v>2.5231481481481481E-3</v>
      </c>
      <c r="J4404">
        <v>2</v>
      </c>
    </row>
    <row r="4405" spans="1:10" x14ac:dyDescent="0.35">
      <c r="A4405" t="s">
        <v>4791</v>
      </c>
      <c r="B4405" t="s">
        <v>319</v>
      </c>
      <c r="C4405" t="s">
        <v>4766</v>
      </c>
      <c r="D4405" s="30">
        <v>0.57999999999999996</v>
      </c>
      <c r="E4405" t="s">
        <v>298</v>
      </c>
      <c r="F4405" t="s">
        <v>303</v>
      </c>
      <c r="G4405" t="s">
        <v>303</v>
      </c>
    </row>
    <row r="4406" spans="1:10" x14ac:dyDescent="0.35">
      <c r="A4406" t="s">
        <v>4792</v>
      </c>
      <c r="B4406" t="s">
        <v>319</v>
      </c>
      <c r="C4406" t="s">
        <v>4766</v>
      </c>
      <c r="D4406" s="30">
        <v>0.59599537037037043</v>
      </c>
      <c r="E4406" t="s">
        <v>314</v>
      </c>
      <c r="F4406" t="s">
        <v>303</v>
      </c>
      <c r="G4406" t="s">
        <v>303</v>
      </c>
    </row>
    <row r="4407" spans="1:10" x14ac:dyDescent="0.35">
      <c r="A4407" t="s">
        <v>4793</v>
      </c>
      <c r="B4407" t="s">
        <v>296</v>
      </c>
      <c r="C4407" t="s">
        <v>4766</v>
      </c>
      <c r="D4407" s="30">
        <v>0.59599537037037043</v>
      </c>
      <c r="E4407" t="s">
        <v>314</v>
      </c>
      <c r="F4407" t="s">
        <v>299</v>
      </c>
      <c r="G4407" t="s">
        <v>299</v>
      </c>
      <c r="H4407">
        <v>98</v>
      </c>
      <c r="I4407" s="30">
        <v>4.7106481481481478E-3</v>
      </c>
      <c r="J4407">
        <v>4</v>
      </c>
    </row>
    <row r="4408" spans="1:10" x14ac:dyDescent="0.35">
      <c r="A4408" t="s">
        <v>4794</v>
      </c>
      <c r="B4408" t="s">
        <v>316</v>
      </c>
      <c r="C4408" t="s">
        <v>4766</v>
      </c>
      <c r="D4408" s="30">
        <v>0.64</v>
      </c>
      <c r="E4408" t="s">
        <v>317</v>
      </c>
      <c r="F4408" t="s">
        <v>299</v>
      </c>
      <c r="G4408" t="s">
        <v>299</v>
      </c>
      <c r="H4408">
        <v>96</v>
      </c>
      <c r="I4408" s="30">
        <v>4.0393518518518521E-3</v>
      </c>
      <c r="J4408">
        <v>2</v>
      </c>
    </row>
    <row r="4409" spans="1:10" x14ac:dyDescent="0.35">
      <c r="A4409" t="s">
        <v>4795</v>
      </c>
      <c r="B4409" t="s">
        <v>296</v>
      </c>
      <c r="C4409" t="s">
        <v>4766</v>
      </c>
      <c r="D4409" s="30">
        <v>0.64</v>
      </c>
      <c r="E4409" t="s">
        <v>309</v>
      </c>
      <c r="F4409" t="s">
        <v>303</v>
      </c>
      <c r="G4409" t="s">
        <v>303</v>
      </c>
    </row>
    <row r="4410" spans="1:10" x14ac:dyDescent="0.35">
      <c r="A4410" t="s">
        <v>4796</v>
      </c>
      <c r="B4410" t="s">
        <v>319</v>
      </c>
      <c r="C4410" t="s">
        <v>4766</v>
      </c>
      <c r="D4410" s="30">
        <v>0.64200231481481485</v>
      </c>
      <c r="E4410" t="s">
        <v>309</v>
      </c>
      <c r="F4410" t="s">
        <v>299</v>
      </c>
      <c r="G4410" t="s">
        <v>299</v>
      </c>
      <c r="H4410">
        <v>60</v>
      </c>
      <c r="I4410" s="30">
        <v>8.9120370370370373E-4</v>
      </c>
      <c r="J4410">
        <v>1</v>
      </c>
    </row>
    <row r="4411" spans="1:10" x14ac:dyDescent="0.35">
      <c r="A4411" t="s">
        <v>4797</v>
      </c>
      <c r="B4411" t="s">
        <v>319</v>
      </c>
      <c r="C4411" t="s">
        <v>4766</v>
      </c>
      <c r="D4411" s="30">
        <v>0.64200231481481485</v>
      </c>
      <c r="E4411" t="s">
        <v>298</v>
      </c>
      <c r="F4411" t="s">
        <v>299</v>
      </c>
      <c r="G4411" t="s">
        <v>299</v>
      </c>
      <c r="H4411">
        <v>115</v>
      </c>
      <c r="I4411" s="30">
        <v>3.425925925925926E-3</v>
      </c>
      <c r="J4411">
        <v>3</v>
      </c>
    </row>
    <row r="4412" spans="1:10" x14ac:dyDescent="0.35">
      <c r="A4412" t="s">
        <v>4798</v>
      </c>
      <c r="B4412" t="s">
        <v>323</v>
      </c>
      <c r="C4412" t="s">
        <v>4766</v>
      </c>
      <c r="D4412" s="30">
        <v>0.64500000000000002</v>
      </c>
      <c r="E4412" t="s">
        <v>298</v>
      </c>
      <c r="F4412" t="s">
        <v>299</v>
      </c>
      <c r="G4412" t="s">
        <v>299</v>
      </c>
      <c r="H4412">
        <v>86</v>
      </c>
      <c r="I4412" s="30">
        <v>1.5856481481481481E-3</v>
      </c>
      <c r="J4412">
        <v>4</v>
      </c>
    </row>
    <row r="4413" spans="1:10" x14ac:dyDescent="0.35">
      <c r="A4413" t="s">
        <v>4799</v>
      </c>
      <c r="B4413" t="s">
        <v>323</v>
      </c>
      <c r="C4413" t="s">
        <v>4766</v>
      </c>
      <c r="D4413" s="30">
        <v>0.64500000000000002</v>
      </c>
      <c r="E4413" t="s">
        <v>309</v>
      </c>
      <c r="F4413" t="s">
        <v>299</v>
      </c>
      <c r="G4413" t="s">
        <v>299</v>
      </c>
      <c r="H4413">
        <v>99</v>
      </c>
      <c r="I4413" s="30">
        <v>1.5046296296296296E-3</v>
      </c>
      <c r="J4413">
        <v>2</v>
      </c>
    </row>
    <row r="4414" spans="1:10" x14ac:dyDescent="0.35">
      <c r="A4414" t="s">
        <v>4800</v>
      </c>
      <c r="B4414" t="s">
        <v>307</v>
      </c>
      <c r="C4414" t="s">
        <v>4766</v>
      </c>
      <c r="D4414" s="30">
        <v>0.64900462962962968</v>
      </c>
      <c r="E4414" t="s">
        <v>314</v>
      </c>
      <c r="F4414" t="s">
        <v>299</v>
      </c>
      <c r="G4414" t="s">
        <v>303</v>
      </c>
      <c r="H4414">
        <v>55</v>
      </c>
      <c r="I4414" s="30">
        <v>2.4421296296296296E-3</v>
      </c>
      <c r="J4414">
        <v>4</v>
      </c>
    </row>
    <row r="4415" spans="1:10" x14ac:dyDescent="0.35">
      <c r="A4415" t="s">
        <v>4801</v>
      </c>
      <c r="B4415" t="s">
        <v>319</v>
      </c>
      <c r="C4415" t="s">
        <v>4766</v>
      </c>
      <c r="D4415" s="30">
        <v>0.64900462962962968</v>
      </c>
      <c r="E4415" t="s">
        <v>317</v>
      </c>
      <c r="F4415" t="s">
        <v>299</v>
      </c>
      <c r="G4415" t="s">
        <v>303</v>
      </c>
      <c r="H4415">
        <v>100</v>
      </c>
      <c r="I4415" s="30">
        <v>1.0648148148148149E-3</v>
      </c>
      <c r="J4415">
        <v>2</v>
      </c>
    </row>
    <row r="4416" spans="1:10" x14ac:dyDescent="0.35">
      <c r="A4416" t="s">
        <v>4802</v>
      </c>
      <c r="B4416" t="s">
        <v>301</v>
      </c>
      <c r="C4416" t="s">
        <v>4766</v>
      </c>
      <c r="D4416" s="30">
        <v>0.68599537037037039</v>
      </c>
      <c r="E4416" t="s">
        <v>298</v>
      </c>
      <c r="F4416" t="s">
        <v>299</v>
      </c>
      <c r="G4416" t="s">
        <v>299</v>
      </c>
      <c r="H4416">
        <v>101</v>
      </c>
      <c r="I4416" s="30">
        <v>9.7222222222222219E-4</v>
      </c>
      <c r="J4416">
        <v>4</v>
      </c>
    </row>
    <row r="4417" spans="1:10" x14ac:dyDescent="0.35">
      <c r="A4417" t="s">
        <v>4803</v>
      </c>
      <c r="B4417" t="s">
        <v>319</v>
      </c>
      <c r="C4417" t="s">
        <v>4766</v>
      </c>
      <c r="D4417" s="30">
        <v>0.68599537037037039</v>
      </c>
      <c r="E4417" t="s">
        <v>309</v>
      </c>
      <c r="F4417" t="s">
        <v>299</v>
      </c>
      <c r="G4417" t="s">
        <v>299</v>
      </c>
      <c r="H4417">
        <v>105</v>
      </c>
      <c r="I4417" s="30">
        <v>4.386574074074074E-3</v>
      </c>
      <c r="J4417">
        <v>5</v>
      </c>
    </row>
    <row r="4418" spans="1:10" x14ac:dyDescent="0.35">
      <c r="A4418" t="s">
        <v>4804</v>
      </c>
      <c r="B4418" t="s">
        <v>305</v>
      </c>
      <c r="C4418" t="s">
        <v>4766</v>
      </c>
      <c r="D4418" s="30">
        <v>0.69</v>
      </c>
      <c r="E4418" t="s">
        <v>309</v>
      </c>
      <c r="F4418" t="s">
        <v>303</v>
      </c>
      <c r="G4418" t="s">
        <v>303</v>
      </c>
    </row>
    <row r="4419" spans="1:10" x14ac:dyDescent="0.35">
      <c r="A4419" t="s">
        <v>4805</v>
      </c>
      <c r="B4419" t="s">
        <v>307</v>
      </c>
      <c r="C4419" t="s">
        <v>4766</v>
      </c>
      <c r="D4419" s="30">
        <v>0.69</v>
      </c>
      <c r="E4419" t="s">
        <v>298</v>
      </c>
      <c r="F4419" t="s">
        <v>299</v>
      </c>
      <c r="G4419" t="s">
        <v>299</v>
      </c>
      <c r="H4419">
        <v>47</v>
      </c>
      <c r="I4419" s="30">
        <v>4.7916666666666663E-3</v>
      </c>
      <c r="J4419">
        <v>4</v>
      </c>
    </row>
    <row r="4420" spans="1:10" x14ac:dyDescent="0.35">
      <c r="A4420" t="s">
        <v>4806</v>
      </c>
      <c r="B4420" t="s">
        <v>307</v>
      </c>
      <c r="C4420" t="s">
        <v>4766</v>
      </c>
      <c r="D4420" s="30">
        <v>0.69700231481481478</v>
      </c>
      <c r="E4420" t="s">
        <v>314</v>
      </c>
      <c r="F4420" t="s">
        <v>299</v>
      </c>
      <c r="G4420" t="s">
        <v>299</v>
      </c>
      <c r="H4420">
        <v>123</v>
      </c>
      <c r="I4420" s="30">
        <v>1.8518518518518519E-3</v>
      </c>
      <c r="J4420">
        <v>3</v>
      </c>
    </row>
    <row r="4421" spans="1:10" x14ac:dyDescent="0.35">
      <c r="A4421" t="s">
        <v>4807</v>
      </c>
      <c r="B4421" t="s">
        <v>316</v>
      </c>
      <c r="C4421" t="s">
        <v>4766</v>
      </c>
      <c r="D4421" s="30">
        <v>0.69700231481481478</v>
      </c>
      <c r="E4421" t="s">
        <v>317</v>
      </c>
      <c r="F4421" t="s">
        <v>299</v>
      </c>
      <c r="G4421" t="s">
        <v>303</v>
      </c>
      <c r="H4421">
        <v>108</v>
      </c>
      <c r="I4421" s="30">
        <v>3.2291666666666666E-3</v>
      </c>
      <c r="J4421">
        <v>3</v>
      </c>
    </row>
    <row r="4422" spans="1:10" x14ac:dyDescent="0.35">
      <c r="A4422" t="s">
        <v>4808</v>
      </c>
      <c r="B4422" t="s">
        <v>305</v>
      </c>
      <c r="C4422" t="s">
        <v>4809</v>
      </c>
      <c r="D4422" s="30">
        <v>0.37900462962962961</v>
      </c>
      <c r="E4422" t="s">
        <v>314</v>
      </c>
      <c r="F4422" t="s">
        <v>303</v>
      </c>
      <c r="G4422" t="s">
        <v>303</v>
      </c>
    </row>
    <row r="4423" spans="1:10" x14ac:dyDescent="0.35">
      <c r="A4423" t="s">
        <v>4810</v>
      </c>
      <c r="B4423" t="s">
        <v>323</v>
      </c>
      <c r="C4423" t="s">
        <v>4809</v>
      </c>
      <c r="D4423" s="30">
        <v>0.37900462962962961</v>
      </c>
      <c r="E4423" t="s">
        <v>302</v>
      </c>
      <c r="F4423" t="s">
        <v>299</v>
      </c>
      <c r="G4423" t="s">
        <v>299</v>
      </c>
      <c r="H4423">
        <v>35</v>
      </c>
      <c r="I4423" s="30">
        <v>7.7546296296296293E-4</v>
      </c>
      <c r="J4423">
        <v>5</v>
      </c>
    </row>
    <row r="4424" spans="1:10" x14ac:dyDescent="0.35">
      <c r="A4424" t="s">
        <v>4811</v>
      </c>
      <c r="B4424" t="s">
        <v>316</v>
      </c>
      <c r="C4424" t="s">
        <v>4809</v>
      </c>
      <c r="D4424" s="30">
        <v>0.41499999999999998</v>
      </c>
      <c r="E4424" t="s">
        <v>302</v>
      </c>
      <c r="F4424" t="s">
        <v>299</v>
      </c>
      <c r="G4424" t="s">
        <v>299</v>
      </c>
      <c r="H4424">
        <v>80</v>
      </c>
      <c r="I4424" s="30">
        <v>2.1643518518518518E-3</v>
      </c>
      <c r="J4424">
        <v>5</v>
      </c>
    </row>
    <row r="4425" spans="1:10" x14ac:dyDescent="0.35">
      <c r="A4425" t="s">
        <v>4812</v>
      </c>
      <c r="B4425" t="s">
        <v>332</v>
      </c>
      <c r="C4425" t="s">
        <v>4809</v>
      </c>
      <c r="D4425" s="30">
        <v>0.41499999999999998</v>
      </c>
      <c r="E4425" t="s">
        <v>302</v>
      </c>
      <c r="F4425" t="s">
        <v>299</v>
      </c>
      <c r="G4425" t="s">
        <v>299</v>
      </c>
      <c r="H4425">
        <v>16</v>
      </c>
      <c r="I4425" s="30">
        <v>2.0254629629629629E-3</v>
      </c>
      <c r="J4425">
        <v>5</v>
      </c>
    </row>
    <row r="4426" spans="1:10" x14ac:dyDescent="0.35">
      <c r="A4426" t="s">
        <v>4813</v>
      </c>
      <c r="B4426" t="s">
        <v>332</v>
      </c>
      <c r="C4426" t="s">
        <v>4809</v>
      </c>
      <c r="D4426" s="30">
        <v>0.42900462962962965</v>
      </c>
      <c r="E4426" t="s">
        <v>314</v>
      </c>
      <c r="F4426" t="s">
        <v>299</v>
      </c>
      <c r="G4426" t="s">
        <v>299</v>
      </c>
      <c r="H4426">
        <v>102</v>
      </c>
      <c r="I4426" s="30">
        <v>4.340277777777778E-3</v>
      </c>
      <c r="J4426">
        <v>3</v>
      </c>
    </row>
    <row r="4427" spans="1:10" x14ac:dyDescent="0.35">
      <c r="A4427" t="s">
        <v>4814</v>
      </c>
      <c r="B4427" t="s">
        <v>305</v>
      </c>
      <c r="C4427" t="s">
        <v>4809</v>
      </c>
      <c r="D4427" s="30">
        <v>0.42900462962962965</v>
      </c>
      <c r="E4427" t="s">
        <v>317</v>
      </c>
      <c r="F4427" t="s">
        <v>303</v>
      </c>
      <c r="G4427" t="s">
        <v>303</v>
      </c>
    </row>
    <row r="4428" spans="1:10" x14ac:dyDescent="0.35">
      <c r="A4428" t="s">
        <v>4815</v>
      </c>
      <c r="B4428" t="s">
        <v>319</v>
      </c>
      <c r="C4428" t="s">
        <v>4809</v>
      </c>
      <c r="D4428" s="30">
        <v>0.43</v>
      </c>
      <c r="E4428" t="s">
        <v>317</v>
      </c>
      <c r="F4428" t="s">
        <v>299</v>
      </c>
      <c r="G4428" t="s">
        <v>299</v>
      </c>
      <c r="H4428">
        <v>111</v>
      </c>
      <c r="I4428" s="30">
        <v>4.3518518518518515E-3</v>
      </c>
      <c r="J4428">
        <v>3</v>
      </c>
    </row>
    <row r="4429" spans="1:10" x14ac:dyDescent="0.35">
      <c r="A4429" t="s">
        <v>4816</v>
      </c>
      <c r="B4429" t="s">
        <v>301</v>
      </c>
      <c r="C4429" t="s">
        <v>4809</v>
      </c>
      <c r="D4429" s="30">
        <v>0.43</v>
      </c>
      <c r="E4429" t="s">
        <v>309</v>
      </c>
      <c r="F4429" t="s">
        <v>299</v>
      </c>
      <c r="G4429" t="s">
        <v>299</v>
      </c>
      <c r="H4429">
        <v>81</v>
      </c>
      <c r="I4429" s="30">
        <v>3.2986111111111111E-3</v>
      </c>
      <c r="J4429">
        <v>4</v>
      </c>
    </row>
    <row r="4430" spans="1:10" x14ac:dyDescent="0.35">
      <c r="A4430" t="s">
        <v>4817</v>
      </c>
      <c r="B4430" t="s">
        <v>296</v>
      </c>
      <c r="C4430" t="s">
        <v>4809</v>
      </c>
      <c r="D4430" s="30">
        <v>0.44599537037037035</v>
      </c>
      <c r="E4430" t="s">
        <v>298</v>
      </c>
      <c r="F4430" t="s">
        <v>303</v>
      </c>
      <c r="G4430" t="s">
        <v>303</v>
      </c>
    </row>
    <row r="4431" spans="1:10" x14ac:dyDescent="0.35">
      <c r="A4431" t="s">
        <v>4818</v>
      </c>
      <c r="B4431" t="s">
        <v>323</v>
      </c>
      <c r="C4431" t="s">
        <v>4809</v>
      </c>
      <c r="D4431" s="30">
        <v>0.44599537037037035</v>
      </c>
      <c r="E4431" t="s">
        <v>302</v>
      </c>
      <c r="F4431" t="s">
        <v>299</v>
      </c>
      <c r="G4431" t="s">
        <v>299</v>
      </c>
      <c r="H4431">
        <v>32</v>
      </c>
      <c r="I4431" s="30">
        <v>4.1666666666666669E-4</v>
      </c>
      <c r="J4431">
        <v>5</v>
      </c>
    </row>
    <row r="4432" spans="1:10" x14ac:dyDescent="0.35">
      <c r="A4432" t="s">
        <v>4819</v>
      </c>
      <c r="B4432" t="s">
        <v>332</v>
      </c>
      <c r="C4432" t="s">
        <v>4809</v>
      </c>
      <c r="D4432" s="30">
        <v>0.4670023148148148</v>
      </c>
      <c r="E4432" t="s">
        <v>309</v>
      </c>
      <c r="F4432" t="s">
        <v>303</v>
      </c>
      <c r="G4432" t="s">
        <v>303</v>
      </c>
    </row>
    <row r="4433" spans="1:10" x14ac:dyDescent="0.35">
      <c r="A4433" t="s">
        <v>4820</v>
      </c>
      <c r="B4433" t="s">
        <v>296</v>
      </c>
      <c r="C4433" t="s">
        <v>4809</v>
      </c>
      <c r="D4433" s="30">
        <v>0.4670023148148148</v>
      </c>
      <c r="E4433" t="s">
        <v>317</v>
      </c>
      <c r="F4433" t="s">
        <v>299</v>
      </c>
      <c r="G4433" t="s">
        <v>299</v>
      </c>
      <c r="H4433">
        <v>52</v>
      </c>
      <c r="I4433" s="30">
        <v>2.2453703703703702E-3</v>
      </c>
      <c r="J4433">
        <v>3</v>
      </c>
    </row>
    <row r="4434" spans="1:10" x14ac:dyDescent="0.35">
      <c r="A4434" t="s">
        <v>4821</v>
      </c>
      <c r="B4434" t="s">
        <v>323</v>
      </c>
      <c r="C4434" t="s">
        <v>4809</v>
      </c>
      <c r="D4434" s="30">
        <v>0.47599537037037037</v>
      </c>
      <c r="E4434" t="s">
        <v>302</v>
      </c>
      <c r="F4434" t="s">
        <v>299</v>
      </c>
      <c r="G4434" t="s">
        <v>299</v>
      </c>
      <c r="H4434">
        <v>112</v>
      </c>
      <c r="I4434" s="30">
        <v>2.2106481481481482E-3</v>
      </c>
      <c r="J4434">
        <v>5</v>
      </c>
    </row>
    <row r="4435" spans="1:10" x14ac:dyDescent="0.35">
      <c r="A4435" t="s">
        <v>4822</v>
      </c>
      <c r="B4435" t="s">
        <v>301</v>
      </c>
      <c r="C4435" t="s">
        <v>4809</v>
      </c>
      <c r="D4435" s="30">
        <v>0.47599537037037037</v>
      </c>
      <c r="E4435" t="s">
        <v>302</v>
      </c>
      <c r="F4435" t="s">
        <v>299</v>
      </c>
      <c r="G4435" t="s">
        <v>299</v>
      </c>
      <c r="H4435">
        <v>30</v>
      </c>
      <c r="I4435" s="30">
        <v>4.340277777777778E-3</v>
      </c>
      <c r="J4435">
        <v>3</v>
      </c>
    </row>
    <row r="4436" spans="1:10" x14ac:dyDescent="0.35">
      <c r="A4436" t="s">
        <v>4823</v>
      </c>
      <c r="B4436" t="s">
        <v>301</v>
      </c>
      <c r="C4436" t="s">
        <v>4809</v>
      </c>
      <c r="D4436" s="30">
        <v>0.49099537037037039</v>
      </c>
      <c r="E4436" t="s">
        <v>314</v>
      </c>
      <c r="F4436" t="s">
        <v>299</v>
      </c>
      <c r="G4436" t="s">
        <v>299</v>
      </c>
      <c r="H4436">
        <v>91</v>
      </c>
      <c r="I4436" s="30">
        <v>1.3773148148148147E-3</v>
      </c>
      <c r="J4436">
        <v>1</v>
      </c>
    </row>
    <row r="4437" spans="1:10" x14ac:dyDescent="0.35">
      <c r="A4437" t="s">
        <v>4824</v>
      </c>
      <c r="B4437" t="s">
        <v>307</v>
      </c>
      <c r="C4437" t="s">
        <v>4809</v>
      </c>
      <c r="D4437" s="30">
        <v>0.49099537037037039</v>
      </c>
      <c r="E4437" t="s">
        <v>317</v>
      </c>
      <c r="F4437" t="s">
        <v>299</v>
      </c>
      <c r="G4437" t="s">
        <v>299</v>
      </c>
      <c r="H4437">
        <v>53</v>
      </c>
      <c r="I4437" s="30">
        <v>3.6458333333333334E-3</v>
      </c>
      <c r="J4437">
        <v>3</v>
      </c>
    </row>
    <row r="4438" spans="1:10" x14ac:dyDescent="0.35">
      <c r="A4438" t="s">
        <v>4825</v>
      </c>
      <c r="B4438" t="s">
        <v>301</v>
      </c>
      <c r="C4438" t="s">
        <v>4809</v>
      </c>
      <c r="D4438" s="30">
        <v>0.49700231481481483</v>
      </c>
      <c r="E4438" t="s">
        <v>298</v>
      </c>
      <c r="F4438" t="s">
        <v>303</v>
      </c>
      <c r="G4438" t="s">
        <v>303</v>
      </c>
    </row>
    <row r="4439" spans="1:10" x14ac:dyDescent="0.35">
      <c r="A4439" t="s">
        <v>4826</v>
      </c>
      <c r="B4439" t="s">
        <v>296</v>
      </c>
      <c r="C4439" t="s">
        <v>4809</v>
      </c>
      <c r="D4439" s="30">
        <v>0.49700231481481483</v>
      </c>
      <c r="E4439" t="s">
        <v>298</v>
      </c>
      <c r="F4439" t="s">
        <v>303</v>
      </c>
      <c r="G4439" t="s">
        <v>303</v>
      </c>
    </row>
    <row r="4440" spans="1:10" x14ac:dyDescent="0.35">
      <c r="A4440" t="s">
        <v>4827</v>
      </c>
      <c r="B4440" t="s">
        <v>316</v>
      </c>
      <c r="C4440" t="s">
        <v>4809</v>
      </c>
      <c r="D4440" s="30">
        <v>0.50900462962962967</v>
      </c>
      <c r="E4440" t="s">
        <v>302</v>
      </c>
      <c r="F4440" t="s">
        <v>299</v>
      </c>
      <c r="G4440" t="s">
        <v>299</v>
      </c>
      <c r="H4440">
        <v>40</v>
      </c>
      <c r="I4440" s="30">
        <v>3.4953703703703705E-3</v>
      </c>
      <c r="J4440">
        <v>3</v>
      </c>
    </row>
    <row r="4441" spans="1:10" x14ac:dyDescent="0.35">
      <c r="A4441" t="s">
        <v>4828</v>
      </c>
      <c r="B4441" t="s">
        <v>296</v>
      </c>
      <c r="C4441" t="s">
        <v>4809</v>
      </c>
      <c r="D4441" s="30">
        <v>0.50900462962962967</v>
      </c>
      <c r="E4441" t="s">
        <v>298</v>
      </c>
      <c r="F4441" t="s">
        <v>299</v>
      </c>
      <c r="G4441" t="s">
        <v>299</v>
      </c>
      <c r="H4441">
        <v>45</v>
      </c>
      <c r="I4441" s="30">
        <v>4.0046296296296297E-3</v>
      </c>
      <c r="J4441">
        <v>5</v>
      </c>
    </row>
    <row r="4442" spans="1:10" x14ac:dyDescent="0.35">
      <c r="A4442" t="s">
        <v>4829</v>
      </c>
      <c r="B4442" t="s">
        <v>316</v>
      </c>
      <c r="C4442" t="s">
        <v>4809</v>
      </c>
      <c r="D4442" s="30">
        <v>0.51700231481481485</v>
      </c>
      <c r="E4442" t="s">
        <v>317</v>
      </c>
      <c r="F4442" t="s">
        <v>303</v>
      </c>
      <c r="G4442" t="s">
        <v>303</v>
      </c>
    </row>
    <row r="4443" spans="1:10" x14ac:dyDescent="0.35">
      <c r="A4443" t="s">
        <v>4830</v>
      </c>
      <c r="B4443" t="s">
        <v>305</v>
      </c>
      <c r="C4443" t="s">
        <v>4809</v>
      </c>
      <c r="D4443" s="30">
        <v>0.51700231481481485</v>
      </c>
      <c r="E4443" t="s">
        <v>314</v>
      </c>
      <c r="F4443" t="s">
        <v>299</v>
      </c>
      <c r="G4443" t="s">
        <v>299</v>
      </c>
      <c r="H4443">
        <v>89</v>
      </c>
      <c r="I4443" s="30">
        <v>2.5115740740740741E-3</v>
      </c>
      <c r="J4443">
        <v>2</v>
      </c>
    </row>
    <row r="4444" spans="1:10" x14ac:dyDescent="0.35">
      <c r="A4444" t="s">
        <v>4831</v>
      </c>
      <c r="B4444" t="s">
        <v>301</v>
      </c>
      <c r="C4444" t="s">
        <v>4809</v>
      </c>
      <c r="D4444" s="30">
        <v>0.54700231481481476</v>
      </c>
      <c r="E4444" t="s">
        <v>302</v>
      </c>
      <c r="F4444" t="s">
        <v>299</v>
      </c>
      <c r="G4444" t="s">
        <v>299</v>
      </c>
      <c r="H4444">
        <v>24</v>
      </c>
      <c r="I4444" s="30">
        <v>1.2731481481481483E-3</v>
      </c>
      <c r="J4444">
        <v>5</v>
      </c>
    </row>
    <row r="4445" spans="1:10" x14ac:dyDescent="0.35">
      <c r="A4445" t="s">
        <v>4832</v>
      </c>
      <c r="B4445" t="s">
        <v>296</v>
      </c>
      <c r="C4445" t="s">
        <v>4809</v>
      </c>
      <c r="D4445" s="30">
        <v>0.54700231481481476</v>
      </c>
      <c r="E4445" t="s">
        <v>302</v>
      </c>
      <c r="F4445" t="s">
        <v>299</v>
      </c>
      <c r="G4445" t="s">
        <v>299</v>
      </c>
      <c r="H4445">
        <v>76</v>
      </c>
      <c r="I4445" s="30">
        <v>3.5185185185185185E-3</v>
      </c>
      <c r="J4445">
        <v>3</v>
      </c>
    </row>
    <row r="4446" spans="1:10" x14ac:dyDescent="0.35">
      <c r="A4446" t="s">
        <v>4833</v>
      </c>
      <c r="B4446" t="s">
        <v>307</v>
      </c>
      <c r="C4446" t="s">
        <v>4809</v>
      </c>
      <c r="D4446" s="30">
        <v>0.55000000000000004</v>
      </c>
      <c r="E4446" t="s">
        <v>317</v>
      </c>
      <c r="F4446" t="s">
        <v>299</v>
      </c>
      <c r="G4446" t="s">
        <v>299</v>
      </c>
      <c r="H4446">
        <v>27</v>
      </c>
      <c r="I4446" s="30">
        <v>2.9745370370370373E-3</v>
      </c>
      <c r="J4446">
        <v>2</v>
      </c>
    </row>
    <row r="4447" spans="1:10" x14ac:dyDescent="0.35">
      <c r="A4447" t="s">
        <v>4834</v>
      </c>
      <c r="B4447" t="s">
        <v>305</v>
      </c>
      <c r="C4447" t="s">
        <v>4809</v>
      </c>
      <c r="D4447" s="30">
        <v>0.55000000000000004</v>
      </c>
      <c r="E4447" t="s">
        <v>298</v>
      </c>
      <c r="F4447" t="s">
        <v>299</v>
      </c>
      <c r="G4447" t="s">
        <v>303</v>
      </c>
      <c r="H4447">
        <v>27</v>
      </c>
      <c r="I4447" s="30">
        <v>1.7476851851851852E-3</v>
      </c>
      <c r="J4447">
        <v>4</v>
      </c>
    </row>
    <row r="4448" spans="1:10" x14ac:dyDescent="0.35">
      <c r="A4448" t="s">
        <v>4835</v>
      </c>
      <c r="B4448" t="s">
        <v>296</v>
      </c>
      <c r="C4448" t="s">
        <v>4809</v>
      </c>
      <c r="D4448" s="30">
        <v>0.5709953703703704</v>
      </c>
      <c r="E4448" t="s">
        <v>298</v>
      </c>
      <c r="F4448" t="s">
        <v>299</v>
      </c>
      <c r="G4448" t="s">
        <v>299</v>
      </c>
      <c r="H4448">
        <v>104</v>
      </c>
      <c r="I4448" s="30">
        <v>3.8425925925925928E-3</v>
      </c>
      <c r="J4448">
        <v>2</v>
      </c>
    </row>
    <row r="4449" spans="1:10" x14ac:dyDescent="0.35">
      <c r="A4449" t="s">
        <v>4836</v>
      </c>
      <c r="B4449" t="s">
        <v>296</v>
      </c>
      <c r="C4449" t="s">
        <v>4809</v>
      </c>
      <c r="D4449" s="30">
        <v>0.5709953703703704</v>
      </c>
      <c r="E4449" t="s">
        <v>314</v>
      </c>
      <c r="F4449" t="s">
        <v>299</v>
      </c>
      <c r="G4449" t="s">
        <v>299</v>
      </c>
      <c r="H4449">
        <v>110</v>
      </c>
      <c r="I4449" s="30">
        <v>2.4189814814814816E-3</v>
      </c>
      <c r="J4449">
        <v>1</v>
      </c>
    </row>
    <row r="4450" spans="1:10" x14ac:dyDescent="0.35">
      <c r="A4450" t="s">
        <v>4837</v>
      </c>
      <c r="B4450" t="s">
        <v>319</v>
      </c>
      <c r="C4450" t="s">
        <v>4809</v>
      </c>
      <c r="D4450" s="30">
        <v>0.57400462962962961</v>
      </c>
      <c r="E4450" t="s">
        <v>298</v>
      </c>
      <c r="F4450" t="s">
        <v>299</v>
      </c>
      <c r="G4450" t="s">
        <v>299</v>
      </c>
      <c r="H4450">
        <v>51</v>
      </c>
      <c r="I4450" s="30">
        <v>3.5995370370370369E-3</v>
      </c>
      <c r="J4450">
        <v>4</v>
      </c>
    </row>
    <row r="4451" spans="1:10" x14ac:dyDescent="0.35">
      <c r="A4451" t="s">
        <v>4838</v>
      </c>
      <c r="B4451" t="s">
        <v>332</v>
      </c>
      <c r="C4451" t="s">
        <v>4809</v>
      </c>
      <c r="D4451" s="30">
        <v>0.57400462962962961</v>
      </c>
      <c r="E4451" t="s">
        <v>298</v>
      </c>
      <c r="F4451" t="s">
        <v>299</v>
      </c>
      <c r="G4451" t="s">
        <v>299</v>
      </c>
      <c r="H4451">
        <v>65</v>
      </c>
      <c r="I4451" s="30">
        <v>4.0393518518518521E-3</v>
      </c>
      <c r="J4451">
        <v>2</v>
      </c>
    </row>
    <row r="4452" spans="1:10" x14ac:dyDescent="0.35">
      <c r="A4452" t="s">
        <v>4839</v>
      </c>
      <c r="B4452" t="s">
        <v>307</v>
      </c>
      <c r="C4452" t="s">
        <v>4809</v>
      </c>
      <c r="D4452" s="30">
        <v>0.60200231481481481</v>
      </c>
      <c r="E4452" t="s">
        <v>314</v>
      </c>
      <c r="F4452" t="s">
        <v>299</v>
      </c>
      <c r="G4452" t="s">
        <v>299</v>
      </c>
      <c r="H4452">
        <v>21</v>
      </c>
      <c r="I4452" s="30">
        <v>2.2222222222222222E-3</v>
      </c>
      <c r="J4452">
        <v>4</v>
      </c>
    </row>
    <row r="4453" spans="1:10" x14ac:dyDescent="0.35">
      <c r="A4453" t="s">
        <v>4840</v>
      </c>
      <c r="B4453" t="s">
        <v>301</v>
      </c>
      <c r="C4453" t="s">
        <v>4809</v>
      </c>
      <c r="D4453" s="30">
        <v>0.60200231481481481</v>
      </c>
      <c r="E4453" t="s">
        <v>317</v>
      </c>
      <c r="F4453" t="s">
        <v>299</v>
      </c>
      <c r="G4453" t="s">
        <v>299</v>
      </c>
      <c r="H4453">
        <v>29</v>
      </c>
      <c r="I4453" s="30">
        <v>8.4490740740740739E-4</v>
      </c>
      <c r="J4453">
        <v>3</v>
      </c>
    </row>
    <row r="4454" spans="1:10" x14ac:dyDescent="0.35">
      <c r="A4454" t="s">
        <v>4841</v>
      </c>
      <c r="B4454" t="s">
        <v>296</v>
      </c>
      <c r="C4454" t="s">
        <v>4809</v>
      </c>
      <c r="D4454" s="30">
        <v>0.64099537037037035</v>
      </c>
      <c r="E4454" t="s">
        <v>309</v>
      </c>
      <c r="F4454" t="s">
        <v>303</v>
      </c>
      <c r="G4454" t="s">
        <v>303</v>
      </c>
    </row>
    <row r="4455" spans="1:10" x14ac:dyDescent="0.35">
      <c r="A4455" t="s">
        <v>4842</v>
      </c>
      <c r="B4455" t="s">
        <v>319</v>
      </c>
      <c r="C4455" t="s">
        <v>4809</v>
      </c>
      <c r="D4455" s="30">
        <v>0.64099537037037035</v>
      </c>
      <c r="E4455" t="s">
        <v>302</v>
      </c>
      <c r="F4455" t="s">
        <v>303</v>
      </c>
      <c r="G4455" t="s">
        <v>303</v>
      </c>
    </row>
    <row r="4456" spans="1:10" x14ac:dyDescent="0.35">
      <c r="A4456" t="s">
        <v>4843</v>
      </c>
      <c r="B4456" t="s">
        <v>305</v>
      </c>
      <c r="C4456" t="s">
        <v>4809</v>
      </c>
      <c r="D4456" s="30">
        <v>0.65400462962962957</v>
      </c>
      <c r="E4456" t="s">
        <v>298</v>
      </c>
      <c r="F4456" t="s">
        <v>299</v>
      </c>
      <c r="G4456" t="s">
        <v>299</v>
      </c>
      <c r="H4456">
        <v>124</v>
      </c>
      <c r="I4456" s="30">
        <v>2.1180555555555558E-3</v>
      </c>
      <c r="J4456">
        <v>4</v>
      </c>
    </row>
    <row r="4457" spans="1:10" x14ac:dyDescent="0.35">
      <c r="A4457" t="s">
        <v>4844</v>
      </c>
      <c r="B4457" t="s">
        <v>307</v>
      </c>
      <c r="C4457" t="s">
        <v>4809</v>
      </c>
      <c r="D4457" s="30">
        <v>0.65400462962962957</v>
      </c>
      <c r="E4457" t="s">
        <v>317</v>
      </c>
      <c r="F4457" t="s">
        <v>299</v>
      </c>
      <c r="G4457" t="s">
        <v>299</v>
      </c>
      <c r="H4457">
        <v>21</v>
      </c>
      <c r="I4457" s="30">
        <v>3.0555555555555557E-3</v>
      </c>
      <c r="J4457">
        <v>1</v>
      </c>
    </row>
    <row r="4458" spans="1:10" x14ac:dyDescent="0.35">
      <c r="A4458" t="s">
        <v>4845</v>
      </c>
      <c r="B4458" t="s">
        <v>323</v>
      </c>
      <c r="C4458" t="s">
        <v>4809</v>
      </c>
      <c r="D4458" s="30">
        <v>0.65500000000000003</v>
      </c>
      <c r="E4458" t="s">
        <v>314</v>
      </c>
      <c r="F4458" t="s">
        <v>299</v>
      </c>
      <c r="G4458" t="s">
        <v>299</v>
      </c>
      <c r="H4458">
        <v>121</v>
      </c>
      <c r="I4458" s="30">
        <v>1.5972222222222223E-3</v>
      </c>
      <c r="J4458">
        <v>3</v>
      </c>
    </row>
    <row r="4459" spans="1:10" x14ac:dyDescent="0.35">
      <c r="A4459" t="s">
        <v>4846</v>
      </c>
      <c r="B4459" t="s">
        <v>301</v>
      </c>
      <c r="C4459" t="s">
        <v>4809</v>
      </c>
      <c r="D4459" s="30">
        <v>0.65500000000000003</v>
      </c>
      <c r="E4459" t="s">
        <v>302</v>
      </c>
      <c r="F4459" t="s">
        <v>303</v>
      </c>
      <c r="G4459" t="s">
        <v>303</v>
      </c>
    </row>
    <row r="4460" spans="1:10" x14ac:dyDescent="0.35">
      <c r="A4460" t="s">
        <v>4847</v>
      </c>
      <c r="B4460" t="s">
        <v>332</v>
      </c>
      <c r="C4460" t="s">
        <v>4809</v>
      </c>
      <c r="D4460" s="30">
        <v>0.65500000000000003</v>
      </c>
      <c r="E4460" t="s">
        <v>309</v>
      </c>
      <c r="F4460" t="s">
        <v>299</v>
      </c>
      <c r="G4460" t="s">
        <v>299</v>
      </c>
      <c r="H4460">
        <v>56</v>
      </c>
      <c r="I4460" s="30">
        <v>1.9328703703703704E-3</v>
      </c>
      <c r="J4460">
        <v>2</v>
      </c>
    </row>
    <row r="4461" spans="1:10" x14ac:dyDescent="0.35">
      <c r="A4461" t="s">
        <v>4848</v>
      </c>
      <c r="B4461" t="s">
        <v>307</v>
      </c>
      <c r="C4461" t="s">
        <v>4809</v>
      </c>
      <c r="D4461" s="30">
        <v>0.65500000000000003</v>
      </c>
      <c r="E4461" t="s">
        <v>298</v>
      </c>
      <c r="F4461" t="s">
        <v>299</v>
      </c>
      <c r="G4461" t="s">
        <v>299</v>
      </c>
      <c r="H4461">
        <v>10</v>
      </c>
      <c r="I4461" s="30">
        <v>4.31712962962963E-3</v>
      </c>
      <c r="J4461">
        <v>3</v>
      </c>
    </row>
    <row r="4462" spans="1:10" x14ac:dyDescent="0.35">
      <c r="A4462" t="s">
        <v>4849</v>
      </c>
      <c r="B4462" t="s">
        <v>323</v>
      </c>
      <c r="C4462" t="s">
        <v>4809</v>
      </c>
      <c r="D4462" s="30">
        <v>0.65599537037037037</v>
      </c>
      <c r="E4462" t="s">
        <v>309</v>
      </c>
      <c r="F4462" t="s">
        <v>299</v>
      </c>
      <c r="G4462" t="s">
        <v>299</v>
      </c>
      <c r="H4462">
        <v>56</v>
      </c>
      <c r="I4462" s="30">
        <v>1.9907407407407408E-3</v>
      </c>
      <c r="J4462">
        <v>4</v>
      </c>
    </row>
    <row r="4463" spans="1:10" x14ac:dyDescent="0.35">
      <c r="A4463" t="s">
        <v>4850</v>
      </c>
      <c r="B4463" t="s">
        <v>319</v>
      </c>
      <c r="C4463" t="s">
        <v>4809</v>
      </c>
      <c r="D4463" s="30">
        <v>0.65599537037037037</v>
      </c>
      <c r="E4463" t="s">
        <v>309</v>
      </c>
      <c r="F4463" t="s">
        <v>303</v>
      </c>
      <c r="G4463" t="s">
        <v>303</v>
      </c>
    </row>
    <row r="4464" spans="1:10" x14ac:dyDescent="0.35">
      <c r="A4464" t="s">
        <v>4851</v>
      </c>
      <c r="B4464" t="s">
        <v>316</v>
      </c>
      <c r="C4464" t="s">
        <v>4809</v>
      </c>
      <c r="D4464" s="30">
        <v>0.66400462962962958</v>
      </c>
      <c r="E4464" t="s">
        <v>302</v>
      </c>
      <c r="F4464" t="s">
        <v>299</v>
      </c>
      <c r="G4464" t="s">
        <v>299</v>
      </c>
      <c r="H4464">
        <v>17</v>
      </c>
      <c r="I4464" s="30">
        <v>3.5879629629629629E-4</v>
      </c>
      <c r="J4464">
        <v>3</v>
      </c>
    </row>
    <row r="4465" spans="1:10" x14ac:dyDescent="0.35">
      <c r="A4465" t="s">
        <v>4852</v>
      </c>
      <c r="B4465" t="s">
        <v>323</v>
      </c>
      <c r="C4465" t="s">
        <v>4809</v>
      </c>
      <c r="D4465" s="30">
        <v>0.66400462962962958</v>
      </c>
      <c r="E4465" t="s">
        <v>298</v>
      </c>
      <c r="F4465" t="s">
        <v>299</v>
      </c>
      <c r="G4465" t="s">
        <v>299</v>
      </c>
      <c r="H4465">
        <v>37</v>
      </c>
      <c r="I4465" s="30">
        <v>5.7870370370370367E-4</v>
      </c>
      <c r="J4465">
        <v>5</v>
      </c>
    </row>
    <row r="4466" spans="1:10" x14ac:dyDescent="0.35">
      <c r="A4466" t="s">
        <v>4853</v>
      </c>
      <c r="B4466" t="s">
        <v>301</v>
      </c>
      <c r="C4466" t="s">
        <v>4809</v>
      </c>
      <c r="D4466" s="30">
        <v>0.67099537037037038</v>
      </c>
      <c r="E4466" t="s">
        <v>317</v>
      </c>
      <c r="F4466" t="s">
        <v>299</v>
      </c>
      <c r="G4466" t="s">
        <v>299</v>
      </c>
      <c r="H4466">
        <v>108</v>
      </c>
      <c r="I4466" s="30">
        <v>7.6388888888888893E-4</v>
      </c>
      <c r="J4466">
        <v>5</v>
      </c>
    </row>
    <row r="4467" spans="1:10" x14ac:dyDescent="0.35">
      <c r="A4467" t="s">
        <v>4854</v>
      </c>
      <c r="B4467" t="s">
        <v>296</v>
      </c>
      <c r="C4467" t="s">
        <v>4809</v>
      </c>
      <c r="D4467" s="30">
        <v>0.67099537037037038</v>
      </c>
      <c r="E4467" t="s">
        <v>302</v>
      </c>
      <c r="F4467" t="s">
        <v>299</v>
      </c>
      <c r="G4467" t="s">
        <v>299</v>
      </c>
      <c r="H4467">
        <v>18</v>
      </c>
      <c r="I4467" s="30">
        <v>3.9699074074074072E-3</v>
      </c>
      <c r="J4467">
        <v>5</v>
      </c>
    </row>
    <row r="4468" spans="1:10" x14ac:dyDescent="0.35">
      <c r="A4468" t="s">
        <v>4855</v>
      </c>
      <c r="B4468" t="s">
        <v>323</v>
      </c>
      <c r="C4468" t="s">
        <v>4809</v>
      </c>
      <c r="D4468" s="30">
        <v>0.70200231481481479</v>
      </c>
      <c r="E4468" t="s">
        <v>317</v>
      </c>
      <c r="F4468" t="s">
        <v>303</v>
      </c>
      <c r="G4468" t="s">
        <v>303</v>
      </c>
    </row>
    <row r="4469" spans="1:10" x14ac:dyDescent="0.35">
      <c r="A4469" t="s">
        <v>4856</v>
      </c>
      <c r="B4469" t="s">
        <v>323</v>
      </c>
      <c r="C4469" t="s">
        <v>4809</v>
      </c>
      <c r="D4469" s="30">
        <v>0.70200231481481479</v>
      </c>
      <c r="E4469" t="s">
        <v>317</v>
      </c>
      <c r="F4469" t="s">
        <v>299</v>
      </c>
      <c r="G4469" t="s">
        <v>299</v>
      </c>
      <c r="H4469">
        <v>77</v>
      </c>
      <c r="I4469" s="30">
        <v>3.2754629629629631E-3</v>
      </c>
      <c r="J4469">
        <v>4</v>
      </c>
    </row>
    <row r="4470" spans="1:10" x14ac:dyDescent="0.35">
      <c r="A4470" t="s">
        <v>4857</v>
      </c>
      <c r="B4470" t="s">
        <v>296</v>
      </c>
      <c r="C4470" t="s">
        <v>4809</v>
      </c>
      <c r="D4470" s="30">
        <v>0.73099537037037032</v>
      </c>
      <c r="E4470" t="s">
        <v>317</v>
      </c>
      <c r="F4470" t="s">
        <v>299</v>
      </c>
      <c r="G4470" t="s">
        <v>299</v>
      </c>
      <c r="H4470">
        <v>34</v>
      </c>
      <c r="I4470" s="30">
        <v>3.1365740740740742E-3</v>
      </c>
      <c r="J4470">
        <v>1</v>
      </c>
    </row>
    <row r="4471" spans="1:10" x14ac:dyDescent="0.35">
      <c r="A4471" t="s">
        <v>4858</v>
      </c>
      <c r="B4471" t="s">
        <v>307</v>
      </c>
      <c r="C4471" t="s">
        <v>4809</v>
      </c>
      <c r="D4471" s="30">
        <v>0.73099537037037032</v>
      </c>
      <c r="E4471" t="s">
        <v>298</v>
      </c>
      <c r="F4471" t="s">
        <v>299</v>
      </c>
      <c r="G4471" t="s">
        <v>299</v>
      </c>
      <c r="H4471">
        <v>73</v>
      </c>
      <c r="I4471" s="30">
        <v>1.1805555555555556E-3</v>
      </c>
      <c r="J4471">
        <v>3</v>
      </c>
    </row>
    <row r="4472" spans="1:10" x14ac:dyDescent="0.35">
      <c r="A4472" t="s">
        <v>4859</v>
      </c>
      <c r="B4472" t="s">
        <v>323</v>
      </c>
      <c r="C4472" t="s">
        <v>4809</v>
      </c>
      <c r="D4472" s="30">
        <v>0.73900462962962965</v>
      </c>
      <c r="E4472" t="s">
        <v>317</v>
      </c>
      <c r="F4472" t="s">
        <v>303</v>
      </c>
      <c r="G4472" t="s">
        <v>303</v>
      </c>
    </row>
    <row r="4473" spans="1:10" x14ac:dyDescent="0.35">
      <c r="A4473" t="s">
        <v>4860</v>
      </c>
      <c r="B4473" t="s">
        <v>307</v>
      </c>
      <c r="C4473" t="s">
        <v>4809</v>
      </c>
      <c r="D4473" s="30">
        <v>0.73900462962962965</v>
      </c>
      <c r="E4473" t="s">
        <v>314</v>
      </c>
      <c r="F4473" t="s">
        <v>299</v>
      </c>
      <c r="G4473" t="s">
        <v>299</v>
      </c>
      <c r="H4473">
        <v>120</v>
      </c>
      <c r="I4473" s="30">
        <v>1.8749999999999999E-3</v>
      </c>
      <c r="J4473">
        <v>3</v>
      </c>
    </row>
    <row r="4474" spans="1:10" x14ac:dyDescent="0.35">
      <c r="A4474" t="s">
        <v>4861</v>
      </c>
      <c r="B4474" t="s">
        <v>305</v>
      </c>
      <c r="C4474" t="s">
        <v>4809</v>
      </c>
      <c r="D4474" s="30">
        <v>0.74799768518518517</v>
      </c>
      <c r="E4474" t="s">
        <v>302</v>
      </c>
      <c r="F4474" t="s">
        <v>299</v>
      </c>
      <c r="G4474" t="s">
        <v>299</v>
      </c>
      <c r="H4474">
        <v>100</v>
      </c>
      <c r="I4474" s="30">
        <v>3.6689814814814814E-3</v>
      </c>
      <c r="J4474">
        <v>1</v>
      </c>
    </row>
    <row r="4475" spans="1:10" x14ac:dyDescent="0.35">
      <c r="A4475" t="s">
        <v>4862</v>
      </c>
      <c r="B4475" t="s">
        <v>323</v>
      </c>
      <c r="C4475" t="s">
        <v>4809</v>
      </c>
      <c r="D4475" s="30">
        <v>0.74799768518518517</v>
      </c>
      <c r="E4475" t="s">
        <v>309</v>
      </c>
      <c r="F4475" t="s">
        <v>299</v>
      </c>
      <c r="G4475" t="s">
        <v>299</v>
      </c>
      <c r="H4475">
        <v>93</v>
      </c>
      <c r="I4475" s="30">
        <v>4.3750000000000004E-3</v>
      </c>
      <c r="J4475">
        <v>4</v>
      </c>
    </row>
    <row r="4476" spans="1:10" x14ac:dyDescent="0.35">
      <c r="A4476" t="s">
        <v>4863</v>
      </c>
      <c r="B4476" t="s">
        <v>296</v>
      </c>
      <c r="C4476" t="s">
        <v>4809</v>
      </c>
      <c r="D4476" s="30">
        <v>0.74900462962962966</v>
      </c>
      <c r="E4476" t="s">
        <v>317</v>
      </c>
      <c r="F4476" t="s">
        <v>299</v>
      </c>
      <c r="G4476" t="s">
        <v>303</v>
      </c>
      <c r="H4476">
        <v>17</v>
      </c>
      <c r="I4476" s="30">
        <v>5.6712962962962967E-4</v>
      </c>
      <c r="J4476">
        <v>4</v>
      </c>
    </row>
    <row r="4477" spans="1:10" x14ac:dyDescent="0.35">
      <c r="A4477" t="s">
        <v>4864</v>
      </c>
      <c r="B4477" t="s">
        <v>305</v>
      </c>
      <c r="C4477" t="s">
        <v>4809</v>
      </c>
      <c r="D4477" s="30">
        <v>0.74900462962962966</v>
      </c>
      <c r="E4477" t="s">
        <v>309</v>
      </c>
      <c r="F4477" t="s">
        <v>299</v>
      </c>
      <c r="G4477" t="s">
        <v>299</v>
      </c>
      <c r="H4477">
        <v>17</v>
      </c>
      <c r="I4477" s="30">
        <v>3.5763888888888889E-3</v>
      </c>
      <c r="J4477">
        <v>2</v>
      </c>
    </row>
    <row r="4478" spans="1:10" x14ac:dyDescent="0.35">
      <c r="A4478" t="s">
        <v>4865</v>
      </c>
      <c r="B4478" t="s">
        <v>316</v>
      </c>
      <c r="C4478" t="s">
        <v>4866</v>
      </c>
      <c r="D4478" s="30">
        <v>0.3759953703703704</v>
      </c>
      <c r="E4478" t="s">
        <v>298</v>
      </c>
      <c r="F4478" t="s">
        <v>299</v>
      </c>
      <c r="G4478" t="s">
        <v>299</v>
      </c>
      <c r="H4478">
        <v>56</v>
      </c>
      <c r="I4478" s="30">
        <v>3.0671296296296297E-3</v>
      </c>
      <c r="J4478">
        <v>2</v>
      </c>
    </row>
    <row r="4479" spans="1:10" x14ac:dyDescent="0.35">
      <c r="A4479" t="s">
        <v>4867</v>
      </c>
      <c r="B4479" t="s">
        <v>296</v>
      </c>
      <c r="C4479" t="s">
        <v>4866</v>
      </c>
      <c r="D4479" s="30">
        <v>0.3759953703703704</v>
      </c>
      <c r="E4479" t="s">
        <v>314</v>
      </c>
      <c r="F4479" t="s">
        <v>303</v>
      </c>
      <c r="G4479" t="s">
        <v>303</v>
      </c>
    </row>
    <row r="4480" spans="1:10" x14ac:dyDescent="0.35">
      <c r="A4480" t="s">
        <v>4868</v>
      </c>
      <c r="B4480" t="s">
        <v>332</v>
      </c>
      <c r="C4480" t="s">
        <v>4866</v>
      </c>
      <c r="D4480" s="30">
        <v>0.37799768518518517</v>
      </c>
      <c r="E4480" t="s">
        <v>298</v>
      </c>
      <c r="F4480" t="s">
        <v>299</v>
      </c>
      <c r="G4480" t="s">
        <v>299</v>
      </c>
      <c r="H4480">
        <v>97</v>
      </c>
      <c r="I4480" s="30">
        <v>1.8402777777777777E-3</v>
      </c>
      <c r="J4480">
        <v>2</v>
      </c>
    </row>
    <row r="4481" spans="1:10" x14ac:dyDescent="0.35">
      <c r="A4481" t="s">
        <v>4869</v>
      </c>
      <c r="B4481" t="s">
        <v>305</v>
      </c>
      <c r="C4481" t="s">
        <v>4866</v>
      </c>
      <c r="D4481" s="30">
        <v>0.37799768518518517</v>
      </c>
      <c r="E4481" t="s">
        <v>317</v>
      </c>
      <c r="F4481" t="s">
        <v>299</v>
      </c>
      <c r="G4481" t="s">
        <v>299</v>
      </c>
      <c r="H4481">
        <v>25</v>
      </c>
      <c r="I4481" s="30">
        <v>4.3981481481481484E-3</v>
      </c>
      <c r="J4481">
        <v>4</v>
      </c>
    </row>
    <row r="4482" spans="1:10" x14ac:dyDescent="0.35">
      <c r="A4482" t="s">
        <v>4870</v>
      </c>
      <c r="B4482" t="s">
        <v>296</v>
      </c>
      <c r="C4482" t="s">
        <v>4866</v>
      </c>
      <c r="D4482" s="30">
        <v>0.39400462962962962</v>
      </c>
      <c r="E4482" t="s">
        <v>302</v>
      </c>
      <c r="F4482" t="s">
        <v>299</v>
      </c>
      <c r="G4482" t="s">
        <v>299</v>
      </c>
      <c r="H4482">
        <v>47</v>
      </c>
      <c r="I4482" s="30">
        <v>1.9675925925925924E-3</v>
      </c>
      <c r="J4482">
        <v>4</v>
      </c>
    </row>
    <row r="4483" spans="1:10" x14ac:dyDescent="0.35">
      <c r="A4483" t="s">
        <v>4871</v>
      </c>
      <c r="B4483" t="s">
        <v>316</v>
      </c>
      <c r="C4483" t="s">
        <v>4866</v>
      </c>
      <c r="D4483" s="30">
        <v>0.39400462962962962</v>
      </c>
      <c r="E4483" t="s">
        <v>309</v>
      </c>
      <c r="F4483" t="s">
        <v>299</v>
      </c>
      <c r="G4483" t="s">
        <v>299</v>
      </c>
      <c r="H4483">
        <v>70</v>
      </c>
      <c r="I4483" s="30">
        <v>1.3310185185185185E-3</v>
      </c>
      <c r="J4483">
        <v>3</v>
      </c>
    </row>
    <row r="4484" spans="1:10" x14ac:dyDescent="0.35">
      <c r="A4484" t="s">
        <v>4872</v>
      </c>
      <c r="B4484" t="s">
        <v>307</v>
      </c>
      <c r="C4484" t="s">
        <v>4866</v>
      </c>
      <c r="D4484" s="30">
        <v>0.41799768518518521</v>
      </c>
      <c r="E4484" t="s">
        <v>302</v>
      </c>
      <c r="F4484" t="s">
        <v>299</v>
      </c>
      <c r="G4484" t="s">
        <v>299</v>
      </c>
      <c r="H4484">
        <v>86</v>
      </c>
      <c r="I4484" s="30">
        <v>2.1643518518518518E-3</v>
      </c>
      <c r="J4484">
        <v>3</v>
      </c>
    </row>
    <row r="4485" spans="1:10" x14ac:dyDescent="0.35">
      <c r="A4485" t="s">
        <v>4873</v>
      </c>
      <c r="B4485" t="s">
        <v>305</v>
      </c>
      <c r="C4485" t="s">
        <v>4866</v>
      </c>
      <c r="D4485" s="30">
        <v>0.41799768518518521</v>
      </c>
      <c r="E4485" t="s">
        <v>298</v>
      </c>
      <c r="F4485" t="s">
        <v>299</v>
      </c>
      <c r="G4485" t="s">
        <v>299</v>
      </c>
      <c r="H4485">
        <v>92</v>
      </c>
      <c r="I4485" s="30">
        <v>2.8819444444444444E-3</v>
      </c>
      <c r="J4485">
        <v>5</v>
      </c>
    </row>
    <row r="4486" spans="1:10" x14ac:dyDescent="0.35">
      <c r="A4486" t="s">
        <v>4874</v>
      </c>
      <c r="B4486" t="s">
        <v>307</v>
      </c>
      <c r="C4486" t="s">
        <v>4866</v>
      </c>
      <c r="D4486" s="30">
        <v>0.44099537037037034</v>
      </c>
      <c r="E4486" t="s">
        <v>314</v>
      </c>
      <c r="F4486" t="s">
        <v>299</v>
      </c>
      <c r="G4486" t="s">
        <v>299</v>
      </c>
      <c r="H4486">
        <v>122</v>
      </c>
      <c r="I4486" s="30">
        <v>1.0185185185185184E-3</v>
      </c>
      <c r="J4486">
        <v>3</v>
      </c>
    </row>
    <row r="4487" spans="1:10" x14ac:dyDescent="0.35">
      <c r="A4487" t="s">
        <v>4875</v>
      </c>
      <c r="B4487" t="s">
        <v>296</v>
      </c>
      <c r="C4487" t="s">
        <v>4866</v>
      </c>
      <c r="D4487" s="30">
        <v>0.44099537037037034</v>
      </c>
      <c r="E4487" t="s">
        <v>317</v>
      </c>
      <c r="F4487" t="s">
        <v>299</v>
      </c>
      <c r="G4487" t="s">
        <v>299</v>
      </c>
      <c r="H4487">
        <v>11</v>
      </c>
      <c r="I4487" s="30">
        <v>4.7222222222222223E-3</v>
      </c>
      <c r="J4487">
        <v>3</v>
      </c>
    </row>
    <row r="4488" spans="1:10" x14ac:dyDescent="0.35">
      <c r="A4488" t="s">
        <v>4876</v>
      </c>
      <c r="B4488" t="s">
        <v>296</v>
      </c>
      <c r="C4488" t="s">
        <v>4866</v>
      </c>
      <c r="D4488" s="30">
        <v>0.44700231481481484</v>
      </c>
      <c r="E4488" t="s">
        <v>302</v>
      </c>
      <c r="F4488" t="s">
        <v>299</v>
      </c>
      <c r="G4488" t="s">
        <v>299</v>
      </c>
      <c r="H4488">
        <v>27</v>
      </c>
      <c r="I4488" s="30">
        <v>4.2592592592592595E-3</v>
      </c>
      <c r="J4488">
        <v>3</v>
      </c>
    </row>
    <row r="4489" spans="1:10" x14ac:dyDescent="0.35">
      <c r="A4489" t="s">
        <v>4877</v>
      </c>
      <c r="B4489" t="s">
        <v>307</v>
      </c>
      <c r="C4489" t="s">
        <v>4866</v>
      </c>
      <c r="D4489" s="30">
        <v>0.44700231481481484</v>
      </c>
      <c r="E4489" t="s">
        <v>298</v>
      </c>
      <c r="F4489" t="s">
        <v>303</v>
      </c>
      <c r="G4489" t="s">
        <v>303</v>
      </c>
    </row>
    <row r="4490" spans="1:10" x14ac:dyDescent="0.35">
      <c r="A4490" t="s">
        <v>4878</v>
      </c>
      <c r="B4490" t="s">
        <v>301</v>
      </c>
      <c r="C4490" t="s">
        <v>4866</v>
      </c>
      <c r="D4490" s="30">
        <v>0.46500000000000002</v>
      </c>
      <c r="E4490" t="s">
        <v>309</v>
      </c>
      <c r="F4490" t="s">
        <v>299</v>
      </c>
      <c r="G4490" t="s">
        <v>299</v>
      </c>
      <c r="H4490">
        <v>17</v>
      </c>
      <c r="I4490" s="30">
        <v>1.3657407407407407E-3</v>
      </c>
      <c r="J4490">
        <v>4</v>
      </c>
    </row>
    <row r="4491" spans="1:10" x14ac:dyDescent="0.35">
      <c r="A4491" t="s">
        <v>4879</v>
      </c>
      <c r="B4491" t="s">
        <v>307</v>
      </c>
      <c r="C4491" t="s">
        <v>4866</v>
      </c>
      <c r="D4491" s="30">
        <v>0.46500000000000002</v>
      </c>
      <c r="E4491" t="s">
        <v>309</v>
      </c>
      <c r="F4491" t="s">
        <v>299</v>
      </c>
      <c r="G4491" t="s">
        <v>299</v>
      </c>
      <c r="H4491">
        <v>113</v>
      </c>
      <c r="I4491" s="30">
        <v>2.2453703703703702E-3</v>
      </c>
      <c r="J4491">
        <v>3</v>
      </c>
    </row>
    <row r="4492" spans="1:10" x14ac:dyDescent="0.35">
      <c r="A4492" t="s">
        <v>4880</v>
      </c>
      <c r="B4492" t="s">
        <v>332</v>
      </c>
      <c r="C4492" t="s">
        <v>4866</v>
      </c>
      <c r="D4492" s="30">
        <v>0.48</v>
      </c>
      <c r="E4492" t="s">
        <v>309</v>
      </c>
      <c r="F4492" t="s">
        <v>303</v>
      </c>
      <c r="G4492" t="s">
        <v>303</v>
      </c>
    </row>
    <row r="4493" spans="1:10" x14ac:dyDescent="0.35">
      <c r="A4493" t="s">
        <v>4881</v>
      </c>
      <c r="B4493" t="s">
        <v>301</v>
      </c>
      <c r="C4493" t="s">
        <v>4866</v>
      </c>
      <c r="D4493" s="30">
        <v>0.48</v>
      </c>
      <c r="E4493" t="s">
        <v>317</v>
      </c>
      <c r="F4493" t="s">
        <v>299</v>
      </c>
      <c r="G4493" t="s">
        <v>299</v>
      </c>
      <c r="H4493">
        <v>101</v>
      </c>
      <c r="I4493" s="30">
        <v>2.3379629629629631E-3</v>
      </c>
      <c r="J4493">
        <v>3</v>
      </c>
    </row>
    <row r="4494" spans="1:10" x14ac:dyDescent="0.35">
      <c r="A4494" t="s">
        <v>4882</v>
      </c>
      <c r="B4494" t="s">
        <v>301</v>
      </c>
      <c r="C4494" t="s">
        <v>4866</v>
      </c>
      <c r="D4494" s="30">
        <v>0.49099537037037039</v>
      </c>
      <c r="E4494" t="s">
        <v>298</v>
      </c>
      <c r="F4494" t="s">
        <v>299</v>
      </c>
      <c r="G4494" t="s">
        <v>299</v>
      </c>
      <c r="H4494">
        <v>69</v>
      </c>
      <c r="I4494" s="30">
        <v>1.7824074074074075E-3</v>
      </c>
      <c r="J4494">
        <v>1</v>
      </c>
    </row>
    <row r="4495" spans="1:10" x14ac:dyDescent="0.35">
      <c r="A4495" t="s">
        <v>4883</v>
      </c>
      <c r="B4495" t="s">
        <v>305</v>
      </c>
      <c r="C4495" t="s">
        <v>4866</v>
      </c>
      <c r="D4495" s="30">
        <v>0.49099537037037039</v>
      </c>
      <c r="E4495" t="s">
        <v>302</v>
      </c>
      <c r="F4495" t="s">
        <v>299</v>
      </c>
      <c r="G4495" t="s">
        <v>299</v>
      </c>
      <c r="H4495">
        <v>24</v>
      </c>
      <c r="I4495" s="30">
        <v>2.7430555555555554E-3</v>
      </c>
      <c r="J4495">
        <v>3</v>
      </c>
    </row>
    <row r="4496" spans="1:10" x14ac:dyDescent="0.35">
      <c r="A4496" t="s">
        <v>4884</v>
      </c>
      <c r="B4496" t="s">
        <v>301</v>
      </c>
      <c r="C4496" t="s">
        <v>4866</v>
      </c>
      <c r="D4496" s="30">
        <v>0.49700231481481483</v>
      </c>
      <c r="E4496" t="s">
        <v>302</v>
      </c>
      <c r="F4496" t="s">
        <v>299</v>
      </c>
      <c r="G4496" t="s">
        <v>299</v>
      </c>
      <c r="H4496">
        <v>84</v>
      </c>
      <c r="I4496" s="30">
        <v>1.3888888888888889E-3</v>
      </c>
      <c r="J4496">
        <v>4</v>
      </c>
    </row>
    <row r="4497" spans="1:10" x14ac:dyDescent="0.35">
      <c r="A4497" t="s">
        <v>4885</v>
      </c>
      <c r="B4497" t="s">
        <v>307</v>
      </c>
      <c r="C4497" t="s">
        <v>4866</v>
      </c>
      <c r="D4497" s="30">
        <v>0.49700231481481483</v>
      </c>
      <c r="E4497" t="s">
        <v>302</v>
      </c>
      <c r="F4497" t="s">
        <v>303</v>
      </c>
      <c r="G4497" t="s">
        <v>303</v>
      </c>
    </row>
    <row r="4498" spans="1:10" x14ac:dyDescent="0.35">
      <c r="A4498" t="s">
        <v>4886</v>
      </c>
      <c r="B4498" t="s">
        <v>296</v>
      </c>
      <c r="C4498" t="s">
        <v>4866</v>
      </c>
      <c r="D4498" s="30">
        <v>0.5</v>
      </c>
      <c r="E4498" t="s">
        <v>309</v>
      </c>
      <c r="F4498" t="s">
        <v>303</v>
      </c>
      <c r="G4498" t="s">
        <v>303</v>
      </c>
    </row>
    <row r="4499" spans="1:10" x14ac:dyDescent="0.35">
      <c r="A4499" t="s">
        <v>4887</v>
      </c>
      <c r="B4499" t="s">
        <v>296</v>
      </c>
      <c r="C4499" t="s">
        <v>4866</v>
      </c>
      <c r="D4499" s="30">
        <v>0.5</v>
      </c>
      <c r="E4499" t="s">
        <v>302</v>
      </c>
      <c r="F4499" t="s">
        <v>303</v>
      </c>
      <c r="G4499" t="s">
        <v>303</v>
      </c>
    </row>
    <row r="4500" spans="1:10" x14ac:dyDescent="0.35">
      <c r="A4500" t="s">
        <v>4888</v>
      </c>
      <c r="B4500" t="s">
        <v>323</v>
      </c>
      <c r="C4500" t="s">
        <v>4866</v>
      </c>
      <c r="D4500" s="30">
        <v>0.51299768518518518</v>
      </c>
      <c r="E4500" t="s">
        <v>317</v>
      </c>
      <c r="F4500" t="s">
        <v>299</v>
      </c>
      <c r="G4500" t="s">
        <v>299</v>
      </c>
      <c r="H4500">
        <v>92</v>
      </c>
      <c r="I4500" s="30">
        <v>2.8935185185185184E-3</v>
      </c>
      <c r="J4500">
        <v>3</v>
      </c>
    </row>
    <row r="4501" spans="1:10" x14ac:dyDescent="0.35">
      <c r="A4501" t="s">
        <v>4889</v>
      </c>
      <c r="B4501" t="s">
        <v>319</v>
      </c>
      <c r="C4501" t="s">
        <v>4866</v>
      </c>
      <c r="D4501" s="30">
        <v>0.51299768518518518</v>
      </c>
      <c r="E4501" t="s">
        <v>314</v>
      </c>
      <c r="F4501" t="s">
        <v>303</v>
      </c>
      <c r="G4501" t="s">
        <v>303</v>
      </c>
    </row>
    <row r="4502" spans="1:10" x14ac:dyDescent="0.35">
      <c r="A4502" t="s">
        <v>4890</v>
      </c>
      <c r="B4502" t="s">
        <v>305</v>
      </c>
      <c r="C4502" t="s">
        <v>4866</v>
      </c>
      <c r="D4502" s="30">
        <v>0.53700231481481486</v>
      </c>
      <c r="E4502" t="s">
        <v>309</v>
      </c>
      <c r="F4502" t="s">
        <v>303</v>
      </c>
      <c r="G4502" t="s">
        <v>303</v>
      </c>
    </row>
    <row r="4503" spans="1:10" x14ac:dyDescent="0.35">
      <c r="A4503" t="s">
        <v>4891</v>
      </c>
      <c r="B4503" t="s">
        <v>296</v>
      </c>
      <c r="C4503" t="s">
        <v>4866</v>
      </c>
      <c r="D4503" s="30">
        <v>0.53700231481481486</v>
      </c>
      <c r="E4503" t="s">
        <v>317</v>
      </c>
      <c r="F4503" t="s">
        <v>299</v>
      </c>
      <c r="G4503" t="s">
        <v>299</v>
      </c>
      <c r="H4503">
        <v>114</v>
      </c>
      <c r="I4503" s="30">
        <v>2.7199074074074074E-3</v>
      </c>
      <c r="J4503">
        <v>2</v>
      </c>
    </row>
    <row r="4504" spans="1:10" x14ac:dyDescent="0.35">
      <c r="A4504" t="s">
        <v>4892</v>
      </c>
      <c r="B4504" t="s">
        <v>296</v>
      </c>
      <c r="C4504" t="s">
        <v>4866</v>
      </c>
      <c r="D4504" s="30">
        <v>0.53700231481481486</v>
      </c>
      <c r="E4504" t="s">
        <v>309</v>
      </c>
      <c r="F4504" t="s">
        <v>299</v>
      </c>
      <c r="G4504" t="s">
        <v>299</v>
      </c>
      <c r="H4504">
        <v>109</v>
      </c>
      <c r="I4504" s="30">
        <v>3.2291666666666666E-3</v>
      </c>
      <c r="J4504">
        <v>3</v>
      </c>
    </row>
    <row r="4505" spans="1:10" x14ac:dyDescent="0.35">
      <c r="A4505" t="s">
        <v>4893</v>
      </c>
      <c r="B4505" t="s">
        <v>296</v>
      </c>
      <c r="C4505" t="s">
        <v>4866</v>
      </c>
      <c r="D4505" s="30">
        <v>0.53700231481481486</v>
      </c>
      <c r="E4505" t="s">
        <v>302</v>
      </c>
      <c r="F4505" t="s">
        <v>299</v>
      </c>
      <c r="G4505" t="s">
        <v>299</v>
      </c>
      <c r="H4505">
        <v>89</v>
      </c>
      <c r="I4505" s="30">
        <v>1.7476851851851852E-3</v>
      </c>
      <c r="J4505">
        <v>3</v>
      </c>
    </row>
    <row r="4506" spans="1:10" x14ac:dyDescent="0.35">
      <c r="A4506" t="s">
        <v>4894</v>
      </c>
      <c r="B4506" t="s">
        <v>332</v>
      </c>
      <c r="C4506" t="s">
        <v>4866</v>
      </c>
      <c r="D4506" s="30">
        <v>0.54799768518518521</v>
      </c>
      <c r="E4506" t="s">
        <v>309</v>
      </c>
      <c r="F4506" t="s">
        <v>299</v>
      </c>
      <c r="G4506" t="s">
        <v>299</v>
      </c>
      <c r="H4506">
        <v>124</v>
      </c>
      <c r="I4506" s="30">
        <v>2.5231481481481481E-3</v>
      </c>
      <c r="J4506">
        <v>3</v>
      </c>
    </row>
    <row r="4507" spans="1:10" x14ac:dyDescent="0.35">
      <c r="A4507" t="s">
        <v>4895</v>
      </c>
      <c r="B4507" t="s">
        <v>323</v>
      </c>
      <c r="C4507" t="s">
        <v>4866</v>
      </c>
      <c r="D4507" s="30">
        <v>0.54799768518518521</v>
      </c>
      <c r="E4507" t="s">
        <v>317</v>
      </c>
      <c r="F4507" t="s">
        <v>299</v>
      </c>
      <c r="G4507" t="s">
        <v>299</v>
      </c>
      <c r="H4507">
        <v>43</v>
      </c>
      <c r="I4507" s="30">
        <v>7.7546296296296293E-4</v>
      </c>
      <c r="J4507">
        <v>5</v>
      </c>
    </row>
    <row r="4508" spans="1:10" x14ac:dyDescent="0.35">
      <c r="A4508" t="s">
        <v>4896</v>
      </c>
      <c r="B4508" t="s">
        <v>332</v>
      </c>
      <c r="C4508" t="s">
        <v>4866</v>
      </c>
      <c r="D4508" s="30">
        <v>0.56299768518518523</v>
      </c>
      <c r="E4508" t="s">
        <v>298</v>
      </c>
      <c r="F4508" t="s">
        <v>299</v>
      </c>
      <c r="G4508" t="s">
        <v>299</v>
      </c>
      <c r="H4508">
        <v>110</v>
      </c>
      <c r="I4508" s="30">
        <v>3.7037037037037038E-3</v>
      </c>
      <c r="J4508">
        <v>5</v>
      </c>
    </row>
    <row r="4509" spans="1:10" x14ac:dyDescent="0.35">
      <c r="A4509" t="s">
        <v>4897</v>
      </c>
      <c r="B4509" t="s">
        <v>301</v>
      </c>
      <c r="C4509" t="s">
        <v>4866</v>
      </c>
      <c r="D4509" s="30">
        <v>0.56299768518518523</v>
      </c>
      <c r="E4509" t="s">
        <v>317</v>
      </c>
      <c r="F4509" t="s">
        <v>299</v>
      </c>
      <c r="G4509" t="s">
        <v>299</v>
      </c>
      <c r="H4509">
        <v>31</v>
      </c>
      <c r="I4509" s="30">
        <v>2.3032407407407407E-3</v>
      </c>
      <c r="J4509">
        <v>4</v>
      </c>
    </row>
    <row r="4510" spans="1:10" x14ac:dyDescent="0.35">
      <c r="A4510" t="s">
        <v>4898</v>
      </c>
      <c r="B4510" t="s">
        <v>305</v>
      </c>
      <c r="C4510" t="s">
        <v>4866</v>
      </c>
      <c r="D4510" s="30">
        <v>0.57599537037037041</v>
      </c>
      <c r="E4510" t="s">
        <v>309</v>
      </c>
      <c r="F4510" t="s">
        <v>303</v>
      </c>
      <c r="G4510" t="s">
        <v>303</v>
      </c>
    </row>
    <row r="4511" spans="1:10" x14ac:dyDescent="0.35">
      <c r="A4511" t="s">
        <v>4899</v>
      </c>
      <c r="B4511" t="s">
        <v>296</v>
      </c>
      <c r="C4511" t="s">
        <v>4866</v>
      </c>
      <c r="D4511" s="30">
        <v>0.57599537037037041</v>
      </c>
      <c r="E4511" t="s">
        <v>314</v>
      </c>
      <c r="F4511" t="s">
        <v>303</v>
      </c>
      <c r="G4511" t="s">
        <v>303</v>
      </c>
    </row>
    <row r="4512" spans="1:10" x14ac:dyDescent="0.35">
      <c r="A4512" t="s">
        <v>4900</v>
      </c>
      <c r="B4512" t="s">
        <v>296</v>
      </c>
      <c r="C4512" t="s">
        <v>4866</v>
      </c>
      <c r="D4512" s="30">
        <v>0.5920023148148148</v>
      </c>
      <c r="E4512" t="s">
        <v>317</v>
      </c>
      <c r="F4512" t="s">
        <v>299</v>
      </c>
      <c r="G4512" t="s">
        <v>299</v>
      </c>
      <c r="H4512">
        <v>17</v>
      </c>
      <c r="I4512" s="30">
        <v>3.3333333333333335E-3</v>
      </c>
      <c r="J4512">
        <v>3</v>
      </c>
    </row>
    <row r="4513" spans="1:10" x14ac:dyDescent="0.35">
      <c r="A4513" t="s">
        <v>4901</v>
      </c>
      <c r="B4513" t="s">
        <v>301</v>
      </c>
      <c r="C4513" t="s">
        <v>4866</v>
      </c>
      <c r="D4513" s="30">
        <v>0.5920023148148148</v>
      </c>
      <c r="E4513" t="s">
        <v>298</v>
      </c>
      <c r="F4513" t="s">
        <v>299</v>
      </c>
      <c r="G4513" t="s">
        <v>299</v>
      </c>
      <c r="H4513">
        <v>111</v>
      </c>
      <c r="I4513" s="30">
        <v>3.7615740740740739E-3</v>
      </c>
      <c r="J4513">
        <v>3</v>
      </c>
    </row>
    <row r="4514" spans="1:10" x14ac:dyDescent="0.35">
      <c r="A4514" t="s">
        <v>4902</v>
      </c>
      <c r="B4514" t="s">
        <v>296</v>
      </c>
      <c r="C4514" t="s">
        <v>4866</v>
      </c>
      <c r="D4514" s="30">
        <v>0.59499999999999997</v>
      </c>
      <c r="E4514" t="s">
        <v>314</v>
      </c>
      <c r="F4514" t="s">
        <v>299</v>
      </c>
      <c r="G4514" t="s">
        <v>299</v>
      </c>
      <c r="H4514">
        <v>10</v>
      </c>
      <c r="I4514" s="30">
        <v>2.3263888888888887E-3</v>
      </c>
      <c r="J4514">
        <v>2</v>
      </c>
    </row>
    <row r="4515" spans="1:10" x14ac:dyDescent="0.35">
      <c r="A4515" t="s">
        <v>4903</v>
      </c>
      <c r="B4515" t="s">
        <v>305</v>
      </c>
      <c r="C4515" t="s">
        <v>4866</v>
      </c>
      <c r="D4515" s="30">
        <v>0.59499999999999997</v>
      </c>
      <c r="E4515" t="s">
        <v>298</v>
      </c>
      <c r="F4515" t="s">
        <v>299</v>
      </c>
      <c r="G4515" t="s">
        <v>299</v>
      </c>
      <c r="H4515">
        <v>121</v>
      </c>
      <c r="I4515" s="30">
        <v>1.0300925925925926E-3</v>
      </c>
      <c r="J4515">
        <v>1</v>
      </c>
    </row>
    <row r="4516" spans="1:10" x14ac:dyDescent="0.35">
      <c r="A4516" t="s">
        <v>4904</v>
      </c>
      <c r="B4516" t="s">
        <v>332</v>
      </c>
      <c r="C4516" t="s">
        <v>4866</v>
      </c>
      <c r="D4516" s="30">
        <v>0.59900462962962964</v>
      </c>
      <c r="E4516" t="s">
        <v>309</v>
      </c>
      <c r="F4516" t="s">
        <v>299</v>
      </c>
      <c r="G4516" t="s">
        <v>299</v>
      </c>
      <c r="H4516">
        <v>114</v>
      </c>
      <c r="I4516" s="30">
        <v>1.3657407407407407E-3</v>
      </c>
      <c r="J4516">
        <v>4</v>
      </c>
    </row>
    <row r="4517" spans="1:10" x14ac:dyDescent="0.35">
      <c r="A4517" t="s">
        <v>4905</v>
      </c>
      <c r="B4517" t="s">
        <v>307</v>
      </c>
      <c r="C4517" t="s">
        <v>4866</v>
      </c>
      <c r="D4517" s="30">
        <v>0.59900462962962964</v>
      </c>
      <c r="E4517" t="s">
        <v>302</v>
      </c>
      <c r="F4517" t="s">
        <v>299</v>
      </c>
      <c r="G4517" t="s">
        <v>299</v>
      </c>
      <c r="H4517">
        <v>49</v>
      </c>
      <c r="I4517" s="30">
        <v>3.7037037037037041E-4</v>
      </c>
      <c r="J4517">
        <v>4</v>
      </c>
    </row>
    <row r="4518" spans="1:10" x14ac:dyDescent="0.35">
      <c r="A4518" t="s">
        <v>4906</v>
      </c>
      <c r="B4518" t="s">
        <v>307</v>
      </c>
      <c r="C4518" t="s">
        <v>4866</v>
      </c>
      <c r="D4518" s="30">
        <v>0.60400462962962964</v>
      </c>
      <c r="E4518" t="s">
        <v>314</v>
      </c>
      <c r="F4518" t="s">
        <v>299</v>
      </c>
      <c r="G4518" t="s">
        <v>299</v>
      </c>
      <c r="H4518">
        <v>114</v>
      </c>
      <c r="I4518" s="30">
        <v>2.3726851851851851E-3</v>
      </c>
      <c r="J4518">
        <v>1</v>
      </c>
    </row>
    <row r="4519" spans="1:10" x14ac:dyDescent="0.35">
      <c r="A4519" t="s">
        <v>4907</v>
      </c>
      <c r="B4519" t="s">
        <v>316</v>
      </c>
      <c r="C4519" t="s">
        <v>4866</v>
      </c>
      <c r="D4519" s="30">
        <v>0.60400462962962964</v>
      </c>
      <c r="E4519" t="s">
        <v>317</v>
      </c>
      <c r="F4519" t="s">
        <v>299</v>
      </c>
      <c r="G4519" t="s">
        <v>299</v>
      </c>
      <c r="H4519">
        <v>75</v>
      </c>
      <c r="I4519" s="30">
        <v>1.8749999999999999E-3</v>
      </c>
      <c r="J4519">
        <v>3</v>
      </c>
    </row>
    <row r="4520" spans="1:10" x14ac:dyDescent="0.35">
      <c r="A4520" t="s">
        <v>4908</v>
      </c>
      <c r="B4520" t="s">
        <v>316</v>
      </c>
      <c r="C4520" t="s">
        <v>4866</v>
      </c>
      <c r="D4520" s="30">
        <v>0.60900462962962965</v>
      </c>
      <c r="E4520" t="s">
        <v>309</v>
      </c>
      <c r="F4520" t="s">
        <v>299</v>
      </c>
      <c r="G4520" t="s">
        <v>303</v>
      </c>
      <c r="H4520">
        <v>42</v>
      </c>
      <c r="I4520" s="30">
        <v>2.3726851851851851E-3</v>
      </c>
      <c r="J4520">
        <v>5</v>
      </c>
    </row>
    <row r="4521" spans="1:10" x14ac:dyDescent="0.35">
      <c r="A4521" t="s">
        <v>4909</v>
      </c>
      <c r="B4521" t="s">
        <v>307</v>
      </c>
      <c r="C4521" t="s">
        <v>4866</v>
      </c>
      <c r="D4521" s="30">
        <v>0.60900462962962965</v>
      </c>
      <c r="E4521" t="s">
        <v>309</v>
      </c>
      <c r="F4521" t="s">
        <v>299</v>
      </c>
      <c r="G4521" t="s">
        <v>299</v>
      </c>
      <c r="H4521">
        <v>95</v>
      </c>
      <c r="I4521" s="30">
        <v>3.4375E-3</v>
      </c>
      <c r="J4521">
        <v>3</v>
      </c>
    </row>
    <row r="4522" spans="1:10" x14ac:dyDescent="0.35">
      <c r="A4522" t="s">
        <v>4910</v>
      </c>
      <c r="B4522" t="s">
        <v>305</v>
      </c>
      <c r="C4522" t="s">
        <v>4866</v>
      </c>
      <c r="D4522" s="30">
        <v>0.63400462962962967</v>
      </c>
      <c r="E4522" t="s">
        <v>314</v>
      </c>
      <c r="F4522" t="s">
        <v>299</v>
      </c>
      <c r="G4522" t="s">
        <v>299</v>
      </c>
      <c r="H4522">
        <v>88</v>
      </c>
      <c r="I4522" s="30">
        <v>4.4560185185185189E-3</v>
      </c>
      <c r="J4522">
        <v>3</v>
      </c>
    </row>
    <row r="4523" spans="1:10" x14ac:dyDescent="0.35">
      <c r="A4523" t="s">
        <v>4911</v>
      </c>
      <c r="B4523" t="s">
        <v>319</v>
      </c>
      <c r="C4523" t="s">
        <v>4866</v>
      </c>
      <c r="D4523" s="30">
        <v>0.63400462962962967</v>
      </c>
      <c r="E4523" t="s">
        <v>302</v>
      </c>
      <c r="F4523" t="s">
        <v>299</v>
      </c>
      <c r="G4523" t="s">
        <v>299</v>
      </c>
      <c r="H4523">
        <v>51</v>
      </c>
      <c r="I4523" s="30">
        <v>1.9444444444444444E-3</v>
      </c>
      <c r="J4523">
        <v>3</v>
      </c>
    </row>
    <row r="4524" spans="1:10" x14ac:dyDescent="0.35">
      <c r="A4524" t="s">
        <v>4912</v>
      </c>
      <c r="B4524" t="s">
        <v>323</v>
      </c>
      <c r="C4524" t="s">
        <v>4866</v>
      </c>
      <c r="D4524" s="30">
        <v>0.63599537037037035</v>
      </c>
      <c r="E4524" t="s">
        <v>298</v>
      </c>
      <c r="F4524" t="s">
        <v>299</v>
      </c>
      <c r="G4524" t="s">
        <v>299</v>
      </c>
      <c r="H4524">
        <v>28</v>
      </c>
      <c r="I4524" s="30">
        <v>5.6712962962962967E-4</v>
      </c>
      <c r="J4524">
        <v>1</v>
      </c>
    </row>
    <row r="4525" spans="1:10" x14ac:dyDescent="0.35">
      <c r="A4525" t="s">
        <v>4913</v>
      </c>
      <c r="B4525" t="s">
        <v>296</v>
      </c>
      <c r="C4525" t="s">
        <v>4866</v>
      </c>
      <c r="D4525" s="30">
        <v>0.63599537037037035</v>
      </c>
      <c r="E4525" t="s">
        <v>309</v>
      </c>
      <c r="F4525" t="s">
        <v>299</v>
      </c>
      <c r="G4525" t="s">
        <v>303</v>
      </c>
      <c r="H4525">
        <v>86</v>
      </c>
      <c r="I4525" s="30">
        <v>4.3287037037037035E-3</v>
      </c>
      <c r="J4525">
        <v>4</v>
      </c>
    </row>
    <row r="4526" spans="1:10" x14ac:dyDescent="0.35">
      <c r="A4526" t="s">
        <v>4914</v>
      </c>
      <c r="B4526" t="s">
        <v>296</v>
      </c>
      <c r="C4526" t="s">
        <v>4866</v>
      </c>
      <c r="D4526" s="30">
        <v>0.64200231481481485</v>
      </c>
      <c r="E4526" t="s">
        <v>298</v>
      </c>
      <c r="F4526" t="s">
        <v>299</v>
      </c>
      <c r="G4526" t="s">
        <v>303</v>
      </c>
      <c r="H4526">
        <v>60</v>
      </c>
      <c r="I4526" s="30">
        <v>2.2916666666666667E-3</v>
      </c>
      <c r="J4526">
        <v>4</v>
      </c>
    </row>
    <row r="4527" spans="1:10" x14ac:dyDescent="0.35">
      <c r="A4527" t="s">
        <v>4915</v>
      </c>
      <c r="B4527" t="s">
        <v>319</v>
      </c>
      <c r="C4527" t="s">
        <v>4866</v>
      </c>
      <c r="D4527" s="30">
        <v>0.64200231481481485</v>
      </c>
      <c r="E4527" t="s">
        <v>317</v>
      </c>
      <c r="F4527" t="s">
        <v>299</v>
      </c>
      <c r="G4527" t="s">
        <v>299</v>
      </c>
      <c r="H4527">
        <v>60</v>
      </c>
      <c r="I4527" s="30">
        <v>3.3217592592592591E-3</v>
      </c>
      <c r="J4527">
        <v>2</v>
      </c>
    </row>
    <row r="4528" spans="1:10" x14ac:dyDescent="0.35">
      <c r="A4528" t="s">
        <v>4916</v>
      </c>
      <c r="B4528" t="s">
        <v>332</v>
      </c>
      <c r="C4528" t="s">
        <v>4866</v>
      </c>
      <c r="D4528" s="30">
        <v>0.67099537037037038</v>
      </c>
      <c r="E4528" t="s">
        <v>309</v>
      </c>
      <c r="F4528" t="s">
        <v>299</v>
      </c>
      <c r="G4528" t="s">
        <v>299</v>
      </c>
      <c r="H4528">
        <v>63</v>
      </c>
      <c r="I4528" s="30">
        <v>1.2847222222222223E-3</v>
      </c>
      <c r="J4528">
        <v>4</v>
      </c>
    </row>
    <row r="4529" spans="1:10" x14ac:dyDescent="0.35">
      <c r="A4529" t="s">
        <v>4917</v>
      </c>
      <c r="B4529" t="s">
        <v>319</v>
      </c>
      <c r="C4529" t="s">
        <v>4866</v>
      </c>
      <c r="D4529" s="30">
        <v>0.67099537037037038</v>
      </c>
      <c r="E4529" t="s">
        <v>302</v>
      </c>
      <c r="F4529" t="s">
        <v>299</v>
      </c>
      <c r="G4529" t="s">
        <v>299</v>
      </c>
      <c r="H4529">
        <v>23</v>
      </c>
      <c r="I4529" s="30">
        <v>4.409722222222222E-3</v>
      </c>
      <c r="J4529">
        <v>4</v>
      </c>
    </row>
    <row r="4530" spans="1:10" x14ac:dyDescent="0.35">
      <c r="A4530" t="s">
        <v>4918</v>
      </c>
      <c r="B4530" t="s">
        <v>307</v>
      </c>
      <c r="C4530" t="s">
        <v>4866</v>
      </c>
      <c r="D4530" s="30">
        <v>0.67500000000000004</v>
      </c>
      <c r="E4530" t="s">
        <v>302</v>
      </c>
      <c r="F4530" t="s">
        <v>303</v>
      </c>
      <c r="G4530" t="s">
        <v>303</v>
      </c>
    </row>
    <row r="4531" spans="1:10" x14ac:dyDescent="0.35">
      <c r="A4531" t="s">
        <v>4919</v>
      </c>
      <c r="B4531" t="s">
        <v>301</v>
      </c>
      <c r="C4531" t="s">
        <v>4866</v>
      </c>
      <c r="D4531" s="30">
        <v>0.67500000000000004</v>
      </c>
      <c r="E4531" t="s">
        <v>317</v>
      </c>
      <c r="F4531" t="s">
        <v>299</v>
      </c>
      <c r="G4531" t="s">
        <v>299</v>
      </c>
      <c r="H4531">
        <v>100</v>
      </c>
      <c r="I4531" s="30">
        <v>1.25E-3</v>
      </c>
      <c r="J4531">
        <v>4</v>
      </c>
    </row>
    <row r="4532" spans="1:10" x14ac:dyDescent="0.35">
      <c r="A4532" t="s">
        <v>4920</v>
      </c>
      <c r="B4532" t="s">
        <v>316</v>
      </c>
      <c r="C4532" t="s">
        <v>4866</v>
      </c>
      <c r="D4532" s="30">
        <v>0.70299768518518524</v>
      </c>
      <c r="E4532" t="s">
        <v>314</v>
      </c>
      <c r="F4532" t="s">
        <v>299</v>
      </c>
      <c r="G4532" t="s">
        <v>299</v>
      </c>
      <c r="H4532">
        <v>105</v>
      </c>
      <c r="I4532" s="30">
        <v>3.7037037037037041E-4</v>
      </c>
      <c r="J4532">
        <v>4</v>
      </c>
    </row>
    <row r="4533" spans="1:10" x14ac:dyDescent="0.35">
      <c r="A4533" t="s">
        <v>4921</v>
      </c>
      <c r="B4533" t="s">
        <v>307</v>
      </c>
      <c r="C4533" t="s">
        <v>4866</v>
      </c>
      <c r="D4533" s="30">
        <v>0.70299768518518524</v>
      </c>
      <c r="E4533" t="s">
        <v>302</v>
      </c>
      <c r="F4533" t="s">
        <v>299</v>
      </c>
      <c r="G4533" t="s">
        <v>299</v>
      </c>
      <c r="H4533">
        <v>29</v>
      </c>
      <c r="I4533" s="30">
        <v>1.5162037037037036E-3</v>
      </c>
      <c r="J4533">
        <v>4</v>
      </c>
    </row>
    <row r="4534" spans="1:10" x14ac:dyDescent="0.35">
      <c r="A4534" t="s">
        <v>4922</v>
      </c>
      <c r="B4534" t="s">
        <v>301</v>
      </c>
      <c r="C4534" t="s">
        <v>4866</v>
      </c>
      <c r="D4534" s="30">
        <v>0.72700231481481481</v>
      </c>
      <c r="E4534" t="s">
        <v>314</v>
      </c>
      <c r="F4534" t="s">
        <v>303</v>
      </c>
      <c r="G4534" t="s">
        <v>303</v>
      </c>
    </row>
    <row r="4535" spans="1:10" x14ac:dyDescent="0.35">
      <c r="A4535" t="s">
        <v>4923</v>
      </c>
      <c r="B4535" t="s">
        <v>305</v>
      </c>
      <c r="C4535" t="s">
        <v>4866</v>
      </c>
      <c r="D4535" s="30">
        <v>0.72700231481481481</v>
      </c>
      <c r="E4535" t="s">
        <v>309</v>
      </c>
      <c r="F4535" t="s">
        <v>299</v>
      </c>
      <c r="G4535" t="s">
        <v>303</v>
      </c>
      <c r="H4535">
        <v>98</v>
      </c>
      <c r="I4535" s="30">
        <v>2.8819444444444444E-3</v>
      </c>
      <c r="J4535">
        <v>2</v>
      </c>
    </row>
    <row r="4536" spans="1:10" x14ac:dyDescent="0.35">
      <c r="A4536" t="s">
        <v>4924</v>
      </c>
      <c r="B4536" t="s">
        <v>332</v>
      </c>
      <c r="C4536" t="s">
        <v>4866</v>
      </c>
      <c r="D4536" s="30">
        <v>0.73099537037037032</v>
      </c>
      <c r="E4536" t="s">
        <v>298</v>
      </c>
      <c r="F4536" t="s">
        <v>299</v>
      </c>
      <c r="G4536" t="s">
        <v>299</v>
      </c>
      <c r="H4536">
        <v>108</v>
      </c>
      <c r="I4536" s="30">
        <v>3.7962962962962963E-3</v>
      </c>
      <c r="J4536">
        <v>4</v>
      </c>
    </row>
    <row r="4537" spans="1:10" x14ac:dyDescent="0.35">
      <c r="A4537" t="s">
        <v>4925</v>
      </c>
      <c r="B4537" t="s">
        <v>301</v>
      </c>
      <c r="C4537" t="s">
        <v>4866</v>
      </c>
      <c r="D4537" s="30">
        <v>0.73099537037037032</v>
      </c>
      <c r="E4537" t="s">
        <v>309</v>
      </c>
      <c r="F4537" t="s">
        <v>303</v>
      </c>
      <c r="G4537" t="s">
        <v>303</v>
      </c>
    </row>
    <row r="4538" spans="1:10" x14ac:dyDescent="0.35">
      <c r="A4538" t="s">
        <v>4926</v>
      </c>
      <c r="B4538" t="s">
        <v>305</v>
      </c>
      <c r="C4538" t="s">
        <v>4866</v>
      </c>
      <c r="D4538" s="30">
        <v>0.73799768518518516</v>
      </c>
      <c r="E4538" t="s">
        <v>298</v>
      </c>
      <c r="F4538" t="s">
        <v>299</v>
      </c>
      <c r="G4538" t="s">
        <v>299</v>
      </c>
      <c r="H4538">
        <v>116</v>
      </c>
      <c r="I4538" s="30">
        <v>4.5486111111111109E-3</v>
      </c>
      <c r="J4538">
        <v>5</v>
      </c>
    </row>
    <row r="4539" spans="1:10" x14ac:dyDescent="0.35">
      <c r="A4539" t="s">
        <v>4927</v>
      </c>
      <c r="B4539" t="s">
        <v>305</v>
      </c>
      <c r="C4539" t="s">
        <v>4866</v>
      </c>
      <c r="D4539" s="30">
        <v>0.73799768518518516</v>
      </c>
      <c r="E4539" t="s">
        <v>317</v>
      </c>
      <c r="F4539" t="s">
        <v>299</v>
      </c>
      <c r="G4539" t="s">
        <v>299</v>
      </c>
      <c r="H4539">
        <v>78</v>
      </c>
      <c r="I4539" s="30">
        <v>3.8194444444444443E-3</v>
      </c>
      <c r="J4539">
        <v>4</v>
      </c>
    </row>
    <row r="4540" spans="1:10" x14ac:dyDescent="0.35">
      <c r="A4540" t="s">
        <v>4928</v>
      </c>
      <c r="B4540" t="s">
        <v>296</v>
      </c>
      <c r="C4540" t="s">
        <v>4929</v>
      </c>
      <c r="D4540" s="30">
        <v>0.40599537037037037</v>
      </c>
      <c r="E4540" t="s">
        <v>309</v>
      </c>
      <c r="F4540" t="s">
        <v>303</v>
      </c>
      <c r="G4540" t="s">
        <v>303</v>
      </c>
    </row>
    <row r="4541" spans="1:10" x14ac:dyDescent="0.35">
      <c r="A4541" t="s">
        <v>4930</v>
      </c>
      <c r="B4541" t="s">
        <v>307</v>
      </c>
      <c r="C4541" t="s">
        <v>4929</v>
      </c>
      <c r="D4541" s="30">
        <v>0.40599537037037037</v>
      </c>
      <c r="E4541" t="s">
        <v>309</v>
      </c>
      <c r="F4541" t="s">
        <v>299</v>
      </c>
      <c r="G4541" t="s">
        <v>299</v>
      </c>
      <c r="H4541">
        <v>81</v>
      </c>
      <c r="I4541" s="30">
        <v>2.673611111111111E-3</v>
      </c>
      <c r="J4541">
        <v>3</v>
      </c>
    </row>
    <row r="4542" spans="1:10" x14ac:dyDescent="0.35">
      <c r="A4542" t="s">
        <v>4931</v>
      </c>
      <c r="B4542" t="s">
        <v>296</v>
      </c>
      <c r="C4542" t="s">
        <v>4929</v>
      </c>
      <c r="D4542" s="30">
        <v>0.4070023148148148</v>
      </c>
      <c r="E4542" t="s">
        <v>317</v>
      </c>
      <c r="F4542" t="s">
        <v>299</v>
      </c>
      <c r="G4542" t="s">
        <v>299</v>
      </c>
      <c r="H4542">
        <v>84</v>
      </c>
      <c r="I4542" s="30">
        <v>6.134259259259259E-4</v>
      </c>
      <c r="J4542">
        <v>2</v>
      </c>
    </row>
    <row r="4543" spans="1:10" x14ac:dyDescent="0.35">
      <c r="A4543" t="s">
        <v>4932</v>
      </c>
      <c r="B4543" t="s">
        <v>305</v>
      </c>
      <c r="C4543" t="s">
        <v>4929</v>
      </c>
      <c r="D4543" s="30">
        <v>0.4070023148148148</v>
      </c>
      <c r="E4543" t="s">
        <v>298</v>
      </c>
      <c r="F4543" t="s">
        <v>299</v>
      </c>
      <c r="G4543" t="s">
        <v>299</v>
      </c>
      <c r="H4543">
        <v>24</v>
      </c>
      <c r="I4543" s="30">
        <v>3.8657407407407408E-3</v>
      </c>
      <c r="J4543">
        <v>4</v>
      </c>
    </row>
    <row r="4544" spans="1:10" x14ac:dyDescent="0.35">
      <c r="A4544" t="s">
        <v>4933</v>
      </c>
      <c r="B4544" t="s">
        <v>332</v>
      </c>
      <c r="C4544" t="s">
        <v>4929</v>
      </c>
      <c r="D4544" s="30">
        <v>0.41900462962962964</v>
      </c>
      <c r="E4544" t="s">
        <v>317</v>
      </c>
      <c r="F4544" t="s">
        <v>299</v>
      </c>
      <c r="G4544" t="s">
        <v>299</v>
      </c>
      <c r="H4544">
        <v>114</v>
      </c>
      <c r="I4544" s="30">
        <v>3.9699074074074072E-3</v>
      </c>
      <c r="J4544">
        <v>3</v>
      </c>
    </row>
    <row r="4545" spans="1:10" x14ac:dyDescent="0.35">
      <c r="A4545" t="s">
        <v>4934</v>
      </c>
      <c r="B4545" t="s">
        <v>296</v>
      </c>
      <c r="C4545" t="s">
        <v>4929</v>
      </c>
      <c r="D4545" s="30">
        <v>0.41900462962962964</v>
      </c>
      <c r="E4545" t="s">
        <v>298</v>
      </c>
      <c r="F4545" t="s">
        <v>303</v>
      </c>
      <c r="G4545" t="s">
        <v>303</v>
      </c>
    </row>
    <row r="4546" spans="1:10" x14ac:dyDescent="0.35">
      <c r="A4546" t="s">
        <v>4935</v>
      </c>
      <c r="B4546" t="s">
        <v>307</v>
      </c>
      <c r="C4546" t="s">
        <v>4929</v>
      </c>
      <c r="D4546" s="30">
        <v>0.42200231481481482</v>
      </c>
      <c r="E4546" t="s">
        <v>298</v>
      </c>
      <c r="F4546" t="s">
        <v>299</v>
      </c>
      <c r="G4546" t="s">
        <v>303</v>
      </c>
      <c r="H4546">
        <v>32</v>
      </c>
      <c r="I4546" s="30">
        <v>2.2106481481481482E-3</v>
      </c>
      <c r="J4546">
        <v>5</v>
      </c>
    </row>
    <row r="4547" spans="1:10" x14ac:dyDescent="0.35">
      <c r="A4547" t="s">
        <v>4936</v>
      </c>
      <c r="B4547" t="s">
        <v>323</v>
      </c>
      <c r="C4547" t="s">
        <v>4929</v>
      </c>
      <c r="D4547" s="30">
        <v>0.42200231481481482</v>
      </c>
      <c r="E4547" t="s">
        <v>298</v>
      </c>
      <c r="F4547" t="s">
        <v>299</v>
      </c>
      <c r="G4547" t="s">
        <v>299</v>
      </c>
      <c r="H4547">
        <v>16</v>
      </c>
      <c r="I4547" s="30">
        <v>2.1990740740740742E-3</v>
      </c>
      <c r="J4547">
        <v>4</v>
      </c>
    </row>
    <row r="4548" spans="1:10" x14ac:dyDescent="0.35">
      <c r="A4548" t="s">
        <v>4937</v>
      </c>
      <c r="B4548" t="s">
        <v>316</v>
      </c>
      <c r="C4548" t="s">
        <v>4929</v>
      </c>
      <c r="D4548" s="30">
        <v>0.42700231481481482</v>
      </c>
      <c r="E4548" t="s">
        <v>314</v>
      </c>
      <c r="F4548" t="s">
        <v>299</v>
      </c>
      <c r="G4548" t="s">
        <v>303</v>
      </c>
      <c r="H4548">
        <v>104</v>
      </c>
      <c r="I4548" s="30">
        <v>3.2870370370370371E-3</v>
      </c>
      <c r="J4548">
        <v>5</v>
      </c>
    </row>
    <row r="4549" spans="1:10" x14ac:dyDescent="0.35">
      <c r="A4549" t="s">
        <v>4938</v>
      </c>
      <c r="B4549" t="s">
        <v>305</v>
      </c>
      <c r="C4549" t="s">
        <v>4929</v>
      </c>
      <c r="D4549" s="30">
        <v>0.42700231481481482</v>
      </c>
      <c r="E4549" t="s">
        <v>302</v>
      </c>
      <c r="F4549" t="s">
        <v>299</v>
      </c>
      <c r="G4549" t="s">
        <v>299</v>
      </c>
      <c r="H4549">
        <v>40</v>
      </c>
      <c r="I4549" s="30">
        <v>6.134259259259259E-4</v>
      </c>
      <c r="J4549">
        <v>3</v>
      </c>
    </row>
    <row r="4550" spans="1:10" x14ac:dyDescent="0.35">
      <c r="A4550" t="s">
        <v>4939</v>
      </c>
      <c r="B4550" t="s">
        <v>319</v>
      </c>
      <c r="C4550" t="s">
        <v>4929</v>
      </c>
      <c r="D4550" s="30">
        <v>0.47200231481481481</v>
      </c>
      <c r="E4550" t="s">
        <v>298</v>
      </c>
      <c r="F4550" t="s">
        <v>299</v>
      </c>
      <c r="G4550" t="s">
        <v>299</v>
      </c>
      <c r="H4550">
        <v>80</v>
      </c>
      <c r="I4550" s="30">
        <v>1.9328703703703704E-3</v>
      </c>
      <c r="J4550">
        <v>4</v>
      </c>
    </row>
    <row r="4551" spans="1:10" x14ac:dyDescent="0.35">
      <c r="A4551" t="s">
        <v>4940</v>
      </c>
      <c r="B4551" t="s">
        <v>316</v>
      </c>
      <c r="C4551" t="s">
        <v>4929</v>
      </c>
      <c r="D4551" s="30">
        <v>0.47200231481481481</v>
      </c>
      <c r="E4551" t="s">
        <v>309</v>
      </c>
      <c r="F4551" t="s">
        <v>299</v>
      </c>
      <c r="G4551" t="s">
        <v>299</v>
      </c>
      <c r="H4551">
        <v>88</v>
      </c>
      <c r="I4551" s="30">
        <v>3.5879629629629629E-3</v>
      </c>
      <c r="J4551">
        <v>4</v>
      </c>
    </row>
    <row r="4552" spans="1:10" x14ac:dyDescent="0.35">
      <c r="A4552" t="s">
        <v>4941</v>
      </c>
      <c r="B4552" t="s">
        <v>319</v>
      </c>
      <c r="C4552" t="s">
        <v>4929</v>
      </c>
      <c r="D4552" s="30">
        <v>0.5</v>
      </c>
      <c r="E4552" t="s">
        <v>314</v>
      </c>
      <c r="F4552" t="s">
        <v>299</v>
      </c>
      <c r="G4552" t="s">
        <v>299</v>
      </c>
      <c r="H4552">
        <v>86</v>
      </c>
      <c r="I4552" s="30">
        <v>2.5347222222222221E-3</v>
      </c>
      <c r="J4552">
        <v>3</v>
      </c>
    </row>
    <row r="4553" spans="1:10" x14ac:dyDescent="0.35">
      <c r="A4553" t="s">
        <v>4942</v>
      </c>
      <c r="B4553" t="s">
        <v>323</v>
      </c>
      <c r="C4553" t="s">
        <v>4929</v>
      </c>
      <c r="D4553" s="30">
        <v>0.5</v>
      </c>
      <c r="E4553" t="s">
        <v>317</v>
      </c>
      <c r="F4553" t="s">
        <v>299</v>
      </c>
      <c r="G4553" t="s">
        <v>299</v>
      </c>
      <c r="H4553">
        <v>57</v>
      </c>
      <c r="I4553" s="30">
        <v>4.6064814814814814E-3</v>
      </c>
      <c r="J4553">
        <v>4</v>
      </c>
    </row>
    <row r="4554" spans="1:10" x14ac:dyDescent="0.35">
      <c r="A4554" t="s">
        <v>4943</v>
      </c>
      <c r="B4554" t="s">
        <v>316</v>
      </c>
      <c r="C4554" t="s">
        <v>4929</v>
      </c>
      <c r="D4554" s="30">
        <v>0.50400462962962966</v>
      </c>
      <c r="E4554" t="s">
        <v>298</v>
      </c>
      <c r="F4554" t="s">
        <v>299</v>
      </c>
      <c r="G4554" t="s">
        <v>299</v>
      </c>
      <c r="H4554">
        <v>96</v>
      </c>
      <c r="I4554" s="30">
        <v>4.2824074074074075E-3</v>
      </c>
      <c r="J4554">
        <v>5</v>
      </c>
    </row>
    <row r="4555" spans="1:10" x14ac:dyDescent="0.35">
      <c r="A4555" t="s">
        <v>4944</v>
      </c>
      <c r="B4555" t="s">
        <v>316</v>
      </c>
      <c r="C4555" t="s">
        <v>4929</v>
      </c>
      <c r="D4555" s="30">
        <v>0.50400462962962966</v>
      </c>
      <c r="E4555" t="s">
        <v>302</v>
      </c>
      <c r="F4555" t="s">
        <v>299</v>
      </c>
      <c r="G4555" t="s">
        <v>299</v>
      </c>
      <c r="H4555">
        <v>72</v>
      </c>
      <c r="I4555" s="30">
        <v>3.0092592592592593E-3</v>
      </c>
      <c r="J4555">
        <v>2</v>
      </c>
    </row>
    <row r="4556" spans="1:10" x14ac:dyDescent="0.35">
      <c r="A4556" t="s">
        <v>4945</v>
      </c>
      <c r="B4556" t="s">
        <v>316</v>
      </c>
      <c r="C4556" t="s">
        <v>4929</v>
      </c>
      <c r="D4556" s="30">
        <v>0.505</v>
      </c>
      <c r="E4556" t="s">
        <v>314</v>
      </c>
      <c r="F4556" t="s">
        <v>299</v>
      </c>
      <c r="G4556" t="s">
        <v>299</v>
      </c>
      <c r="H4556">
        <v>37</v>
      </c>
      <c r="I4556" s="30">
        <v>8.7962962962962962E-4</v>
      </c>
      <c r="J4556">
        <v>5</v>
      </c>
    </row>
    <row r="4557" spans="1:10" x14ac:dyDescent="0.35">
      <c r="A4557" t="s">
        <v>4946</v>
      </c>
      <c r="B4557" t="s">
        <v>316</v>
      </c>
      <c r="C4557" t="s">
        <v>4929</v>
      </c>
      <c r="D4557" s="30">
        <v>0.505</v>
      </c>
      <c r="E4557" t="s">
        <v>302</v>
      </c>
      <c r="F4557" t="s">
        <v>303</v>
      </c>
      <c r="G4557" t="s">
        <v>303</v>
      </c>
    </row>
    <row r="4558" spans="1:10" x14ac:dyDescent="0.35">
      <c r="A4558" t="s">
        <v>4947</v>
      </c>
      <c r="B4558" t="s">
        <v>323</v>
      </c>
      <c r="C4558" t="s">
        <v>4929</v>
      </c>
      <c r="D4558" s="30">
        <v>0.53200231481481486</v>
      </c>
      <c r="E4558" t="s">
        <v>302</v>
      </c>
      <c r="F4558" t="s">
        <v>299</v>
      </c>
      <c r="G4558" t="s">
        <v>299</v>
      </c>
      <c r="H4558">
        <v>37</v>
      </c>
      <c r="I4558" s="30">
        <v>3.7037037037037041E-4</v>
      </c>
      <c r="J4558">
        <v>1</v>
      </c>
    </row>
    <row r="4559" spans="1:10" x14ac:dyDescent="0.35">
      <c r="A4559" t="s">
        <v>4948</v>
      </c>
      <c r="B4559" t="s">
        <v>301</v>
      </c>
      <c r="C4559" t="s">
        <v>4929</v>
      </c>
      <c r="D4559" s="30">
        <v>0.53200231481481486</v>
      </c>
      <c r="E4559" t="s">
        <v>317</v>
      </c>
      <c r="F4559" t="s">
        <v>299</v>
      </c>
      <c r="G4559" t="s">
        <v>299</v>
      </c>
      <c r="H4559">
        <v>10</v>
      </c>
      <c r="I4559" s="30">
        <v>1.261574074074074E-3</v>
      </c>
      <c r="J4559">
        <v>5</v>
      </c>
    </row>
    <row r="4560" spans="1:10" x14ac:dyDescent="0.35">
      <c r="A4560" t="s">
        <v>4949</v>
      </c>
      <c r="B4560" t="s">
        <v>296</v>
      </c>
      <c r="C4560" t="s">
        <v>4929</v>
      </c>
      <c r="D4560" s="30">
        <v>0.56000000000000005</v>
      </c>
      <c r="E4560" t="s">
        <v>314</v>
      </c>
      <c r="F4560" t="s">
        <v>303</v>
      </c>
      <c r="G4560" t="s">
        <v>303</v>
      </c>
    </row>
    <row r="4561" spans="1:10" x14ac:dyDescent="0.35">
      <c r="A4561" t="s">
        <v>4950</v>
      </c>
      <c r="B4561" t="s">
        <v>332</v>
      </c>
      <c r="C4561" t="s">
        <v>4929</v>
      </c>
      <c r="D4561" s="30">
        <v>0.56000000000000005</v>
      </c>
      <c r="E4561" t="s">
        <v>302</v>
      </c>
      <c r="F4561" t="s">
        <v>299</v>
      </c>
      <c r="G4561" t="s">
        <v>299</v>
      </c>
      <c r="H4561">
        <v>120</v>
      </c>
      <c r="I4561" s="30">
        <v>1.4236111111111112E-3</v>
      </c>
      <c r="J4561">
        <v>3</v>
      </c>
    </row>
    <row r="4562" spans="1:10" x14ac:dyDescent="0.35">
      <c r="A4562" t="s">
        <v>4951</v>
      </c>
      <c r="B4562" t="s">
        <v>301</v>
      </c>
      <c r="C4562" t="s">
        <v>4929</v>
      </c>
      <c r="D4562" s="30">
        <v>0.56099537037037039</v>
      </c>
      <c r="E4562" t="s">
        <v>298</v>
      </c>
      <c r="F4562" t="s">
        <v>299</v>
      </c>
      <c r="G4562" t="s">
        <v>299</v>
      </c>
      <c r="H4562">
        <v>95</v>
      </c>
      <c r="I4562" s="30">
        <v>2.8240740740740739E-3</v>
      </c>
      <c r="J4562">
        <v>4</v>
      </c>
    </row>
    <row r="4563" spans="1:10" x14ac:dyDescent="0.35">
      <c r="A4563" t="s">
        <v>4952</v>
      </c>
      <c r="B4563" t="s">
        <v>316</v>
      </c>
      <c r="C4563" t="s">
        <v>4929</v>
      </c>
      <c r="D4563" s="30">
        <v>0.56099537037037039</v>
      </c>
      <c r="E4563" t="s">
        <v>302</v>
      </c>
      <c r="F4563" t="s">
        <v>299</v>
      </c>
      <c r="G4563" t="s">
        <v>299</v>
      </c>
      <c r="H4563">
        <v>74</v>
      </c>
      <c r="I4563" s="30">
        <v>4.1087962962962962E-3</v>
      </c>
      <c r="J4563">
        <v>3</v>
      </c>
    </row>
    <row r="4564" spans="1:10" x14ac:dyDescent="0.35">
      <c r="A4564" t="s">
        <v>4953</v>
      </c>
      <c r="B4564" t="s">
        <v>296</v>
      </c>
      <c r="C4564" t="s">
        <v>4929</v>
      </c>
      <c r="D4564" s="30">
        <v>0.56400462962962961</v>
      </c>
      <c r="E4564" t="s">
        <v>298</v>
      </c>
      <c r="F4564" t="s">
        <v>303</v>
      </c>
      <c r="G4564" t="s">
        <v>303</v>
      </c>
    </row>
    <row r="4565" spans="1:10" x14ac:dyDescent="0.35">
      <c r="A4565" t="s">
        <v>4954</v>
      </c>
      <c r="B4565" t="s">
        <v>296</v>
      </c>
      <c r="C4565" t="s">
        <v>4929</v>
      </c>
      <c r="D4565" s="30">
        <v>0.56400462962962961</v>
      </c>
      <c r="E4565" t="s">
        <v>317</v>
      </c>
      <c r="F4565" t="s">
        <v>303</v>
      </c>
      <c r="G4565" t="s">
        <v>303</v>
      </c>
    </row>
    <row r="4566" spans="1:10" x14ac:dyDescent="0.35">
      <c r="A4566" t="s">
        <v>4955</v>
      </c>
      <c r="B4566" t="s">
        <v>305</v>
      </c>
      <c r="C4566" t="s">
        <v>4929</v>
      </c>
      <c r="D4566" s="30">
        <v>0.57200231481481478</v>
      </c>
      <c r="E4566" t="s">
        <v>302</v>
      </c>
      <c r="F4566" t="s">
        <v>299</v>
      </c>
      <c r="G4566" t="s">
        <v>299</v>
      </c>
      <c r="H4566">
        <v>77</v>
      </c>
      <c r="I4566" s="30">
        <v>9.2592592592592596E-4</v>
      </c>
      <c r="J4566">
        <v>3</v>
      </c>
    </row>
    <row r="4567" spans="1:10" x14ac:dyDescent="0.35">
      <c r="A4567" t="s">
        <v>4956</v>
      </c>
      <c r="B4567" t="s">
        <v>319</v>
      </c>
      <c r="C4567" t="s">
        <v>4929</v>
      </c>
      <c r="D4567" s="30">
        <v>0.57200231481481478</v>
      </c>
      <c r="E4567" t="s">
        <v>302</v>
      </c>
      <c r="F4567" t="s">
        <v>299</v>
      </c>
      <c r="G4567" t="s">
        <v>299</v>
      </c>
      <c r="H4567">
        <v>50</v>
      </c>
      <c r="I4567" s="30">
        <v>2.4421296296296296E-3</v>
      </c>
      <c r="J4567">
        <v>4</v>
      </c>
    </row>
    <row r="4568" spans="1:10" x14ac:dyDescent="0.35">
      <c r="A4568" t="s">
        <v>4957</v>
      </c>
      <c r="B4568" t="s">
        <v>296</v>
      </c>
      <c r="C4568" t="s">
        <v>4929</v>
      </c>
      <c r="D4568" s="30">
        <v>0.59299768518518514</v>
      </c>
      <c r="E4568" t="s">
        <v>309</v>
      </c>
      <c r="F4568" t="s">
        <v>299</v>
      </c>
      <c r="G4568" t="s">
        <v>299</v>
      </c>
      <c r="H4568">
        <v>94</v>
      </c>
      <c r="I4568" s="30">
        <v>3.3796296296296296E-3</v>
      </c>
      <c r="J4568">
        <v>3</v>
      </c>
    </row>
    <row r="4569" spans="1:10" x14ac:dyDescent="0.35">
      <c r="A4569" t="s">
        <v>4958</v>
      </c>
      <c r="B4569" t="s">
        <v>301</v>
      </c>
      <c r="C4569" t="s">
        <v>4929</v>
      </c>
      <c r="D4569" s="30">
        <v>0.59299768518518514</v>
      </c>
      <c r="E4569" t="s">
        <v>302</v>
      </c>
      <c r="F4569" t="s">
        <v>299</v>
      </c>
      <c r="G4569" t="s">
        <v>299</v>
      </c>
      <c r="H4569">
        <v>109</v>
      </c>
      <c r="I4569" s="30">
        <v>2.1875000000000002E-3</v>
      </c>
      <c r="J4569">
        <v>2</v>
      </c>
    </row>
    <row r="4570" spans="1:10" x14ac:dyDescent="0.35">
      <c r="A4570" t="s">
        <v>4959</v>
      </c>
      <c r="B4570" t="s">
        <v>332</v>
      </c>
      <c r="C4570" t="s">
        <v>4929</v>
      </c>
      <c r="D4570" s="30">
        <v>0.61700231481481482</v>
      </c>
      <c r="E4570" t="s">
        <v>298</v>
      </c>
      <c r="F4570" t="s">
        <v>299</v>
      </c>
      <c r="G4570" t="s">
        <v>299</v>
      </c>
      <c r="H4570">
        <v>30</v>
      </c>
      <c r="I4570" s="30">
        <v>1.6087962962962963E-3</v>
      </c>
      <c r="J4570">
        <v>1</v>
      </c>
    </row>
    <row r="4571" spans="1:10" x14ac:dyDescent="0.35">
      <c r="A4571" t="s">
        <v>4960</v>
      </c>
      <c r="B4571" t="s">
        <v>319</v>
      </c>
      <c r="C4571" t="s">
        <v>4929</v>
      </c>
      <c r="D4571" s="30">
        <v>0.61700231481481482</v>
      </c>
      <c r="E4571" t="s">
        <v>314</v>
      </c>
      <c r="F4571" t="s">
        <v>299</v>
      </c>
      <c r="G4571" t="s">
        <v>299</v>
      </c>
      <c r="H4571">
        <v>124</v>
      </c>
      <c r="I4571" s="30">
        <v>3.7847222222222223E-3</v>
      </c>
      <c r="J4571">
        <v>4</v>
      </c>
    </row>
    <row r="4572" spans="1:10" x14ac:dyDescent="0.35">
      <c r="A4572" t="s">
        <v>4961</v>
      </c>
      <c r="B4572" t="s">
        <v>301</v>
      </c>
      <c r="C4572" t="s">
        <v>4929</v>
      </c>
      <c r="D4572" s="30">
        <v>0.61900462962962965</v>
      </c>
      <c r="E4572" t="s">
        <v>302</v>
      </c>
      <c r="F4572" t="s">
        <v>303</v>
      </c>
      <c r="G4572" t="s">
        <v>303</v>
      </c>
    </row>
    <row r="4573" spans="1:10" x14ac:dyDescent="0.35">
      <c r="A4573" t="s">
        <v>4962</v>
      </c>
      <c r="B4573" t="s">
        <v>296</v>
      </c>
      <c r="C4573" t="s">
        <v>4929</v>
      </c>
      <c r="D4573" s="30">
        <v>0.61900462962962965</v>
      </c>
      <c r="E4573" t="s">
        <v>298</v>
      </c>
      <c r="F4573" t="s">
        <v>303</v>
      </c>
      <c r="G4573" t="s">
        <v>303</v>
      </c>
    </row>
    <row r="4574" spans="1:10" x14ac:dyDescent="0.35">
      <c r="A4574" t="s">
        <v>4963</v>
      </c>
      <c r="B4574" t="s">
        <v>319</v>
      </c>
      <c r="C4574" t="s">
        <v>4929</v>
      </c>
      <c r="D4574" s="30">
        <v>0.64299768518518519</v>
      </c>
      <c r="E4574" t="s">
        <v>317</v>
      </c>
      <c r="F4574" t="s">
        <v>299</v>
      </c>
      <c r="G4574" t="s">
        <v>299</v>
      </c>
      <c r="H4574">
        <v>114</v>
      </c>
      <c r="I4574" s="30">
        <v>2.8703703703703703E-3</v>
      </c>
      <c r="J4574">
        <v>3</v>
      </c>
    </row>
    <row r="4575" spans="1:10" x14ac:dyDescent="0.35">
      <c r="A4575" t="s">
        <v>4964</v>
      </c>
      <c r="B4575" t="s">
        <v>307</v>
      </c>
      <c r="C4575" t="s">
        <v>4929</v>
      </c>
      <c r="D4575" s="30">
        <v>0.64299768518518519</v>
      </c>
      <c r="E4575" t="s">
        <v>302</v>
      </c>
      <c r="F4575" t="s">
        <v>299</v>
      </c>
      <c r="G4575" t="s">
        <v>299</v>
      </c>
      <c r="H4575">
        <v>32</v>
      </c>
      <c r="I4575" s="30">
        <v>3.472222222222222E-3</v>
      </c>
      <c r="J4575">
        <v>4</v>
      </c>
    </row>
    <row r="4576" spans="1:10" x14ac:dyDescent="0.35">
      <c r="A4576" t="s">
        <v>4965</v>
      </c>
      <c r="B4576" t="s">
        <v>323</v>
      </c>
      <c r="C4576" t="s">
        <v>4929</v>
      </c>
      <c r="D4576" s="30">
        <v>0.65400462962962957</v>
      </c>
      <c r="E4576" t="s">
        <v>298</v>
      </c>
      <c r="F4576" t="s">
        <v>299</v>
      </c>
      <c r="G4576" t="s">
        <v>299</v>
      </c>
      <c r="H4576">
        <v>75</v>
      </c>
      <c r="I4576" s="30">
        <v>1.2152777777777778E-3</v>
      </c>
      <c r="J4576">
        <v>4</v>
      </c>
    </row>
    <row r="4577" spans="1:10" x14ac:dyDescent="0.35">
      <c r="A4577" t="s">
        <v>4966</v>
      </c>
      <c r="B4577" t="s">
        <v>332</v>
      </c>
      <c r="C4577" t="s">
        <v>4929</v>
      </c>
      <c r="D4577" s="30">
        <v>0.65400462962962957</v>
      </c>
      <c r="E4577" t="s">
        <v>298</v>
      </c>
      <c r="F4577" t="s">
        <v>299</v>
      </c>
      <c r="G4577" t="s">
        <v>303</v>
      </c>
      <c r="H4577">
        <v>109</v>
      </c>
      <c r="I4577" s="30">
        <v>4.2361111111111115E-3</v>
      </c>
      <c r="J4577">
        <v>2</v>
      </c>
    </row>
    <row r="4578" spans="1:10" x14ac:dyDescent="0.35">
      <c r="A4578" t="s">
        <v>4967</v>
      </c>
      <c r="B4578" t="s">
        <v>323</v>
      </c>
      <c r="C4578" t="s">
        <v>4929</v>
      </c>
      <c r="D4578" s="30">
        <v>0.66900462962962959</v>
      </c>
      <c r="E4578" t="s">
        <v>317</v>
      </c>
      <c r="F4578" t="s">
        <v>299</v>
      </c>
      <c r="G4578" t="s">
        <v>299</v>
      </c>
      <c r="H4578">
        <v>116</v>
      </c>
      <c r="I4578" s="30">
        <v>1.8749999999999999E-3</v>
      </c>
      <c r="J4578">
        <v>3</v>
      </c>
    </row>
    <row r="4579" spans="1:10" x14ac:dyDescent="0.35">
      <c r="A4579" t="s">
        <v>4968</v>
      </c>
      <c r="B4579" t="s">
        <v>332</v>
      </c>
      <c r="C4579" t="s">
        <v>4929</v>
      </c>
      <c r="D4579" s="30">
        <v>0.66900462962962959</v>
      </c>
      <c r="E4579" t="s">
        <v>302</v>
      </c>
      <c r="F4579" t="s">
        <v>299</v>
      </c>
      <c r="G4579" t="s">
        <v>299</v>
      </c>
      <c r="H4579">
        <v>26</v>
      </c>
      <c r="I4579" s="30">
        <v>1.7476851851851852E-3</v>
      </c>
      <c r="J4579">
        <v>3</v>
      </c>
    </row>
    <row r="4580" spans="1:10" x14ac:dyDescent="0.35">
      <c r="A4580" t="s">
        <v>4969</v>
      </c>
      <c r="B4580" t="s">
        <v>319</v>
      </c>
      <c r="C4580" t="s">
        <v>4929</v>
      </c>
      <c r="D4580" s="30">
        <v>0.67099537037037038</v>
      </c>
      <c r="E4580" t="s">
        <v>314</v>
      </c>
      <c r="F4580" t="s">
        <v>299</v>
      </c>
      <c r="G4580" t="s">
        <v>299</v>
      </c>
      <c r="H4580">
        <v>67</v>
      </c>
      <c r="I4580" s="30">
        <v>4.2013888888888891E-3</v>
      </c>
      <c r="J4580">
        <v>4</v>
      </c>
    </row>
    <row r="4581" spans="1:10" x14ac:dyDescent="0.35">
      <c r="A4581" t="s">
        <v>4970</v>
      </c>
      <c r="B4581" t="s">
        <v>305</v>
      </c>
      <c r="C4581" t="s">
        <v>4929</v>
      </c>
      <c r="D4581" s="30">
        <v>0.67099537037037038</v>
      </c>
      <c r="E4581" t="s">
        <v>314</v>
      </c>
      <c r="F4581" t="s">
        <v>299</v>
      </c>
      <c r="G4581" t="s">
        <v>303</v>
      </c>
      <c r="H4581">
        <v>58</v>
      </c>
      <c r="I4581" s="30">
        <v>2.5115740740740741E-3</v>
      </c>
      <c r="J4581">
        <v>4</v>
      </c>
    </row>
    <row r="4582" spans="1:10" x14ac:dyDescent="0.35">
      <c r="A4582" t="s">
        <v>4971</v>
      </c>
      <c r="B4582" t="s">
        <v>305</v>
      </c>
      <c r="C4582" t="s">
        <v>4929</v>
      </c>
      <c r="D4582" s="30">
        <v>0.6840046296296296</v>
      </c>
      <c r="E4582" t="s">
        <v>317</v>
      </c>
      <c r="F4582" t="s">
        <v>299</v>
      </c>
      <c r="G4582" t="s">
        <v>299</v>
      </c>
      <c r="H4582">
        <v>20</v>
      </c>
      <c r="I4582" s="30">
        <v>4.5717592592592589E-3</v>
      </c>
      <c r="J4582">
        <v>2</v>
      </c>
    </row>
    <row r="4583" spans="1:10" x14ac:dyDescent="0.35">
      <c r="A4583" t="s">
        <v>4972</v>
      </c>
      <c r="B4583" t="s">
        <v>316</v>
      </c>
      <c r="C4583" t="s">
        <v>4929</v>
      </c>
      <c r="D4583" s="30">
        <v>0.6840046296296296</v>
      </c>
      <c r="E4583" t="s">
        <v>302</v>
      </c>
      <c r="F4583" t="s">
        <v>299</v>
      </c>
      <c r="G4583" t="s">
        <v>299</v>
      </c>
      <c r="H4583">
        <v>115</v>
      </c>
      <c r="I4583" s="30">
        <v>3.3449074074074076E-3</v>
      </c>
      <c r="J4583">
        <v>1</v>
      </c>
    </row>
    <row r="4584" spans="1:10" x14ac:dyDescent="0.35">
      <c r="A4584" t="s">
        <v>4973</v>
      </c>
      <c r="B4584" t="s">
        <v>305</v>
      </c>
      <c r="C4584" t="s">
        <v>4929</v>
      </c>
      <c r="D4584" s="30">
        <v>0.68700231481481477</v>
      </c>
      <c r="E4584" t="s">
        <v>314</v>
      </c>
      <c r="F4584" t="s">
        <v>299</v>
      </c>
      <c r="G4584" t="s">
        <v>303</v>
      </c>
      <c r="H4584">
        <v>35</v>
      </c>
      <c r="I4584" s="30">
        <v>2.6041666666666665E-3</v>
      </c>
      <c r="J4584">
        <v>4</v>
      </c>
    </row>
    <row r="4585" spans="1:10" x14ac:dyDescent="0.35">
      <c r="A4585" t="s">
        <v>4974</v>
      </c>
      <c r="B4585" t="s">
        <v>301</v>
      </c>
      <c r="C4585" t="s">
        <v>4929</v>
      </c>
      <c r="D4585" s="30">
        <v>0.68700231481481477</v>
      </c>
      <c r="E4585" t="s">
        <v>302</v>
      </c>
      <c r="F4585" t="s">
        <v>299</v>
      </c>
      <c r="G4585" t="s">
        <v>299</v>
      </c>
      <c r="H4585">
        <v>36</v>
      </c>
      <c r="I4585" s="30">
        <v>1.5162037037037036E-3</v>
      </c>
      <c r="J4585">
        <v>4</v>
      </c>
    </row>
    <row r="4586" spans="1:10" x14ac:dyDescent="0.35">
      <c r="A4586" t="s">
        <v>4975</v>
      </c>
      <c r="B4586" t="s">
        <v>307</v>
      </c>
      <c r="C4586" t="s">
        <v>4929</v>
      </c>
      <c r="D4586" s="30">
        <v>0.70099537037037041</v>
      </c>
      <c r="E4586" t="s">
        <v>298</v>
      </c>
      <c r="F4586" t="s">
        <v>303</v>
      </c>
      <c r="G4586" t="s">
        <v>303</v>
      </c>
    </row>
    <row r="4587" spans="1:10" x14ac:dyDescent="0.35">
      <c r="A4587" t="s">
        <v>4976</v>
      </c>
      <c r="B4587" t="s">
        <v>307</v>
      </c>
      <c r="C4587" t="s">
        <v>4929</v>
      </c>
      <c r="D4587" s="30">
        <v>0.70099537037037041</v>
      </c>
      <c r="E4587" t="s">
        <v>309</v>
      </c>
      <c r="F4587" t="s">
        <v>299</v>
      </c>
      <c r="G4587" t="s">
        <v>299</v>
      </c>
      <c r="H4587">
        <v>62</v>
      </c>
      <c r="I4587" s="30">
        <v>8.9120370370370373E-4</v>
      </c>
      <c r="J4587">
        <v>1</v>
      </c>
    </row>
    <row r="4588" spans="1:10" x14ac:dyDescent="0.35">
      <c r="A4588" t="s">
        <v>4977</v>
      </c>
      <c r="B4588" t="s">
        <v>332</v>
      </c>
      <c r="C4588" t="s">
        <v>4929</v>
      </c>
      <c r="D4588" s="30">
        <v>0.73599537037037033</v>
      </c>
      <c r="E4588" t="s">
        <v>314</v>
      </c>
      <c r="F4588" t="s">
        <v>299</v>
      </c>
      <c r="G4588" t="s">
        <v>299</v>
      </c>
      <c r="H4588">
        <v>37</v>
      </c>
      <c r="I4588" s="30">
        <v>3.0092592592592593E-3</v>
      </c>
      <c r="J4588">
        <v>3</v>
      </c>
    </row>
    <row r="4589" spans="1:10" x14ac:dyDescent="0.35">
      <c r="A4589" t="s">
        <v>4978</v>
      </c>
      <c r="B4589" t="s">
        <v>332</v>
      </c>
      <c r="C4589" t="s">
        <v>4929</v>
      </c>
      <c r="D4589" s="30">
        <v>0.73599537037037033</v>
      </c>
      <c r="E4589" t="s">
        <v>309</v>
      </c>
      <c r="F4589" t="s">
        <v>303</v>
      </c>
      <c r="G4589" t="s">
        <v>303</v>
      </c>
    </row>
    <row r="4590" spans="1:10" x14ac:dyDescent="0.35">
      <c r="A4590" t="s">
        <v>4979</v>
      </c>
      <c r="B4590" t="s">
        <v>323</v>
      </c>
      <c r="C4590" t="s">
        <v>4929</v>
      </c>
      <c r="D4590" s="30">
        <v>0.74200231481481482</v>
      </c>
      <c r="E4590" t="s">
        <v>302</v>
      </c>
      <c r="F4590" t="s">
        <v>299</v>
      </c>
      <c r="G4590" t="s">
        <v>299</v>
      </c>
      <c r="H4590">
        <v>124</v>
      </c>
      <c r="I4590" s="30">
        <v>4.386574074074074E-3</v>
      </c>
      <c r="J4590">
        <v>1</v>
      </c>
    </row>
    <row r="4591" spans="1:10" x14ac:dyDescent="0.35">
      <c r="A4591" t="s">
        <v>4980</v>
      </c>
      <c r="B4591" t="s">
        <v>319</v>
      </c>
      <c r="C4591" t="s">
        <v>4929</v>
      </c>
      <c r="D4591" s="30">
        <v>0.74200231481481482</v>
      </c>
      <c r="E4591" t="s">
        <v>314</v>
      </c>
      <c r="F4591" t="s">
        <v>299</v>
      </c>
      <c r="G4591" t="s">
        <v>299</v>
      </c>
      <c r="H4591">
        <v>58</v>
      </c>
      <c r="I4591" s="30">
        <v>4.340277777777778E-3</v>
      </c>
      <c r="J4591">
        <v>5</v>
      </c>
    </row>
    <row r="4592" spans="1:10" x14ac:dyDescent="0.35">
      <c r="A4592" t="s">
        <v>4981</v>
      </c>
      <c r="B4592" t="s">
        <v>301</v>
      </c>
      <c r="C4592" t="s">
        <v>4929</v>
      </c>
      <c r="D4592" s="30">
        <v>0.74900462962962966</v>
      </c>
      <c r="E4592" t="s">
        <v>314</v>
      </c>
      <c r="F4592" t="s">
        <v>299</v>
      </c>
      <c r="G4592" t="s">
        <v>299</v>
      </c>
      <c r="H4592">
        <v>77</v>
      </c>
      <c r="I4592" s="30">
        <v>1.5162037037037036E-3</v>
      </c>
      <c r="J4592">
        <v>5</v>
      </c>
    </row>
    <row r="4593" spans="1:10" x14ac:dyDescent="0.35">
      <c r="A4593" t="s">
        <v>4982</v>
      </c>
      <c r="B4593" t="s">
        <v>316</v>
      </c>
      <c r="C4593" t="s">
        <v>4929</v>
      </c>
      <c r="D4593" s="30">
        <v>0.74900462962962966</v>
      </c>
      <c r="E4593" t="s">
        <v>302</v>
      </c>
      <c r="F4593" t="s">
        <v>299</v>
      </c>
      <c r="G4593" t="s">
        <v>299</v>
      </c>
      <c r="H4593">
        <v>80</v>
      </c>
      <c r="I4593" s="30">
        <v>7.8703703703703705E-4</v>
      </c>
      <c r="J4593">
        <v>4</v>
      </c>
    </row>
    <row r="4594" spans="1:10" x14ac:dyDescent="0.35">
      <c r="A4594" t="s">
        <v>4983</v>
      </c>
      <c r="B4594" t="s">
        <v>323</v>
      </c>
      <c r="C4594" t="s">
        <v>4984</v>
      </c>
      <c r="D4594" s="30">
        <v>0.38799768518518518</v>
      </c>
      <c r="E4594" t="s">
        <v>309</v>
      </c>
      <c r="F4594" t="s">
        <v>299</v>
      </c>
      <c r="G4594" t="s">
        <v>299</v>
      </c>
      <c r="H4594">
        <v>51</v>
      </c>
      <c r="I4594" s="30">
        <v>1.6782407407407408E-3</v>
      </c>
      <c r="J4594">
        <v>5</v>
      </c>
    </row>
    <row r="4595" spans="1:10" x14ac:dyDescent="0.35">
      <c r="A4595" t="s">
        <v>4985</v>
      </c>
      <c r="B4595" t="s">
        <v>323</v>
      </c>
      <c r="C4595" t="s">
        <v>4984</v>
      </c>
      <c r="D4595" s="30">
        <v>0.38799768518518518</v>
      </c>
      <c r="E4595" t="s">
        <v>317</v>
      </c>
      <c r="F4595" t="s">
        <v>299</v>
      </c>
      <c r="G4595" t="s">
        <v>299</v>
      </c>
      <c r="H4595">
        <v>110</v>
      </c>
      <c r="I4595" s="30">
        <v>2.9976851851851853E-3</v>
      </c>
      <c r="J4595">
        <v>3</v>
      </c>
    </row>
    <row r="4596" spans="1:10" x14ac:dyDescent="0.35">
      <c r="A4596" t="s">
        <v>4986</v>
      </c>
      <c r="B4596" t="s">
        <v>301</v>
      </c>
      <c r="C4596" t="s">
        <v>4984</v>
      </c>
      <c r="D4596" s="30">
        <v>0.4079976851851852</v>
      </c>
      <c r="E4596" t="s">
        <v>314</v>
      </c>
      <c r="F4596" t="s">
        <v>299</v>
      </c>
      <c r="G4596" t="s">
        <v>299</v>
      </c>
      <c r="H4596">
        <v>112</v>
      </c>
      <c r="I4596" s="30">
        <v>3.2407407407407406E-3</v>
      </c>
      <c r="J4596">
        <v>4</v>
      </c>
    </row>
    <row r="4597" spans="1:10" x14ac:dyDescent="0.35">
      <c r="A4597" t="s">
        <v>4987</v>
      </c>
      <c r="B4597" t="s">
        <v>332</v>
      </c>
      <c r="C4597" t="s">
        <v>4984</v>
      </c>
      <c r="D4597" s="30">
        <v>0.4079976851851852</v>
      </c>
      <c r="E4597" t="s">
        <v>302</v>
      </c>
      <c r="F4597" t="s">
        <v>299</v>
      </c>
      <c r="G4597" t="s">
        <v>299</v>
      </c>
      <c r="H4597">
        <v>27</v>
      </c>
      <c r="I4597" s="30">
        <v>4.861111111111111E-4</v>
      </c>
      <c r="J4597">
        <v>5</v>
      </c>
    </row>
    <row r="4598" spans="1:10" x14ac:dyDescent="0.35">
      <c r="A4598" t="s">
        <v>4988</v>
      </c>
      <c r="B4598" t="s">
        <v>332</v>
      </c>
      <c r="C4598" t="s">
        <v>4984</v>
      </c>
      <c r="D4598" s="30">
        <v>0.47400462962962964</v>
      </c>
      <c r="E4598" t="s">
        <v>302</v>
      </c>
      <c r="F4598" t="s">
        <v>299</v>
      </c>
      <c r="G4598" t="s">
        <v>299</v>
      </c>
      <c r="H4598">
        <v>53</v>
      </c>
      <c r="I4598" s="30">
        <v>4.0509259259259258E-4</v>
      </c>
      <c r="J4598">
        <v>1</v>
      </c>
    </row>
    <row r="4599" spans="1:10" x14ac:dyDescent="0.35">
      <c r="A4599" t="s">
        <v>4989</v>
      </c>
      <c r="B4599" t="s">
        <v>319</v>
      </c>
      <c r="C4599" t="s">
        <v>4984</v>
      </c>
      <c r="D4599" s="30">
        <v>0.47400462962962964</v>
      </c>
      <c r="E4599" t="s">
        <v>302</v>
      </c>
      <c r="F4599" t="s">
        <v>299</v>
      </c>
      <c r="G4599" t="s">
        <v>299</v>
      </c>
      <c r="H4599">
        <v>125</v>
      </c>
      <c r="I4599" s="30">
        <v>2.685185185185185E-3</v>
      </c>
      <c r="J4599">
        <v>3</v>
      </c>
    </row>
    <row r="4600" spans="1:10" x14ac:dyDescent="0.35">
      <c r="A4600" t="s">
        <v>4990</v>
      </c>
      <c r="B4600" t="s">
        <v>319</v>
      </c>
      <c r="C4600" t="s">
        <v>4984</v>
      </c>
      <c r="D4600" s="30">
        <v>0.49</v>
      </c>
      <c r="E4600" t="s">
        <v>317</v>
      </c>
      <c r="F4600" t="s">
        <v>299</v>
      </c>
      <c r="G4600" t="s">
        <v>299</v>
      </c>
      <c r="H4600">
        <v>13</v>
      </c>
      <c r="I4600" s="30">
        <v>2.0138888888888888E-3</v>
      </c>
      <c r="J4600">
        <v>1</v>
      </c>
    </row>
    <row r="4601" spans="1:10" x14ac:dyDescent="0.35">
      <c r="A4601" t="s">
        <v>4991</v>
      </c>
      <c r="B4601" t="s">
        <v>319</v>
      </c>
      <c r="C4601" t="s">
        <v>4984</v>
      </c>
      <c r="D4601" s="30">
        <v>0.49</v>
      </c>
      <c r="E4601" t="s">
        <v>298</v>
      </c>
      <c r="F4601" t="s">
        <v>299</v>
      </c>
      <c r="G4601" t="s">
        <v>299</v>
      </c>
      <c r="H4601">
        <v>37</v>
      </c>
      <c r="I4601" s="30">
        <v>1.8981481481481482E-3</v>
      </c>
      <c r="J4601">
        <v>4</v>
      </c>
    </row>
    <row r="4602" spans="1:10" x14ac:dyDescent="0.35">
      <c r="A4602" t="s">
        <v>4992</v>
      </c>
      <c r="B4602" t="s">
        <v>323</v>
      </c>
      <c r="C4602" t="s">
        <v>4984</v>
      </c>
      <c r="D4602" s="30">
        <v>0.51900462962962968</v>
      </c>
      <c r="E4602" t="s">
        <v>317</v>
      </c>
      <c r="F4602" t="s">
        <v>299</v>
      </c>
      <c r="G4602" t="s">
        <v>299</v>
      </c>
      <c r="H4602">
        <v>84</v>
      </c>
      <c r="I4602" s="30">
        <v>2.6157407407407405E-3</v>
      </c>
      <c r="J4602">
        <v>4</v>
      </c>
    </row>
    <row r="4603" spans="1:10" x14ac:dyDescent="0.35">
      <c r="A4603" t="s">
        <v>4993</v>
      </c>
      <c r="B4603" t="s">
        <v>307</v>
      </c>
      <c r="C4603" t="s">
        <v>4984</v>
      </c>
      <c r="D4603" s="30">
        <v>0.51900462962962968</v>
      </c>
      <c r="E4603" t="s">
        <v>302</v>
      </c>
      <c r="F4603" t="s">
        <v>303</v>
      </c>
      <c r="G4603" t="s">
        <v>303</v>
      </c>
    </row>
    <row r="4604" spans="1:10" x14ac:dyDescent="0.35">
      <c r="A4604" t="s">
        <v>4994</v>
      </c>
      <c r="B4604" t="s">
        <v>323</v>
      </c>
      <c r="C4604" t="s">
        <v>4984</v>
      </c>
      <c r="D4604" s="30">
        <v>0.52700231481481485</v>
      </c>
      <c r="E4604" t="s">
        <v>317</v>
      </c>
      <c r="F4604" t="s">
        <v>303</v>
      </c>
      <c r="G4604" t="s">
        <v>303</v>
      </c>
    </row>
    <row r="4605" spans="1:10" x14ac:dyDescent="0.35">
      <c r="A4605" t="s">
        <v>4995</v>
      </c>
      <c r="B4605" t="s">
        <v>319</v>
      </c>
      <c r="C4605" t="s">
        <v>4984</v>
      </c>
      <c r="D4605" s="30">
        <v>0.52700231481481485</v>
      </c>
      <c r="E4605" t="s">
        <v>314</v>
      </c>
      <c r="F4605" t="s">
        <v>299</v>
      </c>
      <c r="G4605" t="s">
        <v>299</v>
      </c>
      <c r="H4605">
        <v>123</v>
      </c>
      <c r="I4605" s="30">
        <v>2.1527777777777778E-3</v>
      </c>
      <c r="J4605">
        <v>3</v>
      </c>
    </row>
    <row r="4606" spans="1:10" x14ac:dyDescent="0.35">
      <c r="A4606" t="s">
        <v>4996</v>
      </c>
      <c r="B4606" t="s">
        <v>323</v>
      </c>
      <c r="C4606" t="s">
        <v>4984</v>
      </c>
      <c r="D4606" s="30">
        <v>0.54400462962962959</v>
      </c>
      <c r="E4606" t="s">
        <v>317</v>
      </c>
      <c r="F4606" t="s">
        <v>299</v>
      </c>
      <c r="G4606" t="s">
        <v>303</v>
      </c>
      <c r="H4606">
        <v>51</v>
      </c>
      <c r="I4606" s="30">
        <v>3.8310185185185183E-3</v>
      </c>
      <c r="J4606">
        <v>3</v>
      </c>
    </row>
    <row r="4607" spans="1:10" x14ac:dyDescent="0.35">
      <c r="A4607" t="s">
        <v>4997</v>
      </c>
      <c r="B4607" t="s">
        <v>307</v>
      </c>
      <c r="C4607" t="s">
        <v>4984</v>
      </c>
      <c r="D4607" s="30">
        <v>0.54400462962962959</v>
      </c>
      <c r="E4607" t="s">
        <v>314</v>
      </c>
      <c r="F4607" t="s">
        <v>299</v>
      </c>
      <c r="G4607" t="s">
        <v>299</v>
      </c>
      <c r="H4607">
        <v>69</v>
      </c>
      <c r="I4607" s="30">
        <v>3.3217592592592591E-3</v>
      </c>
      <c r="J4607">
        <v>1</v>
      </c>
    </row>
    <row r="4608" spans="1:10" x14ac:dyDescent="0.35">
      <c r="A4608" t="s">
        <v>4998</v>
      </c>
      <c r="B4608" t="s">
        <v>332</v>
      </c>
      <c r="C4608" t="s">
        <v>4984</v>
      </c>
      <c r="D4608" s="30">
        <v>0.57799768518518524</v>
      </c>
      <c r="E4608" t="s">
        <v>317</v>
      </c>
      <c r="F4608" t="s">
        <v>299</v>
      </c>
      <c r="G4608" t="s">
        <v>299</v>
      </c>
      <c r="H4608">
        <v>80</v>
      </c>
      <c r="I4608" s="30">
        <v>2.0833333333333333E-3</v>
      </c>
      <c r="J4608">
        <v>1</v>
      </c>
    </row>
    <row r="4609" spans="1:10" x14ac:dyDescent="0.35">
      <c r="A4609" t="s">
        <v>4999</v>
      </c>
      <c r="B4609" t="s">
        <v>307</v>
      </c>
      <c r="C4609" t="s">
        <v>4984</v>
      </c>
      <c r="D4609" s="30">
        <v>0.57799768518518524</v>
      </c>
      <c r="E4609" t="s">
        <v>309</v>
      </c>
      <c r="F4609" t="s">
        <v>299</v>
      </c>
      <c r="G4609" t="s">
        <v>299</v>
      </c>
      <c r="H4609">
        <v>111</v>
      </c>
      <c r="I4609" s="30">
        <v>2.8356481481481483E-3</v>
      </c>
      <c r="J4609">
        <v>5</v>
      </c>
    </row>
    <row r="4610" spans="1:10" x14ac:dyDescent="0.35">
      <c r="A4610" t="s">
        <v>5000</v>
      </c>
      <c r="B4610" t="s">
        <v>296</v>
      </c>
      <c r="C4610" t="s">
        <v>4984</v>
      </c>
      <c r="D4610" s="30">
        <v>0.5870023148148148</v>
      </c>
      <c r="E4610" t="s">
        <v>314</v>
      </c>
      <c r="F4610" t="s">
        <v>299</v>
      </c>
      <c r="G4610" t="s">
        <v>299</v>
      </c>
      <c r="H4610">
        <v>26</v>
      </c>
      <c r="I4610" s="30">
        <v>4.1435185185185186E-3</v>
      </c>
      <c r="J4610">
        <v>4</v>
      </c>
    </row>
    <row r="4611" spans="1:10" x14ac:dyDescent="0.35">
      <c r="A4611" t="s">
        <v>5001</v>
      </c>
      <c r="B4611" t="s">
        <v>332</v>
      </c>
      <c r="C4611" t="s">
        <v>4984</v>
      </c>
      <c r="D4611" s="30">
        <v>0.5870023148148148</v>
      </c>
      <c r="E4611" t="s">
        <v>314</v>
      </c>
      <c r="F4611" t="s">
        <v>299</v>
      </c>
      <c r="G4611" t="s">
        <v>299</v>
      </c>
      <c r="H4611">
        <v>29</v>
      </c>
      <c r="I4611" s="30">
        <v>1.8865740740740742E-3</v>
      </c>
      <c r="J4611">
        <v>1</v>
      </c>
    </row>
    <row r="4612" spans="1:10" x14ac:dyDescent="0.35">
      <c r="A4612" t="s">
        <v>5002</v>
      </c>
      <c r="B4612" t="s">
        <v>323</v>
      </c>
      <c r="C4612" t="s">
        <v>4984</v>
      </c>
      <c r="D4612" s="30">
        <v>0.60200231481481481</v>
      </c>
      <c r="E4612" t="s">
        <v>317</v>
      </c>
      <c r="F4612" t="s">
        <v>303</v>
      </c>
      <c r="G4612" t="s">
        <v>303</v>
      </c>
    </row>
    <row r="4613" spans="1:10" x14ac:dyDescent="0.35">
      <c r="A4613" t="s">
        <v>5003</v>
      </c>
      <c r="B4613" t="s">
        <v>301</v>
      </c>
      <c r="C4613" t="s">
        <v>4984</v>
      </c>
      <c r="D4613" s="30">
        <v>0.60200231481481481</v>
      </c>
      <c r="E4613" t="s">
        <v>302</v>
      </c>
      <c r="F4613" t="s">
        <v>299</v>
      </c>
      <c r="G4613" t="s">
        <v>299</v>
      </c>
      <c r="H4613">
        <v>43</v>
      </c>
      <c r="I4613" s="30">
        <v>1.0648148148148149E-3</v>
      </c>
      <c r="J4613">
        <v>4</v>
      </c>
    </row>
    <row r="4614" spans="1:10" x14ac:dyDescent="0.35">
      <c r="A4614" t="s">
        <v>5004</v>
      </c>
      <c r="B4614" t="s">
        <v>296</v>
      </c>
      <c r="C4614" t="s">
        <v>4984</v>
      </c>
      <c r="D4614" s="30">
        <v>0.64</v>
      </c>
      <c r="E4614" t="s">
        <v>302</v>
      </c>
      <c r="F4614" t="s">
        <v>299</v>
      </c>
      <c r="G4614" t="s">
        <v>299</v>
      </c>
      <c r="H4614">
        <v>58</v>
      </c>
      <c r="I4614" s="30">
        <v>3.425925925925926E-3</v>
      </c>
      <c r="J4614">
        <v>3</v>
      </c>
    </row>
    <row r="4615" spans="1:10" x14ac:dyDescent="0.35">
      <c r="A4615" t="s">
        <v>5005</v>
      </c>
      <c r="B4615" t="s">
        <v>316</v>
      </c>
      <c r="C4615" t="s">
        <v>4984</v>
      </c>
      <c r="D4615" s="30">
        <v>0.64</v>
      </c>
      <c r="E4615" t="s">
        <v>314</v>
      </c>
      <c r="F4615" t="s">
        <v>299</v>
      </c>
      <c r="G4615" t="s">
        <v>299</v>
      </c>
      <c r="H4615">
        <v>27</v>
      </c>
      <c r="I4615" s="30">
        <v>4.4907407407407405E-3</v>
      </c>
      <c r="J4615">
        <v>2</v>
      </c>
    </row>
    <row r="4616" spans="1:10" x14ac:dyDescent="0.35">
      <c r="A4616" t="s">
        <v>5006</v>
      </c>
      <c r="B4616" t="s">
        <v>296</v>
      </c>
      <c r="C4616" t="s">
        <v>4984</v>
      </c>
      <c r="D4616" s="30">
        <v>0.64400462962962968</v>
      </c>
      <c r="E4616" t="s">
        <v>314</v>
      </c>
      <c r="F4616" t="s">
        <v>299</v>
      </c>
      <c r="G4616" t="s">
        <v>299</v>
      </c>
      <c r="H4616">
        <v>39</v>
      </c>
      <c r="I4616" s="30">
        <v>1.3310185185185185E-3</v>
      </c>
      <c r="J4616">
        <v>4</v>
      </c>
    </row>
    <row r="4617" spans="1:10" x14ac:dyDescent="0.35">
      <c r="A4617" t="s">
        <v>5007</v>
      </c>
      <c r="B4617" t="s">
        <v>319</v>
      </c>
      <c r="C4617" t="s">
        <v>4984</v>
      </c>
      <c r="D4617" s="30">
        <v>0.64400462962962968</v>
      </c>
      <c r="E4617" t="s">
        <v>309</v>
      </c>
      <c r="F4617" t="s">
        <v>299</v>
      </c>
      <c r="G4617" t="s">
        <v>299</v>
      </c>
      <c r="H4617">
        <v>83</v>
      </c>
      <c r="I4617" s="30">
        <v>1.4236111111111112E-3</v>
      </c>
      <c r="J4617">
        <v>4</v>
      </c>
    </row>
    <row r="4618" spans="1:10" x14ac:dyDescent="0.35">
      <c r="A4618" t="s">
        <v>5008</v>
      </c>
      <c r="B4618" t="s">
        <v>316</v>
      </c>
      <c r="C4618" t="s">
        <v>4984</v>
      </c>
      <c r="D4618" s="30">
        <v>0.64799768518518519</v>
      </c>
      <c r="E4618" t="s">
        <v>298</v>
      </c>
      <c r="F4618" t="s">
        <v>299</v>
      </c>
      <c r="G4618" t="s">
        <v>299</v>
      </c>
      <c r="H4618">
        <v>22</v>
      </c>
      <c r="I4618" s="30">
        <v>2.9629629629629628E-3</v>
      </c>
      <c r="J4618">
        <v>4</v>
      </c>
    </row>
    <row r="4619" spans="1:10" x14ac:dyDescent="0.35">
      <c r="A4619" t="s">
        <v>5009</v>
      </c>
      <c r="B4619" t="s">
        <v>316</v>
      </c>
      <c r="C4619" t="s">
        <v>4984</v>
      </c>
      <c r="D4619" s="30">
        <v>0.64799768518518519</v>
      </c>
      <c r="E4619" t="s">
        <v>298</v>
      </c>
      <c r="F4619" t="s">
        <v>299</v>
      </c>
      <c r="G4619" t="s">
        <v>299</v>
      </c>
      <c r="H4619">
        <v>56</v>
      </c>
      <c r="I4619" s="30">
        <v>1.4699074074074074E-3</v>
      </c>
      <c r="J4619">
        <v>5</v>
      </c>
    </row>
    <row r="4620" spans="1:10" x14ac:dyDescent="0.35">
      <c r="A4620" t="s">
        <v>5010</v>
      </c>
      <c r="B4620" t="s">
        <v>323</v>
      </c>
      <c r="C4620" t="s">
        <v>4984</v>
      </c>
      <c r="D4620" s="30">
        <v>0.68099537037037039</v>
      </c>
      <c r="E4620" t="s">
        <v>317</v>
      </c>
      <c r="F4620" t="s">
        <v>299</v>
      </c>
      <c r="G4620" t="s">
        <v>299</v>
      </c>
      <c r="H4620">
        <v>98</v>
      </c>
      <c r="I4620" s="30">
        <v>2.8935185185185184E-3</v>
      </c>
      <c r="J4620">
        <v>2</v>
      </c>
    </row>
    <row r="4621" spans="1:10" x14ac:dyDescent="0.35">
      <c r="A4621" t="s">
        <v>5011</v>
      </c>
      <c r="B4621" t="s">
        <v>296</v>
      </c>
      <c r="C4621" t="s">
        <v>4984</v>
      </c>
      <c r="D4621" s="30">
        <v>0.68099537037037039</v>
      </c>
      <c r="E4621" t="s">
        <v>317</v>
      </c>
      <c r="F4621" t="s">
        <v>303</v>
      </c>
      <c r="G4621" t="s">
        <v>303</v>
      </c>
    </row>
    <row r="4622" spans="1:10" x14ac:dyDescent="0.35">
      <c r="A4622" t="s">
        <v>5012</v>
      </c>
      <c r="B4622" t="s">
        <v>307</v>
      </c>
      <c r="C4622" t="s">
        <v>4984</v>
      </c>
      <c r="D4622" s="30">
        <v>0.6840046296296296</v>
      </c>
      <c r="E4622" t="s">
        <v>317</v>
      </c>
      <c r="F4622" t="s">
        <v>299</v>
      </c>
      <c r="G4622" t="s">
        <v>299</v>
      </c>
      <c r="H4622">
        <v>101</v>
      </c>
      <c r="I4622" s="30">
        <v>8.6805555555555551E-4</v>
      </c>
      <c r="J4622">
        <v>5</v>
      </c>
    </row>
    <row r="4623" spans="1:10" x14ac:dyDescent="0.35">
      <c r="A4623" t="s">
        <v>5013</v>
      </c>
      <c r="B4623" t="s">
        <v>307</v>
      </c>
      <c r="C4623" t="s">
        <v>4984</v>
      </c>
      <c r="D4623" s="30">
        <v>0.6840046296296296</v>
      </c>
      <c r="E4623" t="s">
        <v>317</v>
      </c>
      <c r="F4623" t="s">
        <v>303</v>
      </c>
      <c r="G4623" t="s">
        <v>303</v>
      </c>
    </row>
    <row r="4624" spans="1:10" x14ac:dyDescent="0.35">
      <c r="A4624" t="s">
        <v>5014</v>
      </c>
      <c r="B4624" t="s">
        <v>332</v>
      </c>
      <c r="C4624" t="s">
        <v>4984</v>
      </c>
      <c r="D4624" s="30">
        <v>0.69</v>
      </c>
      <c r="E4624" t="s">
        <v>302</v>
      </c>
      <c r="F4624" t="s">
        <v>299</v>
      </c>
      <c r="G4624" t="s">
        <v>299</v>
      </c>
      <c r="H4624">
        <v>93</v>
      </c>
      <c r="I4624" s="30">
        <v>4.1666666666666669E-4</v>
      </c>
      <c r="J4624">
        <v>4</v>
      </c>
    </row>
    <row r="4625" spans="1:10" x14ac:dyDescent="0.35">
      <c r="A4625" t="s">
        <v>5015</v>
      </c>
      <c r="B4625" t="s">
        <v>332</v>
      </c>
      <c r="C4625" t="s">
        <v>4984</v>
      </c>
      <c r="D4625" s="30">
        <v>0.69</v>
      </c>
      <c r="E4625" t="s">
        <v>309</v>
      </c>
      <c r="F4625" t="s">
        <v>299</v>
      </c>
      <c r="G4625" t="s">
        <v>299</v>
      </c>
      <c r="H4625">
        <v>24</v>
      </c>
      <c r="I4625" s="30">
        <v>2.0486111111111113E-3</v>
      </c>
      <c r="J4625">
        <v>4</v>
      </c>
    </row>
    <row r="4626" spans="1:10" x14ac:dyDescent="0.35">
      <c r="A4626" t="s">
        <v>5016</v>
      </c>
      <c r="B4626" t="s">
        <v>296</v>
      </c>
      <c r="C4626" t="s">
        <v>4984</v>
      </c>
      <c r="D4626" s="30">
        <v>0.69400462962962961</v>
      </c>
      <c r="E4626" t="s">
        <v>314</v>
      </c>
      <c r="F4626" t="s">
        <v>299</v>
      </c>
      <c r="G4626" t="s">
        <v>299</v>
      </c>
      <c r="H4626">
        <v>58</v>
      </c>
      <c r="I4626" s="30">
        <v>3.5300925925925925E-3</v>
      </c>
      <c r="J4626">
        <v>4</v>
      </c>
    </row>
    <row r="4627" spans="1:10" x14ac:dyDescent="0.35">
      <c r="A4627" t="s">
        <v>5017</v>
      </c>
      <c r="B4627" t="s">
        <v>307</v>
      </c>
      <c r="C4627" t="s">
        <v>4984</v>
      </c>
      <c r="D4627" s="30">
        <v>0.69400462962962961</v>
      </c>
      <c r="E4627" t="s">
        <v>309</v>
      </c>
      <c r="F4627" t="s">
        <v>299</v>
      </c>
      <c r="G4627" t="s">
        <v>299</v>
      </c>
      <c r="H4627">
        <v>124</v>
      </c>
      <c r="I4627" s="30">
        <v>1.261574074074074E-3</v>
      </c>
      <c r="J4627">
        <v>4</v>
      </c>
    </row>
    <row r="4628" spans="1:10" x14ac:dyDescent="0.35">
      <c r="A4628" t="s">
        <v>5018</v>
      </c>
      <c r="B4628" t="s">
        <v>332</v>
      </c>
      <c r="C4628" t="s">
        <v>4984</v>
      </c>
      <c r="D4628" s="30">
        <v>0.69400462962962961</v>
      </c>
      <c r="E4628" t="s">
        <v>309</v>
      </c>
      <c r="F4628" t="s">
        <v>299</v>
      </c>
      <c r="G4628" t="s">
        <v>303</v>
      </c>
      <c r="H4628">
        <v>50</v>
      </c>
      <c r="I4628" s="30">
        <v>3.2638888888888891E-3</v>
      </c>
      <c r="J4628">
        <v>2</v>
      </c>
    </row>
    <row r="4629" spans="1:10" x14ac:dyDescent="0.35">
      <c r="A4629" t="s">
        <v>5019</v>
      </c>
      <c r="B4629" t="s">
        <v>323</v>
      </c>
      <c r="C4629" t="s">
        <v>4984</v>
      </c>
      <c r="D4629" s="30">
        <v>0.69400462962962961</v>
      </c>
      <c r="E4629" t="s">
        <v>309</v>
      </c>
      <c r="F4629" t="s">
        <v>299</v>
      </c>
      <c r="G4629" t="s">
        <v>299</v>
      </c>
      <c r="H4629">
        <v>74</v>
      </c>
      <c r="I4629" s="30">
        <v>3.7037037037037038E-3</v>
      </c>
      <c r="J4629">
        <v>3</v>
      </c>
    </row>
    <row r="4630" spans="1:10" x14ac:dyDescent="0.35">
      <c r="A4630" t="s">
        <v>5020</v>
      </c>
      <c r="B4630" t="s">
        <v>319</v>
      </c>
      <c r="C4630" t="s">
        <v>4984</v>
      </c>
      <c r="D4630" s="30">
        <v>0.7</v>
      </c>
      <c r="E4630" t="s">
        <v>314</v>
      </c>
      <c r="F4630" t="s">
        <v>299</v>
      </c>
      <c r="G4630" t="s">
        <v>299</v>
      </c>
      <c r="H4630">
        <v>62</v>
      </c>
      <c r="I4630" s="30">
        <v>5.2083333333333333E-4</v>
      </c>
      <c r="J4630">
        <v>4</v>
      </c>
    </row>
    <row r="4631" spans="1:10" x14ac:dyDescent="0.35">
      <c r="A4631" t="s">
        <v>5021</v>
      </c>
      <c r="B4631" t="s">
        <v>319</v>
      </c>
      <c r="C4631" t="s">
        <v>4984</v>
      </c>
      <c r="D4631" s="30">
        <v>0.7</v>
      </c>
      <c r="E4631" t="s">
        <v>309</v>
      </c>
      <c r="F4631" t="s">
        <v>303</v>
      </c>
      <c r="G4631" t="s">
        <v>303</v>
      </c>
    </row>
    <row r="4632" spans="1:10" x14ac:dyDescent="0.35">
      <c r="A4632" t="s">
        <v>5022</v>
      </c>
      <c r="B4632" t="s">
        <v>301</v>
      </c>
      <c r="C4632" t="s">
        <v>4984</v>
      </c>
      <c r="D4632" s="30">
        <v>0.72299768518518515</v>
      </c>
      <c r="E4632" t="s">
        <v>309</v>
      </c>
      <c r="F4632" t="s">
        <v>299</v>
      </c>
      <c r="G4632" t="s">
        <v>299</v>
      </c>
      <c r="H4632">
        <v>19</v>
      </c>
      <c r="I4632" s="30">
        <v>2.638888888888889E-3</v>
      </c>
      <c r="J4632">
        <v>3</v>
      </c>
    </row>
    <row r="4633" spans="1:10" x14ac:dyDescent="0.35">
      <c r="A4633" t="s">
        <v>5023</v>
      </c>
      <c r="B4633" t="s">
        <v>332</v>
      </c>
      <c r="C4633" t="s">
        <v>4984</v>
      </c>
      <c r="D4633" s="30">
        <v>0.72299768518518515</v>
      </c>
      <c r="E4633" t="s">
        <v>314</v>
      </c>
      <c r="F4633" t="s">
        <v>299</v>
      </c>
      <c r="G4633" t="s">
        <v>299</v>
      </c>
      <c r="H4633">
        <v>65</v>
      </c>
      <c r="I4633" s="30">
        <v>3.7037037037037038E-3</v>
      </c>
      <c r="J4633">
        <v>3</v>
      </c>
    </row>
    <row r="4634" spans="1:10" x14ac:dyDescent="0.35">
      <c r="A4634" t="s">
        <v>5024</v>
      </c>
      <c r="B4634" t="s">
        <v>332</v>
      </c>
      <c r="C4634" t="s">
        <v>4984</v>
      </c>
      <c r="D4634" s="30">
        <v>0.73099537037037032</v>
      </c>
      <c r="E4634" t="s">
        <v>298</v>
      </c>
      <c r="F4634" t="s">
        <v>299</v>
      </c>
      <c r="G4634" t="s">
        <v>299</v>
      </c>
      <c r="H4634">
        <v>30</v>
      </c>
      <c r="I4634" s="30">
        <v>2.0833333333333333E-3</v>
      </c>
      <c r="J4634">
        <v>3</v>
      </c>
    </row>
    <row r="4635" spans="1:10" x14ac:dyDescent="0.35">
      <c r="A4635" t="s">
        <v>5025</v>
      </c>
      <c r="B4635" t="s">
        <v>305</v>
      </c>
      <c r="C4635" t="s">
        <v>4984</v>
      </c>
      <c r="D4635" s="30">
        <v>0.73099537037037032</v>
      </c>
      <c r="E4635" t="s">
        <v>314</v>
      </c>
      <c r="F4635" t="s">
        <v>299</v>
      </c>
      <c r="G4635" t="s">
        <v>299</v>
      </c>
      <c r="H4635">
        <v>77</v>
      </c>
      <c r="I4635" s="30">
        <v>4.861111111111111E-4</v>
      </c>
      <c r="J4635">
        <v>4</v>
      </c>
    </row>
    <row r="4636" spans="1:10" x14ac:dyDescent="0.35">
      <c r="A4636" t="s">
        <v>5026</v>
      </c>
      <c r="B4636" t="s">
        <v>319</v>
      </c>
      <c r="C4636" t="s">
        <v>4984</v>
      </c>
      <c r="D4636" s="30">
        <v>0.73599537037037033</v>
      </c>
      <c r="E4636" t="s">
        <v>309</v>
      </c>
      <c r="F4636" t="s">
        <v>303</v>
      </c>
      <c r="G4636" t="s">
        <v>303</v>
      </c>
    </row>
    <row r="4637" spans="1:10" x14ac:dyDescent="0.35">
      <c r="A4637" t="s">
        <v>5027</v>
      </c>
      <c r="B4637" t="s">
        <v>323</v>
      </c>
      <c r="C4637" t="s">
        <v>4984</v>
      </c>
      <c r="D4637" s="30">
        <v>0.73599537037037033</v>
      </c>
      <c r="E4637" t="s">
        <v>309</v>
      </c>
      <c r="F4637" t="s">
        <v>299</v>
      </c>
      <c r="G4637" t="s">
        <v>303</v>
      </c>
      <c r="H4637">
        <v>98</v>
      </c>
      <c r="I4637" s="30">
        <v>1.8981481481481482E-3</v>
      </c>
      <c r="J4637">
        <v>5</v>
      </c>
    </row>
    <row r="4638" spans="1:10" x14ac:dyDescent="0.35">
      <c r="A4638" t="s">
        <v>5028</v>
      </c>
      <c r="B4638" t="s">
        <v>305</v>
      </c>
      <c r="C4638" t="s">
        <v>4984</v>
      </c>
      <c r="D4638" s="30">
        <v>0.74599537037037034</v>
      </c>
      <c r="E4638" t="s">
        <v>314</v>
      </c>
      <c r="F4638" t="s">
        <v>299</v>
      </c>
      <c r="G4638" t="s">
        <v>299</v>
      </c>
      <c r="H4638">
        <v>70</v>
      </c>
      <c r="I4638" s="30">
        <v>3.2523148148148147E-3</v>
      </c>
      <c r="J4638">
        <v>1</v>
      </c>
    </row>
    <row r="4639" spans="1:10" x14ac:dyDescent="0.35">
      <c r="A4639" t="s">
        <v>5029</v>
      </c>
      <c r="B4639" t="s">
        <v>319</v>
      </c>
      <c r="C4639" t="s">
        <v>4984</v>
      </c>
      <c r="D4639" s="30">
        <v>0.74599537037037034</v>
      </c>
      <c r="E4639" t="s">
        <v>298</v>
      </c>
      <c r="F4639" t="s">
        <v>299</v>
      </c>
      <c r="G4639" t="s">
        <v>299</v>
      </c>
      <c r="H4639">
        <v>58</v>
      </c>
      <c r="I4639" s="30">
        <v>1.6782407407407408E-3</v>
      </c>
      <c r="J4639">
        <v>3</v>
      </c>
    </row>
    <row r="4640" spans="1:10" x14ac:dyDescent="0.35">
      <c r="A4640" t="s">
        <v>5030</v>
      </c>
      <c r="B4640" t="s">
        <v>332</v>
      </c>
      <c r="C4640" t="s">
        <v>5031</v>
      </c>
      <c r="D4640" s="30">
        <v>0.375</v>
      </c>
      <c r="E4640" t="s">
        <v>302</v>
      </c>
      <c r="F4640" t="s">
        <v>299</v>
      </c>
      <c r="G4640" t="s">
        <v>299</v>
      </c>
      <c r="H4640">
        <v>21</v>
      </c>
      <c r="I4640" s="30">
        <v>1.7824074074074075E-3</v>
      </c>
      <c r="J4640">
        <v>3</v>
      </c>
    </row>
    <row r="4641" spans="1:10" x14ac:dyDescent="0.35">
      <c r="A4641" t="s">
        <v>5032</v>
      </c>
      <c r="B4641" t="s">
        <v>332</v>
      </c>
      <c r="C4641" t="s">
        <v>5031</v>
      </c>
      <c r="D4641" s="30">
        <v>0.375</v>
      </c>
      <c r="E4641" t="s">
        <v>309</v>
      </c>
      <c r="F4641" t="s">
        <v>299</v>
      </c>
      <c r="G4641" t="s">
        <v>299</v>
      </c>
      <c r="H4641">
        <v>61</v>
      </c>
      <c r="I4641" s="30">
        <v>4.0162037037037041E-3</v>
      </c>
      <c r="J4641">
        <v>5</v>
      </c>
    </row>
    <row r="4642" spans="1:10" x14ac:dyDescent="0.35">
      <c r="A4642" t="s">
        <v>5033</v>
      </c>
      <c r="B4642" t="s">
        <v>316</v>
      </c>
      <c r="C4642" t="s">
        <v>5031</v>
      </c>
      <c r="D4642" s="30">
        <v>0.38400462962962961</v>
      </c>
      <c r="E4642" t="s">
        <v>298</v>
      </c>
      <c r="F4642" t="s">
        <v>299</v>
      </c>
      <c r="G4642" t="s">
        <v>299</v>
      </c>
      <c r="H4642">
        <v>111</v>
      </c>
      <c r="I4642" s="30">
        <v>4.6412037037037038E-3</v>
      </c>
      <c r="J4642">
        <v>5</v>
      </c>
    </row>
    <row r="4643" spans="1:10" x14ac:dyDescent="0.35">
      <c r="A4643" t="s">
        <v>5034</v>
      </c>
      <c r="B4643" t="s">
        <v>332</v>
      </c>
      <c r="C4643" t="s">
        <v>5031</v>
      </c>
      <c r="D4643" s="30">
        <v>0.38400462962962961</v>
      </c>
      <c r="E4643" t="s">
        <v>317</v>
      </c>
      <c r="F4643" t="s">
        <v>299</v>
      </c>
      <c r="G4643" t="s">
        <v>299</v>
      </c>
      <c r="H4643">
        <v>75</v>
      </c>
      <c r="I4643" s="30">
        <v>3.9236111111111112E-3</v>
      </c>
      <c r="J4643">
        <v>4</v>
      </c>
    </row>
    <row r="4644" spans="1:10" x14ac:dyDescent="0.35">
      <c r="A4644" t="s">
        <v>5035</v>
      </c>
      <c r="B4644" t="s">
        <v>307</v>
      </c>
      <c r="C4644" t="s">
        <v>5031</v>
      </c>
      <c r="D4644" s="30">
        <v>0.40099537037037036</v>
      </c>
      <c r="E4644" t="s">
        <v>314</v>
      </c>
      <c r="F4644" t="s">
        <v>303</v>
      </c>
      <c r="G4644" t="s">
        <v>303</v>
      </c>
    </row>
    <row r="4645" spans="1:10" x14ac:dyDescent="0.35">
      <c r="A4645" t="s">
        <v>5036</v>
      </c>
      <c r="B4645" t="s">
        <v>307</v>
      </c>
      <c r="C4645" t="s">
        <v>5031</v>
      </c>
      <c r="D4645" s="30">
        <v>0.40099537037037036</v>
      </c>
      <c r="E4645" t="s">
        <v>302</v>
      </c>
      <c r="F4645" t="s">
        <v>303</v>
      </c>
      <c r="G4645" t="s">
        <v>303</v>
      </c>
    </row>
    <row r="4646" spans="1:10" x14ac:dyDescent="0.35">
      <c r="A4646" t="s">
        <v>5037</v>
      </c>
      <c r="B4646" t="s">
        <v>319</v>
      </c>
      <c r="C4646" t="s">
        <v>5031</v>
      </c>
      <c r="D4646" s="30">
        <v>0.40500000000000003</v>
      </c>
      <c r="E4646" t="s">
        <v>302</v>
      </c>
      <c r="F4646" t="s">
        <v>299</v>
      </c>
      <c r="G4646" t="s">
        <v>299</v>
      </c>
      <c r="H4646">
        <v>30</v>
      </c>
      <c r="I4646" s="30">
        <v>3.5069444444444445E-3</v>
      </c>
      <c r="J4646">
        <v>3</v>
      </c>
    </row>
    <row r="4647" spans="1:10" x14ac:dyDescent="0.35">
      <c r="A4647" t="s">
        <v>5038</v>
      </c>
      <c r="B4647" t="s">
        <v>319</v>
      </c>
      <c r="C4647" t="s">
        <v>5031</v>
      </c>
      <c r="D4647" s="30">
        <v>0.40500000000000003</v>
      </c>
      <c r="E4647" t="s">
        <v>309</v>
      </c>
      <c r="F4647" t="s">
        <v>299</v>
      </c>
      <c r="G4647" t="s">
        <v>299</v>
      </c>
      <c r="H4647">
        <v>78</v>
      </c>
      <c r="I4647" s="30">
        <v>3.1944444444444446E-3</v>
      </c>
      <c r="J4647">
        <v>5</v>
      </c>
    </row>
    <row r="4648" spans="1:10" x14ac:dyDescent="0.35">
      <c r="A4648" t="s">
        <v>5039</v>
      </c>
      <c r="B4648" t="s">
        <v>332</v>
      </c>
      <c r="C4648" t="s">
        <v>5031</v>
      </c>
      <c r="D4648" s="30">
        <v>0.41</v>
      </c>
      <c r="E4648" t="s">
        <v>302</v>
      </c>
      <c r="F4648" t="s">
        <v>303</v>
      </c>
      <c r="G4648" t="s">
        <v>303</v>
      </c>
    </row>
    <row r="4649" spans="1:10" x14ac:dyDescent="0.35">
      <c r="A4649" t="s">
        <v>5040</v>
      </c>
      <c r="B4649" t="s">
        <v>301</v>
      </c>
      <c r="C4649" t="s">
        <v>5031</v>
      </c>
      <c r="D4649" s="30">
        <v>0.41</v>
      </c>
      <c r="E4649" t="s">
        <v>302</v>
      </c>
      <c r="F4649" t="s">
        <v>299</v>
      </c>
      <c r="G4649" t="s">
        <v>299</v>
      </c>
      <c r="H4649">
        <v>26</v>
      </c>
      <c r="I4649" s="30">
        <v>2.673611111111111E-3</v>
      </c>
      <c r="J4649">
        <v>5</v>
      </c>
    </row>
    <row r="4650" spans="1:10" x14ac:dyDescent="0.35">
      <c r="A4650" t="s">
        <v>5041</v>
      </c>
      <c r="B4650" t="s">
        <v>332</v>
      </c>
      <c r="C4650" t="s">
        <v>5031</v>
      </c>
      <c r="D4650" s="30">
        <v>0.41599537037037038</v>
      </c>
      <c r="E4650" t="s">
        <v>309</v>
      </c>
      <c r="F4650" t="s">
        <v>303</v>
      </c>
      <c r="G4650" t="s">
        <v>303</v>
      </c>
    </row>
    <row r="4651" spans="1:10" x14ac:dyDescent="0.35">
      <c r="A4651" t="s">
        <v>5042</v>
      </c>
      <c r="B4651" t="s">
        <v>307</v>
      </c>
      <c r="C4651" t="s">
        <v>5031</v>
      </c>
      <c r="D4651" s="30">
        <v>0.41599537037037038</v>
      </c>
      <c r="E4651" t="s">
        <v>302</v>
      </c>
      <c r="F4651" t="s">
        <v>299</v>
      </c>
      <c r="G4651" t="s">
        <v>299</v>
      </c>
      <c r="H4651">
        <v>93</v>
      </c>
      <c r="I4651" s="30">
        <v>1.724537037037037E-3</v>
      </c>
      <c r="J4651">
        <v>3</v>
      </c>
    </row>
    <row r="4652" spans="1:10" x14ac:dyDescent="0.35">
      <c r="A4652" t="s">
        <v>5043</v>
      </c>
      <c r="B4652" t="s">
        <v>316</v>
      </c>
      <c r="C4652" t="s">
        <v>5031</v>
      </c>
      <c r="D4652" s="30">
        <v>0.42099537037037038</v>
      </c>
      <c r="E4652" t="s">
        <v>317</v>
      </c>
      <c r="F4652" t="s">
        <v>299</v>
      </c>
      <c r="G4652" t="s">
        <v>299</v>
      </c>
      <c r="H4652">
        <v>101</v>
      </c>
      <c r="I4652" s="30">
        <v>3.9467592592592592E-3</v>
      </c>
      <c r="J4652">
        <v>5</v>
      </c>
    </row>
    <row r="4653" spans="1:10" x14ac:dyDescent="0.35">
      <c r="A4653" t="s">
        <v>5044</v>
      </c>
      <c r="B4653" t="s">
        <v>316</v>
      </c>
      <c r="C4653" t="s">
        <v>5031</v>
      </c>
      <c r="D4653" s="30">
        <v>0.42099537037037038</v>
      </c>
      <c r="E4653" t="s">
        <v>302</v>
      </c>
      <c r="F4653" t="s">
        <v>299</v>
      </c>
      <c r="G4653" t="s">
        <v>299</v>
      </c>
      <c r="H4653">
        <v>107</v>
      </c>
      <c r="I4653" s="30">
        <v>2.0717592592592593E-3</v>
      </c>
      <c r="J4653">
        <v>1</v>
      </c>
    </row>
    <row r="4654" spans="1:10" x14ac:dyDescent="0.35">
      <c r="A4654" t="s">
        <v>5045</v>
      </c>
      <c r="B4654" t="s">
        <v>305</v>
      </c>
      <c r="C4654" t="s">
        <v>5031</v>
      </c>
      <c r="D4654" s="30">
        <v>0.42400462962962965</v>
      </c>
      <c r="E4654" t="s">
        <v>314</v>
      </c>
      <c r="F4654" t="s">
        <v>299</v>
      </c>
      <c r="G4654" t="s">
        <v>299</v>
      </c>
      <c r="H4654">
        <v>123</v>
      </c>
      <c r="I4654" s="30">
        <v>4.1087962962962962E-3</v>
      </c>
      <c r="J4654">
        <v>4</v>
      </c>
    </row>
    <row r="4655" spans="1:10" x14ac:dyDescent="0.35">
      <c r="A4655" t="s">
        <v>5046</v>
      </c>
      <c r="B4655" t="s">
        <v>323</v>
      </c>
      <c r="C4655" t="s">
        <v>5031</v>
      </c>
      <c r="D4655" s="30">
        <v>0.42400462962962965</v>
      </c>
      <c r="E4655" t="s">
        <v>298</v>
      </c>
      <c r="F4655" t="s">
        <v>299</v>
      </c>
      <c r="G4655" t="s">
        <v>299</v>
      </c>
      <c r="H4655">
        <v>99</v>
      </c>
      <c r="I4655" s="30">
        <v>1.7708333333333332E-3</v>
      </c>
      <c r="J4655">
        <v>3</v>
      </c>
    </row>
    <row r="4656" spans="1:10" x14ac:dyDescent="0.35">
      <c r="A4656" t="s">
        <v>5047</v>
      </c>
      <c r="B4656" t="s">
        <v>301</v>
      </c>
      <c r="C4656" t="s">
        <v>5031</v>
      </c>
      <c r="D4656" s="30">
        <v>0.45299768518518518</v>
      </c>
      <c r="E4656" t="s">
        <v>317</v>
      </c>
      <c r="F4656" t="s">
        <v>299</v>
      </c>
      <c r="G4656" t="s">
        <v>303</v>
      </c>
      <c r="H4656">
        <v>72</v>
      </c>
      <c r="I4656" s="30">
        <v>3.9236111111111112E-3</v>
      </c>
      <c r="J4656">
        <v>4</v>
      </c>
    </row>
    <row r="4657" spans="1:10" x14ac:dyDescent="0.35">
      <c r="A4657" t="s">
        <v>5048</v>
      </c>
      <c r="B4657" t="s">
        <v>319</v>
      </c>
      <c r="C4657" t="s">
        <v>5031</v>
      </c>
      <c r="D4657" s="30">
        <v>0.45299768518518518</v>
      </c>
      <c r="E4657" t="s">
        <v>298</v>
      </c>
      <c r="F4657" t="s">
        <v>299</v>
      </c>
      <c r="G4657" t="s">
        <v>299</v>
      </c>
      <c r="H4657">
        <v>113</v>
      </c>
      <c r="I4657" s="30">
        <v>1.5972222222222223E-3</v>
      </c>
      <c r="J4657">
        <v>5</v>
      </c>
    </row>
    <row r="4658" spans="1:10" x14ac:dyDescent="0.35">
      <c r="A4658" t="s">
        <v>5049</v>
      </c>
      <c r="B4658" t="s">
        <v>296</v>
      </c>
      <c r="C4658" t="s">
        <v>5031</v>
      </c>
      <c r="D4658" s="30">
        <v>0.46400462962962963</v>
      </c>
      <c r="E4658" t="s">
        <v>302</v>
      </c>
      <c r="F4658" t="s">
        <v>303</v>
      </c>
      <c r="G4658" t="s">
        <v>303</v>
      </c>
    </row>
    <row r="4659" spans="1:10" x14ac:dyDescent="0.35">
      <c r="A4659" t="s">
        <v>5050</v>
      </c>
      <c r="B4659" t="s">
        <v>319</v>
      </c>
      <c r="C4659" t="s">
        <v>5031</v>
      </c>
      <c r="D4659" s="30">
        <v>0.46400462962962963</v>
      </c>
      <c r="E4659" t="s">
        <v>314</v>
      </c>
      <c r="F4659" t="s">
        <v>303</v>
      </c>
      <c r="G4659" t="s">
        <v>303</v>
      </c>
    </row>
    <row r="4660" spans="1:10" x14ac:dyDescent="0.35">
      <c r="A4660" t="s">
        <v>5051</v>
      </c>
      <c r="B4660" t="s">
        <v>307</v>
      </c>
      <c r="C4660" t="s">
        <v>5031</v>
      </c>
      <c r="D4660" s="30">
        <v>0.46599537037037037</v>
      </c>
      <c r="E4660" t="s">
        <v>302</v>
      </c>
      <c r="F4660" t="s">
        <v>299</v>
      </c>
      <c r="G4660" t="s">
        <v>299</v>
      </c>
      <c r="H4660">
        <v>119</v>
      </c>
      <c r="I4660" s="30">
        <v>4.0509259259259258E-4</v>
      </c>
      <c r="J4660">
        <v>2</v>
      </c>
    </row>
    <row r="4661" spans="1:10" x14ac:dyDescent="0.35">
      <c r="A4661" t="s">
        <v>5052</v>
      </c>
      <c r="B4661" t="s">
        <v>296</v>
      </c>
      <c r="C4661" t="s">
        <v>5031</v>
      </c>
      <c r="D4661" s="30">
        <v>0.46599537037037037</v>
      </c>
      <c r="E4661" t="s">
        <v>309</v>
      </c>
      <c r="F4661" t="s">
        <v>299</v>
      </c>
      <c r="G4661" t="s">
        <v>299</v>
      </c>
      <c r="H4661">
        <v>80</v>
      </c>
      <c r="I4661" s="30">
        <v>3.9351851851851852E-4</v>
      </c>
      <c r="J4661">
        <v>5</v>
      </c>
    </row>
    <row r="4662" spans="1:10" x14ac:dyDescent="0.35">
      <c r="A4662" t="s">
        <v>5053</v>
      </c>
      <c r="B4662" t="s">
        <v>332</v>
      </c>
      <c r="C4662" t="s">
        <v>5031</v>
      </c>
      <c r="D4662" s="30">
        <v>0.48200231481481481</v>
      </c>
      <c r="E4662" t="s">
        <v>309</v>
      </c>
      <c r="F4662" t="s">
        <v>299</v>
      </c>
      <c r="G4662" t="s">
        <v>299</v>
      </c>
      <c r="H4662">
        <v>82</v>
      </c>
      <c r="I4662" s="30">
        <v>7.7546296296296293E-4</v>
      </c>
      <c r="J4662">
        <v>3</v>
      </c>
    </row>
    <row r="4663" spans="1:10" x14ac:dyDescent="0.35">
      <c r="A4663" t="s">
        <v>5054</v>
      </c>
      <c r="B4663" t="s">
        <v>323</v>
      </c>
      <c r="C4663" t="s">
        <v>5031</v>
      </c>
      <c r="D4663" s="30">
        <v>0.48200231481481481</v>
      </c>
      <c r="E4663" t="s">
        <v>309</v>
      </c>
      <c r="F4663" t="s">
        <v>299</v>
      </c>
      <c r="G4663" t="s">
        <v>299</v>
      </c>
      <c r="H4663">
        <v>97</v>
      </c>
      <c r="I4663" s="30">
        <v>2.0370370370370369E-3</v>
      </c>
      <c r="J4663">
        <v>1</v>
      </c>
    </row>
    <row r="4664" spans="1:10" x14ac:dyDescent="0.35">
      <c r="A4664" t="s">
        <v>5055</v>
      </c>
      <c r="B4664" t="s">
        <v>319</v>
      </c>
      <c r="C4664" t="s">
        <v>5031</v>
      </c>
      <c r="D4664" s="30">
        <v>0.51299768518518518</v>
      </c>
      <c r="E4664" t="s">
        <v>309</v>
      </c>
      <c r="F4664" t="s">
        <v>299</v>
      </c>
      <c r="G4664" t="s">
        <v>299</v>
      </c>
      <c r="H4664">
        <v>31</v>
      </c>
      <c r="I4664" s="30">
        <v>1.9560185185185184E-3</v>
      </c>
      <c r="J4664">
        <v>5</v>
      </c>
    </row>
    <row r="4665" spans="1:10" x14ac:dyDescent="0.35">
      <c r="A4665" t="s">
        <v>5056</v>
      </c>
      <c r="B4665" t="s">
        <v>316</v>
      </c>
      <c r="C4665" t="s">
        <v>5031</v>
      </c>
      <c r="D4665" s="30">
        <v>0.51299768518518518</v>
      </c>
      <c r="E4665" t="s">
        <v>314</v>
      </c>
      <c r="F4665" t="s">
        <v>303</v>
      </c>
      <c r="G4665" t="s">
        <v>303</v>
      </c>
    </row>
    <row r="4666" spans="1:10" x14ac:dyDescent="0.35">
      <c r="A4666" t="s">
        <v>5057</v>
      </c>
      <c r="B4666" t="s">
        <v>332</v>
      </c>
      <c r="C4666" t="s">
        <v>5031</v>
      </c>
      <c r="D4666" s="30">
        <v>0.5540046296296296</v>
      </c>
      <c r="E4666" t="s">
        <v>302</v>
      </c>
      <c r="F4666" t="s">
        <v>299</v>
      </c>
      <c r="G4666" t="s">
        <v>299</v>
      </c>
      <c r="H4666">
        <v>11</v>
      </c>
      <c r="I4666" s="30">
        <v>4.43287037037037E-3</v>
      </c>
      <c r="J4666">
        <v>5</v>
      </c>
    </row>
    <row r="4667" spans="1:10" x14ac:dyDescent="0.35">
      <c r="A4667" t="s">
        <v>5058</v>
      </c>
      <c r="B4667" t="s">
        <v>301</v>
      </c>
      <c r="C4667" t="s">
        <v>5031</v>
      </c>
      <c r="D4667" s="30">
        <v>0.5540046296296296</v>
      </c>
      <c r="E4667" t="s">
        <v>317</v>
      </c>
      <c r="F4667" t="s">
        <v>299</v>
      </c>
      <c r="G4667" t="s">
        <v>299</v>
      </c>
      <c r="H4667">
        <v>91</v>
      </c>
      <c r="I4667" s="30">
        <v>1.3078703703703703E-3</v>
      </c>
      <c r="J4667">
        <v>3</v>
      </c>
    </row>
    <row r="4668" spans="1:10" x14ac:dyDescent="0.35">
      <c r="A4668" t="s">
        <v>5059</v>
      </c>
      <c r="B4668" t="s">
        <v>301</v>
      </c>
      <c r="C4668" t="s">
        <v>5031</v>
      </c>
      <c r="D4668" s="30">
        <v>0.5709953703703704</v>
      </c>
      <c r="E4668" t="s">
        <v>302</v>
      </c>
      <c r="F4668" t="s">
        <v>299</v>
      </c>
      <c r="G4668" t="s">
        <v>299</v>
      </c>
      <c r="H4668">
        <v>15</v>
      </c>
      <c r="I4668" s="30">
        <v>1.3425925925925925E-3</v>
      </c>
      <c r="J4668">
        <v>5</v>
      </c>
    </row>
    <row r="4669" spans="1:10" x14ac:dyDescent="0.35">
      <c r="A4669" t="s">
        <v>5060</v>
      </c>
      <c r="B4669" t="s">
        <v>316</v>
      </c>
      <c r="C4669" t="s">
        <v>5031</v>
      </c>
      <c r="D4669" s="30">
        <v>0.5709953703703704</v>
      </c>
      <c r="E4669" t="s">
        <v>298</v>
      </c>
      <c r="F4669" t="s">
        <v>299</v>
      </c>
      <c r="G4669" t="s">
        <v>299</v>
      </c>
      <c r="H4669">
        <v>17</v>
      </c>
      <c r="I4669" s="30">
        <v>4.2361111111111115E-3</v>
      </c>
      <c r="J4669">
        <v>3</v>
      </c>
    </row>
    <row r="4670" spans="1:10" x14ac:dyDescent="0.35">
      <c r="A4670" t="s">
        <v>5061</v>
      </c>
      <c r="B4670" t="s">
        <v>307</v>
      </c>
      <c r="C4670" t="s">
        <v>5031</v>
      </c>
      <c r="D4670" s="30">
        <v>0.57900462962962962</v>
      </c>
      <c r="E4670" t="s">
        <v>302</v>
      </c>
      <c r="F4670" t="s">
        <v>299</v>
      </c>
      <c r="G4670" t="s">
        <v>299</v>
      </c>
      <c r="H4670">
        <v>38</v>
      </c>
      <c r="I4670" s="30">
        <v>3.2407407407407406E-3</v>
      </c>
      <c r="J4670">
        <v>2</v>
      </c>
    </row>
    <row r="4671" spans="1:10" x14ac:dyDescent="0.35">
      <c r="A4671" t="s">
        <v>5062</v>
      </c>
      <c r="B4671" t="s">
        <v>305</v>
      </c>
      <c r="C4671" t="s">
        <v>5031</v>
      </c>
      <c r="D4671" s="30">
        <v>0.57900462962962962</v>
      </c>
      <c r="E4671" t="s">
        <v>302</v>
      </c>
      <c r="F4671" t="s">
        <v>299</v>
      </c>
      <c r="G4671" t="s">
        <v>299</v>
      </c>
      <c r="H4671">
        <v>47</v>
      </c>
      <c r="I4671" s="30">
        <v>3.1250000000000002E-3</v>
      </c>
      <c r="J4671">
        <v>4</v>
      </c>
    </row>
    <row r="4672" spans="1:10" x14ac:dyDescent="0.35">
      <c r="A4672" t="s">
        <v>5063</v>
      </c>
      <c r="B4672" t="s">
        <v>332</v>
      </c>
      <c r="C4672" t="s">
        <v>5031</v>
      </c>
      <c r="D4672" s="30">
        <v>0.60200231481481481</v>
      </c>
      <c r="E4672" t="s">
        <v>302</v>
      </c>
      <c r="F4672" t="s">
        <v>299</v>
      </c>
      <c r="G4672" t="s">
        <v>299</v>
      </c>
      <c r="H4672">
        <v>52</v>
      </c>
      <c r="I4672" s="30">
        <v>7.8703703703703705E-4</v>
      </c>
      <c r="J4672">
        <v>3</v>
      </c>
    </row>
    <row r="4673" spans="1:10" x14ac:dyDescent="0.35">
      <c r="A4673" t="s">
        <v>5064</v>
      </c>
      <c r="B4673" t="s">
        <v>307</v>
      </c>
      <c r="C4673" t="s">
        <v>5031</v>
      </c>
      <c r="D4673" s="30">
        <v>0.60200231481481481</v>
      </c>
      <c r="E4673" t="s">
        <v>298</v>
      </c>
      <c r="F4673" t="s">
        <v>299</v>
      </c>
      <c r="G4673" t="s">
        <v>299</v>
      </c>
      <c r="H4673">
        <v>99</v>
      </c>
      <c r="I4673" s="30">
        <v>1.0069444444444444E-3</v>
      </c>
      <c r="J4673">
        <v>3</v>
      </c>
    </row>
    <row r="4674" spans="1:10" x14ac:dyDescent="0.35">
      <c r="A4674" t="s">
        <v>5065</v>
      </c>
      <c r="B4674" t="s">
        <v>305</v>
      </c>
      <c r="C4674" t="s">
        <v>5031</v>
      </c>
      <c r="D4674" s="30">
        <v>0.61099537037037033</v>
      </c>
      <c r="E4674" t="s">
        <v>309</v>
      </c>
      <c r="F4674" t="s">
        <v>303</v>
      </c>
      <c r="G4674" t="s">
        <v>303</v>
      </c>
    </row>
    <row r="4675" spans="1:10" x14ac:dyDescent="0.35">
      <c r="A4675" t="s">
        <v>5066</v>
      </c>
      <c r="B4675" t="s">
        <v>323</v>
      </c>
      <c r="C4675" t="s">
        <v>5031</v>
      </c>
      <c r="D4675" s="30">
        <v>0.61099537037037033</v>
      </c>
      <c r="E4675" t="s">
        <v>298</v>
      </c>
      <c r="F4675" t="s">
        <v>299</v>
      </c>
      <c r="G4675" t="s">
        <v>299</v>
      </c>
      <c r="H4675">
        <v>108</v>
      </c>
      <c r="I4675" s="30">
        <v>2.1527777777777778E-3</v>
      </c>
      <c r="J4675">
        <v>2</v>
      </c>
    </row>
    <row r="4676" spans="1:10" x14ac:dyDescent="0.35">
      <c r="A4676" t="s">
        <v>5067</v>
      </c>
      <c r="B4676" t="s">
        <v>296</v>
      </c>
      <c r="C4676" t="s">
        <v>5031</v>
      </c>
      <c r="D4676" s="30">
        <v>0.62599537037037034</v>
      </c>
      <c r="E4676" t="s">
        <v>317</v>
      </c>
      <c r="F4676" t="s">
        <v>299</v>
      </c>
      <c r="G4676" t="s">
        <v>299</v>
      </c>
      <c r="H4676">
        <v>54</v>
      </c>
      <c r="I4676" s="30">
        <v>1.4930555555555556E-3</v>
      </c>
      <c r="J4676">
        <v>3</v>
      </c>
    </row>
    <row r="4677" spans="1:10" x14ac:dyDescent="0.35">
      <c r="A4677" t="s">
        <v>5068</v>
      </c>
      <c r="B4677" t="s">
        <v>319</v>
      </c>
      <c r="C4677" t="s">
        <v>5031</v>
      </c>
      <c r="D4677" s="30">
        <v>0.62599537037037034</v>
      </c>
      <c r="E4677" t="s">
        <v>298</v>
      </c>
      <c r="F4677" t="s">
        <v>299</v>
      </c>
      <c r="G4677" t="s">
        <v>299</v>
      </c>
      <c r="H4677">
        <v>73</v>
      </c>
      <c r="I4677" s="30">
        <v>2.8356481481481483E-3</v>
      </c>
      <c r="J4677">
        <v>3</v>
      </c>
    </row>
    <row r="4678" spans="1:10" x14ac:dyDescent="0.35">
      <c r="A4678" t="s">
        <v>5069</v>
      </c>
      <c r="B4678" t="s">
        <v>323</v>
      </c>
      <c r="C4678" t="s">
        <v>5031</v>
      </c>
      <c r="D4678" s="30">
        <v>0.63700231481481484</v>
      </c>
      <c r="E4678" t="s">
        <v>314</v>
      </c>
      <c r="F4678" t="s">
        <v>299</v>
      </c>
      <c r="G4678" t="s">
        <v>299</v>
      </c>
      <c r="H4678">
        <v>123</v>
      </c>
      <c r="I4678" s="30">
        <v>5.4398148148148144E-4</v>
      </c>
      <c r="J4678">
        <v>1</v>
      </c>
    </row>
    <row r="4679" spans="1:10" x14ac:dyDescent="0.35">
      <c r="A4679" t="s">
        <v>5070</v>
      </c>
      <c r="B4679" t="s">
        <v>307</v>
      </c>
      <c r="C4679" t="s">
        <v>5031</v>
      </c>
      <c r="D4679" s="30">
        <v>0.63700231481481484</v>
      </c>
      <c r="E4679" t="s">
        <v>309</v>
      </c>
      <c r="F4679" t="s">
        <v>299</v>
      </c>
      <c r="G4679" t="s">
        <v>299</v>
      </c>
      <c r="H4679">
        <v>33</v>
      </c>
      <c r="I4679" s="30">
        <v>4.2939814814814811E-3</v>
      </c>
      <c r="J4679">
        <v>5</v>
      </c>
    </row>
    <row r="4680" spans="1:10" x14ac:dyDescent="0.35">
      <c r="A4680" t="s">
        <v>5071</v>
      </c>
      <c r="B4680" t="s">
        <v>305</v>
      </c>
      <c r="C4680" t="s">
        <v>5031</v>
      </c>
      <c r="D4680" s="30">
        <v>0.64799768518518519</v>
      </c>
      <c r="E4680" t="s">
        <v>309</v>
      </c>
      <c r="F4680" t="s">
        <v>299</v>
      </c>
      <c r="G4680" t="s">
        <v>299</v>
      </c>
      <c r="H4680">
        <v>53</v>
      </c>
      <c r="I4680" s="30">
        <v>9.4907407407407408E-4</v>
      </c>
      <c r="J4680">
        <v>2</v>
      </c>
    </row>
    <row r="4681" spans="1:10" x14ac:dyDescent="0.35">
      <c r="A4681" t="s">
        <v>5072</v>
      </c>
      <c r="B4681" t="s">
        <v>319</v>
      </c>
      <c r="C4681" t="s">
        <v>5031</v>
      </c>
      <c r="D4681" s="30">
        <v>0.64799768518518519</v>
      </c>
      <c r="E4681" t="s">
        <v>309</v>
      </c>
      <c r="F4681" t="s">
        <v>299</v>
      </c>
      <c r="G4681" t="s">
        <v>299</v>
      </c>
      <c r="H4681">
        <v>35</v>
      </c>
      <c r="I4681" s="30">
        <v>2.0370370370370369E-3</v>
      </c>
      <c r="J4681">
        <v>1</v>
      </c>
    </row>
    <row r="4682" spans="1:10" x14ac:dyDescent="0.35">
      <c r="A4682" t="s">
        <v>5073</v>
      </c>
      <c r="B4682" t="s">
        <v>296</v>
      </c>
      <c r="C4682" t="s">
        <v>5031</v>
      </c>
      <c r="D4682" s="30">
        <v>0.65700231481481486</v>
      </c>
      <c r="E4682" t="s">
        <v>298</v>
      </c>
      <c r="F4682" t="s">
        <v>303</v>
      </c>
      <c r="G4682" t="s">
        <v>303</v>
      </c>
    </row>
    <row r="4683" spans="1:10" x14ac:dyDescent="0.35">
      <c r="A4683" t="s">
        <v>5074</v>
      </c>
      <c r="B4683" t="s">
        <v>301</v>
      </c>
      <c r="C4683" t="s">
        <v>5031</v>
      </c>
      <c r="D4683" s="30">
        <v>0.65700231481481486</v>
      </c>
      <c r="E4683" t="s">
        <v>302</v>
      </c>
      <c r="F4683" t="s">
        <v>299</v>
      </c>
      <c r="G4683" t="s">
        <v>299</v>
      </c>
      <c r="H4683">
        <v>45</v>
      </c>
      <c r="I4683" s="30">
        <v>4.0509259259259257E-3</v>
      </c>
      <c r="J4683">
        <v>3</v>
      </c>
    </row>
    <row r="4684" spans="1:10" x14ac:dyDescent="0.35">
      <c r="A4684" t="s">
        <v>5075</v>
      </c>
      <c r="B4684" t="s">
        <v>332</v>
      </c>
      <c r="C4684" t="s">
        <v>5031</v>
      </c>
      <c r="D4684" s="30">
        <v>0.67799768518518522</v>
      </c>
      <c r="E4684" t="s">
        <v>309</v>
      </c>
      <c r="F4684" t="s">
        <v>299</v>
      </c>
      <c r="G4684" t="s">
        <v>303</v>
      </c>
      <c r="H4684">
        <v>113</v>
      </c>
      <c r="I4684" s="30">
        <v>2.7083333333333334E-3</v>
      </c>
      <c r="J4684">
        <v>1</v>
      </c>
    </row>
    <row r="4685" spans="1:10" x14ac:dyDescent="0.35">
      <c r="A4685" t="s">
        <v>5076</v>
      </c>
      <c r="B4685" t="s">
        <v>316</v>
      </c>
      <c r="C4685" t="s">
        <v>5031</v>
      </c>
      <c r="D4685" s="30">
        <v>0.67799768518518522</v>
      </c>
      <c r="E4685" t="s">
        <v>314</v>
      </c>
      <c r="F4685" t="s">
        <v>299</v>
      </c>
      <c r="G4685" t="s">
        <v>299</v>
      </c>
      <c r="H4685">
        <v>115</v>
      </c>
      <c r="I4685" s="30">
        <v>3.5185185185185185E-3</v>
      </c>
      <c r="J4685">
        <v>5</v>
      </c>
    </row>
    <row r="4686" spans="1:10" x14ac:dyDescent="0.35">
      <c r="A4686" t="s">
        <v>5077</v>
      </c>
      <c r="B4686" t="s">
        <v>296</v>
      </c>
      <c r="C4686" t="s">
        <v>5031</v>
      </c>
      <c r="D4686" s="30">
        <v>0.6790046296296296</v>
      </c>
      <c r="E4686" t="s">
        <v>298</v>
      </c>
      <c r="F4686" t="s">
        <v>299</v>
      </c>
      <c r="G4686" t="s">
        <v>299</v>
      </c>
      <c r="H4686">
        <v>81</v>
      </c>
      <c r="I4686" s="30">
        <v>1.3657407407407407E-3</v>
      </c>
      <c r="J4686">
        <v>5</v>
      </c>
    </row>
    <row r="4687" spans="1:10" x14ac:dyDescent="0.35">
      <c r="A4687" t="s">
        <v>5078</v>
      </c>
      <c r="B4687" t="s">
        <v>323</v>
      </c>
      <c r="C4687" t="s">
        <v>5031</v>
      </c>
      <c r="D4687" s="30">
        <v>0.6790046296296296</v>
      </c>
      <c r="E4687" t="s">
        <v>302</v>
      </c>
      <c r="F4687" t="s">
        <v>299</v>
      </c>
      <c r="G4687" t="s">
        <v>299</v>
      </c>
      <c r="H4687">
        <v>21</v>
      </c>
      <c r="I4687" s="30">
        <v>3.3217592592592591E-3</v>
      </c>
      <c r="J4687">
        <v>5</v>
      </c>
    </row>
    <row r="4688" spans="1:10" x14ac:dyDescent="0.35">
      <c r="A4688" t="s">
        <v>5079</v>
      </c>
      <c r="B4688" t="s">
        <v>319</v>
      </c>
      <c r="C4688" t="s">
        <v>5031</v>
      </c>
      <c r="D4688" s="30">
        <v>0.68599537037037039</v>
      </c>
      <c r="E4688" t="s">
        <v>314</v>
      </c>
      <c r="F4688" t="s">
        <v>299</v>
      </c>
      <c r="G4688" t="s">
        <v>303</v>
      </c>
      <c r="H4688">
        <v>89</v>
      </c>
      <c r="I4688" s="30">
        <v>8.1018518518518516E-4</v>
      </c>
      <c r="J4688">
        <v>5</v>
      </c>
    </row>
    <row r="4689" spans="1:10" x14ac:dyDescent="0.35">
      <c r="A4689" t="s">
        <v>5080</v>
      </c>
      <c r="B4689" t="s">
        <v>316</v>
      </c>
      <c r="C4689" t="s">
        <v>5031</v>
      </c>
      <c r="D4689" s="30">
        <v>0.68599537037037039</v>
      </c>
      <c r="E4689" t="s">
        <v>309</v>
      </c>
      <c r="F4689" t="s">
        <v>299</v>
      </c>
      <c r="G4689" t="s">
        <v>299</v>
      </c>
      <c r="H4689">
        <v>54</v>
      </c>
      <c r="I4689" s="30">
        <v>3.6689814814814814E-3</v>
      </c>
      <c r="J4689">
        <v>3</v>
      </c>
    </row>
    <row r="4690" spans="1:10" x14ac:dyDescent="0.35">
      <c r="A4690" t="s">
        <v>5081</v>
      </c>
      <c r="B4690" t="s">
        <v>316</v>
      </c>
      <c r="C4690" t="s">
        <v>5031</v>
      </c>
      <c r="D4690" s="30">
        <v>0.68799768518518523</v>
      </c>
      <c r="E4690" t="s">
        <v>302</v>
      </c>
      <c r="F4690" t="s">
        <v>299</v>
      </c>
      <c r="G4690" t="s">
        <v>299</v>
      </c>
      <c r="H4690">
        <v>59</v>
      </c>
      <c r="I4690" s="30">
        <v>4.2476851851851851E-3</v>
      </c>
      <c r="J4690">
        <v>1</v>
      </c>
    </row>
    <row r="4691" spans="1:10" x14ac:dyDescent="0.35">
      <c r="A4691" t="s">
        <v>5082</v>
      </c>
      <c r="B4691" t="s">
        <v>301</v>
      </c>
      <c r="C4691" t="s">
        <v>5031</v>
      </c>
      <c r="D4691" s="30">
        <v>0.68799768518518523</v>
      </c>
      <c r="E4691" t="s">
        <v>317</v>
      </c>
      <c r="F4691" t="s">
        <v>299</v>
      </c>
      <c r="G4691" t="s">
        <v>299</v>
      </c>
      <c r="H4691">
        <v>61</v>
      </c>
      <c r="I4691" s="30">
        <v>2.9166666666666668E-3</v>
      </c>
      <c r="J4691">
        <v>1</v>
      </c>
    </row>
    <row r="4692" spans="1:10" x14ac:dyDescent="0.35">
      <c r="A4692" t="s">
        <v>5083</v>
      </c>
      <c r="B4692" t="s">
        <v>307</v>
      </c>
      <c r="C4692" t="s">
        <v>5031</v>
      </c>
      <c r="D4692" s="30">
        <v>0.72799768518518515</v>
      </c>
      <c r="E4692" t="s">
        <v>317</v>
      </c>
      <c r="F4692" t="s">
        <v>299</v>
      </c>
      <c r="G4692" t="s">
        <v>299</v>
      </c>
      <c r="H4692">
        <v>102</v>
      </c>
      <c r="I4692" s="30">
        <v>4.6412037037037038E-3</v>
      </c>
      <c r="J4692">
        <v>1</v>
      </c>
    </row>
    <row r="4693" spans="1:10" x14ac:dyDescent="0.35">
      <c r="A4693" t="s">
        <v>5084</v>
      </c>
      <c r="B4693" t="s">
        <v>323</v>
      </c>
      <c r="C4693" t="s">
        <v>5031</v>
      </c>
      <c r="D4693" s="30">
        <v>0.72799768518518515</v>
      </c>
      <c r="E4693" t="s">
        <v>298</v>
      </c>
      <c r="F4693" t="s">
        <v>299</v>
      </c>
      <c r="G4693" t="s">
        <v>303</v>
      </c>
      <c r="H4693">
        <v>73</v>
      </c>
      <c r="I4693" s="30">
        <v>4.6296296296296298E-4</v>
      </c>
      <c r="J4693">
        <v>3</v>
      </c>
    </row>
    <row r="4694" spans="1:10" x14ac:dyDescent="0.35">
      <c r="A4694" t="s">
        <v>5085</v>
      </c>
      <c r="B4694" t="s">
        <v>307</v>
      </c>
      <c r="C4694" t="s">
        <v>5086</v>
      </c>
      <c r="D4694" s="30">
        <v>0.3759953703703704</v>
      </c>
      <c r="E4694" t="s">
        <v>309</v>
      </c>
      <c r="F4694" t="s">
        <v>303</v>
      </c>
      <c r="G4694" t="s">
        <v>303</v>
      </c>
    </row>
    <row r="4695" spans="1:10" x14ac:dyDescent="0.35">
      <c r="A4695" t="s">
        <v>5087</v>
      </c>
      <c r="B4695" t="s">
        <v>305</v>
      </c>
      <c r="C4695" t="s">
        <v>5086</v>
      </c>
      <c r="D4695" s="30">
        <v>0.3759953703703704</v>
      </c>
      <c r="E4695" t="s">
        <v>298</v>
      </c>
      <c r="F4695" t="s">
        <v>299</v>
      </c>
      <c r="G4695" t="s">
        <v>299</v>
      </c>
      <c r="H4695">
        <v>75</v>
      </c>
      <c r="I4695" s="30">
        <v>2.9166666666666668E-3</v>
      </c>
      <c r="J4695">
        <v>5</v>
      </c>
    </row>
    <row r="4696" spans="1:10" x14ac:dyDescent="0.35">
      <c r="A4696" t="s">
        <v>5088</v>
      </c>
      <c r="B4696" t="s">
        <v>323</v>
      </c>
      <c r="C4696" t="s">
        <v>5086</v>
      </c>
      <c r="D4696" s="30">
        <v>0.37799768518518517</v>
      </c>
      <c r="E4696" t="s">
        <v>317</v>
      </c>
      <c r="F4696" t="s">
        <v>299</v>
      </c>
      <c r="G4696" t="s">
        <v>299</v>
      </c>
      <c r="H4696">
        <v>46</v>
      </c>
      <c r="I4696" s="30">
        <v>1.1574074074074073E-3</v>
      </c>
      <c r="J4696">
        <v>3</v>
      </c>
    </row>
    <row r="4697" spans="1:10" x14ac:dyDescent="0.35">
      <c r="A4697" t="s">
        <v>5089</v>
      </c>
      <c r="B4697" t="s">
        <v>319</v>
      </c>
      <c r="C4697" t="s">
        <v>5086</v>
      </c>
      <c r="D4697" s="30">
        <v>0.37799768518518517</v>
      </c>
      <c r="E4697" t="s">
        <v>302</v>
      </c>
      <c r="F4697" t="s">
        <v>299</v>
      </c>
      <c r="G4697" t="s">
        <v>299</v>
      </c>
      <c r="H4697">
        <v>96</v>
      </c>
      <c r="I4697" s="30">
        <v>3.0092592592592593E-3</v>
      </c>
      <c r="J4697">
        <v>5</v>
      </c>
    </row>
    <row r="4698" spans="1:10" x14ac:dyDescent="0.35">
      <c r="A4698" t="s">
        <v>5090</v>
      </c>
      <c r="B4698" t="s">
        <v>323</v>
      </c>
      <c r="C4698" t="s">
        <v>5086</v>
      </c>
      <c r="D4698" s="30">
        <v>0.38799768518518518</v>
      </c>
      <c r="E4698" t="s">
        <v>309</v>
      </c>
      <c r="F4698" t="s">
        <v>299</v>
      </c>
      <c r="G4698" t="s">
        <v>299</v>
      </c>
      <c r="H4698">
        <v>17</v>
      </c>
      <c r="I4698" s="30">
        <v>1.2268518518518518E-3</v>
      </c>
      <c r="J4698">
        <v>3</v>
      </c>
    </row>
    <row r="4699" spans="1:10" x14ac:dyDescent="0.35">
      <c r="A4699" t="s">
        <v>5091</v>
      </c>
      <c r="B4699" t="s">
        <v>323</v>
      </c>
      <c r="C4699" t="s">
        <v>5086</v>
      </c>
      <c r="D4699" s="30">
        <v>0.38799768518518518</v>
      </c>
      <c r="E4699" t="s">
        <v>314</v>
      </c>
      <c r="F4699" t="s">
        <v>299</v>
      </c>
      <c r="G4699" t="s">
        <v>299</v>
      </c>
      <c r="H4699">
        <v>97</v>
      </c>
      <c r="I4699" s="30">
        <v>1.4583333333333334E-3</v>
      </c>
      <c r="J4699">
        <v>4</v>
      </c>
    </row>
    <row r="4700" spans="1:10" x14ac:dyDescent="0.35">
      <c r="A4700" t="s">
        <v>5092</v>
      </c>
      <c r="B4700" t="s">
        <v>323</v>
      </c>
      <c r="C4700" t="s">
        <v>5086</v>
      </c>
      <c r="D4700" s="30">
        <v>0.43599537037037039</v>
      </c>
      <c r="E4700" t="s">
        <v>309</v>
      </c>
      <c r="F4700" t="s">
        <v>299</v>
      </c>
      <c r="G4700" t="s">
        <v>299</v>
      </c>
      <c r="H4700">
        <v>124</v>
      </c>
      <c r="I4700" s="30">
        <v>4.2939814814814811E-3</v>
      </c>
      <c r="J4700">
        <v>4</v>
      </c>
    </row>
    <row r="4701" spans="1:10" x14ac:dyDescent="0.35">
      <c r="A4701" t="s">
        <v>5093</v>
      </c>
      <c r="B4701" t="s">
        <v>319</v>
      </c>
      <c r="C4701" t="s">
        <v>5086</v>
      </c>
      <c r="D4701" s="30">
        <v>0.43599537037037039</v>
      </c>
      <c r="E4701" t="s">
        <v>317</v>
      </c>
      <c r="F4701" t="s">
        <v>299</v>
      </c>
      <c r="G4701" t="s">
        <v>299</v>
      </c>
      <c r="H4701">
        <v>94</v>
      </c>
      <c r="I4701" s="30">
        <v>2.4189814814814816E-3</v>
      </c>
      <c r="J4701">
        <v>5</v>
      </c>
    </row>
    <row r="4702" spans="1:10" x14ac:dyDescent="0.35">
      <c r="A4702" t="s">
        <v>5094</v>
      </c>
      <c r="B4702" t="s">
        <v>316</v>
      </c>
      <c r="C4702" t="s">
        <v>5086</v>
      </c>
      <c r="D4702" s="30">
        <v>0.43599537037037039</v>
      </c>
      <c r="E4702" t="s">
        <v>317</v>
      </c>
      <c r="F4702" t="s">
        <v>303</v>
      </c>
      <c r="G4702" t="s">
        <v>303</v>
      </c>
    </row>
    <row r="4703" spans="1:10" x14ac:dyDescent="0.35">
      <c r="A4703" t="s">
        <v>5095</v>
      </c>
      <c r="B4703" t="s">
        <v>305</v>
      </c>
      <c r="C4703" t="s">
        <v>5086</v>
      </c>
      <c r="D4703" s="30">
        <v>0.43599537037037039</v>
      </c>
      <c r="E4703" t="s">
        <v>298</v>
      </c>
      <c r="F4703" t="s">
        <v>299</v>
      </c>
      <c r="G4703" t="s">
        <v>299</v>
      </c>
      <c r="H4703">
        <v>91</v>
      </c>
      <c r="I4703" s="30">
        <v>4.178240740740741E-3</v>
      </c>
      <c r="J4703">
        <v>5</v>
      </c>
    </row>
    <row r="4704" spans="1:10" x14ac:dyDescent="0.35">
      <c r="A4704" t="s">
        <v>5096</v>
      </c>
      <c r="B4704" t="s">
        <v>305</v>
      </c>
      <c r="C4704" t="s">
        <v>5086</v>
      </c>
      <c r="D4704" s="30">
        <v>0.45</v>
      </c>
      <c r="E4704" t="s">
        <v>302</v>
      </c>
      <c r="F4704" t="s">
        <v>299</v>
      </c>
      <c r="G4704" t="s">
        <v>299</v>
      </c>
      <c r="H4704">
        <v>51</v>
      </c>
      <c r="I4704" s="30">
        <v>3.9814814814814817E-3</v>
      </c>
      <c r="J4704">
        <v>4</v>
      </c>
    </row>
    <row r="4705" spans="1:10" x14ac:dyDescent="0.35">
      <c r="A4705" t="s">
        <v>5097</v>
      </c>
      <c r="B4705" t="s">
        <v>316</v>
      </c>
      <c r="C4705" t="s">
        <v>5086</v>
      </c>
      <c r="D4705" s="30">
        <v>0.45</v>
      </c>
      <c r="E4705" t="s">
        <v>298</v>
      </c>
      <c r="F4705" t="s">
        <v>299</v>
      </c>
      <c r="G4705" t="s">
        <v>303</v>
      </c>
      <c r="H4705">
        <v>73</v>
      </c>
      <c r="I4705" s="30">
        <v>4.7453703703703703E-3</v>
      </c>
      <c r="J4705">
        <v>4</v>
      </c>
    </row>
    <row r="4706" spans="1:10" x14ac:dyDescent="0.35">
      <c r="A4706" t="s">
        <v>5098</v>
      </c>
      <c r="B4706" t="s">
        <v>332</v>
      </c>
      <c r="C4706" t="s">
        <v>5086</v>
      </c>
      <c r="D4706" s="30">
        <v>0.45400462962962962</v>
      </c>
      <c r="E4706" t="s">
        <v>317</v>
      </c>
      <c r="F4706" t="s">
        <v>299</v>
      </c>
      <c r="G4706" t="s">
        <v>299</v>
      </c>
      <c r="H4706">
        <v>67</v>
      </c>
      <c r="I4706" s="30">
        <v>4.5370370370370373E-3</v>
      </c>
      <c r="J4706">
        <v>2</v>
      </c>
    </row>
    <row r="4707" spans="1:10" x14ac:dyDescent="0.35">
      <c r="A4707" t="s">
        <v>5099</v>
      </c>
      <c r="B4707" t="s">
        <v>307</v>
      </c>
      <c r="C4707" t="s">
        <v>5086</v>
      </c>
      <c r="D4707" s="30">
        <v>0.45400462962962962</v>
      </c>
      <c r="E4707" t="s">
        <v>309</v>
      </c>
      <c r="F4707" t="s">
        <v>303</v>
      </c>
      <c r="G4707" t="s">
        <v>303</v>
      </c>
    </row>
    <row r="4708" spans="1:10" x14ac:dyDescent="0.35">
      <c r="A4708" t="s">
        <v>5100</v>
      </c>
      <c r="B4708" t="s">
        <v>307</v>
      </c>
      <c r="C4708" t="s">
        <v>5086</v>
      </c>
      <c r="D4708" s="30">
        <v>0.45900462962962962</v>
      </c>
      <c r="E4708" t="s">
        <v>302</v>
      </c>
      <c r="F4708" t="s">
        <v>303</v>
      </c>
      <c r="G4708" t="s">
        <v>303</v>
      </c>
    </row>
    <row r="4709" spans="1:10" x14ac:dyDescent="0.35">
      <c r="A4709" t="s">
        <v>5101</v>
      </c>
      <c r="B4709" t="s">
        <v>323</v>
      </c>
      <c r="C4709" t="s">
        <v>5086</v>
      </c>
      <c r="D4709" s="30">
        <v>0.45900462962962962</v>
      </c>
      <c r="E4709" t="s">
        <v>309</v>
      </c>
      <c r="F4709" t="s">
        <v>303</v>
      </c>
      <c r="G4709" t="s">
        <v>303</v>
      </c>
    </row>
    <row r="4710" spans="1:10" x14ac:dyDescent="0.35">
      <c r="A4710" t="s">
        <v>5102</v>
      </c>
      <c r="B4710" t="s">
        <v>307</v>
      </c>
      <c r="C4710" t="s">
        <v>5086</v>
      </c>
      <c r="D4710" s="30">
        <v>0.48900462962962965</v>
      </c>
      <c r="E4710" t="s">
        <v>317</v>
      </c>
      <c r="F4710" t="s">
        <v>299</v>
      </c>
      <c r="G4710" t="s">
        <v>299</v>
      </c>
      <c r="H4710">
        <v>83</v>
      </c>
      <c r="I4710" s="30">
        <v>4.2939814814814811E-3</v>
      </c>
      <c r="J4710">
        <v>4</v>
      </c>
    </row>
    <row r="4711" spans="1:10" x14ac:dyDescent="0.35">
      <c r="A4711" t="s">
        <v>5103</v>
      </c>
      <c r="B4711" t="s">
        <v>296</v>
      </c>
      <c r="C4711" t="s">
        <v>5086</v>
      </c>
      <c r="D4711" s="30">
        <v>0.48900462962962965</v>
      </c>
      <c r="E4711" t="s">
        <v>309</v>
      </c>
      <c r="F4711" t="s">
        <v>299</v>
      </c>
      <c r="G4711" t="s">
        <v>299</v>
      </c>
      <c r="H4711">
        <v>95</v>
      </c>
      <c r="I4711" s="30">
        <v>3.6226851851851854E-3</v>
      </c>
      <c r="J4711">
        <v>1</v>
      </c>
    </row>
    <row r="4712" spans="1:10" x14ac:dyDescent="0.35">
      <c r="A4712" t="s">
        <v>5104</v>
      </c>
      <c r="B4712" t="s">
        <v>316</v>
      </c>
      <c r="C4712" t="s">
        <v>5086</v>
      </c>
      <c r="D4712" s="30">
        <v>0.50299768518518517</v>
      </c>
      <c r="E4712" t="s">
        <v>309</v>
      </c>
      <c r="F4712" t="s">
        <v>299</v>
      </c>
      <c r="G4712" t="s">
        <v>299</v>
      </c>
      <c r="H4712">
        <v>43</v>
      </c>
      <c r="I4712" s="30">
        <v>1.5625000000000001E-3</v>
      </c>
      <c r="J4712">
        <v>1</v>
      </c>
    </row>
    <row r="4713" spans="1:10" x14ac:dyDescent="0.35">
      <c r="A4713" t="s">
        <v>5105</v>
      </c>
      <c r="B4713" t="s">
        <v>301</v>
      </c>
      <c r="C4713" t="s">
        <v>5086</v>
      </c>
      <c r="D4713" s="30">
        <v>0.50299768518518517</v>
      </c>
      <c r="E4713" t="s">
        <v>309</v>
      </c>
      <c r="F4713" t="s">
        <v>299</v>
      </c>
      <c r="G4713" t="s">
        <v>299</v>
      </c>
      <c r="H4713">
        <v>95</v>
      </c>
      <c r="I4713" s="30">
        <v>1.1226851851851851E-3</v>
      </c>
      <c r="J4713">
        <v>3</v>
      </c>
    </row>
    <row r="4714" spans="1:10" x14ac:dyDescent="0.35">
      <c r="A4714" t="s">
        <v>5106</v>
      </c>
      <c r="B4714" t="s">
        <v>319</v>
      </c>
      <c r="C4714" t="s">
        <v>5086</v>
      </c>
      <c r="D4714" s="30">
        <v>0.56999999999999995</v>
      </c>
      <c r="E4714" t="s">
        <v>314</v>
      </c>
      <c r="F4714" t="s">
        <v>303</v>
      </c>
      <c r="G4714" t="s">
        <v>303</v>
      </c>
    </row>
    <row r="4715" spans="1:10" x14ac:dyDescent="0.35">
      <c r="A4715" t="s">
        <v>5107</v>
      </c>
      <c r="B4715" t="s">
        <v>305</v>
      </c>
      <c r="C4715" t="s">
        <v>5086</v>
      </c>
      <c r="D4715" s="30">
        <v>0.56999999999999995</v>
      </c>
      <c r="E4715" t="s">
        <v>309</v>
      </c>
      <c r="F4715" t="s">
        <v>299</v>
      </c>
      <c r="G4715" t="s">
        <v>299</v>
      </c>
      <c r="H4715">
        <v>53</v>
      </c>
      <c r="I4715" s="30">
        <v>4.0856481481481481E-3</v>
      </c>
      <c r="J4715">
        <v>4</v>
      </c>
    </row>
    <row r="4716" spans="1:10" x14ac:dyDescent="0.35">
      <c r="A4716" t="s">
        <v>5108</v>
      </c>
      <c r="B4716" t="s">
        <v>305</v>
      </c>
      <c r="C4716" t="s">
        <v>5086</v>
      </c>
      <c r="D4716" s="30">
        <v>0.57900462962962962</v>
      </c>
      <c r="E4716" t="s">
        <v>298</v>
      </c>
      <c r="F4716" t="s">
        <v>299</v>
      </c>
      <c r="G4716" t="s">
        <v>299</v>
      </c>
      <c r="H4716">
        <v>28</v>
      </c>
      <c r="I4716" s="30">
        <v>2.3032407407407407E-3</v>
      </c>
      <c r="J4716">
        <v>4</v>
      </c>
    </row>
    <row r="4717" spans="1:10" x14ac:dyDescent="0.35">
      <c r="A4717" t="s">
        <v>5109</v>
      </c>
      <c r="B4717" t="s">
        <v>323</v>
      </c>
      <c r="C4717" t="s">
        <v>5086</v>
      </c>
      <c r="D4717" s="30">
        <v>0.57900462962962962</v>
      </c>
      <c r="E4717" t="s">
        <v>317</v>
      </c>
      <c r="F4717" t="s">
        <v>299</v>
      </c>
      <c r="G4717" t="s">
        <v>299</v>
      </c>
      <c r="H4717">
        <v>99</v>
      </c>
      <c r="I4717" s="30">
        <v>3.3333333333333335E-3</v>
      </c>
      <c r="J4717">
        <v>4</v>
      </c>
    </row>
    <row r="4718" spans="1:10" x14ac:dyDescent="0.35">
      <c r="A4718" t="s">
        <v>5110</v>
      </c>
      <c r="B4718" t="s">
        <v>301</v>
      </c>
      <c r="C4718" t="s">
        <v>5086</v>
      </c>
      <c r="D4718" s="30">
        <v>0.61799768518518516</v>
      </c>
      <c r="E4718" t="s">
        <v>314</v>
      </c>
      <c r="F4718" t="s">
        <v>299</v>
      </c>
      <c r="G4718" t="s">
        <v>303</v>
      </c>
      <c r="H4718">
        <v>70</v>
      </c>
      <c r="I4718" s="30">
        <v>4.2824074074074081E-4</v>
      </c>
      <c r="J4718">
        <v>1</v>
      </c>
    </row>
    <row r="4719" spans="1:10" x14ac:dyDescent="0.35">
      <c r="A4719" t="s">
        <v>5111</v>
      </c>
      <c r="B4719" t="s">
        <v>316</v>
      </c>
      <c r="C4719" t="s">
        <v>5086</v>
      </c>
      <c r="D4719" s="30">
        <v>0.61799768518518516</v>
      </c>
      <c r="E4719" t="s">
        <v>314</v>
      </c>
      <c r="F4719" t="s">
        <v>299</v>
      </c>
      <c r="G4719" t="s">
        <v>299</v>
      </c>
      <c r="H4719">
        <v>51</v>
      </c>
      <c r="I4719" s="30">
        <v>2.9513888888888888E-3</v>
      </c>
      <c r="J4719">
        <v>3</v>
      </c>
    </row>
    <row r="4720" spans="1:10" x14ac:dyDescent="0.35">
      <c r="A4720" t="s">
        <v>5112</v>
      </c>
      <c r="B4720" t="s">
        <v>307</v>
      </c>
      <c r="C4720" t="s">
        <v>5086</v>
      </c>
      <c r="D4720" s="30">
        <v>0.62599537037037034</v>
      </c>
      <c r="E4720" t="s">
        <v>314</v>
      </c>
      <c r="F4720" t="s">
        <v>303</v>
      </c>
      <c r="G4720" t="s">
        <v>303</v>
      </c>
    </row>
    <row r="4721" spans="1:10" x14ac:dyDescent="0.35">
      <c r="A4721" t="s">
        <v>5113</v>
      </c>
      <c r="B4721" t="s">
        <v>307</v>
      </c>
      <c r="C4721" t="s">
        <v>5086</v>
      </c>
      <c r="D4721" s="30">
        <v>0.62599537037037034</v>
      </c>
      <c r="E4721" t="s">
        <v>317</v>
      </c>
      <c r="F4721" t="s">
        <v>299</v>
      </c>
      <c r="G4721" t="s">
        <v>299</v>
      </c>
      <c r="H4721">
        <v>38</v>
      </c>
      <c r="I4721" s="30">
        <v>3.7384259259259259E-3</v>
      </c>
      <c r="J4721">
        <v>3</v>
      </c>
    </row>
    <row r="4722" spans="1:10" x14ac:dyDescent="0.35">
      <c r="A4722" t="s">
        <v>5114</v>
      </c>
      <c r="B4722" t="s">
        <v>307</v>
      </c>
      <c r="C4722" t="s">
        <v>5086</v>
      </c>
      <c r="D4722" s="30">
        <v>0.63799768518518518</v>
      </c>
      <c r="E4722" t="s">
        <v>302</v>
      </c>
      <c r="F4722" t="s">
        <v>299</v>
      </c>
      <c r="G4722" t="s">
        <v>303</v>
      </c>
      <c r="H4722">
        <v>61</v>
      </c>
      <c r="I4722" s="30">
        <v>4.0856481481481481E-3</v>
      </c>
      <c r="J4722">
        <v>4</v>
      </c>
    </row>
    <row r="4723" spans="1:10" x14ac:dyDescent="0.35">
      <c r="A4723" t="s">
        <v>5115</v>
      </c>
      <c r="B4723" t="s">
        <v>323</v>
      </c>
      <c r="C4723" t="s">
        <v>5086</v>
      </c>
      <c r="D4723" s="30">
        <v>0.63799768518518518</v>
      </c>
      <c r="E4723" t="s">
        <v>302</v>
      </c>
      <c r="F4723" t="s">
        <v>299</v>
      </c>
      <c r="G4723" t="s">
        <v>299</v>
      </c>
      <c r="H4723">
        <v>49</v>
      </c>
      <c r="I4723" s="30">
        <v>2.1875000000000002E-3</v>
      </c>
      <c r="J4723">
        <v>3</v>
      </c>
    </row>
    <row r="4724" spans="1:10" x14ac:dyDescent="0.35">
      <c r="A4724" t="s">
        <v>5116</v>
      </c>
      <c r="B4724" t="s">
        <v>316</v>
      </c>
      <c r="C4724" t="s">
        <v>5086</v>
      </c>
      <c r="D4724" s="30">
        <v>0.64099537037037035</v>
      </c>
      <c r="E4724" t="s">
        <v>309</v>
      </c>
      <c r="F4724" t="s">
        <v>299</v>
      </c>
      <c r="G4724" t="s">
        <v>299</v>
      </c>
      <c r="H4724">
        <v>65</v>
      </c>
      <c r="I4724" s="30">
        <v>3.449074074074074E-3</v>
      </c>
      <c r="J4724">
        <v>3</v>
      </c>
    </row>
    <row r="4725" spans="1:10" x14ac:dyDescent="0.35">
      <c r="A4725" t="s">
        <v>5117</v>
      </c>
      <c r="B4725" t="s">
        <v>301</v>
      </c>
      <c r="C4725" t="s">
        <v>5086</v>
      </c>
      <c r="D4725" s="30">
        <v>0.64099537037037035</v>
      </c>
      <c r="E4725" t="s">
        <v>298</v>
      </c>
      <c r="F4725" t="s">
        <v>299</v>
      </c>
      <c r="G4725" t="s">
        <v>299</v>
      </c>
      <c r="H4725">
        <v>74</v>
      </c>
      <c r="I4725" s="30">
        <v>4.6990740740740743E-3</v>
      </c>
      <c r="J4725">
        <v>4</v>
      </c>
    </row>
    <row r="4726" spans="1:10" x14ac:dyDescent="0.35">
      <c r="A4726" t="s">
        <v>5118</v>
      </c>
      <c r="B4726" t="s">
        <v>307</v>
      </c>
      <c r="C4726" t="s">
        <v>5086</v>
      </c>
      <c r="D4726" s="30">
        <v>0.66</v>
      </c>
      <c r="E4726" t="s">
        <v>314</v>
      </c>
      <c r="F4726" t="s">
        <v>299</v>
      </c>
      <c r="G4726" t="s">
        <v>299</v>
      </c>
      <c r="H4726">
        <v>114</v>
      </c>
      <c r="I4726" s="30">
        <v>2.0023148148148148E-3</v>
      </c>
      <c r="J4726">
        <v>4</v>
      </c>
    </row>
    <row r="4727" spans="1:10" x14ac:dyDescent="0.35">
      <c r="A4727" t="s">
        <v>5119</v>
      </c>
      <c r="B4727" t="s">
        <v>305</v>
      </c>
      <c r="C4727" t="s">
        <v>5086</v>
      </c>
      <c r="D4727" s="30">
        <v>0.66</v>
      </c>
      <c r="E4727" t="s">
        <v>298</v>
      </c>
      <c r="F4727" t="s">
        <v>303</v>
      </c>
      <c r="G4727" t="s">
        <v>303</v>
      </c>
    </row>
    <row r="4728" spans="1:10" x14ac:dyDescent="0.35">
      <c r="A4728" t="s">
        <v>5120</v>
      </c>
      <c r="B4728" t="s">
        <v>307</v>
      </c>
      <c r="C4728" t="s">
        <v>5086</v>
      </c>
      <c r="D4728" s="30">
        <v>0.66799768518518521</v>
      </c>
      <c r="E4728" t="s">
        <v>314</v>
      </c>
      <c r="F4728" t="s">
        <v>299</v>
      </c>
      <c r="G4728" t="s">
        <v>303</v>
      </c>
      <c r="H4728">
        <v>118</v>
      </c>
      <c r="I4728" s="30">
        <v>1.4699074074074074E-3</v>
      </c>
      <c r="J4728">
        <v>3</v>
      </c>
    </row>
    <row r="4729" spans="1:10" x14ac:dyDescent="0.35">
      <c r="A4729" t="s">
        <v>5121</v>
      </c>
      <c r="B4729" t="s">
        <v>323</v>
      </c>
      <c r="C4729" t="s">
        <v>5086</v>
      </c>
      <c r="D4729" s="30">
        <v>0.66799768518518521</v>
      </c>
      <c r="E4729" t="s">
        <v>309</v>
      </c>
      <c r="F4729" t="s">
        <v>299</v>
      </c>
      <c r="G4729" t="s">
        <v>299</v>
      </c>
      <c r="H4729">
        <v>119</v>
      </c>
      <c r="I4729" s="30">
        <v>4.0625000000000001E-3</v>
      </c>
      <c r="J4729">
        <v>4</v>
      </c>
    </row>
    <row r="4730" spans="1:10" x14ac:dyDescent="0.35">
      <c r="A4730" t="s">
        <v>5122</v>
      </c>
      <c r="B4730" t="s">
        <v>332</v>
      </c>
      <c r="C4730" t="s">
        <v>5086</v>
      </c>
      <c r="D4730" s="30">
        <v>0.67099537037037038</v>
      </c>
      <c r="E4730" t="s">
        <v>314</v>
      </c>
      <c r="F4730" t="s">
        <v>299</v>
      </c>
      <c r="G4730" t="s">
        <v>299</v>
      </c>
      <c r="H4730">
        <v>25</v>
      </c>
      <c r="I4730" s="30">
        <v>2.8703703703703703E-3</v>
      </c>
      <c r="J4730">
        <v>2</v>
      </c>
    </row>
    <row r="4731" spans="1:10" x14ac:dyDescent="0.35">
      <c r="A4731" t="s">
        <v>5123</v>
      </c>
      <c r="B4731" t="s">
        <v>332</v>
      </c>
      <c r="C4731" t="s">
        <v>5086</v>
      </c>
      <c r="D4731" s="30">
        <v>0.67099537037037038</v>
      </c>
      <c r="E4731" t="s">
        <v>298</v>
      </c>
      <c r="F4731" t="s">
        <v>299</v>
      </c>
      <c r="G4731" t="s">
        <v>299</v>
      </c>
      <c r="H4731">
        <v>106</v>
      </c>
      <c r="I4731" s="30">
        <v>2.5578703703703705E-3</v>
      </c>
      <c r="J4731">
        <v>4</v>
      </c>
    </row>
    <row r="4732" spans="1:10" x14ac:dyDescent="0.35">
      <c r="A4732" t="s">
        <v>5124</v>
      </c>
      <c r="B4732" t="s">
        <v>296</v>
      </c>
      <c r="C4732" t="s">
        <v>5086</v>
      </c>
      <c r="D4732" s="30">
        <v>0.68500000000000005</v>
      </c>
      <c r="E4732" t="s">
        <v>317</v>
      </c>
      <c r="F4732" t="s">
        <v>299</v>
      </c>
      <c r="G4732" t="s">
        <v>299</v>
      </c>
      <c r="H4732">
        <v>29</v>
      </c>
      <c r="I4732" s="30">
        <v>4.7222222222222223E-3</v>
      </c>
      <c r="J4732">
        <v>5</v>
      </c>
    </row>
    <row r="4733" spans="1:10" x14ac:dyDescent="0.35">
      <c r="A4733" t="s">
        <v>5125</v>
      </c>
      <c r="B4733" t="s">
        <v>305</v>
      </c>
      <c r="C4733" t="s">
        <v>5086</v>
      </c>
      <c r="D4733" s="30">
        <v>0.68500000000000005</v>
      </c>
      <c r="E4733" t="s">
        <v>314</v>
      </c>
      <c r="F4733" t="s">
        <v>299</v>
      </c>
      <c r="G4733" t="s">
        <v>299</v>
      </c>
      <c r="H4733">
        <v>104</v>
      </c>
      <c r="I4733" s="30">
        <v>4.3055555555555555E-3</v>
      </c>
      <c r="J4733">
        <v>5</v>
      </c>
    </row>
    <row r="4734" spans="1:10" x14ac:dyDescent="0.35">
      <c r="A4734" t="s">
        <v>5126</v>
      </c>
      <c r="B4734" t="s">
        <v>307</v>
      </c>
      <c r="C4734" t="s">
        <v>5086</v>
      </c>
      <c r="D4734" s="30">
        <v>0.69400462962962961</v>
      </c>
      <c r="E4734" t="s">
        <v>314</v>
      </c>
      <c r="F4734" t="s">
        <v>299</v>
      </c>
      <c r="G4734" t="s">
        <v>299</v>
      </c>
      <c r="H4734">
        <v>70</v>
      </c>
      <c r="I4734" s="30">
        <v>4.2592592592592595E-3</v>
      </c>
      <c r="J4734">
        <v>4</v>
      </c>
    </row>
    <row r="4735" spans="1:10" x14ac:dyDescent="0.35">
      <c r="A4735" t="s">
        <v>5127</v>
      </c>
      <c r="B4735" t="s">
        <v>316</v>
      </c>
      <c r="C4735" t="s">
        <v>5086</v>
      </c>
      <c r="D4735" s="30">
        <v>0.69400462962962961</v>
      </c>
      <c r="E4735" t="s">
        <v>309</v>
      </c>
      <c r="F4735" t="s">
        <v>299</v>
      </c>
      <c r="G4735" t="s">
        <v>299</v>
      </c>
      <c r="H4735">
        <v>85</v>
      </c>
      <c r="I4735" s="30">
        <v>2.3726851851851851E-3</v>
      </c>
      <c r="J4735">
        <v>4</v>
      </c>
    </row>
    <row r="4736" spans="1:10" x14ac:dyDescent="0.35">
      <c r="A4736" t="s">
        <v>5128</v>
      </c>
      <c r="B4736" t="s">
        <v>301</v>
      </c>
      <c r="C4736" t="s">
        <v>5086</v>
      </c>
      <c r="D4736" s="30">
        <v>0.73299768518518515</v>
      </c>
      <c r="E4736" t="s">
        <v>298</v>
      </c>
      <c r="F4736" t="s">
        <v>303</v>
      </c>
      <c r="G4736" t="s">
        <v>303</v>
      </c>
    </row>
    <row r="4737" spans="1:10" x14ac:dyDescent="0.35">
      <c r="A4737" t="s">
        <v>5129</v>
      </c>
      <c r="B4737" t="s">
        <v>316</v>
      </c>
      <c r="C4737" t="s">
        <v>5086</v>
      </c>
      <c r="D4737" s="30">
        <v>0.73299768518518515</v>
      </c>
      <c r="E4737" t="s">
        <v>298</v>
      </c>
      <c r="F4737" t="s">
        <v>299</v>
      </c>
      <c r="G4737" t="s">
        <v>299</v>
      </c>
      <c r="H4737">
        <v>61</v>
      </c>
      <c r="I4737" s="30">
        <v>3.6921296296296298E-3</v>
      </c>
      <c r="J4737">
        <v>5</v>
      </c>
    </row>
    <row r="4738" spans="1:10" x14ac:dyDescent="0.35">
      <c r="A4738" t="s">
        <v>5130</v>
      </c>
      <c r="B4738" t="s">
        <v>316</v>
      </c>
      <c r="C4738" t="s">
        <v>5086</v>
      </c>
      <c r="D4738" s="30">
        <v>0.73900462962962965</v>
      </c>
      <c r="E4738" t="s">
        <v>298</v>
      </c>
      <c r="F4738" t="s">
        <v>299</v>
      </c>
      <c r="G4738" t="s">
        <v>299</v>
      </c>
      <c r="H4738">
        <v>44</v>
      </c>
      <c r="I4738" s="30">
        <v>3.7962962962962963E-3</v>
      </c>
      <c r="J4738">
        <v>3</v>
      </c>
    </row>
    <row r="4739" spans="1:10" x14ac:dyDescent="0.35">
      <c r="A4739" t="s">
        <v>5131</v>
      </c>
      <c r="B4739" t="s">
        <v>305</v>
      </c>
      <c r="C4739" t="s">
        <v>5086</v>
      </c>
      <c r="D4739" s="30">
        <v>0.73900462962962965</v>
      </c>
      <c r="E4739" t="s">
        <v>314</v>
      </c>
      <c r="F4739" t="s">
        <v>299</v>
      </c>
      <c r="G4739" t="s">
        <v>299</v>
      </c>
      <c r="H4739">
        <v>40</v>
      </c>
      <c r="I4739" s="30">
        <v>2.7199074074074074E-3</v>
      </c>
      <c r="J4739">
        <v>5</v>
      </c>
    </row>
    <row r="4740" spans="1:10" x14ac:dyDescent="0.35">
      <c r="A4740" t="s">
        <v>5132</v>
      </c>
      <c r="B4740" t="s">
        <v>323</v>
      </c>
      <c r="C4740" t="s">
        <v>5133</v>
      </c>
      <c r="D4740" s="30">
        <v>0.39099537037037035</v>
      </c>
      <c r="E4740" t="s">
        <v>302</v>
      </c>
      <c r="F4740" t="s">
        <v>299</v>
      </c>
      <c r="G4740" t="s">
        <v>299</v>
      </c>
      <c r="H4740">
        <v>15</v>
      </c>
      <c r="I4740" s="30">
        <v>3.9120370370370368E-3</v>
      </c>
      <c r="J4740">
        <v>4</v>
      </c>
    </row>
    <row r="4741" spans="1:10" x14ac:dyDescent="0.35">
      <c r="A4741" t="s">
        <v>5134</v>
      </c>
      <c r="B4741" t="s">
        <v>296</v>
      </c>
      <c r="C4741" t="s">
        <v>5133</v>
      </c>
      <c r="D4741" s="30">
        <v>0.39099537037037035</v>
      </c>
      <c r="E4741" t="s">
        <v>298</v>
      </c>
      <c r="F4741" t="s">
        <v>299</v>
      </c>
      <c r="G4741" t="s">
        <v>299</v>
      </c>
      <c r="H4741">
        <v>41</v>
      </c>
      <c r="I4741" s="30">
        <v>1.9675925925925924E-3</v>
      </c>
      <c r="J4741">
        <v>2</v>
      </c>
    </row>
    <row r="4742" spans="1:10" x14ac:dyDescent="0.35">
      <c r="A4742" t="s">
        <v>5135</v>
      </c>
      <c r="B4742" t="s">
        <v>332</v>
      </c>
      <c r="C4742" t="s">
        <v>5133</v>
      </c>
      <c r="D4742" s="30">
        <v>0.39200231481481479</v>
      </c>
      <c r="E4742" t="s">
        <v>309</v>
      </c>
      <c r="F4742" t="s">
        <v>299</v>
      </c>
      <c r="G4742" t="s">
        <v>303</v>
      </c>
      <c r="H4742">
        <v>78</v>
      </c>
      <c r="I4742" s="30">
        <v>1.6203703703703703E-3</v>
      </c>
      <c r="J4742">
        <v>4</v>
      </c>
    </row>
    <row r="4743" spans="1:10" x14ac:dyDescent="0.35">
      <c r="A4743" t="s">
        <v>5136</v>
      </c>
      <c r="B4743" t="s">
        <v>319</v>
      </c>
      <c r="C4743" t="s">
        <v>5133</v>
      </c>
      <c r="D4743" s="30">
        <v>0.39200231481481479</v>
      </c>
      <c r="E4743" t="s">
        <v>317</v>
      </c>
      <c r="F4743" t="s">
        <v>303</v>
      </c>
      <c r="G4743" t="s">
        <v>303</v>
      </c>
    </row>
    <row r="4744" spans="1:10" x14ac:dyDescent="0.35">
      <c r="A4744" t="s">
        <v>5137</v>
      </c>
      <c r="B4744" t="s">
        <v>319</v>
      </c>
      <c r="C4744" t="s">
        <v>5133</v>
      </c>
      <c r="D4744" s="30">
        <v>0.39900462962962963</v>
      </c>
      <c r="E4744" t="s">
        <v>302</v>
      </c>
      <c r="F4744" t="s">
        <v>299</v>
      </c>
      <c r="G4744" t="s">
        <v>299</v>
      </c>
      <c r="H4744">
        <v>46</v>
      </c>
      <c r="I4744" s="30">
        <v>1.4120370370370369E-3</v>
      </c>
      <c r="J4744">
        <v>3</v>
      </c>
    </row>
    <row r="4745" spans="1:10" x14ac:dyDescent="0.35">
      <c r="A4745" t="s">
        <v>5138</v>
      </c>
      <c r="B4745" t="s">
        <v>323</v>
      </c>
      <c r="C4745" t="s">
        <v>5133</v>
      </c>
      <c r="D4745" s="30">
        <v>0.39900462962962963</v>
      </c>
      <c r="E4745" t="s">
        <v>317</v>
      </c>
      <c r="F4745" t="s">
        <v>303</v>
      </c>
      <c r="G4745" t="s">
        <v>303</v>
      </c>
    </row>
    <row r="4746" spans="1:10" x14ac:dyDescent="0.35">
      <c r="A4746" t="s">
        <v>5139</v>
      </c>
      <c r="B4746" t="s">
        <v>332</v>
      </c>
      <c r="C4746" t="s">
        <v>5133</v>
      </c>
      <c r="D4746" s="30">
        <v>0.41700231481481481</v>
      </c>
      <c r="E4746" t="s">
        <v>309</v>
      </c>
      <c r="F4746" t="s">
        <v>299</v>
      </c>
      <c r="G4746" t="s">
        <v>299</v>
      </c>
      <c r="H4746">
        <v>45</v>
      </c>
      <c r="I4746" s="30">
        <v>3.9351851851851848E-3</v>
      </c>
      <c r="J4746">
        <v>2</v>
      </c>
    </row>
    <row r="4747" spans="1:10" x14ac:dyDescent="0.35">
      <c r="A4747" t="s">
        <v>5140</v>
      </c>
      <c r="B4747" t="s">
        <v>305</v>
      </c>
      <c r="C4747" t="s">
        <v>5133</v>
      </c>
      <c r="D4747" s="30">
        <v>0.41700231481481481</v>
      </c>
      <c r="E4747" t="s">
        <v>298</v>
      </c>
      <c r="F4747" t="s">
        <v>299</v>
      </c>
      <c r="G4747" t="s">
        <v>299</v>
      </c>
      <c r="H4747">
        <v>86</v>
      </c>
      <c r="I4747" s="30">
        <v>3.9583333333333337E-3</v>
      </c>
      <c r="J4747">
        <v>1</v>
      </c>
    </row>
    <row r="4748" spans="1:10" x14ac:dyDescent="0.35">
      <c r="A4748" t="s">
        <v>5141</v>
      </c>
      <c r="B4748" t="s">
        <v>296</v>
      </c>
      <c r="C4748" t="s">
        <v>5133</v>
      </c>
      <c r="D4748" s="30">
        <v>0.42099537037037038</v>
      </c>
      <c r="E4748" t="s">
        <v>302</v>
      </c>
      <c r="F4748" t="s">
        <v>303</v>
      </c>
      <c r="G4748" t="s">
        <v>303</v>
      </c>
    </row>
    <row r="4749" spans="1:10" x14ac:dyDescent="0.35">
      <c r="A4749" t="s">
        <v>5142</v>
      </c>
      <c r="B4749" t="s">
        <v>332</v>
      </c>
      <c r="C4749" t="s">
        <v>5133</v>
      </c>
      <c r="D4749" s="30">
        <v>0.42099537037037038</v>
      </c>
      <c r="E4749" t="s">
        <v>309</v>
      </c>
      <c r="F4749" t="s">
        <v>299</v>
      </c>
      <c r="G4749" t="s">
        <v>303</v>
      </c>
      <c r="H4749">
        <v>59</v>
      </c>
      <c r="I4749" s="30">
        <v>1.6319444444444445E-3</v>
      </c>
      <c r="J4749">
        <v>2</v>
      </c>
    </row>
    <row r="4750" spans="1:10" x14ac:dyDescent="0.35">
      <c r="A4750" t="s">
        <v>5143</v>
      </c>
      <c r="B4750" t="s">
        <v>319</v>
      </c>
      <c r="C4750" t="s">
        <v>5133</v>
      </c>
      <c r="D4750" s="30">
        <v>0.42400462962962965</v>
      </c>
      <c r="E4750" t="s">
        <v>314</v>
      </c>
      <c r="F4750" t="s">
        <v>299</v>
      </c>
      <c r="G4750" t="s">
        <v>299</v>
      </c>
      <c r="H4750">
        <v>23</v>
      </c>
      <c r="I4750" s="30">
        <v>3.4027777777777776E-3</v>
      </c>
      <c r="J4750">
        <v>3</v>
      </c>
    </row>
    <row r="4751" spans="1:10" x14ac:dyDescent="0.35">
      <c r="A4751" t="s">
        <v>5144</v>
      </c>
      <c r="B4751" t="s">
        <v>316</v>
      </c>
      <c r="C4751" t="s">
        <v>5133</v>
      </c>
      <c r="D4751" s="30">
        <v>0.42400462962962965</v>
      </c>
      <c r="E4751" t="s">
        <v>314</v>
      </c>
      <c r="F4751" t="s">
        <v>299</v>
      </c>
      <c r="G4751" t="s">
        <v>299</v>
      </c>
      <c r="H4751">
        <v>79</v>
      </c>
      <c r="I4751" s="30">
        <v>2.6157407407407405E-3</v>
      </c>
      <c r="J4751">
        <v>4</v>
      </c>
    </row>
    <row r="4752" spans="1:10" x14ac:dyDescent="0.35">
      <c r="A4752" t="s">
        <v>5145</v>
      </c>
      <c r="B4752" t="s">
        <v>305</v>
      </c>
      <c r="C4752" t="s">
        <v>5133</v>
      </c>
      <c r="D4752" s="30">
        <v>0.42700231481481482</v>
      </c>
      <c r="E4752" t="s">
        <v>298</v>
      </c>
      <c r="F4752" t="s">
        <v>299</v>
      </c>
      <c r="G4752" t="s">
        <v>299</v>
      </c>
      <c r="H4752">
        <v>105</v>
      </c>
      <c r="I4752" s="30">
        <v>4.4675925925925924E-3</v>
      </c>
      <c r="J4752">
        <v>4</v>
      </c>
    </row>
    <row r="4753" spans="1:10" x14ac:dyDescent="0.35">
      <c r="A4753" t="s">
        <v>5146</v>
      </c>
      <c r="B4753" t="s">
        <v>323</v>
      </c>
      <c r="C4753" t="s">
        <v>5133</v>
      </c>
      <c r="D4753" s="30">
        <v>0.42700231481481482</v>
      </c>
      <c r="E4753" t="s">
        <v>302</v>
      </c>
      <c r="F4753" t="s">
        <v>299</v>
      </c>
      <c r="G4753" t="s">
        <v>299</v>
      </c>
      <c r="H4753">
        <v>42</v>
      </c>
      <c r="I4753" s="30">
        <v>6.3657407407407413E-4</v>
      </c>
      <c r="J4753">
        <v>5</v>
      </c>
    </row>
    <row r="4754" spans="1:10" x14ac:dyDescent="0.35">
      <c r="A4754" t="s">
        <v>5147</v>
      </c>
      <c r="B4754" t="s">
        <v>301</v>
      </c>
      <c r="C4754" t="s">
        <v>5133</v>
      </c>
      <c r="D4754" s="30">
        <v>0.45599537037037036</v>
      </c>
      <c r="E4754" t="s">
        <v>317</v>
      </c>
      <c r="F4754" t="s">
        <v>299</v>
      </c>
      <c r="G4754" t="s">
        <v>299</v>
      </c>
      <c r="H4754">
        <v>20</v>
      </c>
      <c r="I4754" s="30">
        <v>9.837962962962962E-4</v>
      </c>
      <c r="J4754">
        <v>4</v>
      </c>
    </row>
    <row r="4755" spans="1:10" x14ac:dyDescent="0.35">
      <c r="A4755" t="s">
        <v>5148</v>
      </c>
      <c r="B4755" t="s">
        <v>307</v>
      </c>
      <c r="C4755" t="s">
        <v>5133</v>
      </c>
      <c r="D4755" s="30">
        <v>0.45599537037037036</v>
      </c>
      <c r="E4755" t="s">
        <v>302</v>
      </c>
      <c r="F4755" t="s">
        <v>299</v>
      </c>
      <c r="G4755" t="s">
        <v>299</v>
      </c>
      <c r="H4755">
        <v>48</v>
      </c>
      <c r="I4755" s="30">
        <v>3.9814814814814817E-3</v>
      </c>
      <c r="J4755">
        <v>4</v>
      </c>
    </row>
    <row r="4756" spans="1:10" x14ac:dyDescent="0.35">
      <c r="A4756" t="s">
        <v>5149</v>
      </c>
      <c r="B4756" t="s">
        <v>301</v>
      </c>
      <c r="C4756" t="s">
        <v>5133</v>
      </c>
      <c r="D4756" s="30">
        <v>0.49200231481481482</v>
      </c>
      <c r="E4756" t="s">
        <v>314</v>
      </c>
      <c r="F4756" t="s">
        <v>299</v>
      </c>
      <c r="G4756" t="s">
        <v>299</v>
      </c>
      <c r="H4756">
        <v>29</v>
      </c>
      <c r="I4756" s="30">
        <v>3.8425925925925928E-3</v>
      </c>
      <c r="J4756">
        <v>3</v>
      </c>
    </row>
    <row r="4757" spans="1:10" x14ac:dyDescent="0.35">
      <c r="A4757" t="s">
        <v>5150</v>
      </c>
      <c r="B4757" t="s">
        <v>332</v>
      </c>
      <c r="C4757" t="s">
        <v>5133</v>
      </c>
      <c r="D4757" s="30">
        <v>0.49200231481481482</v>
      </c>
      <c r="E4757" t="s">
        <v>302</v>
      </c>
      <c r="F4757" t="s">
        <v>299</v>
      </c>
      <c r="G4757" t="s">
        <v>299</v>
      </c>
      <c r="H4757">
        <v>49</v>
      </c>
      <c r="I4757" s="30">
        <v>4.0162037037037041E-3</v>
      </c>
      <c r="J4757">
        <v>3</v>
      </c>
    </row>
    <row r="4758" spans="1:10" x14ac:dyDescent="0.35">
      <c r="A4758" t="s">
        <v>5151</v>
      </c>
      <c r="B4758" t="s">
        <v>307</v>
      </c>
      <c r="C4758" t="s">
        <v>5133</v>
      </c>
      <c r="D4758" s="30">
        <v>0.49700231481481483</v>
      </c>
      <c r="E4758" t="s">
        <v>317</v>
      </c>
      <c r="F4758" t="s">
        <v>299</v>
      </c>
      <c r="G4758" t="s">
        <v>299</v>
      </c>
      <c r="H4758">
        <v>94</v>
      </c>
      <c r="I4758" s="30">
        <v>4.7800925925925927E-3</v>
      </c>
      <c r="J4758">
        <v>5</v>
      </c>
    </row>
    <row r="4759" spans="1:10" x14ac:dyDescent="0.35">
      <c r="A4759" t="s">
        <v>5152</v>
      </c>
      <c r="B4759" t="s">
        <v>305</v>
      </c>
      <c r="C4759" t="s">
        <v>5133</v>
      </c>
      <c r="D4759" s="30">
        <v>0.49700231481481483</v>
      </c>
      <c r="E4759" t="s">
        <v>302</v>
      </c>
      <c r="F4759" t="s">
        <v>299</v>
      </c>
      <c r="G4759" t="s">
        <v>303</v>
      </c>
      <c r="H4759">
        <v>22</v>
      </c>
      <c r="I4759" s="30">
        <v>1.2268518518518518E-3</v>
      </c>
      <c r="J4759">
        <v>4</v>
      </c>
    </row>
    <row r="4760" spans="1:10" x14ac:dyDescent="0.35">
      <c r="A4760" t="s">
        <v>5153</v>
      </c>
      <c r="B4760" t="s">
        <v>305</v>
      </c>
      <c r="C4760" t="s">
        <v>5133</v>
      </c>
      <c r="D4760" s="30">
        <v>0.50099537037037034</v>
      </c>
      <c r="E4760" t="s">
        <v>314</v>
      </c>
      <c r="F4760" t="s">
        <v>299</v>
      </c>
      <c r="G4760" t="s">
        <v>299</v>
      </c>
      <c r="H4760">
        <v>93</v>
      </c>
      <c r="I4760" s="30">
        <v>2.9282407407407408E-3</v>
      </c>
      <c r="J4760">
        <v>4</v>
      </c>
    </row>
    <row r="4761" spans="1:10" x14ac:dyDescent="0.35">
      <c r="A4761" t="s">
        <v>5154</v>
      </c>
      <c r="B4761" t="s">
        <v>323</v>
      </c>
      <c r="C4761" t="s">
        <v>5133</v>
      </c>
      <c r="D4761" s="30">
        <v>0.50099537037037034</v>
      </c>
      <c r="E4761" t="s">
        <v>317</v>
      </c>
      <c r="F4761" t="s">
        <v>299</v>
      </c>
      <c r="G4761" t="s">
        <v>299</v>
      </c>
      <c r="H4761">
        <v>56</v>
      </c>
      <c r="I4761" s="30">
        <v>3.1597222222222222E-3</v>
      </c>
      <c r="J4761">
        <v>5</v>
      </c>
    </row>
    <row r="4762" spans="1:10" x14ac:dyDescent="0.35">
      <c r="A4762" t="s">
        <v>5155</v>
      </c>
      <c r="B4762" t="s">
        <v>301</v>
      </c>
      <c r="C4762" t="s">
        <v>5133</v>
      </c>
      <c r="D4762" s="30">
        <v>0.51700231481481485</v>
      </c>
      <c r="E4762" t="s">
        <v>298</v>
      </c>
      <c r="F4762" t="s">
        <v>299</v>
      </c>
      <c r="G4762" t="s">
        <v>299</v>
      </c>
      <c r="H4762">
        <v>16</v>
      </c>
      <c r="I4762" s="30">
        <v>4.0509259259259257E-3</v>
      </c>
      <c r="J4762">
        <v>5</v>
      </c>
    </row>
    <row r="4763" spans="1:10" x14ac:dyDescent="0.35">
      <c r="A4763" t="s">
        <v>5156</v>
      </c>
      <c r="B4763" t="s">
        <v>296</v>
      </c>
      <c r="C4763" t="s">
        <v>5133</v>
      </c>
      <c r="D4763" s="30">
        <v>0.51700231481481485</v>
      </c>
      <c r="E4763" t="s">
        <v>314</v>
      </c>
      <c r="F4763" t="s">
        <v>303</v>
      </c>
      <c r="G4763" t="s">
        <v>303</v>
      </c>
    </row>
    <row r="4764" spans="1:10" x14ac:dyDescent="0.35">
      <c r="A4764" t="s">
        <v>5157</v>
      </c>
      <c r="B4764" t="s">
        <v>305</v>
      </c>
      <c r="C4764" t="s">
        <v>5133</v>
      </c>
      <c r="D4764" s="30">
        <v>0.53200231481481486</v>
      </c>
      <c r="E4764" t="s">
        <v>298</v>
      </c>
      <c r="F4764" t="s">
        <v>299</v>
      </c>
      <c r="G4764" t="s">
        <v>299</v>
      </c>
      <c r="H4764">
        <v>124</v>
      </c>
      <c r="I4764" s="30">
        <v>1.4583333333333334E-3</v>
      </c>
      <c r="J4764">
        <v>2</v>
      </c>
    </row>
    <row r="4765" spans="1:10" x14ac:dyDescent="0.35">
      <c r="A4765" t="s">
        <v>5158</v>
      </c>
      <c r="B4765" t="s">
        <v>305</v>
      </c>
      <c r="C4765" t="s">
        <v>5133</v>
      </c>
      <c r="D4765" s="30">
        <v>0.53200231481481486</v>
      </c>
      <c r="E4765" t="s">
        <v>317</v>
      </c>
      <c r="F4765" t="s">
        <v>303</v>
      </c>
      <c r="G4765" t="s">
        <v>303</v>
      </c>
    </row>
    <row r="4766" spans="1:10" x14ac:dyDescent="0.35">
      <c r="A4766" t="s">
        <v>5159</v>
      </c>
      <c r="B4766" t="s">
        <v>307</v>
      </c>
      <c r="C4766" t="s">
        <v>5133</v>
      </c>
      <c r="D4766" s="30">
        <v>0.53500000000000003</v>
      </c>
      <c r="E4766" t="s">
        <v>298</v>
      </c>
      <c r="F4766" t="s">
        <v>299</v>
      </c>
      <c r="G4766" t="s">
        <v>299</v>
      </c>
      <c r="H4766">
        <v>93</v>
      </c>
      <c r="I4766" s="30">
        <v>1.0185185185185184E-3</v>
      </c>
      <c r="J4766">
        <v>5</v>
      </c>
    </row>
    <row r="4767" spans="1:10" x14ac:dyDescent="0.35">
      <c r="A4767" t="s">
        <v>5160</v>
      </c>
      <c r="B4767" t="s">
        <v>296</v>
      </c>
      <c r="C4767" t="s">
        <v>5133</v>
      </c>
      <c r="D4767" s="30">
        <v>0.53500000000000003</v>
      </c>
      <c r="E4767" t="s">
        <v>317</v>
      </c>
      <c r="F4767" t="s">
        <v>299</v>
      </c>
      <c r="G4767" t="s">
        <v>299</v>
      </c>
      <c r="H4767">
        <v>10</v>
      </c>
      <c r="I4767" s="30">
        <v>1.4699074074074074E-3</v>
      </c>
      <c r="J4767">
        <v>3</v>
      </c>
    </row>
    <row r="4768" spans="1:10" x14ac:dyDescent="0.35">
      <c r="A4768" t="s">
        <v>5161</v>
      </c>
      <c r="B4768" t="s">
        <v>301</v>
      </c>
      <c r="C4768" t="s">
        <v>5133</v>
      </c>
      <c r="D4768" s="30">
        <v>0.53599537037037037</v>
      </c>
      <c r="E4768" t="s">
        <v>302</v>
      </c>
      <c r="F4768" t="s">
        <v>299</v>
      </c>
      <c r="G4768" t="s">
        <v>303</v>
      </c>
      <c r="H4768">
        <v>17</v>
      </c>
      <c r="I4768" s="30">
        <v>1.4120370370370369E-3</v>
      </c>
      <c r="J4768">
        <v>4</v>
      </c>
    </row>
    <row r="4769" spans="1:10" x14ac:dyDescent="0.35">
      <c r="A4769" t="s">
        <v>5162</v>
      </c>
      <c r="B4769" t="s">
        <v>332</v>
      </c>
      <c r="C4769" t="s">
        <v>5133</v>
      </c>
      <c r="D4769" s="30">
        <v>0.53599537037037037</v>
      </c>
      <c r="E4769" t="s">
        <v>302</v>
      </c>
      <c r="F4769" t="s">
        <v>299</v>
      </c>
      <c r="G4769" t="s">
        <v>299</v>
      </c>
      <c r="H4769">
        <v>121</v>
      </c>
      <c r="I4769" s="30">
        <v>6.9444444444444447E-4</v>
      </c>
      <c r="J4769">
        <v>3</v>
      </c>
    </row>
    <row r="4770" spans="1:10" x14ac:dyDescent="0.35">
      <c r="A4770" t="s">
        <v>5163</v>
      </c>
      <c r="B4770" t="s">
        <v>323</v>
      </c>
      <c r="C4770" t="s">
        <v>5133</v>
      </c>
      <c r="D4770" s="30">
        <v>0.53599537037037037</v>
      </c>
      <c r="E4770" t="s">
        <v>302</v>
      </c>
      <c r="F4770" t="s">
        <v>299</v>
      </c>
      <c r="G4770" t="s">
        <v>299</v>
      </c>
      <c r="H4770">
        <v>74</v>
      </c>
      <c r="I4770" s="30">
        <v>1.7708333333333332E-3</v>
      </c>
      <c r="J4770">
        <v>5</v>
      </c>
    </row>
    <row r="4771" spans="1:10" x14ac:dyDescent="0.35">
      <c r="A4771" t="s">
        <v>5164</v>
      </c>
      <c r="B4771" t="s">
        <v>307</v>
      </c>
      <c r="C4771" t="s">
        <v>5133</v>
      </c>
      <c r="D4771" s="30">
        <v>0.53599537037037037</v>
      </c>
      <c r="E4771" t="s">
        <v>309</v>
      </c>
      <c r="F4771" t="s">
        <v>299</v>
      </c>
      <c r="G4771" t="s">
        <v>299</v>
      </c>
      <c r="H4771">
        <v>22</v>
      </c>
      <c r="I4771" s="30">
        <v>4.0509259259259258E-4</v>
      </c>
      <c r="J4771">
        <v>3</v>
      </c>
    </row>
    <row r="4772" spans="1:10" x14ac:dyDescent="0.35">
      <c r="A4772" t="s">
        <v>5165</v>
      </c>
      <c r="B4772" t="s">
        <v>316</v>
      </c>
      <c r="C4772" t="s">
        <v>5133</v>
      </c>
      <c r="D4772" s="30">
        <v>0.57299768518518523</v>
      </c>
      <c r="E4772" t="s">
        <v>314</v>
      </c>
      <c r="F4772" t="s">
        <v>299</v>
      </c>
      <c r="G4772" t="s">
        <v>299</v>
      </c>
      <c r="H4772">
        <v>76</v>
      </c>
      <c r="I4772" s="30">
        <v>4.2013888888888891E-3</v>
      </c>
      <c r="J4772">
        <v>4</v>
      </c>
    </row>
    <row r="4773" spans="1:10" x14ac:dyDescent="0.35">
      <c r="A4773" t="s">
        <v>5166</v>
      </c>
      <c r="B4773" t="s">
        <v>316</v>
      </c>
      <c r="C4773" t="s">
        <v>5133</v>
      </c>
      <c r="D4773" s="30">
        <v>0.57299768518518523</v>
      </c>
      <c r="E4773" t="s">
        <v>302</v>
      </c>
      <c r="F4773" t="s">
        <v>299</v>
      </c>
      <c r="G4773" t="s">
        <v>303</v>
      </c>
      <c r="H4773">
        <v>86</v>
      </c>
      <c r="I4773" s="30">
        <v>2.0601851851851853E-3</v>
      </c>
      <c r="J4773">
        <v>5</v>
      </c>
    </row>
    <row r="4774" spans="1:10" x14ac:dyDescent="0.35">
      <c r="A4774" t="s">
        <v>5167</v>
      </c>
      <c r="B4774" t="s">
        <v>305</v>
      </c>
      <c r="C4774" t="s">
        <v>5133</v>
      </c>
      <c r="D4774" s="30">
        <v>0.61</v>
      </c>
      <c r="E4774" t="s">
        <v>302</v>
      </c>
      <c r="F4774" t="s">
        <v>299</v>
      </c>
      <c r="G4774" t="s">
        <v>299</v>
      </c>
      <c r="H4774">
        <v>59</v>
      </c>
      <c r="I4774" s="30">
        <v>5.2083333333333333E-4</v>
      </c>
      <c r="J4774">
        <v>3</v>
      </c>
    </row>
    <row r="4775" spans="1:10" x14ac:dyDescent="0.35">
      <c r="A4775" t="s">
        <v>5168</v>
      </c>
      <c r="B4775" t="s">
        <v>301</v>
      </c>
      <c r="C4775" t="s">
        <v>5133</v>
      </c>
      <c r="D4775" s="30">
        <v>0.61</v>
      </c>
      <c r="E4775" t="s">
        <v>314</v>
      </c>
      <c r="F4775" t="s">
        <v>303</v>
      </c>
      <c r="G4775" t="s">
        <v>303</v>
      </c>
    </row>
    <row r="4776" spans="1:10" x14ac:dyDescent="0.35">
      <c r="A4776" t="s">
        <v>5169</v>
      </c>
      <c r="B4776" t="s">
        <v>296</v>
      </c>
      <c r="C4776" t="s">
        <v>5133</v>
      </c>
      <c r="D4776" s="30">
        <v>0.61799768518518516</v>
      </c>
      <c r="E4776" t="s">
        <v>314</v>
      </c>
      <c r="F4776" t="s">
        <v>299</v>
      </c>
      <c r="G4776" t="s">
        <v>299</v>
      </c>
      <c r="H4776">
        <v>57</v>
      </c>
      <c r="I4776" s="30">
        <v>4.5949074074074078E-3</v>
      </c>
      <c r="J4776">
        <v>5</v>
      </c>
    </row>
    <row r="4777" spans="1:10" x14ac:dyDescent="0.35">
      <c r="A4777" t="s">
        <v>5170</v>
      </c>
      <c r="B4777" t="s">
        <v>319</v>
      </c>
      <c r="C4777" t="s">
        <v>5133</v>
      </c>
      <c r="D4777" s="30">
        <v>0.61799768518518516</v>
      </c>
      <c r="E4777" t="s">
        <v>314</v>
      </c>
      <c r="F4777" t="s">
        <v>299</v>
      </c>
      <c r="G4777" t="s">
        <v>299</v>
      </c>
      <c r="H4777">
        <v>92</v>
      </c>
      <c r="I4777" s="30">
        <v>3.2754629629629631E-3</v>
      </c>
      <c r="J4777">
        <v>3</v>
      </c>
    </row>
    <row r="4778" spans="1:10" x14ac:dyDescent="0.35">
      <c r="A4778" t="s">
        <v>5171</v>
      </c>
      <c r="B4778" t="s">
        <v>301</v>
      </c>
      <c r="C4778" t="s">
        <v>5133</v>
      </c>
      <c r="D4778" s="30">
        <v>0.63900462962962967</v>
      </c>
      <c r="E4778" t="s">
        <v>298</v>
      </c>
      <c r="F4778" t="s">
        <v>299</v>
      </c>
      <c r="G4778" t="s">
        <v>299</v>
      </c>
      <c r="H4778">
        <v>35</v>
      </c>
      <c r="I4778" s="30">
        <v>2.0486111111111113E-3</v>
      </c>
      <c r="J4778">
        <v>1</v>
      </c>
    </row>
    <row r="4779" spans="1:10" x14ac:dyDescent="0.35">
      <c r="A4779" t="s">
        <v>5172</v>
      </c>
      <c r="B4779" t="s">
        <v>319</v>
      </c>
      <c r="C4779" t="s">
        <v>5133</v>
      </c>
      <c r="D4779" s="30">
        <v>0.63900462962962967</v>
      </c>
      <c r="E4779" t="s">
        <v>302</v>
      </c>
      <c r="F4779" t="s">
        <v>303</v>
      </c>
      <c r="G4779" t="s">
        <v>303</v>
      </c>
    </row>
    <row r="4780" spans="1:10" x14ac:dyDescent="0.35">
      <c r="A4780" t="s">
        <v>5173</v>
      </c>
      <c r="B4780" t="s">
        <v>323</v>
      </c>
      <c r="C4780" t="s">
        <v>5133</v>
      </c>
      <c r="D4780" s="30">
        <v>0.65400462962962957</v>
      </c>
      <c r="E4780" t="s">
        <v>317</v>
      </c>
      <c r="F4780" t="s">
        <v>299</v>
      </c>
      <c r="G4780" t="s">
        <v>299</v>
      </c>
      <c r="H4780">
        <v>76</v>
      </c>
      <c r="I4780" s="30">
        <v>2.7662037037037039E-3</v>
      </c>
      <c r="J4780">
        <v>5</v>
      </c>
    </row>
    <row r="4781" spans="1:10" x14ac:dyDescent="0.35">
      <c r="A4781" t="s">
        <v>5174</v>
      </c>
      <c r="B4781" t="s">
        <v>319</v>
      </c>
      <c r="C4781" t="s">
        <v>5133</v>
      </c>
      <c r="D4781" s="30">
        <v>0.65400462962962957</v>
      </c>
      <c r="E4781" t="s">
        <v>298</v>
      </c>
      <c r="F4781" t="s">
        <v>299</v>
      </c>
      <c r="G4781" t="s">
        <v>299</v>
      </c>
      <c r="H4781">
        <v>110</v>
      </c>
      <c r="I4781" s="30">
        <v>5.4398148148148144E-4</v>
      </c>
      <c r="J4781">
        <v>5</v>
      </c>
    </row>
    <row r="4782" spans="1:10" x14ac:dyDescent="0.35">
      <c r="A4782" t="s">
        <v>5175</v>
      </c>
      <c r="B4782" t="s">
        <v>301</v>
      </c>
      <c r="C4782" t="s">
        <v>5133</v>
      </c>
      <c r="D4782" s="30">
        <v>0.66200231481481486</v>
      </c>
      <c r="E4782" t="s">
        <v>314</v>
      </c>
      <c r="F4782" t="s">
        <v>299</v>
      </c>
      <c r="G4782" t="s">
        <v>299</v>
      </c>
      <c r="H4782">
        <v>125</v>
      </c>
      <c r="I4782" s="30">
        <v>1.25E-3</v>
      </c>
      <c r="J4782">
        <v>1</v>
      </c>
    </row>
    <row r="4783" spans="1:10" x14ac:dyDescent="0.35">
      <c r="A4783" t="s">
        <v>5176</v>
      </c>
      <c r="B4783" t="s">
        <v>332</v>
      </c>
      <c r="C4783" t="s">
        <v>5133</v>
      </c>
      <c r="D4783" s="30">
        <v>0.66200231481481486</v>
      </c>
      <c r="E4783" t="s">
        <v>302</v>
      </c>
      <c r="F4783" t="s">
        <v>299</v>
      </c>
      <c r="G4783" t="s">
        <v>299</v>
      </c>
      <c r="H4783">
        <v>44</v>
      </c>
      <c r="I4783" s="30">
        <v>1.8981481481481482E-3</v>
      </c>
      <c r="J4783">
        <v>1</v>
      </c>
    </row>
    <row r="4784" spans="1:10" x14ac:dyDescent="0.35">
      <c r="A4784" t="s">
        <v>5177</v>
      </c>
      <c r="B4784" t="s">
        <v>323</v>
      </c>
      <c r="C4784" t="s">
        <v>5133</v>
      </c>
      <c r="D4784" s="30">
        <v>0.68599537037037039</v>
      </c>
      <c r="E4784" t="s">
        <v>298</v>
      </c>
      <c r="F4784" t="s">
        <v>299</v>
      </c>
      <c r="G4784" t="s">
        <v>299</v>
      </c>
      <c r="H4784">
        <v>113</v>
      </c>
      <c r="I4784" s="30">
        <v>2.6041666666666665E-3</v>
      </c>
      <c r="J4784">
        <v>1</v>
      </c>
    </row>
    <row r="4785" spans="1:10" x14ac:dyDescent="0.35">
      <c r="A4785" t="s">
        <v>5178</v>
      </c>
      <c r="B4785" t="s">
        <v>301</v>
      </c>
      <c r="C4785" t="s">
        <v>5133</v>
      </c>
      <c r="D4785" s="30">
        <v>0.68599537037037039</v>
      </c>
      <c r="E4785" t="s">
        <v>309</v>
      </c>
      <c r="F4785" t="s">
        <v>299</v>
      </c>
      <c r="G4785" t="s">
        <v>299</v>
      </c>
      <c r="H4785">
        <v>101</v>
      </c>
      <c r="I4785" s="30">
        <v>3.4375E-3</v>
      </c>
      <c r="J4785">
        <v>3</v>
      </c>
    </row>
    <row r="4786" spans="1:10" x14ac:dyDescent="0.35">
      <c r="A4786" t="s">
        <v>5179</v>
      </c>
      <c r="B4786" t="s">
        <v>296</v>
      </c>
      <c r="C4786" t="s">
        <v>5133</v>
      </c>
      <c r="D4786" s="30">
        <v>0.70299768518518524</v>
      </c>
      <c r="E4786" t="s">
        <v>317</v>
      </c>
      <c r="F4786" t="s">
        <v>299</v>
      </c>
      <c r="G4786" t="s">
        <v>299</v>
      </c>
      <c r="H4786">
        <v>27</v>
      </c>
      <c r="I4786" s="30">
        <v>2.9282407407407408E-3</v>
      </c>
      <c r="J4786">
        <v>1</v>
      </c>
    </row>
    <row r="4787" spans="1:10" x14ac:dyDescent="0.35">
      <c r="A4787" t="s">
        <v>5180</v>
      </c>
      <c r="B4787" t="s">
        <v>296</v>
      </c>
      <c r="C4787" t="s">
        <v>5133</v>
      </c>
      <c r="D4787" s="30">
        <v>0.70299768518518524</v>
      </c>
      <c r="E4787" t="s">
        <v>298</v>
      </c>
      <c r="F4787" t="s">
        <v>303</v>
      </c>
      <c r="G4787" t="s">
        <v>303</v>
      </c>
    </row>
    <row r="4788" spans="1:10" x14ac:dyDescent="0.35">
      <c r="A4788" t="s">
        <v>5181</v>
      </c>
      <c r="B4788" t="s">
        <v>296</v>
      </c>
      <c r="C4788" t="s">
        <v>5133</v>
      </c>
      <c r="D4788" s="30">
        <v>0.7120023148148148</v>
      </c>
      <c r="E4788" t="s">
        <v>309</v>
      </c>
      <c r="F4788" t="s">
        <v>299</v>
      </c>
      <c r="G4788" t="s">
        <v>303</v>
      </c>
      <c r="H4788">
        <v>125</v>
      </c>
      <c r="I4788" s="30">
        <v>1.9675925925925924E-3</v>
      </c>
      <c r="J4788">
        <v>4</v>
      </c>
    </row>
    <row r="4789" spans="1:10" x14ac:dyDescent="0.35">
      <c r="A4789" t="s">
        <v>5182</v>
      </c>
      <c r="B4789" t="s">
        <v>301</v>
      </c>
      <c r="C4789" t="s">
        <v>5133</v>
      </c>
      <c r="D4789" s="30">
        <v>0.7120023148148148</v>
      </c>
      <c r="E4789" t="s">
        <v>314</v>
      </c>
      <c r="F4789" t="s">
        <v>299</v>
      </c>
      <c r="G4789" t="s">
        <v>299</v>
      </c>
      <c r="H4789">
        <v>10</v>
      </c>
      <c r="I4789" s="30">
        <v>1.5740740740740741E-3</v>
      </c>
      <c r="J4789">
        <v>1</v>
      </c>
    </row>
    <row r="4790" spans="1:10" x14ac:dyDescent="0.35">
      <c r="A4790" t="s">
        <v>5183</v>
      </c>
      <c r="B4790" t="s">
        <v>332</v>
      </c>
      <c r="C4790" t="s">
        <v>5133</v>
      </c>
      <c r="D4790" s="30">
        <v>0.71799768518518514</v>
      </c>
      <c r="E4790" t="s">
        <v>298</v>
      </c>
      <c r="F4790" t="s">
        <v>299</v>
      </c>
      <c r="G4790" t="s">
        <v>299</v>
      </c>
      <c r="H4790">
        <v>16</v>
      </c>
      <c r="I4790" s="30">
        <v>3.0092592592592593E-3</v>
      </c>
      <c r="J4790">
        <v>4</v>
      </c>
    </row>
    <row r="4791" spans="1:10" x14ac:dyDescent="0.35">
      <c r="A4791" t="s">
        <v>5184</v>
      </c>
      <c r="B4791" t="s">
        <v>319</v>
      </c>
      <c r="C4791" t="s">
        <v>5133</v>
      </c>
      <c r="D4791" s="30">
        <v>0.71799768518518514</v>
      </c>
      <c r="E4791" t="s">
        <v>298</v>
      </c>
      <c r="F4791" t="s">
        <v>299</v>
      </c>
      <c r="G4791" t="s">
        <v>299</v>
      </c>
      <c r="H4791">
        <v>85</v>
      </c>
      <c r="I4791" s="30">
        <v>4.178240740740741E-3</v>
      </c>
      <c r="J4791">
        <v>1</v>
      </c>
    </row>
    <row r="4792" spans="1:10" x14ac:dyDescent="0.35">
      <c r="A4792" t="s">
        <v>5185</v>
      </c>
      <c r="B4792" t="s">
        <v>332</v>
      </c>
      <c r="C4792" t="s">
        <v>5133</v>
      </c>
      <c r="D4792" s="30">
        <v>0.73799768518518516</v>
      </c>
      <c r="E4792" t="s">
        <v>317</v>
      </c>
      <c r="F4792" t="s">
        <v>299</v>
      </c>
      <c r="G4792" t="s">
        <v>299</v>
      </c>
      <c r="H4792">
        <v>36</v>
      </c>
      <c r="I4792" s="30">
        <v>1.238425925925926E-3</v>
      </c>
      <c r="J4792">
        <v>4</v>
      </c>
    </row>
    <row r="4793" spans="1:10" x14ac:dyDescent="0.35">
      <c r="A4793" t="s">
        <v>5186</v>
      </c>
      <c r="B4793" t="s">
        <v>307</v>
      </c>
      <c r="C4793" t="s">
        <v>5133</v>
      </c>
      <c r="D4793" s="30">
        <v>0.73799768518518516</v>
      </c>
      <c r="E4793" t="s">
        <v>298</v>
      </c>
      <c r="F4793" t="s">
        <v>299</v>
      </c>
      <c r="G4793" t="s">
        <v>299</v>
      </c>
      <c r="H4793">
        <v>96</v>
      </c>
      <c r="I4793" s="30">
        <v>4.5254629629629629E-3</v>
      </c>
      <c r="J4793">
        <v>3</v>
      </c>
    </row>
    <row r="4794" spans="1:10" x14ac:dyDescent="0.35">
      <c r="A4794" t="s">
        <v>5187</v>
      </c>
      <c r="B4794" t="s">
        <v>307</v>
      </c>
      <c r="C4794" t="s">
        <v>5188</v>
      </c>
      <c r="D4794" s="30">
        <v>0.4</v>
      </c>
      <c r="E4794" t="s">
        <v>302</v>
      </c>
      <c r="F4794" t="s">
        <v>299</v>
      </c>
      <c r="G4794" t="s">
        <v>299</v>
      </c>
      <c r="H4794">
        <v>19</v>
      </c>
      <c r="I4794" s="30">
        <v>7.5231481481481482E-4</v>
      </c>
      <c r="J4794">
        <v>4</v>
      </c>
    </row>
    <row r="4795" spans="1:10" x14ac:dyDescent="0.35">
      <c r="A4795" t="s">
        <v>5189</v>
      </c>
      <c r="B4795" t="s">
        <v>301</v>
      </c>
      <c r="C4795" t="s">
        <v>5188</v>
      </c>
      <c r="D4795" s="30">
        <v>0.4</v>
      </c>
      <c r="E4795" t="s">
        <v>309</v>
      </c>
      <c r="F4795" t="s">
        <v>299</v>
      </c>
      <c r="G4795" t="s">
        <v>303</v>
      </c>
      <c r="H4795">
        <v>70</v>
      </c>
      <c r="I4795" s="30">
        <v>1.4004629629629629E-3</v>
      </c>
      <c r="J4795">
        <v>5</v>
      </c>
    </row>
    <row r="4796" spans="1:10" x14ac:dyDescent="0.35">
      <c r="A4796" t="s">
        <v>5190</v>
      </c>
      <c r="B4796" t="s">
        <v>307</v>
      </c>
      <c r="C4796" t="s">
        <v>5188</v>
      </c>
      <c r="D4796" s="30">
        <v>0.46099537037037036</v>
      </c>
      <c r="E4796" t="s">
        <v>302</v>
      </c>
      <c r="F4796" t="s">
        <v>303</v>
      </c>
      <c r="G4796" t="s">
        <v>303</v>
      </c>
    </row>
    <row r="4797" spans="1:10" x14ac:dyDescent="0.35">
      <c r="A4797" t="s">
        <v>5191</v>
      </c>
      <c r="B4797" t="s">
        <v>323</v>
      </c>
      <c r="C4797" t="s">
        <v>5188</v>
      </c>
      <c r="D4797" s="30">
        <v>0.46099537037037036</v>
      </c>
      <c r="E4797" t="s">
        <v>298</v>
      </c>
      <c r="F4797" t="s">
        <v>303</v>
      </c>
      <c r="G4797" t="s">
        <v>303</v>
      </c>
    </row>
    <row r="4798" spans="1:10" x14ac:dyDescent="0.35">
      <c r="A4798" t="s">
        <v>5192</v>
      </c>
      <c r="B4798" t="s">
        <v>316</v>
      </c>
      <c r="C4798" t="s">
        <v>5188</v>
      </c>
      <c r="D4798" s="30">
        <v>0.46500000000000002</v>
      </c>
      <c r="E4798" t="s">
        <v>302</v>
      </c>
      <c r="F4798" t="s">
        <v>303</v>
      </c>
      <c r="G4798" t="s">
        <v>303</v>
      </c>
    </row>
    <row r="4799" spans="1:10" x14ac:dyDescent="0.35">
      <c r="A4799" t="s">
        <v>5193</v>
      </c>
      <c r="B4799" t="s">
        <v>307</v>
      </c>
      <c r="C4799" t="s">
        <v>5188</v>
      </c>
      <c r="D4799" s="30">
        <v>0.46500000000000002</v>
      </c>
      <c r="E4799" t="s">
        <v>298</v>
      </c>
      <c r="F4799" t="s">
        <v>299</v>
      </c>
      <c r="G4799" t="s">
        <v>299</v>
      </c>
      <c r="H4799">
        <v>88</v>
      </c>
      <c r="I4799" s="30">
        <v>4.7453703703703698E-4</v>
      </c>
      <c r="J4799">
        <v>5</v>
      </c>
    </row>
    <row r="4800" spans="1:10" x14ac:dyDescent="0.35">
      <c r="A4800" t="s">
        <v>5194</v>
      </c>
      <c r="B4800" t="s">
        <v>307</v>
      </c>
      <c r="C4800" t="s">
        <v>5188</v>
      </c>
      <c r="D4800" s="30">
        <v>0.47400462962962964</v>
      </c>
      <c r="E4800" t="s">
        <v>314</v>
      </c>
      <c r="F4800" t="s">
        <v>299</v>
      </c>
      <c r="G4800" t="s">
        <v>299</v>
      </c>
      <c r="H4800">
        <v>23</v>
      </c>
      <c r="I4800" s="30">
        <v>1.3194444444444445E-3</v>
      </c>
      <c r="J4800">
        <v>1</v>
      </c>
    </row>
    <row r="4801" spans="1:10" x14ac:dyDescent="0.35">
      <c r="A4801" t="s">
        <v>5195</v>
      </c>
      <c r="B4801" t="s">
        <v>332</v>
      </c>
      <c r="C4801" t="s">
        <v>5188</v>
      </c>
      <c r="D4801" s="30">
        <v>0.47400462962962964</v>
      </c>
      <c r="E4801" t="s">
        <v>298</v>
      </c>
      <c r="F4801" t="s">
        <v>299</v>
      </c>
      <c r="G4801" t="s">
        <v>299</v>
      </c>
      <c r="H4801">
        <v>78</v>
      </c>
      <c r="I4801" s="30">
        <v>1.7708333333333332E-3</v>
      </c>
      <c r="J4801">
        <v>2</v>
      </c>
    </row>
    <row r="4802" spans="1:10" x14ac:dyDescent="0.35">
      <c r="A4802" t="s">
        <v>5196</v>
      </c>
      <c r="B4802" t="s">
        <v>316</v>
      </c>
      <c r="C4802" t="s">
        <v>5188</v>
      </c>
      <c r="D4802" s="30">
        <v>0.49</v>
      </c>
      <c r="E4802" t="s">
        <v>317</v>
      </c>
      <c r="F4802" t="s">
        <v>299</v>
      </c>
      <c r="G4802" t="s">
        <v>299</v>
      </c>
      <c r="H4802">
        <v>100</v>
      </c>
      <c r="I4802" s="30">
        <v>3.8310185185185183E-3</v>
      </c>
      <c r="J4802">
        <v>2</v>
      </c>
    </row>
    <row r="4803" spans="1:10" x14ac:dyDescent="0.35">
      <c r="A4803" t="s">
        <v>5197</v>
      </c>
      <c r="B4803" t="s">
        <v>301</v>
      </c>
      <c r="C4803" t="s">
        <v>5188</v>
      </c>
      <c r="D4803" s="30">
        <v>0.49</v>
      </c>
      <c r="E4803" t="s">
        <v>309</v>
      </c>
      <c r="F4803" t="s">
        <v>299</v>
      </c>
      <c r="G4803" t="s">
        <v>299</v>
      </c>
      <c r="H4803">
        <v>124</v>
      </c>
      <c r="I4803" s="30">
        <v>2.9282407407407408E-3</v>
      </c>
      <c r="J4803">
        <v>5</v>
      </c>
    </row>
    <row r="4804" spans="1:10" x14ac:dyDescent="0.35">
      <c r="A4804" t="s">
        <v>5198</v>
      </c>
      <c r="B4804" t="s">
        <v>319</v>
      </c>
      <c r="C4804" t="s">
        <v>5188</v>
      </c>
      <c r="D4804" s="30">
        <v>0.49200231481481482</v>
      </c>
      <c r="E4804" t="s">
        <v>302</v>
      </c>
      <c r="F4804" t="s">
        <v>299</v>
      </c>
      <c r="G4804" t="s">
        <v>299</v>
      </c>
      <c r="H4804">
        <v>73</v>
      </c>
      <c r="I4804" s="30">
        <v>4.6296296296296294E-3</v>
      </c>
      <c r="J4804">
        <v>3</v>
      </c>
    </row>
    <row r="4805" spans="1:10" x14ac:dyDescent="0.35">
      <c r="A4805" t="s">
        <v>5199</v>
      </c>
      <c r="B4805" t="s">
        <v>301</v>
      </c>
      <c r="C4805" t="s">
        <v>5188</v>
      </c>
      <c r="D4805" s="30">
        <v>0.49200231481481482</v>
      </c>
      <c r="E4805" t="s">
        <v>314</v>
      </c>
      <c r="F4805" t="s">
        <v>299</v>
      </c>
      <c r="G4805" t="s">
        <v>299</v>
      </c>
      <c r="H4805">
        <v>94</v>
      </c>
      <c r="I4805" s="30">
        <v>9.2592592592592596E-4</v>
      </c>
      <c r="J4805">
        <v>4</v>
      </c>
    </row>
    <row r="4806" spans="1:10" x14ac:dyDescent="0.35">
      <c r="A4806" t="s">
        <v>5200</v>
      </c>
      <c r="B4806" t="s">
        <v>307</v>
      </c>
      <c r="C4806" t="s">
        <v>5188</v>
      </c>
      <c r="D4806" s="30">
        <v>0.51599537037037035</v>
      </c>
      <c r="E4806" t="s">
        <v>317</v>
      </c>
      <c r="F4806" t="s">
        <v>303</v>
      </c>
      <c r="G4806" t="s">
        <v>303</v>
      </c>
    </row>
    <row r="4807" spans="1:10" x14ac:dyDescent="0.35">
      <c r="A4807" t="s">
        <v>5201</v>
      </c>
      <c r="B4807" t="s">
        <v>307</v>
      </c>
      <c r="C4807" t="s">
        <v>5188</v>
      </c>
      <c r="D4807" s="30">
        <v>0.51599537037037035</v>
      </c>
      <c r="E4807" t="s">
        <v>309</v>
      </c>
      <c r="F4807" t="s">
        <v>299</v>
      </c>
      <c r="G4807" t="s">
        <v>299</v>
      </c>
      <c r="H4807">
        <v>40</v>
      </c>
      <c r="I4807" s="30">
        <v>2.662037037037037E-3</v>
      </c>
      <c r="J4807">
        <v>2</v>
      </c>
    </row>
    <row r="4808" spans="1:10" x14ac:dyDescent="0.35">
      <c r="A4808" t="s">
        <v>5202</v>
      </c>
      <c r="B4808" t="s">
        <v>323</v>
      </c>
      <c r="C4808" t="s">
        <v>5188</v>
      </c>
      <c r="D4808" s="30">
        <v>0.51799768518518519</v>
      </c>
      <c r="E4808" t="s">
        <v>309</v>
      </c>
      <c r="F4808" t="s">
        <v>299</v>
      </c>
      <c r="G4808" t="s">
        <v>299</v>
      </c>
      <c r="H4808">
        <v>15</v>
      </c>
      <c r="I4808" s="30">
        <v>1.0069444444444444E-3</v>
      </c>
      <c r="J4808">
        <v>3</v>
      </c>
    </row>
    <row r="4809" spans="1:10" x14ac:dyDescent="0.35">
      <c r="A4809" t="s">
        <v>5203</v>
      </c>
      <c r="B4809" t="s">
        <v>301</v>
      </c>
      <c r="C4809" t="s">
        <v>5188</v>
      </c>
      <c r="D4809" s="30">
        <v>0.51799768518518519</v>
      </c>
      <c r="E4809" t="s">
        <v>309</v>
      </c>
      <c r="F4809" t="s">
        <v>303</v>
      </c>
      <c r="G4809" t="s">
        <v>303</v>
      </c>
    </row>
    <row r="4810" spans="1:10" x14ac:dyDescent="0.35">
      <c r="A4810" t="s">
        <v>5204</v>
      </c>
      <c r="B4810" t="s">
        <v>307</v>
      </c>
      <c r="C4810" t="s">
        <v>5188</v>
      </c>
      <c r="D4810" s="30">
        <v>0.5379976851851852</v>
      </c>
      <c r="E4810" t="s">
        <v>314</v>
      </c>
      <c r="F4810" t="s">
        <v>299</v>
      </c>
      <c r="G4810" t="s">
        <v>299</v>
      </c>
      <c r="H4810">
        <v>104</v>
      </c>
      <c r="I4810" s="30">
        <v>3.5995370370370369E-3</v>
      </c>
      <c r="J4810">
        <v>4</v>
      </c>
    </row>
    <row r="4811" spans="1:10" x14ac:dyDescent="0.35">
      <c r="A4811" t="s">
        <v>5205</v>
      </c>
      <c r="B4811" t="s">
        <v>332</v>
      </c>
      <c r="C4811" t="s">
        <v>5188</v>
      </c>
      <c r="D4811" s="30">
        <v>0.5379976851851852</v>
      </c>
      <c r="E4811" t="s">
        <v>317</v>
      </c>
      <c r="F4811" t="s">
        <v>299</v>
      </c>
      <c r="G4811" t="s">
        <v>299</v>
      </c>
      <c r="H4811">
        <v>92</v>
      </c>
      <c r="I4811" s="30">
        <v>2.2916666666666667E-3</v>
      </c>
      <c r="J4811">
        <v>3</v>
      </c>
    </row>
    <row r="4812" spans="1:10" x14ac:dyDescent="0.35">
      <c r="A4812" t="s">
        <v>5206</v>
      </c>
      <c r="B4812" t="s">
        <v>307</v>
      </c>
      <c r="C4812" t="s">
        <v>5188</v>
      </c>
      <c r="D4812" s="30">
        <v>0.55799768518518522</v>
      </c>
      <c r="E4812" t="s">
        <v>309</v>
      </c>
      <c r="F4812" t="s">
        <v>299</v>
      </c>
      <c r="G4812" t="s">
        <v>299</v>
      </c>
      <c r="H4812">
        <v>103</v>
      </c>
      <c r="I4812" s="30">
        <v>2.685185185185185E-3</v>
      </c>
      <c r="J4812">
        <v>5</v>
      </c>
    </row>
    <row r="4813" spans="1:10" x14ac:dyDescent="0.35">
      <c r="A4813" t="s">
        <v>5207</v>
      </c>
      <c r="B4813" t="s">
        <v>301</v>
      </c>
      <c r="C4813" t="s">
        <v>5188</v>
      </c>
      <c r="D4813" s="30">
        <v>0.55799768518518522</v>
      </c>
      <c r="E4813" t="s">
        <v>309</v>
      </c>
      <c r="F4813" t="s">
        <v>299</v>
      </c>
      <c r="G4813" t="s">
        <v>299</v>
      </c>
      <c r="H4813">
        <v>43</v>
      </c>
      <c r="I4813" s="30">
        <v>1.0416666666666667E-3</v>
      </c>
      <c r="J4813">
        <v>4</v>
      </c>
    </row>
    <row r="4814" spans="1:10" x14ac:dyDescent="0.35">
      <c r="A4814" t="s">
        <v>5208</v>
      </c>
      <c r="B4814" t="s">
        <v>305</v>
      </c>
      <c r="C4814" t="s">
        <v>5188</v>
      </c>
      <c r="D4814" s="30">
        <v>0.56299768518518523</v>
      </c>
      <c r="E4814" t="s">
        <v>302</v>
      </c>
      <c r="F4814" t="s">
        <v>299</v>
      </c>
      <c r="G4814" t="s">
        <v>299</v>
      </c>
      <c r="H4814">
        <v>93</v>
      </c>
      <c r="I4814" s="30">
        <v>6.7129629629629625E-4</v>
      </c>
      <c r="J4814">
        <v>4</v>
      </c>
    </row>
    <row r="4815" spans="1:10" x14ac:dyDescent="0.35">
      <c r="A4815" t="s">
        <v>5209</v>
      </c>
      <c r="B4815" t="s">
        <v>319</v>
      </c>
      <c r="C4815" t="s">
        <v>5188</v>
      </c>
      <c r="D4815" s="30">
        <v>0.56299768518518523</v>
      </c>
      <c r="E4815" t="s">
        <v>309</v>
      </c>
      <c r="F4815" t="s">
        <v>303</v>
      </c>
      <c r="G4815" t="s">
        <v>303</v>
      </c>
    </row>
    <row r="4816" spans="1:10" x14ac:dyDescent="0.35">
      <c r="A4816" t="s">
        <v>5210</v>
      </c>
      <c r="B4816" t="s">
        <v>316</v>
      </c>
      <c r="C4816" t="s">
        <v>5188</v>
      </c>
      <c r="D4816" s="30">
        <v>0.59</v>
      </c>
      <c r="E4816" t="s">
        <v>317</v>
      </c>
      <c r="F4816" t="s">
        <v>299</v>
      </c>
      <c r="G4816" t="s">
        <v>299</v>
      </c>
      <c r="H4816">
        <v>107</v>
      </c>
      <c r="I4816" s="30">
        <v>2.3726851851851851E-3</v>
      </c>
      <c r="J4816">
        <v>3</v>
      </c>
    </row>
    <row r="4817" spans="1:10" x14ac:dyDescent="0.35">
      <c r="A4817" t="s">
        <v>5211</v>
      </c>
      <c r="B4817" t="s">
        <v>301</v>
      </c>
      <c r="C4817" t="s">
        <v>5188</v>
      </c>
      <c r="D4817" s="30">
        <v>0.59</v>
      </c>
      <c r="E4817" t="s">
        <v>309</v>
      </c>
      <c r="F4817" t="s">
        <v>299</v>
      </c>
      <c r="G4817" t="s">
        <v>299</v>
      </c>
      <c r="H4817">
        <v>51</v>
      </c>
      <c r="I4817" s="30">
        <v>1.3194444444444445E-3</v>
      </c>
      <c r="J4817">
        <v>3</v>
      </c>
    </row>
    <row r="4818" spans="1:10" x14ac:dyDescent="0.35">
      <c r="A4818" t="s">
        <v>5212</v>
      </c>
      <c r="B4818" t="s">
        <v>307</v>
      </c>
      <c r="C4818" t="s">
        <v>5188</v>
      </c>
      <c r="D4818" s="30">
        <v>0.59700231481481481</v>
      </c>
      <c r="E4818" t="s">
        <v>309</v>
      </c>
      <c r="F4818" t="s">
        <v>303</v>
      </c>
      <c r="G4818" t="s">
        <v>303</v>
      </c>
    </row>
    <row r="4819" spans="1:10" x14ac:dyDescent="0.35">
      <c r="A4819" t="s">
        <v>5213</v>
      </c>
      <c r="B4819" t="s">
        <v>316</v>
      </c>
      <c r="C4819" t="s">
        <v>5188</v>
      </c>
      <c r="D4819" s="30">
        <v>0.59700231481481481</v>
      </c>
      <c r="E4819" t="s">
        <v>309</v>
      </c>
      <c r="F4819" t="s">
        <v>299</v>
      </c>
      <c r="G4819" t="s">
        <v>299</v>
      </c>
      <c r="H4819">
        <v>50</v>
      </c>
      <c r="I4819" s="30">
        <v>3.4027777777777776E-3</v>
      </c>
      <c r="J4819">
        <v>3</v>
      </c>
    </row>
    <row r="4820" spans="1:10" x14ac:dyDescent="0.35">
      <c r="A4820" t="s">
        <v>5214</v>
      </c>
      <c r="B4820" t="s">
        <v>332</v>
      </c>
      <c r="C4820" t="s">
        <v>5188</v>
      </c>
      <c r="D4820" s="30">
        <v>0.60900462962962965</v>
      </c>
      <c r="E4820" t="s">
        <v>317</v>
      </c>
      <c r="F4820" t="s">
        <v>299</v>
      </c>
      <c r="G4820" t="s">
        <v>299</v>
      </c>
      <c r="H4820">
        <v>68</v>
      </c>
      <c r="I4820" s="30">
        <v>2.7546296296296294E-3</v>
      </c>
      <c r="J4820">
        <v>5</v>
      </c>
    </row>
    <row r="4821" spans="1:10" x14ac:dyDescent="0.35">
      <c r="A4821" t="s">
        <v>5215</v>
      </c>
      <c r="B4821" t="s">
        <v>305</v>
      </c>
      <c r="C4821" t="s">
        <v>5188</v>
      </c>
      <c r="D4821" s="30">
        <v>0.60900462962962965</v>
      </c>
      <c r="E4821" t="s">
        <v>309</v>
      </c>
      <c r="F4821" t="s">
        <v>299</v>
      </c>
      <c r="G4821" t="s">
        <v>299</v>
      </c>
      <c r="H4821">
        <v>35</v>
      </c>
      <c r="I4821" s="30">
        <v>2.9166666666666668E-3</v>
      </c>
      <c r="J4821">
        <v>4</v>
      </c>
    </row>
    <row r="4822" spans="1:10" x14ac:dyDescent="0.35">
      <c r="A4822" t="s">
        <v>5216</v>
      </c>
      <c r="B4822" t="s">
        <v>305</v>
      </c>
      <c r="C4822" t="s">
        <v>5188</v>
      </c>
      <c r="D4822" s="30">
        <v>0.63700231481481484</v>
      </c>
      <c r="E4822" t="s">
        <v>298</v>
      </c>
      <c r="F4822" t="s">
        <v>299</v>
      </c>
      <c r="G4822" t="s">
        <v>299</v>
      </c>
      <c r="H4822">
        <v>87</v>
      </c>
      <c r="I4822" s="30">
        <v>4.6874999999999998E-3</v>
      </c>
      <c r="J4822">
        <v>1</v>
      </c>
    </row>
    <row r="4823" spans="1:10" x14ac:dyDescent="0.35">
      <c r="A4823" t="s">
        <v>5217</v>
      </c>
      <c r="B4823" t="s">
        <v>323</v>
      </c>
      <c r="C4823" t="s">
        <v>5188</v>
      </c>
      <c r="D4823" s="30">
        <v>0.63700231481481484</v>
      </c>
      <c r="E4823" t="s">
        <v>317</v>
      </c>
      <c r="F4823" t="s">
        <v>303</v>
      </c>
      <c r="G4823" t="s">
        <v>303</v>
      </c>
    </row>
    <row r="4824" spans="1:10" x14ac:dyDescent="0.35">
      <c r="A4824" t="s">
        <v>5218</v>
      </c>
      <c r="B4824" t="s">
        <v>301</v>
      </c>
      <c r="C4824" t="s">
        <v>5188</v>
      </c>
      <c r="D4824" s="30">
        <v>0.64</v>
      </c>
      <c r="E4824" t="s">
        <v>298</v>
      </c>
      <c r="F4824" t="s">
        <v>303</v>
      </c>
      <c r="G4824" t="s">
        <v>303</v>
      </c>
    </row>
    <row r="4825" spans="1:10" x14ac:dyDescent="0.35">
      <c r="A4825" t="s">
        <v>5219</v>
      </c>
      <c r="B4825" t="s">
        <v>332</v>
      </c>
      <c r="C4825" t="s">
        <v>5188</v>
      </c>
      <c r="D4825" s="30">
        <v>0.64</v>
      </c>
      <c r="E4825" t="s">
        <v>309</v>
      </c>
      <c r="F4825" t="s">
        <v>299</v>
      </c>
      <c r="G4825" t="s">
        <v>299</v>
      </c>
      <c r="H4825">
        <v>79</v>
      </c>
      <c r="I4825" s="30">
        <v>4.6180555555555558E-3</v>
      </c>
      <c r="J4825">
        <v>3</v>
      </c>
    </row>
    <row r="4826" spans="1:10" x14ac:dyDescent="0.35">
      <c r="A4826" t="s">
        <v>5220</v>
      </c>
      <c r="B4826" t="s">
        <v>319</v>
      </c>
      <c r="C4826" t="s">
        <v>5188</v>
      </c>
      <c r="D4826" s="30">
        <v>0.64099537037037035</v>
      </c>
      <c r="E4826" t="s">
        <v>314</v>
      </c>
      <c r="F4826" t="s">
        <v>299</v>
      </c>
      <c r="G4826" t="s">
        <v>299</v>
      </c>
      <c r="H4826">
        <v>28</v>
      </c>
      <c r="I4826" s="30">
        <v>2.0717592592592593E-3</v>
      </c>
      <c r="J4826">
        <v>1</v>
      </c>
    </row>
    <row r="4827" spans="1:10" x14ac:dyDescent="0.35">
      <c r="A4827" t="s">
        <v>5221</v>
      </c>
      <c r="B4827" t="s">
        <v>307</v>
      </c>
      <c r="C4827" t="s">
        <v>5188</v>
      </c>
      <c r="D4827" s="30">
        <v>0.64099537037037035</v>
      </c>
      <c r="E4827" t="s">
        <v>298</v>
      </c>
      <c r="F4827" t="s">
        <v>299</v>
      </c>
      <c r="G4827" t="s">
        <v>299</v>
      </c>
      <c r="H4827">
        <v>82</v>
      </c>
      <c r="I4827" s="30">
        <v>2.3032407407407407E-3</v>
      </c>
      <c r="J4827">
        <v>5</v>
      </c>
    </row>
    <row r="4828" spans="1:10" x14ac:dyDescent="0.35">
      <c r="A4828" t="s">
        <v>5222</v>
      </c>
      <c r="B4828" t="s">
        <v>332</v>
      </c>
      <c r="C4828" t="s">
        <v>5188</v>
      </c>
      <c r="D4828" s="30">
        <v>0.65</v>
      </c>
      <c r="E4828" t="s">
        <v>317</v>
      </c>
      <c r="F4828" t="s">
        <v>299</v>
      </c>
      <c r="G4828" t="s">
        <v>299</v>
      </c>
      <c r="H4828">
        <v>56</v>
      </c>
      <c r="I4828" s="30">
        <v>1.4583333333333334E-3</v>
      </c>
      <c r="J4828">
        <v>3</v>
      </c>
    </row>
    <row r="4829" spans="1:10" x14ac:dyDescent="0.35">
      <c r="A4829" t="s">
        <v>5223</v>
      </c>
      <c r="B4829" t="s">
        <v>301</v>
      </c>
      <c r="C4829" t="s">
        <v>5188</v>
      </c>
      <c r="D4829" s="30">
        <v>0.65</v>
      </c>
      <c r="E4829" t="s">
        <v>309</v>
      </c>
      <c r="F4829" t="s">
        <v>299</v>
      </c>
      <c r="G4829" t="s">
        <v>299</v>
      </c>
      <c r="H4829">
        <v>102</v>
      </c>
      <c r="I4829" s="30">
        <v>4.363425925925926E-3</v>
      </c>
      <c r="J4829">
        <v>4</v>
      </c>
    </row>
    <row r="4830" spans="1:10" x14ac:dyDescent="0.35">
      <c r="A4830" t="s">
        <v>5224</v>
      </c>
      <c r="B4830" t="s">
        <v>296</v>
      </c>
      <c r="C4830" t="s">
        <v>5188</v>
      </c>
      <c r="D4830" s="30">
        <v>0.65500000000000003</v>
      </c>
      <c r="E4830" t="s">
        <v>302</v>
      </c>
      <c r="F4830" t="s">
        <v>303</v>
      </c>
      <c r="G4830" t="s">
        <v>303</v>
      </c>
    </row>
    <row r="4831" spans="1:10" x14ac:dyDescent="0.35">
      <c r="A4831" t="s">
        <v>5225</v>
      </c>
      <c r="B4831" t="s">
        <v>319</v>
      </c>
      <c r="C4831" t="s">
        <v>5188</v>
      </c>
      <c r="D4831" s="30">
        <v>0.65500000000000003</v>
      </c>
      <c r="E4831" t="s">
        <v>314</v>
      </c>
      <c r="F4831" t="s">
        <v>299</v>
      </c>
      <c r="G4831" t="s">
        <v>299</v>
      </c>
      <c r="H4831">
        <v>11</v>
      </c>
      <c r="I4831" s="30">
        <v>4.0625000000000001E-3</v>
      </c>
      <c r="J4831">
        <v>5</v>
      </c>
    </row>
    <row r="4832" spans="1:10" x14ac:dyDescent="0.35">
      <c r="A4832" t="s">
        <v>5226</v>
      </c>
      <c r="B4832" t="s">
        <v>319</v>
      </c>
      <c r="C4832" t="s">
        <v>5188</v>
      </c>
      <c r="D4832" s="30">
        <v>0.65700231481481486</v>
      </c>
      <c r="E4832" t="s">
        <v>309</v>
      </c>
      <c r="F4832" t="s">
        <v>299</v>
      </c>
      <c r="G4832" t="s">
        <v>299</v>
      </c>
      <c r="H4832">
        <v>76</v>
      </c>
      <c r="I4832" s="30">
        <v>3.1481481481481482E-3</v>
      </c>
      <c r="J4832">
        <v>1</v>
      </c>
    </row>
    <row r="4833" spans="1:10" x14ac:dyDescent="0.35">
      <c r="A4833" t="s">
        <v>5227</v>
      </c>
      <c r="B4833" t="s">
        <v>332</v>
      </c>
      <c r="C4833" t="s">
        <v>5188</v>
      </c>
      <c r="D4833" s="30">
        <v>0.65700231481481486</v>
      </c>
      <c r="E4833" t="s">
        <v>309</v>
      </c>
      <c r="F4833" t="s">
        <v>299</v>
      </c>
      <c r="G4833" t="s">
        <v>299</v>
      </c>
      <c r="H4833">
        <v>69</v>
      </c>
      <c r="I4833" s="30">
        <v>3.8541666666666668E-3</v>
      </c>
      <c r="J4833">
        <v>5</v>
      </c>
    </row>
    <row r="4834" spans="1:10" x14ac:dyDescent="0.35">
      <c r="A4834" t="s">
        <v>5228</v>
      </c>
      <c r="B4834" t="s">
        <v>305</v>
      </c>
      <c r="C4834" t="s">
        <v>5188</v>
      </c>
      <c r="D4834" s="30">
        <v>0.66099537037037037</v>
      </c>
      <c r="E4834" t="s">
        <v>314</v>
      </c>
      <c r="F4834" t="s">
        <v>299</v>
      </c>
      <c r="G4834" t="s">
        <v>303</v>
      </c>
      <c r="H4834">
        <v>108</v>
      </c>
      <c r="I4834" s="30">
        <v>4.7916666666666663E-3</v>
      </c>
      <c r="J4834">
        <v>3</v>
      </c>
    </row>
    <row r="4835" spans="1:10" x14ac:dyDescent="0.35">
      <c r="A4835" t="s">
        <v>5229</v>
      </c>
      <c r="B4835" t="s">
        <v>301</v>
      </c>
      <c r="C4835" t="s">
        <v>5188</v>
      </c>
      <c r="D4835" s="30">
        <v>0.66099537037037037</v>
      </c>
      <c r="E4835" t="s">
        <v>302</v>
      </c>
      <c r="F4835" t="s">
        <v>299</v>
      </c>
      <c r="G4835" t="s">
        <v>299</v>
      </c>
      <c r="H4835">
        <v>47</v>
      </c>
      <c r="I4835" s="30">
        <v>1.8402777777777777E-3</v>
      </c>
      <c r="J4835">
        <v>3</v>
      </c>
    </row>
    <row r="4836" spans="1:10" x14ac:dyDescent="0.35">
      <c r="A4836" t="s">
        <v>5230</v>
      </c>
      <c r="B4836" t="s">
        <v>319</v>
      </c>
      <c r="C4836" t="s">
        <v>5188</v>
      </c>
      <c r="D4836" s="30">
        <v>0.66200231481481486</v>
      </c>
      <c r="E4836" t="s">
        <v>314</v>
      </c>
      <c r="F4836" t="s">
        <v>299</v>
      </c>
      <c r="G4836" t="s">
        <v>303</v>
      </c>
      <c r="H4836">
        <v>51</v>
      </c>
      <c r="I4836" s="30">
        <v>3.6458333333333334E-3</v>
      </c>
      <c r="J4836">
        <v>3</v>
      </c>
    </row>
    <row r="4837" spans="1:10" x14ac:dyDescent="0.35">
      <c r="A4837" t="s">
        <v>5231</v>
      </c>
      <c r="B4837" t="s">
        <v>332</v>
      </c>
      <c r="C4837" t="s">
        <v>5188</v>
      </c>
      <c r="D4837" s="30">
        <v>0.66200231481481486</v>
      </c>
      <c r="E4837" t="s">
        <v>302</v>
      </c>
      <c r="F4837" t="s">
        <v>299</v>
      </c>
      <c r="G4837" t="s">
        <v>299</v>
      </c>
      <c r="H4837">
        <v>57</v>
      </c>
      <c r="I4837" s="30">
        <v>2.4189814814814816E-3</v>
      </c>
      <c r="J4837">
        <v>3</v>
      </c>
    </row>
    <row r="4838" spans="1:10" x14ac:dyDescent="0.35">
      <c r="A4838" t="s">
        <v>5232</v>
      </c>
      <c r="B4838" t="s">
        <v>305</v>
      </c>
      <c r="C4838" t="s">
        <v>5188</v>
      </c>
      <c r="D4838" s="30">
        <v>0.67799768518518522</v>
      </c>
      <c r="E4838" t="s">
        <v>302</v>
      </c>
      <c r="F4838" t="s">
        <v>299</v>
      </c>
      <c r="G4838" t="s">
        <v>303</v>
      </c>
      <c r="H4838">
        <v>67</v>
      </c>
      <c r="I4838" s="30">
        <v>4.7569444444444447E-3</v>
      </c>
      <c r="J4838">
        <v>4</v>
      </c>
    </row>
    <row r="4839" spans="1:10" x14ac:dyDescent="0.35">
      <c r="A4839" t="s">
        <v>5233</v>
      </c>
      <c r="B4839" t="s">
        <v>296</v>
      </c>
      <c r="C4839" t="s">
        <v>5188</v>
      </c>
      <c r="D4839" s="30">
        <v>0.67799768518518522</v>
      </c>
      <c r="E4839" t="s">
        <v>317</v>
      </c>
      <c r="F4839" t="s">
        <v>299</v>
      </c>
      <c r="G4839" t="s">
        <v>303</v>
      </c>
      <c r="H4839">
        <v>22</v>
      </c>
      <c r="I4839" s="30">
        <v>4.2592592592592595E-3</v>
      </c>
      <c r="J4839">
        <v>4</v>
      </c>
    </row>
    <row r="4840" spans="1:10" x14ac:dyDescent="0.35">
      <c r="A4840" t="s">
        <v>5234</v>
      </c>
      <c r="B4840" t="s">
        <v>323</v>
      </c>
      <c r="C4840" t="s">
        <v>5188</v>
      </c>
      <c r="D4840" s="30">
        <v>0.67799768518518522</v>
      </c>
      <c r="E4840" t="s">
        <v>309</v>
      </c>
      <c r="F4840" t="s">
        <v>299</v>
      </c>
      <c r="G4840" t="s">
        <v>299</v>
      </c>
      <c r="H4840">
        <v>23</v>
      </c>
      <c r="I4840" s="30">
        <v>1.1921296296296296E-3</v>
      </c>
      <c r="J4840">
        <v>2</v>
      </c>
    </row>
    <row r="4841" spans="1:10" x14ac:dyDescent="0.35">
      <c r="A4841" t="s">
        <v>5235</v>
      </c>
      <c r="B4841" t="s">
        <v>332</v>
      </c>
      <c r="C4841" t="s">
        <v>5188</v>
      </c>
      <c r="D4841" s="30">
        <v>0.67799768518518522</v>
      </c>
      <c r="E4841" t="s">
        <v>314</v>
      </c>
      <c r="F4841" t="s">
        <v>299</v>
      </c>
      <c r="G4841" t="s">
        <v>299</v>
      </c>
      <c r="H4841">
        <v>88</v>
      </c>
      <c r="I4841" s="30">
        <v>1.2847222222222223E-3</v>
      </c>
      <c r="J4841">
        <v>4</v>
      </c>
    </row>
    <row r="4842" spans="1:10" x14ac:dyDescent="0.35">
      <c r="A4842" t="s">
        <v>5236</v>
      </c>
      <c r="B4842" t="s">
        <v>323</v>
      </c>
      <c r="C4842" t="s">
        <v>5188</v>
      </c>
      <c r="D4842" s="30">
        <v>0.68500000000000005</v>
      </c>
      <c r="E4842" t="s">
        <v>302</v>
      </c>
      <c r="F4842" t="s">
        <v>299</v>
      </c>
      <c r="G4842" t="s">
        <v>299</v>
      </c>
      <c r="H4842">
        <v>44</v>
      </c>
      <c r="I4842" s="30">
        <v>4.2708333333333331E-3</v>
      </c>
      <c r="J4842">
        <v>3</v>
      </c>
    </row>
    <row r="4843" spans="1:10" x14ac:dyDescent="0.35">
      <c r="A4843" t="s">
        <v>5237</v>
      </c>
      <c r="B4843" t="s">
        <v>319</v>
      </c>
      <c r="C4843" t="s">
        <v>5188</v>
      </c>
      <c r="D4843" s="30">
        <v>0.68500000000000005</v>
      </c>
      <c r="E4843" t="s">
        <v>317</v>
      </c>
      <c r="F4843" t="s">
        <v>299</v>
      </c>
      <c r="G4843" t="s">
        <v>299</v>
      </c>
      <c r="H4843">
        <v>111</v>
      </c>
      <c r="I4843" s="30">
        <v>2.8935185185185184E-3</v>
      </c>
      <c r="J4843">
        <v>4</v>
      </c>
    </row>
    <row r="4844" spans="1:10" x14ac:dyDescent="0.35">
      <c r="A4844" t="s">
        <v>5238</v>
      </c>
      <c r="B4844" t="s">
        <v>316</v>
      </c>
      <c r="C4844" t="s">
        <v>5188</v>
      </c>
      <c r="D4844" s="30">
        <v>0.70200231481481479</v>
      </c>
      <c r="E4844" t="s">
        <v>314</v>
      </c>
      <c r="F4844" t="s">
        <v>303</v>
      </c>
      <c r="G4844" t="s">
        <v>303</v>
      </c>
    </row>
    <row r="4845" spans="1:10" x14ac:dyDescent="0.35">
      <c r="A4845" t="s">
        <v>5239</v>
      </c>
      <c r="B4845" t="s">
        <v>296</v>
      </c>
      <c r="C4845" t="s">
        <v>5188</v>
      </c>
      <c r="D4845" s="30">
        <v>0.70200231481481479</v>
      </c>
      <c r="E4845" t="s">
        <v>314</v>
      </c>
      <c r="F4845" t="s">
        <v>299</v>
      </c>
      <c r="G4845" t="s">
        <v>299</v>
      </c>
      <c r="H4845">
        <v>61</v>
      </c>
      <c r="I4845" s="30">
        <v>4.3287037037037035E-3</v>
      </c>
      <c r="J4845">
        <v>4</v>
      </c>
    </row>
    <row r="4846" spans="1:10" x14ac:dyDescent="0.35">
      <c r="A4846" t="s">
        <v>5240</v>
      </c>
      <c r="B4846" t="s">
        <v>323</v>
      </c>
      <c r="C4846" t="s">
        <v>5188</v>
      </c>
      <c r="D4846" s="30">
        <v>0.70700231481481479</v>
      </c>
      <c r="E4846" t="s">
        <v>309</v>
      </c>
      <c r="F4846" t="s">
        <v>299</v>
      </c>
      <c r="G4846" t="s">
        <v>299</v>
      </c>
      <c r="H4846">
        <v>108</v>
      </c>
      <c r="I4846" s="30">
        <v>2.4305555555555556E-3</v>
      </c>
      <c r="J4846">
        <v>4</v>
      </c>
    </row>
    <row r="4847" spans="1:10" x14ac:dyDescent="0.35">
      <c r="A4847" t="s">
        <v>5241</v>
      </c>
      <c r="B4847" t="s">
        <v>305</v>
      </c>
      <c r="C4847" t="s">
        <v>5188</v>
      </c>
      <c r="D4847" s="30">
        <v>0.70700231481481479</v>
      </c>
      <c r="E4847" t="s">
        <v>298</v>
      </c>
      <c r="F4847" t="s">
        <v>303</v>
      </c>
      <c r="G4847" t="s">
        <v>303</v>
      </c>
    </row>
    <row r="4848" spans="1:10" x14ac:dyDescent="0.35">
      <c r="A4848" t="s">
        <v>5242</v>
      </c>
      <c r="B4848" t="s">
        <v>305</v>
      </c>
      <c r="C4848" t="s">
        <v>5188</v>
      </c>
      <c r="D4848" s="30">
        <v>0.71900462962962963</v>
      </c>
      <c r="E4848" t="s">
        <v>317</v>
      </c>
      <c r="F4848" t="s">
        <v>299</v>
      </c>
      <c r="G4848" t="s">
        <v>299</v>
      </c>
      <c r="H4848">
        <v>57</v>
      </c>
      <c r="I4848" s="30">
        <v>3.0092592592592593E-3</v>
      </c>
      <c r="J4848">
        <v>5</v>
      </c>
    </row>
    <row r="4849" spans="1:10" x14ac:dyDescent="0.35">
      <c r="A4849" t="s">
        <v>5243</v>
      </c>
      <c r="B4849" t="s">
        <v>301</v>
      </c>
      <c r="C4849" t="s">
        <v>5188</v>
      </c>
      <c r="D4849" s="30">
        <v>0.71900462962962963</v>
      </c>
      <c r="E4849" t="s">
        <v>302</v>
      </c>
      <c r="F4849" t="s">
        <v>299</v>
      </c>
      <c r="G4849" t="s">
        <v>299</v>
      </c>
      <c r="H4849">
        <v>55</v>
      </c>
      <c r="I4849" s="30">
        <v>2.9398148148148148E-3</v>
      </c>
      <c r="J4849">
        <v>4</v>
      </c>
    </row>
    <row r="4850" spans="1:10" x14ac:dyDescent="0.35">
      <c r="A4850" t="s">
        <v>5244</v>
      </c>
      <c r="B4850" t="s">
        <v>323</v>
      </c>
      <c r="C4850" t="s">
        <v>5188</v>
      </c>
      <c r="D4850" s="30">
        <v>0.73299768518518515</v>
      </c>
      <c r="E4850" t="s">
        <v>302</v>
      </c>
      <c r="F4850" t="s">
        <v>299</v>
      </c>
      <c r="G4850" t="s">
        <v>303</v>
      </c>
      <c r="H4850">
        <v>35</v>
      </c>
      <c r="I4850" s="30">
        <v>2.4305555555555556E-3</v>
      </c>
      <c r="J4850">
        <v>4</v>
      </c>
    </row>
    <row r="4851" spans="1:10" x14ac:dyDescent="0.35">
      <c r="A4851" t="s">
        <v>5245</v>
      </c>
      <c r="B4851" t="s">
        <v>316</v>
      </c>
      <c r="C4851" t="s">
        <v>5188</v>
      </c>
      <c r="D4851" s="30">
        <v>0.73299768518518515</v>
      </c>
      <c r="E4851" t="s">
        <v>298</v>
      </c>
      <c r="F4851" t="s">
        <v>299</v>
      </c>
      <c r="G4851" t="s">
        <v>299</v>
      </c>
      <c r="H4851">
        <v>28</v>
      </c>
      <c r="I4851" s="30">
        <v>1.8287037037037037E-3</v>
      </c>
      <c r="J4851">
        <v>4</v>
      </c>
    </row>
    <row r="4852" spans="1:10" x14ac:dyDescent="0.35">
      <c r="A4852" t="s">
        <v>5246</v>
      </c>
      <c r="B4852" t="s">
        <v>332</v>
      </c>
      <c r="C4852" t="s">
        <v>5247</v>
      </c>
      <c r="D4852" s="30">
        <v>0.38400462962962961</v>
      </c>
      <c r="E4852" t="s">
        <v>317</v>
      </c>
      <c r="F4852" t="s">
        <v>299</v>
      </c>
      <c r="G4852" t="s">
        <v>299</v>
      </c>
      <c r="H4852">
        <v>13</v>
      </c>
      <c r="I4852" s="30">
        <v>1.4467592592592592E-3</v>
      </c>
      <c r="J4852">
        <v>3</v>
      </c>
    </row>
    <row r="4853" spans="1:10" x14ac:dyDescent="0.35">
      <c r="A4853" t="s">
        <v>5248</v>
      </c>
      <c r="B4853" t="s">
        <v>316</v>
      </c>
      <c r="C4853" t="s">
        <v>5247</v>
      </c>
      <c r="D4853" s="30">
        <v>0.38400462962962961</v>
      </c>
      <c r="E4853" t="s">
        <v>314</v>
      </c>
      <c r="F4853" t="s">
        <v>299</v>
      </c>
      <c r="G4853" t="s">
        <v>299</v>
      </c>
      <c r="H4853">
        <v>37</v>
      </c>
      <c r="I4853" s="30">
        <v>7.407407407407407E-4</v>
      </c>
      <c r="J4853">
        <v>2</v>
      </c>
    </row>
    <row r="4854" spans="1:10" x14ac:dyDescent="0.35">
      <c r="A4854" t="s">
        <v>5249</v>
      </c>
      <c r="B4854" t="s">
        <v>332</v>
      </c>
      <c r="C4854" t="s">
        <v>5247</v>
      </c>
      <c r="D4854" s="30">
        <v>0.4020023148148148</v>
      </c>
      <c r="E4854" t="s">
        <v>302</v>
      </c>
      <c r="F4854" t="s">
        <v>299</v>
      </c>
      <c r="G4854" t="s">
        <v>299</v>
      </c>
      <c r="H4854">
        <v>99</v>
      </c>
      <c r="I4854" s="30">
        <v>3.1944444444444446E-3</v>
      </c>
      <c r="J4854">
        <v>3</v>
      </c>
    </row>
    <row r="4855" spans="1:10" x14ac:dyDescent="0.35">
      <c r="A4855" t="s">
        <v>5250</v>
      </c>
      <c r="B4855" t="s">
        <v>319</v>
      </c>
      <c r="C4855" t="s">
        <v>5247</v>
      </c>
      <c r="D4855" s="30">
        <v>0.4020023148148148</v>
      </c>
      <c r="E4855" t="s">
        <v>302</v>
      </c>
      <c r="F4855" t="s">
        <v>299</v>
      </c>
      <c r="G4855" t="s">
        <v>303</v>
      </c>
      <c r="H4855">
        <v>89</v>
      </c>
      <c r="I4855" s="30">
        <v>2.8124999999999999E-3</v>
      </c>
      <c r="J4855">
        <v>1</v>
      </c>
    </row>
    <row r="4856" spans="1:10" x14ac:dyDescent="0.35">
      <c r="A4856" t="s">
        <v>5251</v>
      </c>
      <c r="B4856" t="s">
        <v>332</v>
      </c>
      <c r="C4856" t="s">
        <v>5247</v>
      </c>
      <c r="D4856" s="30">
        <v>0.435</v>
      </c>
      <c r="E4856" t="s">
        <v>314</v>
      </c>
      <c r="F4856" t="s">
        <v>299</v>
      </c>
      <c r="G4856" t="s">
        <v>303</v>
      </c>
      <c r="H4856">
        <v>22</v>
      </c>
      <c r="I4856" s="30">
        <v>2.0601851851851853E-3</v>
      </c>
      <c r="J4856">
        <v>5</v>
      </c>
    </row>
    <row r="4857" spans="1:10" x14ac:dyDescent="0.35">
      <c r="A4857" t="s">
        <v>5252</v>
      </c>
      <c r="B4857" t="s">
        <v>323</v>
      </c>
      <c r="C4857" t="s">
        <v>5247</v>
      </c>
      <c r="D4857" s="30">
        <v>0.435</v>
      </c>
      <c r="E4857" t="s">
        <v>302</v>
      </c>
      <c r="F4857" t="s">
        <v>303</v>
      </c>
      <c r="G4857" t="s">
        <v>303</v>
      </c>
    </row>
    <row r="4858" spans="1:10" x14ac:dyDescent="0.35">
      <c r="A4858" t="s">
        <v>5253</v>
      </c>
      <c r="B4858" t="s">
        <v>296</v>
      </c>
      <c r="C4858" t="s">
        <v>5247</v>
      </c>
      <c r="D4858" s="30">
        <v>0.46099537037037036</v>
      </c>
      <c r="E4858" t="s">
        <v>309</v>
      </c>
      <c r="F4858" t="s">
        <v>299</v>
      </c>
      <c r="G4858" t="s">
        <v>299</v>
      </c>
      <c r="H4858">
        <v>32</v>
      </c>
      <c r="I4858" s="30">
        <v>5.6712962962962967E-4</v>
      </c>
      <c r="J4858">
        <v>4</v>
      </c>
    </row>
    <row r="4859" spans="1:10" x14ac:dyDescent="0.35">
      <c r="A4859" t="s">
        <v>5254</v>
      </c>
      <c r="B4859" t="s">
        <v>301</v>
      </c>
      <c r="C4859" t="s">
        <v>5247</v>
      </c>
      <c r="D4859" s="30">
        <v>0.46099537037037036</v>
      </c>
      <c r="E4859" t="s">
        <v>309</v>
      </c>
      <c r="F4859" t="s">
        <v>303</v>
      </c>
      <c r="G4859" t="s">
        <v>303</v>
      </c>
    </row>
    <row r="4860" spans="1:10" x14ac:dyDescent="0.35">
      <c r="A4860" t="s">
        <v>5255</v>
      </c>
      <c r="B4860" t="s">
        <v>307</v>
      </c>
      <c r="C4860" t="s">
        <v>5247</v>
      </c>
      <c r="D4860" s="30">
        <v>0.47799768518518521</v>
      </c>
      <c r="E4860" t="s">
        <v>309</v>
      </c>
      <c r="F4860" t="s">
        <v>299</v>
      </c>
      <c r="G4860" t="s">
        <v>299</v>
      </c>
      <c r="H4860">
        <v>88</v>
      </c>
      <c r="I4860" s="30">
        <v>9.9537037037037042E-4</v>
      </c>
      <c r="J4860">
        <v>3</v>
      </c>
    </row>
    <row r="4861" spans="1:10" x14ac:dyDescent="0.35">
      <c r="A4861" t="s">
        <v>5256</v>
      </c>
      <c r="B4861" t="s">
        <v>305</v>
      </c>
      <c r="C4861" t="s">
        <v>5247</v>
      </c>
      <c r="D4861" s="30">
        <v>0.47799768518518521</v>
      </c>
      <c r="E4861" t="s">
        <v>302</v>
      </c>
      <c r="F4861" t="s">
        <v>303</v>
      </c>
      <c r="G4861" t="s">
        <v>303</v>
      </c>
    </row>
    <row r="4862" spans="1:10" x14ac:dyDescent="0.35">
      <c r="A4862" t="s">
        <v>5257</v>
      </c>
      <c r="B4862" t="s">
        <v>296</v>
      </c>
      <c r="C4862" t="s">
        <v>5247</v>
      </c>
      <c r="D4862" s="30">
        <v>0.47900462962962964</v>
      </c>
      <c r="E4862" t="s">
        <v>298</v>
      </c>
      <c r="F4862" t="s">
        <v>299</v>
      </c>
      <c r="G4862" t="s">
        <v>299</v>
      </c>
      <c r="H4862">
        <v>29</v>
      </c>
      <c r="I4862" s="30">
        <v>2.1180555555555558E-3</v>
      </c>
      <c r="J4862">
        <v>3</v>
      </c>
    </row>
    <row r="4863" spans="1:10" x14ac:dyDescent="0.35">
      <c r="A4863" t="s">
        <v>5258</v>
      </c>
      <c r="B4863" t="s">
        <v>319</v>
      </c>
      <c r="C4863" t="s">
        <v>5247</v>
      </c>
      <c r="D4863" s="30">
        <v>0.47900462962962964</v>
      </c>
      <c r="E4863" t="s">
        <v>314</v>
      </c>
      <c r="F4863" t="s">
        <v>299</v>
      </c>
      <c r="G4863" t="s">
        <v>299</v>
      </c>
      <c r="H4863">
        <v>32</v>
      </c>
      <c r="I4863" s="30">
        <v>1.4120370370370369E-3</v>
      </c>
      <c r="J4863">
        <v>3</v>
      </c>
    </row>
    <row r="4864" spans="1:10" x14ac:dyDescent="0.35">
      <c r="A4864" t="s">
        <v>5259</v>
      </c>
      <c r="B4864" t="s">
        <v>316</v>
      </c>
      <c r="C4864" t="s">
        <v>5247</v>
      </c>
      <c r="D4864" s="30">
        <v>0.5329976851851852</v>
      </c>
      <c r="E4864" t="s">
        <v>298</v>
      </c>
      <c r="F4864" t="s">
        <v>299</v>
      </c>
      <c r="G4864" t="s">
        <v>299</v>
      </c>
      <c r="H4864">
        <v>16</v>
      </c>
      <c r="I4864" s="30">
        <v>2.7430555555555554E-3</v>
      </c>
      <c r="J4864">
        <v>1</v>
      </c>
    </row>
    <row r="4865" spans="1:10" x14ac:dyDescent="0.35">
      <c r="A4865" t="s">
        <v>5260</v>
      </c>
      <c r="B4865" t="s">
        <v>301</v>
      </c>
      <c r="C4865" t="s">
        <v>5247</v>
      </c>
      <c r="D4865" s="30">
        <v>0.5329976851851852</v>
      </c>
      <c r="E4865" t="s">
        <v>302</v>
      </c>
      <c r="F4865" t="s">
        <v>299</v>
      </c>
      <c r="G4865" t="s">
        <v>299</v>
      </c>
      <c r="H4865">
        <v>79</v>
      </c>
      <c r="I4865" s="30">
        <v>2.3379629629629631E-3</v>
      </c>
      <c r="J4865">
        <v>1</v>
      </c>
    </row>
    <row r="4866" spans="1:10" x14ac:dyDescent="0.35">
      <c r="A4866" t="s">
        <v>5261</v>
      </c>
      <c r="B4866" t="s">
        <v>301</v>
      </c>
      <c r="C4866" t="s">
        <v>5247</v>
      </c>
      <c r="D4866" s="30">
        <v>0.54500000000000004</v>
      </c>
      <c r="E4866" t="s">
        <v>314</v>
      </c>
      <c r="F4866" t="s">
        <v>299</v>
      </c>
      <c r="G4866" t="s">
        <v>299</v>
      </c>
      <c r="H4866">
        <v>23</v>
      </c>
      <c r="I4866" s="30">
        <v>6.018518518518519E-4</v>
      </c>
      <c r="J4866">
        <v>1</v>
      </c>
    </row>
    <row r="4867" spans="1:10" x14ac:dyDescent="0.35">
      <c r="A4867" t="s">
        <v>5262</v>
      </c>
      <c r="B4867" t="s">
        <v>316</v>
      </c>
      <c r="C4867" t="s">
        <v>5247</v>
      </c>
      <c r="D4867" s="30">
        <v>0.54500000000000004</v>
      </c>
      <c r="E4867" t="s">
        <v>302</v>
      </c>
      <c r="F4867" t="s">
        <v>299</v>
      </c>
      <c r="G4867" t="s">
        <v>303</v>
      </c>
      <c r="H4867">
        <v>94</v>
      </c>
      <c r="I4867" s="30">
        <v>4.1435185185185186E-3</v>
      </c>
      <c r="J4867">
        <v>5</v>
      </c>
    </row>
    <row r="4868" spans="1:10" x14ac:dyDescent="0.35">
      <c r="A4868" t="s">
        <v>5263</v>
      </c>
      <c r="B4868" t="s">
        <v>319</v>
      </c>
      <c r="C4868" t="s">
        <v>5247</v>
      </c>
      <c r="D4868" s="30">
        <v>0.54599537037037038</v>
      </c>
      <c r="E4868" t="s">
        <v>314</v>
      </c>
      <c r="F4868" t="s">
        <v>299</v>
      </c>
      <c r="G4868" t="s">
        <v>299</v>
      </c>
      <c r="H4868">
        <v>39</v>
      </c>
      <c r="I4868" s="30">
        <v>4.2708333333333331E-3</v>
      </c>
      <c r="J4868">
        <v>4</v>
      </c>
    </row>
    <row r="4869" spans="1:10" x14ac:dyDescent="0.35">
      <c r="A4869" t="s">
        <v>5264</v>
      </c>
      <c r="B4869" t="s">
        <v>307</v>
      </c>
      <c r="C4869" t="s">
        <v>5247</v>
      </c>
      <c r="D4869" s="30">
        <v>0.54599537037037038</v>
      </c>
      <c r="E4869" t="s">
        <v>317</v>
      </c>
      <c r="F4869" t="s">
        <v>299</v>
      </c>
      <c r="G4869" t="s">
        <v>299</v>
      </c>
      <c r="H4869">
        <v>12</v>
      </c>
      <c r="I4869" s="30">
        <v>4.0509259259259258E-4</v>
      </c>
      <c r="J4869">
        <v>2</v>
      </c>
    </row>
    <row r="4870" spans="1:10" x14ac:dyDescent="0.35">
      <c r="A4870" t="s">
        <v>5265</v>
      </c>
      <c r="B4870" t="s">
        <v>305</v>
      </c>
      <c r="C4870" t="s">
        <v>5247</v>
      </c>
      <c r="D4870" s="30">
        <v>0.56799768518518523</v>
      </c>
      <c r="E4870" t="s">
        <v>317</v>
      </c>
      <c r="F4870" t="s">
        <v>299</v>
      </c>
      <c r="G4870" t="s">
        <v>299</v>
      </c>
      <c r="H4870">
        <v>54</v>
      </c>
      <c r="I4870" s="30">
        <v>1.2731481481481483E-3</v>
      </c>
      <c r="J4870">
        <v>3</v>
      </c>
    </row>
    <row r="4871" spans="1:10" x14ac:dyDescent="0.35">
      <c r="A4871" t="s">
        <v>5266</v>
      </c>
      <c r="B4871" t="s">
        <v>319</v>
      </c>
      <c r="C4871" t="s">
        <v>5247</v>
      </c>
      <c r="D4871" s="30">
        <v>0.56799768518518523</v>
      </c>
      <c r="E4871" t="s">
        <v>314</v>
      </c>
      <c r="F4871" t="s">
        <v>303</v>
      </c>
      <c r="G4871" t="s">
        <v>303</v>
      </c>
    </row>
    <row r="4872" spans="1:10" x14ac:dyDescent="0.35">
      <c r="A4872" t="s">
        <v>5267</v>
      </c>
      <c r="B4872" t="s">
        <v>332</v>
      </c>
      <c r="C4872" t="s">
        <v>5247</v>
      </c>
      <c r="D4872" s="30">
        <v>0.63400462962962967</v>
      </c>
      <c r="E4872" t="s">
        <v>302</v>
      </c>
      <c r="F4872" t="s">
        <v>299</v>
      </c>
      <c r="G4872" t="s">
        <v>303</v>
      </c>
      <c r="H4872">
        <v>70</v>
      </c>
      <c r="I4872" s="30">
        <v>2.7777777777777779E-3</v>
      </c>
      <c r="J4872">
        <v>5</v>
      </c>
    </row>
    <row r="4873" spans="1:10" x14ac:dyDescent="0.35">
      <c r="A4873" t="s">
        <v>5268</v>
      </c>
      <c r="B4873" t="s">
        <v>323</v>
      </c>
      <c r="C4873" t="s">
        <v>5247</v>
      </c>
      <c r="D4873" s="30">
        <v>0.63400462962962967</v>
      </c>
      <c r="E4873" t="s">
        <v>317</v>
      </c>
      <c r="F4873" t="s">
        <v>299</v>
      </c>
      <c r="G4873" t="s">
        <v>299</v>
      </c>
      <c r="H4873">
        <v>123</v>
      </c>
      <c r="I4873" s="30">
        <v>1.0069444444444444E-3</v>
      </c>
      <c r="J4873">
        <v>2</v>
      </c>
    </row>
    <row r="4874" spans="1:10" x14ac:dyDescent="0.35">
      <c r="A4874" t="s">
        <v>5269</v>
      </c>
      <c r="B4874" t="s">
        <v>305</v>
      </c>
      <c r="C4874" t="s">
        <v>5247</v>
      </c>
      <c r="D4874" s="30">
        <v>0.66799768518518521</v>
      </c>
      <c r="E4874" t="s">
        <v>302</v>
      </c>
      <c r="F4874" t="s">
        <v>299</v>
      </c>
      <c r="G4874" t="s">
        <v>299</v>
      </c>
      <c r="H4874">
        <v>27</v>
      </c>
      <c r="I4874" s="30">
        <v>2.0601851851851853E-3</v>
      </c>
      <c r="J4874">
        <v>1</v>
      </c>
    </row>
    <row r="4875" spans="1:10" x14ac:dyDescent="0.35">
      <c r="A4875" t="s">
        <v>5270</v>
      </c>
      <c r="B4875" t="s">
        <v>332</v>
      </c>
      <c r="C4875" t="s">
        <v>5247</v>
      </c>
      <c r="D4875" s="30">
        <v>0.66799768518518521</v>
      </c>
      <c r="E4875" t="s">
        <v>309</v>
      </c>
      <c r="F4875" t="s">
        <v>299</v>
      </c>
      <c r="G4875" t="s">
        <v>299</v>
      </c>
      <c r="H4875">
        <v>112</v>
      </c>
      <c r="I4875" s="30">
        <v>2.5462962962962965E-3</v>
      </c>
      <c r="J4875">
        <v>5</v>
      </c>
    </row>
    <row r="4876" spans="1:10" x14ac:dyDescent="0.35">
      <c r="A4876" t="s">
        <v>5271</v>
      </c>
      <c r="B4876" t="s">
        <v>296</v>
      </c>
      <c r="C4876" t="s">
        <v>5247</v>
      </c>
      <c r="D4876" s="30">
        <v>0.67</v>
      </c>
      <c r="E4876" t="s">
        <v>302</v>
      </c>
      <c r="F4876" t="s">
        <v>303</v>
      </c>
      <c r="G4876" t="s">
        <v>303</v>
      </c>
    </row>
    <row r="4877" spans="1:10" x14ac:dyDescent="0.35">
      <c r="A4877" t="s">
        <v>5272</v>
      </c>
      <c r="B4877" t="s">
        <v>332</v>
      </c>
      <c r="C4877" t="s">
        <v>5247</v>
      </c>
      <c r="D4877" s="30">
        <v>0.67</v>
      </c>
      <c r="E4877" t="s">
        <v>309</v>
      </c>
      <c r="F4877" t="s">
        <v>303</v>
      </c>
      <c r="G4877" t="s">
        <v>303</v>
      </c>
    </row>
    <row r="4878" spans="1:10" x14ac:dyDescent="0.35">
      <c r="A4878" t="s">
        <v>5273</v>
      </c>
      <c r="B4878" t="s">
        <v>301</v>
      </c>
      <c r="C4878" t="s">
        <v>5247</v>
      </c>
      <c r="D4878" s="30">
        <v>0.70700231481481479</v>
      </c>
      <c r="E4878" t="s">
        <v>309</v>
      </c>
      <c r="F4878" t="s">
        <v>299</v>
      </c>
      <c r="G4878" t="s">
        <v>299</v>
      </c>
      <c r="H4878">
        <v>119</v>
      </c>
      <c r="I4878" s="30">
        <v>3.5185185185185185E-3</v>
      </c>
      <c r="J4878">
        <v>1</v>
      </c>
    </row>
    <row r="4879" spans="1:10" x14ac:dyDescent="0.35">
      <c r="A4879" t="s">
        <v>5274</v>
      </c>
      <c r="B4879" t="s">
        <v>305</v>
      </c>
      <c r="C4879" t="s">
        <v>5247</v>
      </c>
      <c r="D4879" s="30">
        <v>0.70700231481481479</v>
      </c>
      <c r="E4879" t="s">
        <v>298</v>
      </c>
      <c r="F4879" t="s">
        <v>299</v>
      </c>
      <c r="G4879" t="s">
        <v>299</v>
      </c>
      <c r="H4879">
        <v>18</v>
      </c>
      <c r="I4879" s="30">
        <v>3.0902777777777777E-3</v>
      </c>
      <c r="J4879">
        <v>4</v>
      </c>
    </row>
    <row r="4880" spans="1:10" x14ac:dyDescent="0.35">
      <c r="A4880" t="s">
        <v>5275</v>
      </c>
      <c r="B4880" t="s">
        <v>296</v>
      </c>
      <c r="C4880" t="s">
        <v>5247</v>
      </c>
      <c r="D4880" s="30">
        <v>0.7120023148148148</v>
      </c>
      <c r="E4880" t="s">
        <v>309</v>
      </c>
      <c r="F4880" t="s">
        <v>299</v>
      </c>
      <c r="G4880" t="s">
        <v>299</v>
      </c>
      <c r="H4880">
        <v>24</v>
      </c>
      <c r="I4880" s="30">
        <v>5.9027777777777778E-4</v>
      </c>
      <c r="J4880">
        <v>3</v>
      </c>
    </row>
    <row r="4881" spans="1:10" x14ac:dyDescent="0.35">
      <c r="A4881" t="s">
        <v>5276</v>
      </c>
      <c r="B4881" t="s">
        <v>319</v>
      </c>
      <c r="C4881" t="s">
        <v>5247</v>
      </c>
      <c r="D4881" s="30">
        <v>0.7120023148148148</v>
      </c>
      <c r="E4881" t="s">
        <v>298</v>
      </c>
      <c r="F4881" t="s">
        <v>299</v>
      </c>
      <c r="G4881" t="s">
        <v>299</v>
      </c>
      <c r="H4881">
        <v>70</v>
      </c>
      <c r="I4881" s="30">
        <v>2.2916666666666667E-3</v>
      </c>
      <c r="J4881">
        <v>3</v>
      </c>
    </row>
    <row r="4882" spans="1:10" x14ac:dyDescent="0.35">
      <c r="A4882" t="s">
        <v>5277</v>
      </c>
      <c r="B4882" t="s">
        <v>307</v>
      </c>
      <c r="C4882" t="s">
        <v>5247</v>
      </c>
      <c r="D4882" s="30">
        <v>0.71499999999999997</v>
      </c>
      <c r="E4882" t="s">
        <v>314</v>
      </c>
      <c r="F4882" t="s">
        <v>303</v>
      </c>
      <c r="G4882" t="s">
        <v>303</v>
      </c>
    </row>
    <row r="4883" spans="1:10" x14ac:dyDescent="0.35">
      <c r="A4883" t="s">
        <v>5278</v>
      </c>
      <c r="B4883" t="s">
        <v>307</v>
      </c>
      <c r="C4883" t="s">
        <v>5247</v>
      </c>
      <c r="D4883" s="30">
        <v>0.71499999999999997</v>
      </c>
      <c r="E4883" t="s">
        <v>317</v>
      </c>
      <c r="F4883" t="s">
        <v>299</v>
      </c>
      <c r="G4883" t="s">
        <v>299</v>
      </c>
      <c r="H4883">
        <v>120</v>
      </c>
      <c r="I4883" s="30">
        <v>4.363425925925926E-3</v>
      </c>
      <c r="J4883">
        <v>2</v>
      </c>
    </row>
    <row r="4884" spans="1:10" x14ac:dyDescent="0.35">
      <c r="A4884" t="s">
        <v>5279</v>
      </c>
      <c r="B4884" t="s">
        <v>316</v>
      </c>
      <c r="C4884" t="s">
        <v>5247</v>
      </c>
      <c r="D4884" s="30">
        <v>0.72200231481481481</v>
      </c>
      <c r="E4884" t="s">
        <v>302</v>
      </c>
      <c r="F4884" t="s">
        <v>299</v>
      </c>
      <c r="G4884" t="s">
        <v>299</v>
      </c>
      <c r="H4884">
        <v>46</v>
      </c>
      <c r="I4884" s="30">
        <v>2.8819444444444444E-3</v>
      </c>
      <c r="J4884">
        <v>3</v>
      </c>
    </row>
    <row r="4885" spans="1:10" x14ac:dyDescent="0.35">
      <c r="A4885" t="s">
        <v>5280</v>
      </c>
      <c r="B4885" t="s">
        <v>307</v>
      </c>
      <c r="C4885" t="s">
        <v>5247</v>
      </c>
      <c r="D4885" s="30">
        <v>0.72200231481481481</v>
      </c>
      <c r="E4885" t="s">
        <v>309</v>
      </c>
      <c r="F4885" t="s">
        <v>299</v>
      </c>
      <c r="G4885" t="s">
        <v>299</v>
      </c>
      <c r="H4885">
        <v>10</v>
      </c>
      <c r="I4885" s="30">
        <v>1.7592592592592592E-3</v>
      </c>
      <c r="J4885">
        <v>2</v>
      </c>
    </row>
    <row r="4886" spans="1:10" x14ac:dyDescent="0.35">
      <c r="A4886" t="s">
        <v>5281</v>
      </c>
      <c r="B4886" t="s">
        <v>332</v>
      </c>
      <c r="C4886" t="s">
        <v>5247</v>
      </c>
      <c r="D4886" s="30">
        <v>0.745</v>
      </c>
      <c r="E4886" t="s">
        <v>298</v>
      </c>
      <c r="F4886" t="s">
        <v>299</v>
      </c>
      <c r="G4886" t="s">
        <v>299</v>
      </c>
      <c r="H4886">
        <v>32</v>
      </c>
      <c r="I4886" s="30">
        <v>5.4398148148148144E-4</v>
      </c>
      <c r="J4886">
        <v>3</v>
      </c>
    </row>
    <row r="4887" spans="1:10" x14ac:dyDescent="0.35">
      <c r="A4887" t="s">
        <v>5282</v>
      </c>
      <c r="B4887" t="s">
        <v>305</v>
      </c>
      <c r="C4887" t="s">
        <v>5247</v>
      </c>
      <c r="D4887" s="30">
        <v>0.745</v>
      </c>
      <c r="E4887" t="s">
        <v>317</v>
      </c>
      <c r="F4887" t="s">
        <v>299</v>
      </c>
      <c r="G4887" t="s">
        <v>299</v>
      </c>
      <c r="H4887">
        <v>16</v>
      </c>
      <c r="I4887" s="30">
        <v>9.6064814814814819E-4</v>
      </c>
      <c r="J4887">
        <v>4</v>
      </c>
    </row>
    <row r="4888" spans="1:10" x14ac:dyDescent="0.35">
      <c r="A4888" t="s">
        <v>5283</v>
      </c>
      <c r="B4888" t="s">
        <v>319</v>
      </c>
      <c r="C4888" t="s">
        <v>5247</v>
      </c>
      <c r="D4888" s="30">
        <v>0.74900462962962966</v>
      </c>
      <c r="E4888" t="s">
        <v>309</v>
      </c>
      <c r="F4888" t="s">
        <v>299</v>
      </c>
      <c r="G4888" t="s">
        <v>299</v>
      </c>
      <c r="H4888">
        <v>64</v>
      </c>
      <c r="I4888" s="30">
        <v>2.9629629629629628E-3</v>
      </c>
      <c r="J4888">
        <v>3</v>
      </c>
    </row>
    <row r="4889" spans="1:10" x14ac:dyDescent="0.35">
      <c r="A4889" t="s">
        <v>5284</v>
      </c>
      <c r="B4889" t="s">
        <v>296</v>
      </c>
      <c r="C4889" t="s">
        <v>5247</v>
      </c>
      <c r="D4889" s="30">
        <v>0.74900462962962966</v>
      </c>
      <c r="E4889" t="s">
        <v>298</v>
      </c>
      <c r="F4889" t="s">
        <v>299</v>
      </c>
      <c r="G4889" t="s">
        <v>299</v>
      </c>
      <c r="H4889">
        <v>103</v>
      </c>
      <c r="I4889" s="30">
        <v>4.5370370370370373E-3</v>
      </c>
      <c r="J4889">
        <v>5</v>
      </c>
    </row>
    <row r="4890" spans="1:10" x14ac:dyDescent="0.35">
      <c r="A4890" t="s">
        <v>5285</v>
      </c>
      <c r="B4890" t="s">
        <v>323</v>
      </c>
      <c r="C4890" t="s">
        <v>5286</v>
      </c>
      <c r="D4890" s="30">
        <v>0.38299768518518518</v>
      </c>
      <c r="E4890" t="s">
        <v>314</v>
      </c>
      <c r="F4890" t="s">
        <v>299</v>
      </c>
      <c r="G4890" t="s">
        <v>299</v>
      </c>
      <c r="H4890">
        <v>109</v>
      </c>
      <c r="I4890" s="30">
        <v>4.409722222222222E-3</v>
      </c>
      <c r="J4890">
        <v>5</v>
      </c>
    </row>
    <row r="4891" spans="1:10" x14ac:dyDescent="0.35">
      <c r="A4891" t="s">
        <v>5287</v>
      </c>
      <c r="B4891" t="s">
        <v>323</v>
      </c>
      <c r="C4891" t="s">
        <v>5286</v>
      </c>
      <c r="D4891" s="30">
        <v>0.38299768518518518</v>
      </c>
      <c r="E4891" t="s">
        <v>302</v>
      </c>
      <c r="F4891" t="s">
        <v>299</v>
      </c>
      <c r="G4891" t="s">
        <v>299</v>
      </c>
      <c r="H4891">
        <v>61</v>
      </c>
      <c r="I4891" s="30">
        <v>1.8749999999999999E-3</v>
      </c>
      <c r="J4891">
        <v>5</v>
      </c>
    </row>
    <row r="4892" spans="1:10" x14ac:dyDescent="0.35">
      <c r="A4892" t="s">
        <v>5288</v>
      </c>
      <c r="B4892" t="s">
        <v>323</v>
      </c>
      <c r="C4892" t="s">
        <v>5286</v>
      </c>
      <c r="D4892" s="30">
        <v>0.41</v>
      </c>
      <c r="E4892" t="s">
        <v>317</v>
      </c>
      <c r="F4892" t="s">
        <v>303</v>
      </c>
      <c r="G4892" t="s">
        <v>303</v>
      </c>
    </row>
    <row r="4893" spans="1:10" x14ac:dyDescent="0.35">
      <c r="A4893" t="s">
        <v>5289</v>
      </c>
      <c r="B4893" t="s">
        <v>319</v>
      </c>
      <c r="C4893" t="s">
        <v>5286</v>
      </c>
      <c r="D4893" s="30">
        <v>0.41</v>
      </c>
      <c r="E4893" t="s">
        <v>309</v>
      </c>
      <c r="F4893" t="s">
        <v>299</v>
      </c>
      <c r="G4893" t="s">
        <v>299</v>
      </c>
      <c r="H4893">
        <v>23</v>
      </c>
      <c r="I4893" s="30">
        <v>2.2222222222222222E-3</v>
      </c>
      <c r="J4893">
        <v>5</v>
      </c>
    </row>
    <row r="4894" spans="1:10" x14ac:dyDescent="0.35">
      <c r="A4894" t="s">
        <v>5290</v>
      </c>
      <c r="B4894" t="s">
        <v>296</v>
      </c>
      <c r="C4894" t="s">
        <v>5286</v>
      </c>
      <c r="D4894" s="30">
        <v>0.42</v>
      </c>
      <c r="E4894" t="s">
        <v>298</v>
      </c>
      <c r="F4894" t="s">
        <v>299</v>
      </c>
      <c r="G4894" t="s">
        <v>299</v>
      </c>
      <c r="H4894">
        <v>63</v>
      </c>
      <c r="I4894" s="30">
        <v>2.1064814814814813E-3</v>
      </c>
      <c r="J4894">
        <v>4</v>
      </c>
    </row>
    <row r="4895" spans="1:10" x14ac:dyDescent="0.35">
      <c r="A4895" t="s">
        <v>5291</v>
      </c>
      <c r="B4895" t="s">
        <v>296</v>
      </c>
      <c r="C4895" t="s">
        <v>5286</v>
      </c>
      <c r="D4895" s="30">
        <v>0.42</v>
      </c>
      <c r="E4895" t="s">
        <v>298</v>
      </c>
      <c r="F4895" t="s">
        <v>299</v>
      </c>
      <c r="G4895" t="s">
        <v>299</v>
      </c>
      <c r="H4895">
        <v>117</v>
      </c>
      <c r="I4895" s="30">
        <v>4.2361111111111115E-3</v>
      </c>
      <c r="J4895">
        <v>5</v>
      </c>
    </row>
    <row r="4896" spans="1:10" x14ac:dyDescent="0.35">
      <c r="A4896" t="s">
        <v>5292</v>
      </c>
      <c r="B4896" t="s">
        <v>305</v>
      </c>
      <c r="C4896" t="s">
        <v>5286</v>
      </c>
      <c r="D4896" s="30">
        <v>0.44400462962962961</v>
      </c>
      <c r="E4896" t="s">
        <v>302</v>
      </c>
      <c r="F4896" t="s">
        <v>299</v>
      </c>
      <c r="G4896" t="s">
        <v>299</v>
      </c>
      <c r="H4896">
        <v>122</v>
      </c>
      <c r="I4896" s="30">
        <v>3.9467592592592592E-3</v>
      </c>
      <c r="J4896">
        <v>1</v>
      </c>
    </row>
    <row r="4897" spans="1:10" x14ac:dyDescent="0.35">
      <c r="A4897" t="s">
        <v>5293</v>
      </c>
      <c r="B4897" t="s">
        <v>323</v>
      </c>
      <c r="C4897" t="s">
        <v>5286</v>
      </c>
      <c r="D4897" s="30">
        <v>0.44400462962962961</v>
      </c>
      <c r="E4897" t="s">
        <v>302</v>
      </c>
      <c r="F4897" t="s">
        <v>303</v>
      </c>
      <c r="G4897" t="s">
        <v>303</v>
      </c>
    </row>
    <row r="4898" spans="1:10" x14ac:dyDescent="0.35">
      <c r="A4898" t="s">
        <v>5294</v>
      </c>
      <c r="B4898" t="s">
        <v>301</v>
      </c>
      <c r="C4898" t="s">
        <v>5286</v>
      </c>
      <c r="D4898" s="30">
        <v>0.44799768518518518</v>
      </c>
      <c r="E4898" t="s">
        <v>314</v>
      </c>
      <c r="F4898" t="s">
        <v>299</v>
      </c>
      <c r="G4898" t="s">
        <v>299</v>
      </c>
      <c r="H4898">
        <v>77</v>
      </c>
      <c r="I4898" s="30">
        <v>1.0532407407407407E-3</v>
      </c>
      <c r="J4898">
        <v>4</v>
      </c>
    </row>
    <row r="4899" spans="1:10" x14ac:dyDescent="0.35">
      <c r="A4899" t="s">
        <v>5295</v>
      </c>
      <c r="B4899" t="s">
        <v>296</v>
      </c>
      <c r="C4899" t="s">
        <v>5286</v>
      </c>
      <c r="D4899" s="30">
        <v>0.44799768518518518</v>
      </c>
      <c r="E4899" t="s">
        <v>298</v>
      </c>
      <c r="F4899" t="s">
        <v>299</v>
      </c>
      <c r="G4899" t="s">
        <v>299</v>
      </c>
      <c r="H4899">
        <v>93</v>
      </c>
      <c r="I4899" s="30">
        <v>3.3680555555555556E-3</v>
      </c>
      <c r="J4899">
        <v>2</v>
      </c>
    </row>
    <row r="4900" spans="1:10" x14ac:dyDescent="0.35">
      <c r="A4900" t="s">
        <v>5296</v>
      </c>
      <c r="B4900" t="s">
        <v>305</v>
      </c>
      <c r="C4900" t="s">
        <v>5286</v>
      </c>
      <c r="D4900" s="30">
        <v>0.45099537037037035</v>
      </c>
      <c r="E4900" t="s">
        <v>302</v>
      </c>
      <c r="F4900" t="s">
        <v>299</v>
      </c>
      <c r="G4900" t="s">
        <v>299</v>
      </c>
      <c r="H4900">
        <v>53</v>
      </c>
      <c r="I4900" s="30">
        <v>3.8657407407407408E-3</v>
      </c>
      <c r="J4900">
        <v>2</v>
      </c>
    </row>
    <row r="4901" spans="1:10" x14ac:dyDescent="0.35">
      <c r="A4901" t="s">
        <v>5297</v>
      </c>
      <c r="B4901" t="s">
        <v>307</v>
      </c>
      <c r="C4901" t="s">
        <v>5286</v>
      </c>
      <c r="D4901" s="30">
        <v>0.45099537037037035</v>
      </c>
      <c r="E4901" t="s">
        <v>302</v>
      </c>
      <c r="F4901" t="s">
        <v>303</v>
      </c>
      <c r="G4901" t="s">
        <v>303</v>
      </c>
    </row>
    <row r="4902" spans="1:10" x14ac:dyDescent="0.35">
      <c r="A4902" t="s">
        <v>5298</v>
      </c>
      <c r="B4902" t="s">
        <v>323</v>
      </c>
      <c r="C4902" t="s">
        <v>5286</v>
      </c>
      <c r="D4902" s="30">
        <v>0.4620023148148148</v>
      </c>
      <c r="E4902" t="s">
        <v>302</v>
      </c>
      <c r="F4902" t="s">
        <v>299</v>
      </c>
      <c r="G4902" t="s">
        <v>299</v>
      </c>
      <c r="H4902">
        <v>27</v>
      </c>
      <c r="I4902" s="30">
        <v>4.8495370370370368E-3</v>
      </c>
      <c r="J4902">
        <v>2</v>
      </c>
    </row>
    <row r="4903" spans="1:10" x14ac:dyDescent="0.35">
      <c r="A4903" t="s">
        <v>5299</v>
      </c>
      <c r="B4903" t="s">
        <v>323</v>
      </c>
      <c r="C4903" t="s">
        <v>5286</v>
      </c>
      <c r="D4903" s="30">
        <v>0.4620023148148148</v>
      </c>
      <c r="E4903" t="s">
        <v>309</v>
      </c>
      <c r="F4903" t="s">
        <v>299</v>
      </c>
      <c r="G4903" t="s">
        <v>299</v>
      </c>
      <c r="H4903">
        <v>111</v>
      </c>
      <c r="I4903" s="30">
        <v>7.291666666666667E-4</v>
      </c>
      <c r="J4903">
        <v>5</v>
      </c>
    </row>
    <row r="4904" spans="1:10" x14ac:dyDescent="0.35">
      <c r="A4904" t="s">
        <v>5300</v>
      </c>
      <c r="B4904" t="s">
        <v>305</v>
      </c>
      <c r="C4904" t="s">
        <v>5286</v>
      </c>
      <c r="D4904" s="30">
        <v>0.4670023148148148</v>
      </c>
      <c r="E4904" t="s">
        <v>309</v>
      </c>
      <c r="F4904" t="s">
        <v>299</v>
      </c>
      <c r="G4904" t="s">
        <v>299</v>
      </c>
      <c r="H4904">
        <v>87</v>
      </c>
      <c r="I4904" s="30">
        <v>2.673611111111111E-3</v>
      </c>
      <c r="J4904">
        <v>3</v>
      </c>
    </row>
    <row r="4905" spans="1:10" x14ac:dyDescent="0.35">
      <c r="A4905" t="s">
        <v>5301</v>
      </c>
      <c r="B4905" t="s">
        <v>323</v>
      </c>
      <c r="C4905" t="s">
        <v>5286</v>
      </c>
      <c r="D4905" s="30">
        <v>0.4670023148148148</v>
      </c>
      <c r="E4905" t="s">
        <v>298</v>
      </c>
      <c r="F4905" t="s">
        <v>299</v>
      </c>
      <c r="G4905" t="s">
        <v>299</v>
      </c>
      <c r="H4905">
        <v>78</v>
      </c>
      <c r="I4905" s="30">
        <v>3.5879629629629629E-4</v>
      </c>
      <c r="J4905">
        <v>4</v>
      </c>
    </row>
    <row r="4906" spans="1:10" x14ac:dyDescent="0.35">
      <c r="A4906" t="s">
        <v>5302</v>
      </c>
      <c r="B4906" t="s">
        <v>307</v>
      </c>
      <c r="C4906" t="s">
        <v>5286</v>
      </c>
      <c r="D4906" s="30">
        <v>0.48200231481481481</v>
      </c>
      <c r="E4906" t="s">
        <v>298</v>
      </c>
      <c r="F4906" t="s">
        <v>299</v>
      </c>
      <c r="G4906" t="s">
        <v>299</v>
      </c>
      <c r="H4906">
        <v>78</v>
      </c>
      <c r="I4906" s="30">
        <v>2.1412037037037038E-3</v>
      </c>
      <c r="J4906">
        <v>1</v>
      </c>
    </row>
    <row r="4907" spans="1:10" x14ac:dyDescent="0.35">
      <c r="A4907" t="s">
        <v>5303</v>
      </c>
      <c r="B4907" t="s">
        <v>323</v>
      </c>
      <c r="C4907" t="s">
        <v>5286</v>
      </c>
      <c r="D4907" s="30">
        <v>0.48200231481481481</v>
      </c>
      <c r="E4907" t="s">
        <v>298</v>
      </c>
      <c r="F4907" t="s">
        <v>299</v>
      </c>
      <c r="G4907" t="s">
        <v>299</v>
      </c>
      <c r="H4907">
        <v>116</v>
      </c>
      <c r="I4907" s="30">
        <v>3.414351851851852E-3</v>
      </c>
      <c r="J4907">
        <v>3</v>
      </c>
    </row>
    <row r="4908" spans="1:10" x14ac:dyDescent="0.35">
      <c r="A4908" t="s">
        <v>5304</v>
      </c>
      <c r="B4908" t="s">
        <v>305</v>
      </c>
      <c r="C4908" t="s">
        <v>5286</v>
      </c>
      <c r="D4908" s="30">
        <v>0.495</v>
      </c>
      <c r="E4908" t="s">
        <v>302</v>
      </c>
      <c r="F4908" t="s">
        <v>299</v>
      </c>
      <c r="G4908" t="s">
        <v>299</v>
      </c>
      <c r="H4908">
        <v>84</v>
      </c>
      <c r="I4908" s="30">
        <v>1.3078703703703703E-3</v>
      </c>
      <c r="J4908">
        <v>3</v>
      </c>
    </row>
    <row r="4909" spans="1:10" x14ac:dyDescent="0.35">
      <c r="A4909" t="s">
        <v>5305</v>
      </c>
      <c r="B4909" t="s">
        <v>301</v>
      </c>
      <c r="C4909" t="s">
        <v>5286</v>
      </c>
      <c r="D4909" s="30">
        <v>0.495</v>
      </c>
      <c r="E4909" t="s">
        <v>314</v>
      </c>
      <c r="F4909" t="s">
        <v>299</v>
      </c>
      <c r="G4909" t="s">
        <v>299</v>
      </c>
      <c r="H4909">
        <v>44</v>
      </c>
      <c r="I4909" s="30">
        <v>1.7708333333333332E-3</v>
      </c>
      <c r="J4909">
        <v>2</v>
      </c>
    </row>
    <row r="4910" spans="1:10" x14ac:dyDescent="0.35">
      <c r="A4910" t="s">
        <v>5306</v>
      </c>
      <c r="B4910" t="s">
        <v>316</v>
      </c>
      <c r="C4910" t="s">
        <v>5286</v>
      </c>
      <c r="D4910" s="30">
        <v>0.5</v>
      </c>
      <c r="E4910" t="s">
        <v>298</v>
      </c>
      <c r="F4910" t="s">
        <v>299</v>
      </c>
      <c r="G4910" t="s">
        <v>303</v>
      </c>
      <c r="H4910">
        <v>121</v>
      </c>
      <c r="I4910" s="30">
        <v>3.8657407407407408E-3</v>
      </c>
      <c r="J4910">
        <v>3</v>
      </c>
    </row>
    <row r="4911" spans="1:10" x14ac:dyDescent="0.35">
      <c r="A4911" t="s">
        <v>5307</v>
      </c>
      <c r="B4911" t="s">
        <v>316</v>
      </c>
      <c r="C4911" t="s">
        <v>5286</v>
      </c>
      <c r="D4911" s="30">
        <v>0.5</v>
      </c>
      <c r="E4911" t="s">
        <v>309</v>
      </c>
      <c r="F4911" t="s">
        <v>299</v>
      </c>
      <c r="G4911" t="s">
        <v>299</v>
      </c>
      <c r="H4911">
        <v>92</v>
      </c>
      <c r="I4911" s="30">
        <v>7.1759259259259259E-4</v>
      </c>
      <c r="J4911">
        <v>3</v>
      </c>
    </row>
    <row r="4912" spans="1:10" x14ac:dyDescent="0.35">
      <c r="A4912" t="s">
        <v>5308</v>
      </c>
      <c r="B4912" t="s">
        <v>305</v>
      </c>
      <c r="C4912" t="s">
        <v>5286</v>
      </c>
      <c r="D4912" s="30">
        <v>0.54099537037037038</v>
      </c>
      <c r="E4912" t="s">
        <v>298</v>
      </c>
      <c r="F4912" t="s">
        <v>299</v>
      </c>
      <c r="G4912" t="s">
        <v>299</v>
      </c>
      <c r="H4912">
        <v>83</v>
      </c>
      <c r="I4912" s="30">
        <v>1.7939814814814815E-3</v>
      </c>
      <c r="J4912">
        <v>3</v>
      </c>
    </row>
    <row r="4913" spans="1:10" x14ac:dyDescent="0.35">
      <c r="A4913" t="s">
        <v>5309</v>
      </c>
      <c r="B4913" t="s">
        <v>305</v>
      </c>
      <c r="C4913" t="s">
        <v>5286</v>
      </c>
      <c r="D4913" s="30">
        <v>0.54099537037037038</v>
      </c>
      <c r="E4913" t="s">
        <v>298</v>
      </c>
      <c r="F4913" t="s">
        <v>299</v>
      </c>
      <c r="G4913" t="s">
        <v>299</v>
      </c>
      <c r="H4913">
        <v>12</v>
      </c>
      <c r="I4913" s="30">
        <v>9.4907407407407408E-4</v>
      </c>
      <c r="J4913">
        <v>4</v>
      </c>
    </row>
    <row r="4914" spans="1:10" x14ac:dyDescent="0.35">
      <c r="A4914" t="s">
        <v>5310</v>
      </c>
      <c r="B4914" t="s">
        <v>332</v>
      </c>
      <c r="C4914" t="s">
        <v>5286</v>
      </c>
      <c r="D4914" s="30">
        <v>0.54299768518518521</v>
      </c>
      <c r="E4914" t="s">
        <v>314</v>
      </c>
      <c r="F4914" t="s">
        <v>299</v>
      </c>
      <c r="G4914" t="s">
        <v>303</v>
      </c>
      <c r="H4914">
        <v>27</v>
      </c>
      <c r="I4914" s="30">
        <v>1.4583333333333334E-3</v>
      </c>
      <c r="J4914">
        <v>3</v>
      </c>
    </row>
    <row r="4915" spans="1:10" x14ac:dyDescent="0.35">
      <c r="A4915" t="s">
        <v>5311</v>
      </c>
      <c r="B4915" t="s">
        <v>316</v>
      </c>
      <c r="C4915" t="s">
        <v>5286</v>
      </c>
      <c r="D4915" s="30">
        <v>0.54299768518518521</v>
      </c>
      <c r="E4915" t="s">
        <v>317</v>
      </c>
      <c r="F4915" t="s">
        <v>299</v>
      </c>
      <c r="G4915" t="s">
        <v>299</v>
      </c>
      <c r="H4915">
        <v>56</v>
      </c>
      <c r="I4915" s="30">
        <v>1.3657407407407407E-3</v>
      </c>
      <c r="J4915">
        <v>3</v>
      </c>
    </row>
    <row r="4916" spans="1:10" x14ac:dyDescent="0.35">
      <c r="A4916" t="s">
        <v>5312</v>
      </c>
      <c r="B4916" t="s">
        <v>305</v>
      </c>
      <c r="C4916" t="s">
        <v>5286</v>
      </c>
      <c r="D4916" s="30">
        <v>0.56299768518518523</v>
      </c>
      <c r="E4916" t="s">
        <v>317</v>
      </c>
      <c r="F4916" t="s">
        <v>299</v>
      </c>
      <c r="G4916" t="s">
        <v>299</v>
      </c>
      <c r="H4916">
        <v>45</v>
      </c>
      <c r="I4916" s="30">
        <v>4.6643518518518518E-3</v>
      </c>
      <c r="J4916">
        <v>4</v>
      </c>
    </row>
    <row r="4917" spans="1:10" x14ac:dyDescent="0.35">
      <c r="A4917" t="s">
        <v>5313</v>
      </c>
      <c r="B4917" t="s">
        <v>301</v>
      </c>
      <c r="C4917" t="s">
        <v>5286</v>
      </c>
      <c r="D4917" s="30">
        <v>0.56299768518518523</v>
      </c>
      <c r="E4917" t="s">
        <v>317</v>
      </c>
      <c r="F4917" t="s">
        <v>303</v>
      </c>
      <c r="G4917" t="s">
        <v>303</v>
      </c>
    </row>
    <row r="4918" spans="1:10" x14ac:dyDescent="0.35">
      <c r="A4918" t="s">
        <v>5314</v>
      </c>
      <c r="B4918" t="s">
        <v>301</v>
      </c>
      <c r="C4918" t="s">
        <v>5286</v>
      </c>
      <c r="D4918" s="30">
        <v>0.57299768518518523</v>
      </c>
      <c r="E4918" t="s">
        <v>302</v>
      </c>
      <c r="F4918" t="s">
        <v>303</v>
      </c>
      <c r="G4918" t="s">
        <v>303</v>
      </c>
    </row>
    <row r="4919" spans="1:10" x14ac:dyDescent="0.35">
      <c r="A4919" t="s">
        <v>5315</v>
      </c>
      <c r="B4919" t="s">
        <v>301</v>
      </c>
      <c r="C4919" t="s">
        <v>5286</v>
      </c>
      <c r="D4919" s="30">
        <v>0.57299768518518523</v>
      </c>
      <c r="E4919" t="s">
        <v>314</v>
      </c>
      <c r="F4919" t="s">
        <v>299</v>
      </c>
      <c r="G4919" t="s">
        <v>299</v>
      </c>
      <c r="H4919">
        <v>91</v>
      </c>
      <c r="I4919" s="30">
        <v>3.4722222222222218E-4</v>
      </c>
      <c r="J4919">
        <v>4</v>
      </c>
    </row>
    <row r="4920" spans="1:10" x14ac:dyDescent="0.35">
      <c r="A4920" t="s">
        <v>5316</v>
      </c>
      <c r="B4920" t="s">
        <v>319</v>
      </c>
      <c r="C4920" t="s">
        <v>5286</v>
      </c>
      <c r="D4920" s="30">
        <v>0.58299768518518513</v>
      </c>
      <c r="E4920" t="s">
        <v>302</v>
      </c>
      <c r="F4920" t="s">
        <v>299</v>
      </c>
      <c r="G4920" t="s">
        <v>299</v>
      </c>
      <c r="H4920">
        <v>84</v>
      </c>
      <c r="I4920" s="30">
        <v>1.8287037037037037E-3</v>
      </c>
      <c r="J4920">
        <v>1</v>
      </c>
    </row>
    <row r="4921" spans="1:10" x14ac:dyDescent="0.35">
      <c r="A4921" t="s">
        <v>5317</v>
      </c>
      <c r="B4921" t="s">
        <v>319</v>
      </c>
      <c r="C4921" t="s">
        <v>5286</v>
      </c>
      <c r="D4921" s="30">
        <v>0.58299768518518513</v>
      </c>
      <c r="E4921" t="s">
        <v>309</v>
      </c>
      <c r="F4921" t="s">
        <v>299</v>
      </c>
      <c r="G4921" t="s">
        <v>299</v>
      </c>
      <c r="H4921">
        <v>15</v>
      </c>
      <c r="I4921" s="30">
        <v>1.9328703703703704E-3</v>
      </c>
      <c r="J4921">
        <v>1</v>
      </c>
    </row>
    <row r="4922" spans="1:10" x14ac:dyDescent="0.35">
      <c r="A4922" t="s">
        <v>5318</v>
      </c>
      <c r="B4922" t="s">
        <v>319</v>
      </c>
      <c r="C4922" t="s">
        <v>5286</v>
      </c>
      <c r="D4922" s="30">
        <v>0.61299768518518516</v>
      </c>
      <c r="E4922" t="s">
        <v>302</v>
      </c>
      <c r="F4922" t="s">
        <v>299</v>
      </c>
      <c r="G4922" t="s">
        <v>299</v>
      </c>
      <c r="H4922">
        <v>31</v>
      </c>
      <c r="I4922" s="30">
        <v>4.0162037037037041E-3</v>
      </c>
      <c r="J4922">
        <v>5</v>
      </c>
    </row>
    <row r="4923" spans="1:10" x14ac:dyDescent="0.35">
      <c r="A4923" t="s">
        <v>5319</v>
      </c>
      <c r="B4923" t="s">
        <v>316</v>
      </c>
      <c r="C4923" t="s">
        <v>5286</v>
      </c>
      <c r="D4923" s="30">
        <v>0.61299768518518516</v>
      </c>
      <c r="E4923" t="s">
        <v>302</v>
      </c>
      <c r="F4923" t="s">
        <v>299</v>
      </c>
      <c r="G4923" t="s">
        <v>299</v>
      </c>
      <c r="H4923">
        <v>100</v>
      </c>
      <c r="I4923" s="30">
        <v>3.7962962962962963E-3</v>
      </c>
      <c r="J4923">
        <v>4</v>
      </c>
    </row>
    <row r="4924" spans="1:10" x14ac:dyDescent="0.35">
      <c r="A4924" t="s">
        <v>5320</v>
      </c>
      <c r="B4924" t="s">
        <v>316</v>
      </c>
      <c r="C4924" t="s">
        <v>5286</v>
      </c>
      <c r="D4924" s="30">
        <v>0.62</v>
      </c>
      <c r="E4924" t="s">
        <v>314</v>
      </c>
      <c r="F4924" t="s">
        <v>299</v>
      </c>
      <c r="G4924" t="s">
        <v>299</v>
      </c>
      <c r="H4924">
        <v>75</v>
      </c>
      <c r="I4924" s="30">
        <v>2.476851851851852E-3</v>
      </c>
      <c r="J4924">
        <v>3</v>
      </c>
    </row>
    <row r="4925" spans="1:10" x14ac:dyDescent="0.35">
      <c r="A4925" t="s">
        <v>5321</v>
      </c>
      <c r="B4925" t="s">
        <v>301</v>
      </c>
      <c r="C4925" t="s">
        <v>5286</v>
      </c>
      <c r="D4925" s="30">
        <v>0.62</v>
      </c>
      <c r="E4925" t="s">
        <v>298</v>
      </c>
      <c r="F4925" t="s">
        <v>303</v>
      </c>
      <c r="G4925" t="s">
        <v>303</v>
      </c>
    </row>
    <row r="4926" spans="1:10" x14ac:dyDescent="0.35">
      <c r="A4926" t="s">
        <v>5322</v>
      </c>
      <c r="B4926" t="s">
        <v>301</v>
      </c>
      <c r="C4926" t="s">
        <v>5286</v>
      </c>
      <c r="D4926" s="30">
        <v>0.62400462962962966</v>
      </c>
      <c r="E4926" t="s">
        <v>314</v>
      </c>
      <c r="F4926" t="s">
        <v>299</v>
      </c>
      <c r="G4926" t="s">
        <v>299</v>
      </c>
      <c r="H4926">
        <v>47</v>
      </c>
      <c r="I4926" s="30">
        <v>2.8935185185185184E-3</v>
      </c>
      <c r="J4926">
        <v>5</v>
      </c>
    </row>
    <row r="4927" spans="1:10" x14ac:dyDescent="0.35">
      <c r="A4927" t="s">
        <v>5323</v>
      </c>
      <c r="B4927" t="s">
        <v>332</v>
      </c>
      <c r="C4927" t="s">
        <v>5286</v>
      </c>
      <c r="D4927" s="30">
        <v>0.62400462962962966</v>
      </c>
      <c r="E4927" t="s">
        <v>317</v>
      </c>
      <c r="F4927" t="s">
        <v>303</v>
      </c>
      <c r="G4927" t="s">
        <v>303</v>
      </c>
    </row>
    <row r="4928" spans="1:10" x14ac:dyDescent="0.35">
      <c r="A4928" t="s">
        <v>5324</v>
      </c>
      <c r="B4928" t="s">
        <v>332</v>
      </c>
      <c r="C4928" t="s">
        <v>5286</v>
      </c>
      <c r="D4928" s="30">
        <v>0.62799768518518517</v>
      </c>
      <c r="E4928" t="s">
        <v>302</v>
      </c>
      <c r="F4928" t="s">
        <v>299</v>
      </c>
      <c r="G4928" t="s">
        <v>299</v>
      </c>
      <c r="H4928">
        <v>73</v>
      </c>
      <c r="I4928" s="30">
        <v>2.2569444444444442E-3</v>
      </c>
      <c r="J4928">
        <v>3</v>
      </c>
    </row>
    <row r="4929" spans="1:10" x14ac:dyDescent="0.35">
      <c r="A4929" t="s">
        <v>5325</v>
      </c>
      <c r="B4929" t="s">
        <v>316</v>
      </c>
      <c r="C4929" t="s">
        <v>5286</v>
      </c>
      <c r="D4929" s="30">
        <v>0.62799768518518517</v>
      </c>
      <c r="E4929" t="s">
        <v>317</v>
      </c>
      <c r="F4929" t="s">
        <v>299</v>
      </c>
      <c r="G4929" t="s">
        <v>299</v>
      </c>
      <c r="H4929">
        <v>33</v>
      </c>
      <c r="I4929" s="30">
        <v>2.5578703703703705E-3</v>
      </c>
      <c r="J4929">
        <v>3</v>
      </c>
    </row>
    <row r="4930" spans="1:10" x14ac:dyDescent="0.35">
      <c r="A4930" t="s">
        <v>5326</v>
      </c>
      <c r="B4930" t="s">
        <v>319</v>
      </c>
      <c r="C4930" t="s">
        <v>5286</v>
      </c>
      <c r="D4930" s="30">
        <v>0.62900462962962966</v>
      </c>
      <c r="E4930" t="s">
        <v>314</v>
      </c>
      <c r="F4930" t="s">
        <v>303</v>
      </c>
      <c r="G4930" t="s">
        <v>303</v>
      </c>
    </row>
    <row r="4931" spans="1:10" x14ac:dyDescent="0.35">
      <c r="A4931" t="s">
        <v>5327</v>
      </c>
      <c r="B4931" t="s">
        <v>305</v>
      </c>
      <c r="C4931" t="s">
        <v>5286</v>
      </c>
      <c r="D4931" s="30">
        <v>0.62900462962962966</v>
      </c>
      <c r="E4931" t="s">
        <v>298</v>
      </c>
      <c r="F4931" t="s">
        <v>299</v>
      </c>
      <c r="G4931" t="s">
        <v>299</v>
      </c>
      <c r="H4931">
        <v>103</v>
      </c>
      <c r="I4931" s="30">
        <v>3.414351851851852E-3</v>
      </c>
      <c r="J4931">
        <v>1</v>
      </c>
    </row>
    <row r="4932" spans="1:10" x14ac:dyDescent="0.35">
      <c r="A4932" t="s">
        <v>5328</v>
      </c>
      <c r="B4932" t="s">
        <v>301</v>
      </c>
      <c r="C4932" t="s">
        <v>5286</v>
      </c>
      <c r="D4932" s="30">
        <v>0.63299768518518518</v>
      </c>
      <c r="E4932" t="s">
        <v>298</v>
      </c>
      <c r="F4932" t="s">
        <v>299</v>
      </c>
      <c r="G4932" t="s">
        <v>299</v>
      </c>
      <c r="H4932">
        <v>75</v>
      </c>
      <c r="I4932" s="30">
        <v>2.1875000000000002E-3</v>
      </c>
      <c r="J4932">
        <v>4</v>
      </c>
    </row>
    <row r="4933" spans="1:10" x14ac:dyDescent="0.35">
      <c r="A4933" t="s">
        <v>5329</v>
      </c>
      <c r="B4933" t="s">
        <v>296</v>
      </c>
      <c r="C4933" t="s">
        <v>5286</v>
      </c>
      <c r="D4933" s="30">
        <v>0.63299768518518518</v>
      </c>
      <c r="E4933" t="s">
        <v>309</v>
      </c>
      <c r="F4933" t="s">
        <v>299</v>
      </c>
      <c r="G4933" t="s">
        <v>299</v>
      </c>
      <c r="H4933">
        <v>65</v>
      </c>
      <c r="I4933" s="30">
        <v>2.1527777777777778E-3</v>
      </c>
      <c r="J4933">
        <v>4</v>
      </c>
    </row>
    <row r="4934" spans="1:10" x14ac:dyDescent="0.35">
      <c r="A4934" t="s">
        <v>5330</v>
      </c>
      <c r="B4934" t="s">
        <v>319</v>
      </c>
      <c r="C4934" t="s">
        <v>5286</v>
      </c>
      <c r="D4934" s="30">
        <v>0.63299768518518518</v>
      </c>
      <c r="E4934" t="s">
        <v>317</v>
      </c>
      <c r="F4934" t="s">
        <v>299</v>
      </c>
      <c r="G4934" t="s">
        <v>299</v>
      </c>
      <c r="H4934">
        <v>110</v>
      </c>
      <c r="I4934" s="30">
        <v>4.31712962962963E-3</v>
      </c>
      <c r="J4934">
        <v>3</v>
      </c>
    </row>
    <row r="4935" spans="1:10" x14ac:dyDescent="0.35">
      <c r="A4935" t="s">
        <v>5331</v>
      </c>
      <c r="B4935" t="s">
        <v>296</v>
      </c>
      <c r="C4935" t="s">
        <v>5286</v>
      </c>
      <c r="D4935" s="30">
        <v>0.63299768518518518</v>
      </c>
      <c r="E4935" t="s">
        <v>309</v>
      </c>
      <c r="F4935" t="s">
        <v>299</v>
      </c>
      <c r="G4935" t="s">
        <v>299</v>
      </c>
      <c r="H4935">
        <v>109</v>
      </c>
      <c r="I4935" s="30">
        <v>2.9398148148148148E-3</v>
      </c>
      <c r="J4935">
        <v>5</v>
      </c>
    </row>
    <row r="4936" spans="1:10" x14ac:dyDescent="0.35">
      <c r="A4936" t="s">
        <v>5332</v>
      </c>
      <c r="B4936" t="s">
        <v>301</v>
      </c>
      <c r="C4936" t="s">
        <v>5286</v>
      </c>
      <c r="D4936" s="30">
        <v>0.65</v>
      </c>
      <c r="E4936" t="s">
        <v>302</v>
      </c>
      <c r="F4936" t="s">
        <v>299</v>
      </c>
      <c r="G4936" t="s">
        <v>299</v>
      </c>
      <c r="H4936">
        <v>96</v>
      </c>
      <c r="I4936" s="30">
        <v>3.6805555555555554E-3</v>
      </c>
      <c r="J4936">
        <v>5</v>
      </c>
    </row>
    <row r="4937" spans="1:10" x14ac:dyDescent="0.35">
      <c r="A4937" t="s">
        <v>5333</v>
      </c>
      <c r="B4937" t="s">
        <v>316</v>
      </c>
      <c r="C4937" t="s">
        <v>5286</v>
      </c>
      <c r="D4937" s="30">
        <v>0.65</v>
      </c>
      <c r="E4937" t="s">
        <v>298</v>
      </c>
      <c r="F4937" t="s">
        <v>299</v>
      </c>
      <c r="G4937" t="s">
        <v>299</v>
      </c>
      <c r="H4937">
        <v>80</v>
      </c>
      <c r="I4937" s="30">
        <v>4.3981481481481481E-4</v>
      </c>
      <c r="J4937">
        <v>4</v>
      </c>
    </row>
    <row r="4938" spans="1:10" x14ac:dyDescent="0.35">
      <c r="A4938" t="s">
        <v>5334</v>
      </c>
      <c r="B4938" t="s">
        <v>316</v>
      </c>
      <c r="C4938" t="s">
        <v>5286</v>
      </c>
      <c r="D4938" s="30">
        <v>0.65299768518518519</v>
      </c>
      <c r="E4938" t="s">
        <v>317</v>
      </c>
      <c r="F4938" t="s">
        <v>299</v>
      </c>
      <c r="G4938" t="s">
        <v>299</v>
      </c>
      <c r="H4938">
        <v>82</v>
      </c>
      <c r="I4938" s="30">
        <v>1.4814814814814814E-3</v>
      </c>
      <c r="J4938">
        <v>4</v>
      </c>
    </row>
    <row r="4939" spans="1:10" x14ac:dyDescent="0.35">
      <c r="A4939" t="s">
        <v>5335</v>
      </c>
      <c r="B4939" t="s">
        <v>305</v>
      </c>
      <c r="C4939" t="s">
        <v>5286</v>
      </c>
      <c r="D4939" s="30">
        <v>0.65299768518518519</v>
      </c>
      <c r="E4939" t="s">
        <v>314</v>
      </c>
      <c r="F4939" t="s">
        <v>299</v>
      </c>
      <c r="G4939" t="s">
        <v>303</v>
      </c>
      <c r="H4939">
        <v>26</v>
      </c>
      <c r="I4939" s="30">
        <v>6.5972222222222224E-4</v>
      </c>
      <c r="J4939">
        <v>2</v>
      </c>
    </row>
    <row r="4940" spans="1:10" x14ac:dyDescent="0.35">
      <c r="A4940" t="s">
        <v>5336</v>
      </c>
      <c r="B4940" t="s">
        <v>332</v>
      </c>
      <c r="C4940" t="s">
        <v>5286</v>
      </c>
      <c r="D4940" s="30">
        <v>0.65500000000000003</v>
      </c>
      <c r="E4940" t="s">
        <v>298</v>
      </c>
      <c r="F4940" t="s">
        <v>299</v>
      </c>
      <c r="G4940" t="s">
        <v>299</v>
      </c>
      <c r="H4940">
        <v>109</v>
      </c>
      <c r="I4940" s="30">
        <v>2.3958333333333331E-3</v>
      </c>
      <c r="J4940">
        <v>2</v>
      </c>
    </row>
    <row r="4941" spans="1:10" x14ac:dyDescent="0.35">
      <c r="A4941" t="s">
        <v>5337</v>
      </c>
      <c r="B4941" t="s">
        <v>319</v>
      </c>
      <c r="C4941" t="s">
        <v>5286</v>
      </c>
      <c r="D4941" s="30">
        <v>0.65500000000000003</v>
      </c>
      <c r="E4941" t="s">
        <v>302</v>
      </c>
      <c r="F4941" t="s">
        <v>299</v>
      </c>
      <c r="G4941" t="s">
        <v>303</v>
      </c>
      <c r="H4941">
        <v>27</v>
      </c>
      <c r="I4941" s="30">
        <v>4.7222222222222223E-3</v>
      </c>
      <c r="J4941">
        <v>1</v>
      </c>
    </row>
    <row r="4942" spans="1:10" x14ac:dyDescent="0.35">
      <c r="A4942" t="s">
        <v>5338</v>
      </c>
      <c r="B4942" t="s">
        <v>332</v>
      </c>
      <c r="C4942" t="s">
        <v>5286</v>
      </c>
      <c r="D4942" s="30">
        <v>0.65599537037037037</v>
      </c>
      <c r="E4942" t="s">
        <v>302</v>
      </c>
      <c r="F4942" t="s">
        <v>299</v>
      </c>
      <c r="G4942" t="s">
        <v>299</v>
      </c>
      <c r="H4942">
        <v>63</v>
      </c>
      <c r="I4942" s="30">
        <v>2.2685185185185187E-3</v>
      </c>
      <c r="J4942">
        <v>5</v>
      </c>
    </row>
    <row r="4943" spans="1:10" x14ac:dyDescent="0.35">
      <c r="A4943" t="s">
        <v>5339</v>
      </c>
      <c r="B4943" t="s">
        <v>323</v>
      </c>
      <c r="C4943" t="s">
        <v>5286</v>
      </c>
      <c r="D4943" s="30">
        <v>0.65599537037037037</v>
      </c>
      <c r="E4943" t="s">
        <v>314</v>
      </c>
      <c r="F4943" t="s">
        <v>303</v>
      </c>
      <c r="G4943" t="s">
        <v>303</v>
      </c>
    </row>
    <row r="4944" spans="1:10" x14ac:dyDescent="0.35">
      <c r="A4944" t="s">
        <v>5340</v>
      </c>
      <c r="B4944" t="s">
        <v>316</v>
      </c>
      <c r="C4944" t="s">
        <v>5286</v>
      </c>
      <c r="D4944" s="30">
        <v>0.67400462962962959</v>
      </c>
      <c r="E4944" t="s">
        <v>298</v>
      </c>
      <c r="F4944" t="s">
        <v>299</v>
      </c>
      <c r="G4944" t="s">
        <v>299</v>
      </c>
      <c r="H4944">
        <v>76</v>
      </c>
      <c r="I4944" s="30">
        <v>2.8703703703703703E-3</v>
      </c>
      <c r="J4944">
        <v>4</v>
      </c>
    </row>
    <row r="4945" spans="1:10" x14ac:dyDescent="0.35">
      <c r="A4945" t="s">
        <v>5341</v>
      </c>
      <c r="B4945" t="s">
        <v>332</v>
      </c>
      <c r="C4945" t="s">
        <v>5286</v>
      </c>
      <c r="D4945" s="30">
        <v>0.67400462962962959</v>
      </c>
      <c r="E4945" t="s">
        <v>314</v>
      </c>
      <c r="F4945" t="s">
        <v>299</v>
      </c>
      <c r="G4945" t="s">
        <v>299</v>
      </c>
      <c r="H4945">
        <v>91</v>
      </c>
      <c r="I4945" s="30">
        <v>4.8495370370370368E-3</v>
      </c>
      <c r="J4945">
        <v>3</v>
      </c>
    </row>
    <row r="4946" spans="1:10" x14ac:dyDescent="0.35">
      <c r="A4946" t="s">
        <v>5342</v>
      </c>
      <c r="B4946" t="s">
        <v>296</v>
      </c>
      <c r="C4946" t="s">
        <v>5286</v>
      </c>
      <c r="D4946" s="30">
        <v>0.7</v>
      </c>
      <c r="E4946" t="s">
        <v>298</v>
      </c>
      <c r="F4946" t="s">
        <v>299</v>
      </c>
      <c r="G4946" t="s">
        <v>299</v>
      </c>
      <c r="H4946">
        <v>68</v>
      </c>
      <c r="I4946" s="30">
        <v>2.7430555555555554E-3</v>
      </c>
      <c r="J4946">
        <v>4</v>
      </c>
    </row>
    <row r="4947" spans="1:10" x14ac:dyDescent="0.35">
      <c r="A4947" t="s">
        <v>5343</v>
      </c>
      <c r="B4947" t="s">
        <v>319</v>
      </c>
      <c r="C4947" t="s">
        <v>5286</v>
      </c>
      <c r="D4947" s="30">
        <v>0.7</v>
      </c>
      <c r="E4947" t="s">
        <v>317</v>
      </c>
      <c r="F4947" t="s">
        <v>299</v>
      </c>
      <c r="G4947" t="s">
        <v>299</v>
      </c>
      <c r="H4947">
        <v>123</v>
      </c>
      <c r="I4947" s="30">
        <v>2.1064814814814813E-3</v>
      </c>
      <c r="J4947">
        <v>4</v>
      </c>
    </row>
    <row r="4948" spans="1:10" x14ac:dyDescent="0.35">
      <c r="A4948" t="s">
        <v>5344</v>
      </c>
      <c r="B4948" t="s">
        <v>307</v>
      </c>
      <c r="C4948" t="s">
        <v>5286</v>
      </c>
      <c r="D4948" s="30">
        <v>0.74799768518518517</v>
      </c>
      <c r="E4948" t="s">
        <v>314</v>
      </c>
      <c r="F4948" t="s">
        <v>299</v>
      </c>
      <c r="G4948" t="s">
        <v>299</v>
      </c>
      <c r="H4948">
        <v>74</v>
      </c>
      <c r="I4948" s="30">
        <v>4.2592592592592595E-3</v>
      </c>
      <c r="J4948">
        <v>3</v>
      </c>
    </row>
    <row r="4949" spans="1:10" x14ac:dyDescent="0.35">
      <c r="A4949" t="s">
        <v>5345</v>
      </c>
      <c r="B4949" t="s">
        <v>319</v>
      </c>
      <c r="C4949" t="s">
        <v>5286</v>
      </c>
      <c r="D4949" s="30">
        <v>0.74799768518518517</v>
      </c>
      <c r="E4949" t="s">
        <v>298</v>
      </c>
      <c r="F4949" t="s">
        <v>303</v>
      </c>
      <c r="G4949" t="s">
        <v>303</v>
      </c>
    </row>
    <row r="4950" spans="1:10" x14ac:dyDescent="0.35">
      <c r="A4950" t="s">
        <v>5346</v>
      </c>
      <c r="B4950" t="s">
        <v>316</v>
      </c>
      <c r="C4950" t="s">
        <v>5347</v>
      </c>
      <c r="D4950" s="30">
        <v>0.37900462962962961</v>
      </c>
      <c r="E4950" t="s">
        <v>309</v>
      </c>
      <c r="F4950" t="s">
        <v>299</v>
      </c>
      <c r="G4950" t="s">
        <v>299</v>
      </c>
      <c r="H4950">
        <v>92</v>
      </c>
      <c r="I4950" s="30">
        <v>8.4490740740740739E-4</v>
      </c>
      <c r="J4950">
        <v>2</v>
      </c>
    </row>
    <row r="4951" spans="1:10" x14ac:dyDescent="0.35">
      <c r="A4951" t="s">
        <v>5348</v>
      </c>
      <c r="B4951" t="s">
        <v>296</v>
      </c>
      <c r="C4951" t="s">
        <v>5347</v>
      </c>
      <c r="D4951" s="30">
        <v>0.39</v>
      </c>
      <c r="E4951" t="s">
        <v>309</v>
      </c>
      <c r="F4951" t="s">
        <v>299</v>
      </c>
      <c r="G4951" t="s">
        <v>299</v>
      </c>
      <c r="H4951">
        <v>108</v>
      </c>
      <c r="I4951" s="30">
        <v>8.4490740740740739E-4</v>
      </c>
      <c r="J4951">
        <v>3</v>
      </c>
    </row>
    <row r="4952" spans="1:10" x14ac:dyDescent="0.35">
      <c r="A4952" t="s">
        <v>5349</v>
      </c>
      <c r="B4952" t="s">
        <v>301</v>
      </c>
      <c r="C4952" t="s">
        <v>5347</v>
      </c>
      <c r="D4952" s="30">
        <v>0.39299768518518519</v>
      </c>
      <c r="E4952" t="s">
        <v>298</v>
      </c>
      <c r="F4952" t="s">
        <v>299</v>
      </c>
      <c r="G4952" t="s">
        <v>299</v>
      </c>
      <c r="H4952">
        <v>63</v>
      </c>
      <c r="I4952" s="30">
        <v>2.0949074074074073E-3</v>
      </c>
      <c r="J4952">
        <v>5</v>
      </c>
    </row>
    <row r="4953" spans="1:10" x14ac:dyDescent="0.35">
      <c r="A4953" t="s">
        <v>5350</v>
      </c>
      <c r="B4953" t="s">
        <v>296</v>
      </c>
      <c r="C4953" t="s">
        <v>5347</v>
      </c>
      <c r="D4953" s="30">
        <v>0.47499999999999998</v>
      </c>
      <c r="E4953" t="s">
        <v>314</v>
      </c>
      <c r="F4953" t="s">
        <v>299</v>
      </c>
      <c r="G4953" t="s">
        <v>299</v>
      </c>
      <c r="H4953">
        <v>120</v>
      </c>
      <c r="I4953" s="30">
        <v>2.4537037037037036E-3</v>
      </c>
      <c r="J4953">
        <v>3</v>
      </c>
    </row>
    <row r="4954" spans="1:10" x14ac:dyDescent="0.35">
      <c r="A4954" t="s">
        <v>5351</v>
      </c>
      <c r="B4954" t="s">
        <v>316</v>
      </c>
      <c r="C4954" t="s">
        <v>5347</v>
      </c>
      <c r="D4954" s="30">
        <v>0.47499999999999998</v>
      </c>
      <c r="E4954" t="s">
        <v>317</v>
      </c>
      <c r="F4954" t="s">
        <v>299</v>
      </c>
      <c r="G4954" t="s">
        <v>299</v>
      </c>
      <c r="H4954">
        <v>50</v>
      </c>
      <c r="I4954" s="30">
        <v>3.7152777777777778E-3</v>
      </c>
      <c r="J4954">
        <v>3</v>
      </c>
    </row>
    <row r="4955" spans="1:10" x14ac:dyDescent="0.35">
      <c r="A4955" t="s">
        <v>5352</v>
      </c>
      <c r="B4955" t="s">
        <v>332</v>
      </c>
      <c r="C4955" t="s">
        <v>5347</v>
      </c>
      <c r="D4955" s="30">
        <v>0.50099537037037034</v>
      </c>
      <c r="E4955" t="s">
        <v>317</v>
      </c>
      <c r="F4955" t="s">
        <v>303</v>
      </c>
      <c r="G4955" t="s">
        <v>303</v>
      </c>
    </row>
    <row r="4956" spans="1:10" x14ac:dyDescent="0.35">
      <c r="A4956" t="s">
        <v>5353</v>
      </c>
      <c r="B4956" t="s">
        <v>319</v>
      </c>
      <c r="C4956" t="s">
        <v>5347</v>
      </c>
      <c r="D4956" s="30">
        <v>0.50299768518518517</v>
      </c>
      <c r="E4956" t="s">
        <v>314</v>
      </c>
      <c r="F4956" t="s">
        <v>299</v>
      </c>
      <c r="G4956" t="s">
        <v>299</v>
      </c>
      <c r="H4956">
        <v>18</v>
      </c>
      <c r="I4956" s="30">
        <v>2.9976851851851853E-3</v>
      </c>
      <c r="J4956">
        <v>3</v>
      </c>
    </row>
    <row r="4957" spans="1:10" x14ac:dyDescent="0.35">
      <c r="A4957" t="s">
        <v>5354</v>
      </c>
      <c r="B4957" t="s">
        <v>305</v>
      </c>
      <c r="C4957" t="s">
        <v>5347</v>
      </c>
      <c r="D4957" s="30">
        <v>0.52099537037037036</v>
      </c>
      <c r="E4957" t="s">
        <v>314</v>
      </c>
      <c r="F4957" t="s">
        <v>303</v>
      </c>
      <c r="G4957" t="s">
        <v>303</v>
      </c>
    </row>
    <row r="4958" spans="1:10" x14ac:dyDescent="0.35">
      <c r="A4958" t="s">
        <v>5355</v>
      </c>
      <c r="B4958" t="s">
        <v>332</v>
      </c>
      <c r="C4958" t="s">
        <v>5347</v>
      </c>
      <c r="D4958" s="30">
        <v>0.52500000000000002</v>
      </c>
      <c r="E4958" t="s">
        <v>314</v>
      </c>
      <c r="F4958" t="s">
        <v>299</v>
      </c>
      <c r="G4958" t="s">
        <v>299</v>
      </c>
      <c r="H4958">
        <v>114</v>
      </c>
      <c r="I4958" s="30">
        <v>4.7916666666666663E-3</v>
      </c>
      <c r="J4958">
        <v>4</v>
      </c>
    </row>
    <row r="4959" spans="1:10" x14ac:dyDescent="0.35">
      <c r="A4959" t="s">
        <v>5356</v>
      </c>
      <c r="B4959" t="s">
        <v>301</v>
      </c>
      <c r="C4959" t="s">
        <v>5347</v>
      </c>
      <c r="D4959" s="30">
        <v>0.53200231481481486</v>
      </c>
      <c r="E4959" t="s">
        <v>309</v>
      </c>
      <c r="F4959" t="s">
        <v>299</v>
      </c>
      <c r="G4959" t="s">
        <v>303</v>
      </c>
      <c r="H4959">
        <v>116</v>
      </c>
      <c r="I4959" s="30">
        <v>2.1412037037037038E-3</v>
      </c>
      <c r="J4959">
        <v>4</v>
      </c>
    </row>
    <row r="4960" spans="1:10" x14ac:dyDescent="0.35">
      <c r="A4960" t="s">
        <v>5357</v>
      </c>
      <c r="B4960" t="s">
        <v>296</v>
      </c>
      <c r="C4960" t="s">
        <v>5347</v>
      </c>
      <c r="D4960" s="30">
        <v>0.56099537037037039</v>
      </c>
      <c r="E4960" t="s">
        <v>309</v>
      </c>
      <c r="F4960" t="s">
        <v>299</v>
      </c>
      <c r="G4960" t="s">
        <v>299</v>
      </c>
      <c r="H4960">
        <v>124</v>
      </c>
      <c r="I4960" s="30">
        <v>3.0092592592592593E-3</v>
      </c>
      <c r="J4960">
        <v>4</v>
      </c>
    </row>
    <row r="4961" spans="1:10" x14ac:dyDescent="0.35">
      <c r="A4961" t="s">
        <v>5358</v>
      </c>
      <c r="B4961" t="s">
        <v>323</v>
      </c>
      <c r="C4961" t="s">
        <v>5347</v>
      </c>
      <c r="D4961" s="30">
        <v>0.56499999999999995</v>
      </c>
      <c r="E4961" t="s">
        <v>298</v>
      </c>
      <c r="F4961" t="s">
        <v>299</v>
      </c>
      <c r="G4961" t="s">
        <v>299</v>
      </c>
      <c r="H4961">
        <v>27</v>
      </c>
      <c r="I4961" s="30">
        <v>3.1365740740740742E-3</v>
      </c>
      <c r="J4961">
        <v>5</v>
      </c>
    </row>
    <row r="4962" spans="1:10" x14ac:dyDescent="0.35">
      <c r="A4962" t="s">
        <v>5359</v>
      </c>
      <c r="B4962" t="s">
        <v>332</v>
      </c>
      <c r="C4962" t="s">
        <v>5347</v>
      </c>
      <c r="D4962" s="30">
        <v>0.57700231481481479</v>
      </c>
      <c r="E4962" t="s">
        <v>298</v>
      </c>
      <c r="F4962" t="s">
        <v>303</v>
      </c>
      <c r="G4962" t="s">
        <v>303</v>
      </c>
    </row>
    <row r="4963" spans="1:10" x14ac:dyDescent="0.35">
      <c r="A4963" t="s">
        <v>5360</v>
      </c>
      <c r="B4963" t="s">
        <v>316</v>
      </c>
      <c r="C4963" t="s">
        <v>5347</v>
      </c>
      <c r="D4963" s="30">
        <v>0.63099537037037035</v>
      </c>
      <c r="E4963" t="s">
        <v>317</v>
      </c>
      <c r="F4963" t="s">
        <v>303</v>
      </c>
      <c r="G4963" t="s">
        <v>303</v>
      </c>
    </row>
    <row r="4964" spans="1:10" x14ac:dyDescent="0.35">
      <c r="A4964" t="s">
        <v>5361</v>
      </c>
      <c r="B4964" t="s">
        <v>307</v>
      </c>
      <c r="C4964" t="s">
        <v>5347</v>
      </c>
      <c r="D4964" s="30">
        <v>0.65</v>
      </c>
      <c r="E4964" t="s">
        <v>314</v>
      </c>
      <c r="F4964" t="s">
        <v>299</v>
      </c>
      <c r="G4964" t="s">
        <v>303</v>
      </c>
      <c r="H4964">
        <v>22</v>
      </c>
      <c r="I4964" s="30">
        <v>3.2986111111111111E-3</v>
      </c>
      <c r="J4964">
        <v>4</v>
      </c>
    </row>
    <row r="4965" spans="1:10" x14ac:dyDescent="0.35">
      <c r="A4965" t="s">
        <v>5362</v>
      </c>
      <c r="B4965" t="s">
        <v>296</v>
      </c>
      <c r="C4965" t="s">
        <v>5347</v>
      </c>
      <c r="D4965" s="30">
        <v>0.65700231481481486</v>
      </c>
      <c r="E4965" t="s">
        <v>302</v>
      </c>
      <c r="F4965" t="s">
        <v>299</v>
      </c>
      <c r="G4965" t="s">
        <v>299</v>
      </c>
      <c r="H4965">
        <v>55</v>
      </c>
      <c r="I4965" s="30">
        <v>3.7499999999999999E-3</v>
      </c>
      <c r="J4965">
        <v>2</v>
      </c>
    </row>
    <row r="4966" spans="1:10" x14ac:dyDescent="0.35">
      <c r="A4966" t="s">
        <v>5363</v>
      </c>
      <c r="B4966" t="s">
        <v>301</v>
      </c>
      <c r="C4966" t="s">
        <v>5347</v>
      </c>
      <c r="D4966" s="30">
        <v>0.66</v>
      </c>
      <c r="E4966" t="s">
        <v>314</v>
      </c>
      <c r="F4966" t="s">
        <v>303</v>
      </c>
      <c r="G4966" t="s">
        <v>303</v>
      </c>
    </row>
    <row r="4967" spans="1:10" x14ac:dyDescent="0.35">
      <c r="A4967" t="s">
        <v>5364</v>
      </c>
      <c r="B4967" t="s">
        <v>316</v>
      </c>
      <c r="C4967" t="s">
        <v>5347</v>
      </c>
      <c r="D4967" s="30">
        <v>0.67</v>
      </c>
      <c r="E4967" t="s">
        <v>317</v>
      </c>
      <c r="F4967" t="s">
        <v>303</v>
      </c>
      <c r="G4967" t="s">
        <v>303</v>
      </c>
    </row>
    <row r="4968" spans="1:10" x14ac:dyDescent="0.35">
      <c r="A4968" t="s">
        <v>5365</v>
      </c>
      <c r="B4968" t="s">
        <v>319</v>
      </c>
      <c r="C4968" t="s">
        <v>5347</v>
      </c>
      <c r="D4968" s="30">
        <v>0.67599537037037039</v>
      </c>
      <c r="E4968" t="s">
        <v>298</v>
      </c>
      <c r="F4968" t="s">
        <v>303</v>
      </c>
      <c r="G4968" t="s">
        <v>303</v>
      </c>
    </row>
    <row r="4969" spans="1:10" x14ac:dyDescent="0.35">
      <c r="A4969" t="s">
        <v>5366</v>
      </c>
      <c r="B4969" t="s">
        <v>316</v>
      </c>
      <c r="C4969" t="s">
        <v>5347</v>
      </c>
      <c r="D4969" s="30">
        <v>0.68700231481481477</v>
      </c>
      <c r="E4969" t="s">
        <v>302</v>
      </c>
      <c r="F4969" t="s">
        <v>303</v>
      </c>
      <c r="G4969" t="s">
        <v>303</v>
      </c>
    </row>
    <row r="4970" spans="1:10" x14ac:dyDescent="0.35">
      <c r="A4970" t="s">
        <v>5367</v>
      </c>
      <c r="B4970" t="s">
        <v>307</v>
      </c>
      <c r="C4970" t="s">
        <v>5347</v>
      </c>
      <c r="D4970" s="30">
        <v>0.68900462962962961</v>
      </c>
      <c r="E4970" t="s">
        <v>302</v>
      </c>
      <c r="F4970" t="s">
        <v>299</v>
      </c>
      <c r="G4970" t="s">
        <v>299</v>
      </c>
      <c r="H4970">
        <v>105</v>
      </c>
      <c r="I4970" s="30">
        <v>3.3912037037037036E-3</v>
      </c>
      <c r="J4970">
        <v>4</v>
      </c>
    </row>
    <row r="4971" spans="1:10" x14ac:dyDescent="0.35">
      <c r="A4971" t="s">
        <v>5368</v>
      </c>
      <c r="B4971" t="s">
        <v>332</v>
      </c>
      <c r="C4971" t="s">
        <v>5347</v>
      </c>
      <c r="D4971" s="30">
        <v>0.69900462962962961</v>
      </c>
      <c r="E4971" t="s">
        <v>302</v>
      </c>
      <c r="F4971" t="s">
        <v>299</v>
      </c>
      <c r="G4971" t="s">
        <v>299</v>
      </c>
      <c r="H4971">
        <v>41</v>
      </c>
      <c r="I4971" s="30">
        <v>1.4583333333333334E-3</v>
      </c>
      <c r="J4971">
        <v>5</v>
      </c>
    </row>
    <row r="4972" spans="1:10" x14ac:dyDescent="0.35">
      <c r="A4972" t="s">
        <v>5369</v>
      </c>
      <c r="B4972" t="s">
        <v>307</v>
      </c>
      <c r="C4972" t="s">
        <v>5347</v>
      </c>
      <c r="D4972" s="30">
        <v>0.71799768518518514</v>
      </c>
      <c r="E4972" t="s">
        <v>317</v>
      </c>
      <c r="F4972" t="s">
        <v>303</v>
      </c>
      <c r="G4972" t="s">
        <v>303</v>
      </c>
    </row>
    <row r="4973" spans="1:10" x14ac:dyDescent="0.35">
      <c r="A4973" t="s">
        <v>5370</v>
      </c>
      <c r="B4973" t="s">
        <v>319</v>
      </c>
      <c r="C4973" t="s">
        <v>5347</v>
      </c>
      <c r="D4973" s="30">
        <v>0.72599537037037032</v>
      </c>
      <c r="E4973" t="s">
        <v>298</v>
      </c>
      <c r="F4973" t="s">
        <v>299</v>
      </c>
      <c r="G4973" t="s">
        <v>299</v>
      </c>
      <c r="H4973">
        <v>42</v>
      </c>
      <c r="I4973" s="30">
        <v>4.0509259259259258E-4</v>
      </c>
      <c r="J4973">
        <v>5</v>
      </c>
    </row>
    <row r="4974" spans="1:10" x14ac:dyDescent="0.35">
      <c r="A4974" t="s">
        <v>5371</v>
      </c>
      <c r="B4974" t="s">
        <v>319</v>
      </c>
      <c r="C4974" t="s">
        <v>5347</v>
      </c>
      <c r="D4974" s="30">
        <v>0.73400462962962965</v>
      </c>
      <c r="E4974" t="s">
        <v>314</v>
      </c>
      <c r="F4974" t="s">
        <v>299</v>
      </c>
      <c r="G4974" t="s">
        <v>299</v>
      </c>
      <c r="H4974">
        <v>103</v>
      </c>
      <c r="I4974" s="30">
        <v>1.6550925925925926E-3</v>
      </c>
      <c r="J4974">
        <v>3</v>
      </c>
    </row>
    <row r="4975" spans="1:10" x14ac:dyDescent="0.35">
      <c r="A4975" t="s">
        <v>5372</v>
      </c>
      <c r="B4975" t="s">
        <v>323</v>
      </c>
      <c r="C4975" t="s">
        <v>5373</v>
      </c>
      <c r="D4975" s="30">
        <v>0.3759953703703704</v>
      </c>
      <c r="E4975" t="s">
        <v>309</v>
      </c>
      <c r="F4975" t="s">
        <v>299</v>
      </c>
      <c r="G4975" t="s">
        <v>299</v>
      </c>
      <c r="H4975">
        <v>124</v>
      </c>
      <c r="I4975" s="30">
        <v>4.4444444444444444E-3</v>
      </c>
      <c r="J4975">
        <v>3</v>
      </c>
    </row>
    <row r="4976" spans="1:10" x14ac:dyDescent="0.35">
      <c r="A4976" t="s">
        <v>5374</v>
      </c>
      <c r="B4976" t="s">
        <v>332</v>
      </c>
      <c r="C4976" t="s">
        <v>5373</v>
      </c>
      <c r="D4976" s="30">
        <v>0.38200231481481484</v>
      </c>
      <c r="E4976" t="s">
        <v>302</v>
      </c>
      <c r="F4976" t="s">
        <v>299</v>
      </c>
      <c r="G4976" t="s">
        <v>299</v>
      </c>
      <c r="H4976">
        <v>102</v>
      </c>
      <c r="I4976" s="30">
        <v>1.6898148148148148E-3</v>
      </c>
      <c r="J4976">
        <v>5</v>
      </c>
    </row>
    <row r="4977" spans="1:10" x14ac:dyDescent="0.35">
      <c r="A4977" t="s">
        <v>5375</v>
      </c>
      <c r="B4977" t="s">
        <v>323</v>
      </c>
      <c r="C4977" t="s">
        <v>5373</v>
      </c>
      <c r="D4977" s="30">
        <v>0.38900462962962962</v>
      </c>
      <c r="E4977" t="s">
        <v>302</v>
      </c>
      <c r="F4977" t="s">
        <v>299</v>
      </c>
      <c r="G4977" t="s">
        <v>299</v>
      </c>
      <c r="H4977">
        <v>87</v>
      </c>
      <c r="I4977" s="30">
        <v>4.8263888888888887E-3</v>
      </c>
      <c r="J4977">
        <v>4</v>
      </c>
    </row>
    <row r="4978" spans="1:10" x14ac:dyDescent="0.35">
      <c r="A4978" t="s">
        <v>5376</v>
      </c>
      <c r="B4978" t="s">
        <v>307</v>
      </c>
      <c r="C4978" t="s">
        <v>5373</v>
      </c>
      <c r="D4978" s="30">
        <v>0.39200231481481479</v>
      </c>
      <c r="E4978" t="s">
        <v>317</v>
      </c>
      <c r="F4978" t="s">
        <v>299</v>
      </c>
      <c r="G4978" t="s">
        <v>299</v>
      </c>
      <c r="H4978">
        <v>40</v>
      </c>
      <c r="I4978" s="30">
        <v>2.0254629629629629E-3</v>
      </c>
      <c r="J4978">
        <v>4</v>
      </c>
    </row>
    <row r="4979" spans="1:10" x14ac:dyDescent="0.35">
      <c r="A4979" t="s">
        <v>5377</v>
      </c>
      <c r="B4979" t="s">
        <v>307</v>
      </c>
      <c r="C4979" t="s">
        <v>5373</v>
      </c>
      <c r="D4979" s="30">
        <v>0.42599537037037039</v>
      </c>
      <c r="E4979" t="s">
        <v>298</v>
      </c>
      <c r="F4979" t="s">
        <v>299</v>
      </c>
      <c r="G4979" t="s">
        <v>299</v>
      </c>
      <c r="H4979">
        <v>94</v>
      </c>
      <c r="I4979" s="30">
        <v>4.6296296296296298E-4</v>
      </c>
      <c r="J4979">
        <v>4</v>
      </c>
    </row>
    <row r="4980" spans="1:10" x14ac:dyDescent="0.35">
      <c r="A4980" t="s">
        <v>5378</v>
      </c>
      <c r="B4980" t="s">
        <v>307</v>
      </c>
      <c r="C4980" t="s">
        <v>5373</v>
      </c>
      <c r="D4980" s="30">
        <v>0.44400462962962961</v>
      </c>
      <c r="E4980" t="s">
        <v>302</v>
      </c>
      <c r="F4980" t="s">
        <v>303</v>
      </c>
      <c r="G4980" t="s">
        <v>303</v>
      </c>
    </row>
    <row r="4981" spans="1:10" x14ac:dyDescent="0.35">
      <c r="A4981" t="s">
        <v>5379</v>
      </c>
      <c r="B4981" t="s">
        <v>301</v>
      </c>
      <c r="C4981" t="s">
        <v>5373</v>
      </c>
      <c r="D4981" s="30">
        <v>0.45099537037037035</v>
      </c>
      <c r="E4981" t="s">
        <v>314</v>
      </c>
      <c r="F4981" t="s">
        <v>299</v>
      </c>
      <c r="G4981" t="s">
        <v>299</v>
      </c>
      <c r="H4981">
        <v>37</v>
      </c>
      <c r="I4981" s="30">
        <v>2.9976851851851853E-3</v>
      </c>
      <c r="J4981">
        <v>5</v>
      </c>
    </row>
    <row r="4982" spans="1:10" x14ac:dyDescent="0.35">
      <c r="A4982" t="s">
        <v>5380</v>
      </c>
      <c r="B4982" t="s">
        <v>301</v>
      </c>
      <c r="C4982" t="s">
        <v>5373</v>
      </c>
      <c r="D4982" s="30">
        <v>0.46400462962962963</v>
      </c>
      <c r="E4982" t="s">
        <v>314</v>
      </c>
      <c r="F4982" t="s">
        <v>299</v>
      </c>
      <c r="G4982" t="s">
        <v>299</v>
      </c>
      <c r="H4982">
        <v>23</v>
      </c>
      <c r="I4982" s="30">
        <v>3.3217592592592591E-3</v>
      </c>
      <c r="J4982">
        <v>4</v>
      </c>
    </row>
    <row r="4983" spans="1:10" x14ac:dyDescent="0.35">
      <c r="A4983" t="s">
        <v>5381</v>
      </c>
      <c r="B4983" t="s">
        <v>316</v>
      </c>
      <c r="C4983" t="s">
        <v>5373</v>
      </c>
      <c r="D4983" s="30">
        <v>0.4729976851851852</v>
      </c>
      <c r="E4983" t="s">
        <v>298</v>
      </c>
      <c r="F4983" t="s">
        <v>299</v>
      </c>
      <c r="G4983" t="s">
        <v>299</v>
      </c>
      <c r="H4983">
        <v>80</v>
      </c>
      <c r="I4983" s="30">
        <v>1.7939814814814815E-3</v>
      </c>
      <c r="J4983">
        <v>3</v>
      </c>
    </row>
    <row r="4984" spans="1:10" x14ac:dyDescent="0.35">
      <c r="A4984" t="s">
        <v>5382</v>
      </c>
      <c r="B4984" t="s">
        <v>305</v>
      </c>
      <c r="C4984" t="s">
        <v>5373</v>
      </c>
      <c r="D4984" s="30">
        <v>0.48099537037037038</v>
      </c>
      <c r="E4984" t="s">
        <v>309</v>
      </c>
      <c r="F4984" t="s">
        <v>299</v>
      </c>
      <c r="G4984" t="s">
        <v>299</v>
      </c>
      <c r="H4984">
        <v>81</v>
      </c>
      <c r="I4984" s="30">
        <v>3.3449074074074076E-3</v>
      </c>
      <c r="J4984">
        <v>1</v>
      </c>
    </row>
    <row r="4985" spans="1:10" x14ac:dyDescent="0.35">
      <c r="A4985" t="s">
        <v>5383</v>
      </c>
      <c r="B4985" t="s">
        <v>319</v>
      </c>
      <c r="C4985" t="s">
        <v>5373</v>
      </c>
      <c r="D4985" s="30">
        <v>0.48400462962962965</v>
      </c>
      <c r="E4985" t="s">
        <v>298</v>
      </c>
      <c r="F4985" t="s">
        <v>299</v>
      </c>
      <c r="G4985" t="s">
        <v>299</v>
      </c>
      <c r="H4985">
        <v>53</v>
      </c>
      <c r="I4985" s="30">
        <v>2.1643518518518518E-3</v>
      </c>
      <c r="J4985">
        <v>4</v>
      </c>
    </row>
    <row r="4986" spans="1:10" x14ac:dyDescent="0.35">
      <c r="A4986" t="s">
        <v>5384</v>
      </c>
      <c r="B4986" t="s">
        <v>316</v>
      </c>
      <c r="C4986" t="s">
        <v>5373</v>
      </c>
      <c r="D4986" s="30">
        <v>0.53500000000000003</v>
      </c>
      <c r="E4986" t="s">
        <v>309</v>
      </c>
      <c r="F4986" t="s">
        <v>303</v>
      </c>
      <c r="G4986" t="s">
        <v>303</v>
      </c>
    </row>
    <row r="4987" spans="1:10" x14ac:dyDescent="0.35">
      <c r="A4987" t="s">
        <v>5385</v>
      </c>
      <c r="B4987" t="s">
        <v>296</v>
      </c>
      <c r="C4987" t="s">
        <v>5373</v>
      </c>
      <c r="D4987" s="30">
        <v>0.53500000000000003</v>
      </c>
      <c r="E4987" t="s">
        <v>317</v>
      </c>
      <c r="F4987" t="s">
        <v>299</v>
      </c>
      <c r="G4987" t="s">
        <v>303</v>
      </c>
      <c r="H4987">
        <v>55</v>
      </c>
      <c r="I4987" s="30">
        <v>1.4004629629629629E-3</v>
      </c>
      <c r="J4987">
        <v>1</v>
      </c>
    </row>
    <row r="4988" spans="1:10" x14ac:dyDescent="0.35">
      <c r="A4988" t="s">
        <v>5386</v>
      </c>
      <c r="B4988" t="s">
        <v>305</v>
      </c>
      <c r="C4988" t="s">
        <v>5373</v>
      </c>
      <c r="D4988" s="30">
        <v>0.54299768518518521</v>
      </c>
      <c r="E4988" t="s">
        <v>309</v>
      </c>
      <c r="F4988" t="s">
        <v>299</v>
      </c>
      <c r="G4988" t="s">
        <v>303</v>
      </c>
      <c r="H4988">
        <v>10</v>
      </c>
      <c r="I4988" s="30">
        <v>1.6898148148148148E-3</v>
      </c>
      <c r="J4988">
        <v>4</v>
      </c>
    </row>
    <row r="4989" spans="1:10" x14ac:dyDescent="0.35">
      <c r="A4989" t="s">
        <v>5387</v>
      </c>
      <c r="B4989" t="s">
        <v>305</v>
      </c>
      <c r="C4989" t="s">
        <v>5373</v>
      </c>
      <c r="D4989" s="30">
        <v>0.55500000000000005</v>
      </c>
      <c r="E4989" t="s">
        <v>298</v>
      </c>
      <c r="F4989" t="s">
        <v>299</v>
      </c>
      <c r="G4989" t="s">
        <v>299</v>
      </c>
      <c r="H4989">
        <v>14</v>
      </c>
      <c r="I4989" s="30">
        <v>3.8425925925925928E-3</v>
      </c>
      <c r="J4989">
        <v>4</v>
      </c>
    </row>
    <row r="4990" spans="1:10" x14ac:dyDescent="0.35">
      <c r="A4990" t="s">
        <v>5388</v>
      </c>
      <c r="B4990" t="s">
        <v>323</v>
      </c>
      <c r="C4990" t="s">
        <v>5373</v>
      </c>
      <c r="D4990" s="30">
        <v>0.55700231481481477</v>
      </c>
      <c r="E4990" t="s">
        <v>298</v>
      </c>
      <c r="F4990" t="s">
        <v>299</v>
      </c>
      <c r="G4990" t="s">
        <v>299</v>
      </c>
      <c r="H4990">
        <v>62</v>
      </c>
      <c r="I4990" s="30">
        <v>4.0393518518518521E-3</v>
      </c>
      <c r="J4990">
        <v>5</v>
      </c>
    </row>
    <row r="4991" spans="1:10" x14ac:dyDescent="0.35">
      <c r="A4991" t="s">
        <v>5389</v>
      </c>
      <c r="B4991" t="s">
        <v>301</v>
      </c>
      <c r="C4991" t="s">
        <v>5373</v>
      </c>
      <c r="D4991" s="30">
        <v>0.5709953703703704</v>
      </c>
      <c r="E4991" t="s">
        <v>309</v>
      </c>
      <c r="F4991" t="s">
        <v>299</v>
      </c>
      <c r="G4991" t="s">
        <v>299</v>
      </c>
      <c r="H4991">
        <v>122</v>
      </c>
      <c r="I4991" s="30">
        <v>3.460648148148148E-3</v>
      </c>
      <c r="J4991">
        <v>4</v>
      </c>
    </row>
    <row r="4992" spans="1:10" x14ac:dyDescent="0.35">
      <c r="A4992" t="s">
        <v>5390</v>
      </c>
      <c r="B4992" t="s">
        <v>305</v>
      </c>
      <c r="C4992" t="s">
        <v>5373</v>
      </c>
      <c r="D4992" s="30">
        <v>0.57400462962962961</v>
      </c>
      <c r="E4992" t="s">
        <v>317</v>
      </c>
      <c r="F4992" t="s">
        <v>299</v>
      </c>
      <c r="G4992" t="s">
        <v>299</v>
      </c>
      <c r="H4992">
        <v>73</v>
      </c>
      <c r="I4992" s="30">
        <v>4.4675925925925924E-3</v>
      </c>
      <c r="J4992">
        <v>1</v>
      </c>
    </row>
    <row r="4993" spans="1:10" x14ac:dyDescent="0.35">
      <c r="A4993" t="s">
        <v>5391</v>
      </c>
      <c r="B4993" t="s">
        <v>319</v>
      </c>
      <c r="C4993" t="s">
        <v>5373</v>
      </c>
      <c r="D4993" s="30">
        <v>0.59299768518518514</v>
      </c>
      <c r="E4993" t="s">
        <v>317</v>
      </c>
      <c r="F4993" t="s">
        <v>303</v>
      </c>
      <c r="G4993" t="s">
        <v>303</v>
      </c>
    </row>
    <row r="4994" spans="1:10" x14ac:dyDescent="0.35">
      <c r="A4994" t="s">
        <v>5392</v>
      </c>
      <c r="B4994" t="s">
        <v>319</v>
      </c>
      <c r="C4994" t="s">
        <v>5373</v>
      </c>
      <c r="D4994" s="30">
        <v>0.59599537037037043</v>
      </c>
      <c r="E4994" t="s">
        <v>314</v>
      </c>
      <c r="F4994" t="s">
        <v>303</v>
      </c>
      <c r="G4994" t="s">
        <v>303</v>
      </c>
    </row>
    <row r="4995" spans="1:10" x14ac:dyDescent="0.35">
      <c r="A4995" t="s">
        <v>5393</v>
      </c>
      <c r="B4995" t="s">
        <v>307</v>
      </c>
      <c r="C4995" t="s">
        <v>5373</v>
      </c>
      <c r="D4995" s="30">
        <v>0.62400462962962966</v>
      </c>
      <c r="E4995" t="s">
        <v>298</v>
      </c>
      <c r="F4995" t="s">
        <v>303</v>
      </c>
      <c r="G4995" t="s">
        <v>303</v>
      </c>
    </row>
    <row r="4996" spans="1:10" x14ac:dyDescent="0.35">
      <c r="A4996" t="s">
        <v>5394</v>
      </c>
      <c r="B4996" t="s">
        <v>332</v>
      </c>
      <c r="C4996" t="s">
        <v>5373</v>
      </c>
      <c r="D4996" s="30">
        <v>0.64799768518518519</v>
      </c>
      <c r="E4996" t="s">
        <v>309</v>
      </c>
      <c r="F4996" t="s">
        <v>303</v>
      </c>
      <c r="G4996" t="s">
        <v>303</v>
      </c>
    </row>
    <row r="4997" spans="1:10" x14ac:dyDescent="0.35">
      <c r="A4997" t="s">
        <v>5395</v>
      </c>
      <c r="B4997" t="s">
        <v>316</v>
      </c>
      <c r="C4997" t="s">
        <v>5373</v>
      </c>
      <c r="D4997" s="30">
        <v>0.69299768518518523</v>
      </c>
      <c r="E4997" t="s">
        <v>309</v>
      </c>
      <c r="F4997" t="s">
        <v>299</v>
      </c>
      <c r="G4997" t="s">
        <v>299</v>
      </c>
      <c r="H4997">
        <v>22</v>
      </c>
      <c r="I4997" s="30">
        <v>3.9351851851851848E-3</v>
      </c>
      <c r="J4997">
        <v>1</v>
      </c>
    </row>
    <row r="4998" spans="1:10" x14ac:dyDescent="0.35">
      <c r="A4998" t="s">
        <v>5396</v>
      </c>
      <c r="B4998" t="s">
        <v>296</v>
      </c>
      <c r="C4998" t="s">
        <v>5373</v>
      </c>
      <c r="D4998" s="30">
        <v>0.69799768518518523</v>
      </c>
      <c r="E4998" t="s">
        <v>309</v>
      </c>
      <c r="F4998" t="s">
        <v>299</v>
      </c>
      <c r="G4998" t="s">
        <v>299</v>
      </c>
      <c r="H4998">
        <v>100</v>
      </c>
      <c r="I4998" s="30">
        <v>2.2685185185185187E-3</v>
      </c>
      <c r="J4998">
        <v>3</v>
      </c>
    </row>
    <row r="4999" spans="1:10" x14ac:dyDescent="0.35">
      <c r="A4999" t="s">
        <v>5397</v>
      </c>
      <c r="B4999" t="s">
        <v>296</v>
      </c>
      <c r="C4999" t="s">
        <v>5373</v>
      </c>
      <c r="D4999" s="30">
        <v>0.70400462962962962</v>
      </c>
      <c r="E4999" t="s">
        <v>309</v>
      </c>
      <c r="F4999" t="s">
        <v>299</v>
      </c>
      <c r="G4999" t="s">
        <v>299</v>
      </c>
      <c r="H4999">
        <v>84</v>
      </c>
      <c r="I4999" s="30">
        <v>1.261574074074074E-3</v>
      </c>
      <c r="J4999">
        <v>4</v>
      </c>
    </row>
    <row r="5000" spans="1:10" x14ac:dyDescent="0.35">
      <c r="A5000" t="s">
        <v>5398</v>
      </c>
      <c r="B5000" t="s">
        <v>316</v>
      </c>
      <c r="C5000" t="s">
        <v>5373</v>
      </c>
      <c r="D5000" s="30">
        <v>0.71</v>
      </c>
      <c r="E5000" t="s">
        <v>317</v>
      </c>
      <c r="F5000" t="s">
        <v>299</v>
      </c>
      <c r="G5000" t="s">
        <v>299</v>
      </c>
      <c r="H5000">
        <v>98</v>
      </c>
      <c r="I5000" s="30">
        <v>6.7129629629629625E-4</v>
      </c>
      <c r="J5000">
        <v>5</v>
      </c>
    </row>
    <row r="5001" spans="1:10" x14ac:dyDescent="0.35">
      <c r="A5001" t="s">
        <v>5399</v>
      </c>
      <c r="B5001" t="s">
        <v>296</v>
      </c>
      <c r="C5001" t="s">
        <v>5373</v>
      </c>
      <c r="D5001" s="30">
        <v>0.73599537037037033</v>
      </c>
      <c r="E5001" t="s">
        <v>298</v>
      </c>
      <c r="F5001" t="s">
        <v>303</v>
      </c>
      <c r="G5001" t="s">
        <v>303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92887-8971-4C40-8D40-A5693193125D}">
  <dimension ref="B1:F25"/>
  <sheetViews>
    <sheetView showGridLines="0" topLeftCell="B1" workbookViewId="0">
      <pane ySplit="1" topLeftCell="A2" activePane="bottomLeft" state="frozen"/>
      <selection activeCell="B1" sqref="B1"/>
      <selection pane="bottomLeft" activeCell="M10" sqref="M10"/>
    </sheetView>
  </sheetViews>
  <sheetFormatPr defaultRowHeight="14.5" x14ac:dyDescent="0.35"/>
  <cols>
    <col min="2" max="2" width="44.54296875" customWidth="1"/>
    <col min="3" max="6" width="65.7265625" customWidth="1"/>
  </cols>
  <sheetData>
    <row r="1" spans="2:6" x14ac:dyDescent="0.35">
      <c r="B1" s="4" t="s">
        <v>239</v>
      </c>
      <c r="C1" s="20" t="s">
        <v>210</v>
      </c>
      <c r="D1" s="15" t="s">
        <v>208</v>
      </c>
      <c r="E1" s="4" t="s">
        <v>209</v>
      </c>
      <c r="F1" s="4" t="s">
        <v>211</v>
      </c>
    </row>
    <row r="2" spans="2:6" x14ac:dyDescent="0.35">
      <c r="B2" s="15" t="s">
        <v>212</v>
      </c>
      <c r="C2" s="21">
        <v>150000</v>
      </c>
      <c r="D2" s="12">
        <v>130000</v>
      </c>
      <c r="E2" s="12">
        <v>120000</v>
      </c>
      <c r="F2" s="12">
        <v>120000</v>
      </c>
    </row>
    <row r="3" spans="2:6" ht="29" x14ac:dyDescent="0.35">
      <c r="B3" s="15" t="s">
        <v>219</v>
      </c>
      <c r="C3" s="22" t="s">
        <v>238</v>
      </c>
      <c r="D3" s="12" t="s">
        <v>224</v>
      </c>
      <c r="E3" s="12" t="s">
        <v>226</v>
      </c>
      <c r="F3" s="12" t="s">
        <v>230</v>
      </c>
    </row>
    <row r="4" spans="2:6" ht="29" x14ac:dyDescent="0.35">
      <c r="B4" s="15" t="s">
        <v>220</v>
      </c>
      <c r="C4" s="22"/>
      <c r="D4" s="16" t="s">
        <v>237</v>
      </c>
      <c r="E4" s="16" t="s">
        <v>235</v>
      </c>
      <c r="F4" s="16" t="s">
        <v>236</v>
      </c>
    </row>
    <row r="5" spans="2:6" ht="29" x14ac:dyDescent="0.35">
      <c r="B5" s="15" t="s">
        <v>213</v>
      </c>
      <c r="C5" s="20">
        <v>0.66</v>
      </c>
      <c r="D5" s="13" t="s">
        <v>221</v>
      </c>
      <c r="E5" s="4">
        <v>1</v>
      </c>
      <c r="F5" s="4">
        <v>0.75</v>
      </c>
    </row>
    <row r="6" spans="2:6" x14ac:dyDescent="0.35">
      <c r="B6" s="15" t="s">
        <v>214</v>
      </c>
      <c r="C6" s="23">
        <v>295</v>
      </c>
      <c r="D6" s="6">
        <v>425</v>
      </c>
      <c r="E6" s="6">
        <v>295</v>
      </c>
      <c r="F6" s="6">
        <v>295</v>
      </c>
    </row>
    <row r="7" spans="2:6" ht="29" x14ac:dyDescent="0.35">
      <c r="B7" s="15" t="s">
        <v>227</v>
      </c>
      <c r="C7" s="23"/>
      <c r="D7" s="17" t="s">
        <v>234</v>
      </c>
      <c r="E7" s="6" t="s">
        <v>228</v>
      </c>
      <c r="F7" s="6"/>
    </row>
    <row r="8" spans="2:6" x14ac:dyDescent="0.35">
      <c r="B8" s="15" t="s">
        <v>215</v>
      </c>
      <c r="C8" s="24">
        <v>0.03</v>
      </c>
      <c r="D8" s="4" t="s">
        <v>222</v>
      </c>
      <c r="E8" s="4" t="s">
        <v>222</v>
      </c>
      <c r="F8" s="15" t="s">
        <v>222</v>
      </c>
    </row>
    <row r="9" spans="2:6" x14ac:dyDescent="0.35">
      <c r="B9" s="15" t="s">
        <v>202</v>
      </c>
      <c r="C9" s="24" t="s">
        <v>251</v>
      </c>
      <c r="D9" s="4" t="s">
        <v>229</v>
      </c>
      <c r="E9" s="14">
        <v>0.2099</v>
      </c>
      <c r="F9" s="14">
        <v>0.19989999999999999</v>
      </c>
    </row>
    <row r="10" spans="2:6" ht="72.5" x14ac:dyDescent="0.35">
      <c r="B10" s="15" t="s">
        <v>217</v>
      </c>
      <c r="C10" s="25" t="s">
        <v>216</v>
      </c>
      <c r="D10" s="13" t="s">
        <v>223</v>
      </c>
      <c r="E10" s="13" t="s">
        <v>225</v>
      </c>
      <c r="F10" s="13" t="s">
        <v>231</v>
      </c>
    </row>
    <row r="11" spans="2:6" x14ac:dyDescent="0.35">
      <c r="B11" s="15" t="s">
        <v>218</v>
      </c>
      <c r="C11" s="26">
        <v>50000</v>
      </c>
      <c r="D11" s="4" t="s">
        <v>222</v>
      </c>
      <c r="E11" s="18">
        <v>20000</v>
      </c>
      <c r="F11" s="18">
        <v>20833</v>
      </c>
    </row>
    <row r="12" spans="2:6" x14ac:dyDescent="0.35">
      <c r="B12" s="15" t="s">
        <v>233</v>
      </c>
      <c r="C12" s="20"/>
      <c r="D12" s="4"/>
      <c r="E12" s="4"/>
      <c r="F12" s="4" t="s">
        <v>232</v>
      </c>
    </row>
    <row r="13" spans="2:6" ht="43.5" x14ac:dyDescent="0.35">
      <c r="B13" s="15" t="s">
        <v>240</v>
      </c>
      <c r="C13" s="25" t="s">
        <v>241</v>
      </c>
      <c r="D13" s="13" t="s">
        <v>242</v>
      </c>
      <c r="E13" s="13" t="s">
        <v>241</v>
      </c>
      <c r="F13" s="13" t="s">
        <v>243</v>
      </c>
    </row>
    <row r="14" spans="2:6" x14ac:dyDescent="0.35">
      <c r="B14" s="15" t="s">
        <v>244</v>
      </c>
      <c r="C14" s="21">
        <v>8910</v>
      </c>
      <c r="D14" s="12">
        <v>10500</v>
      </c>
      <c r="E14" s="12">
        <v>13500</v>
      </c>
      <c r="F14" s="12">
        <v>10125</v>
      </c>
    </row>
    <row r="15" spans="2:6" x14ac:dyDescent="0.35">
      <c r="B15" s="15"/>
      <c r="C15" s="21"/>
      <c r="D15" s="12"/>
      <c r="E15" s="12"/>
      <c r="F15" s="12"/>
    </row>
    <row r="16" spans="2:6" x14ac:dyDescent="0.35">
      <c r="B16" s="15" t="s">
        <v>250</v>
      </c>
      <c r="C16" s="21"/>
      <c r="D16" s="12">
        <f>SUM(D17, -30000)</f>
        <v>110500</v>
      </c>
      <c r="E16" s="12">
        <f>SUM(E17, -30000)</f>
        <v>103500</v>
      </c>
      <c r="F16" s="12">
        <f>SUM(F17, -30000)</f>
        <v>100125</v>
      </c>
    </row>
    <row r="17" spans="2:6" x14ac:dyDescent="0.35">
      <c r="B17" s="15" t="s">
        <v>249</v>
      </c>
      <c r="C17" s="21">
        <f>SUM(C2,C14)</f>
        <v>158910</v>
      </c>
      <c r="D17" s="12">
        <f>SUM(D2,D14)</f>
        <v>140500</v>
      </c>
      <c r="E17" s="12">
        <f>SUM(E2,E14)</f>
        <v>133500</v>
      </c>
      <c r="F17" s="12">
        <f>SUM(F2,F14)</f>
        <v>130125</v>
      </c>
    </row>
    <row r="18" spans="2:6" ht="29" x14ac:dyDescent="0.35">
      <c r="B18" s="15" t="s">
        <v>247</v>
      </c>
      <c r="C18" s="26" t="s">
        <v>248</v>
      </c>
      <c r="D18" s="19" t="s">
        <v>256</v>
      </c>
      <c r="E18" s="13" t="s">
        <v>245</v>
      </c>
      <c r="F18" s="13" t="s">
        <v>246</v>
      </c>
    </row>
    <row r="19" spans="2:6" ht="43.5" x14ac:dyDescent="0.35">
      <c r="B19" s="15" t="s">
        <v>253</v>
      </c>
      <c r="C19" s="27" t="s">
        <v>252</v>
      </c>
      <c r="D19" s="13" t="s">
        <v>257</v>
      </c>
      <c r="E19" s="4"/>
      <c r="F19" s="4"/>
    </row>
    <row r="22" spans="2:6" x14ac:dyDescent="0.35">
      <c r="B22" s="4" t="s">
        <v>254</v>
      </c>
      <c r="C22" s="18">
        <v>1343</v>
      </c>
      <c r="D22" s="12">
        <v>55200</v>
      </c>
    </row>
    <row r="23" spans="2:6" x14ac:dyDescent="0.35">
      <c r="B23" s="4" t="s">
        <v>255</v>
      </c>
      <c r="C23" s="18">
        <v>1412</v>
      </c>
      <c r="D23" s="12">
        <v>66200</v>
      </c>
    </row>
    <row r="24" spans="2:6" x14ac:dyDescent="0.35">
      <c r="B24" s="4" t="s">
        <v>203</v>
      </c>
      <c r="C24" s="18">
        <v>2755</v>
      </c>
      <c r="D24" s="12">
        <v>121400</v>
      </c>
    </row>
    <row r="25" spans="2:6" x14ac:dyDescent="0.35">
      <c r="B25" s="4"/>
      <c r="D25" s="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D1B1D-27E7-D549-ADA6-064852CAD1C0}">
  <sheetPr codeName="Sheet10">
    <tabColor theme="8" tint="0.79998168889431442"/>
  </sheetPr>
  <dimension ref="A1:X150"/>
  <sheetViews>
    <sheetView topLeftCell="D99" workbookViewId="0">
      <selection sqref="A1:K150"/>
    </sheetView>
  </sheetViews>
  <sheetFormatPr defaultColWidth="11.453125" defaultRowHeight="14.5" x14ac:dyDescent="0.35"/>
  <cols>
    <col min="1" max="1" width="16.26953125" customWidth="1"/>
    <col min="2" max="2" width="12.1796875" bestFit="1" customWidth="1"/>
    <col min="5" max="5" width="13" customWidth="1"/>
    <col min="6" max="6" width="12.453125" customWidth="1"/>
    <col min="8" max="8" width="17" customWidth="1"/>
    <col min="10" max="10" width="11.1796875" customWidth="1"/>
    <col min="11" max="11" width="18.453125" bestFit="1" customWidth="1"/>
    <col min="12" max="12" width="22.453125" style="10" customWidth="1"/>
    <col min="13" max="13" width="18.1796875" style="3" bestFit="1" customWidth="1"/>
    <col min="15" max="15" width="12.36328125" bestFit="1" customWidth="1"/>
    <col min="16" max="17" width="20.08984375" bestFit="1" customWidth="1"/>
    <col min="18" max="18" width="12.453125" bestFit="1" customWidth="1"/>
    <col min="20" max="20" width="23" bestFit="1" customWidth="1"/>
    <col min="26" max="26" width="23.1796875" customWidth="1"/>
    <col min="27" max="27" width="16.81640625" customWidth="1"/>
  </cols>
  <sheetData>
    <row r="1" spans="1:24" x14ac:dyDescent="0.35">
      <c r="A1" t="s">
        <v>9</v>
      </c>
      <c r="B1" t="s">
        <v>10</v>
      </c>
      <c r="C1" t="s">
        <v>11</v>
      </c>
      <c r="D1" t="s">
        <v>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s="8" t="s">
        <v>90</v>
      </c>
      <c r="M1" s="9" t="s">
        <v>91</v>
      </c>
    </row>
    <row r="2" spans="1:24" x14ac:dyDescent="0.35">
      <c r="A2" s="7">
        <v>45349.010416666664</v>
      </c>
      <c r="B2" t="s">
        <v>55</v>
      </c>
      <c r="C2" t="s">
        <v>258</v>
      </c>
      <c r="D2">
        <v>2245.9558126400002</v>
      </c>
      <c r="E2">
        <v>7.0413000000000003E-2</v>
      </c>
      <c r="F2">
        <v>7.1124242424242395E-2</v>
      </c>
      <c r="G2" t="s">
        <v>259</v>
      </c>
      <c r="H2">
        <v>1.6</v>
      </c>
      <c r="I2">
        <v>0.15</v>
      </c>
      <c r="J2">
        <v>158.13999999999999</v>
      </c>
      <c r="K2" t="s">
        <v>260</v>
      </c>
      <c r="L2" s="5">
        <f>VALUE(IF(Crypto_Dataset[[#This Row],[Type]]="Sell", _xlfn.CONCAT("-", Crypto_Dataset[[#This Row],[Total AUD]]), Crypto_Dataset[[#This Row],[Total AUD]]))</f>
        <v>-158.13999999999999</v>
      </c>
      <c r="M2" s="3">
        <f>VALUE(IF(Crypto_Dataset[[#This Row],[Type]]="Sell", _xlfn.CONCAT("-", Crypto_Dataset[[#This Row],[Amount]]), Crypto_Dataset[[#This Row],[Amount]]))</f>
        <v>-2245.9558126400002</v>
      </c>
      <c r="O2" s="2" t="s">
        <v>4</v>
      </c>
      <c r="P2" t="s">
        <v>284</v>
      </c>
      <c r="W2" s="29"/>
      <c r="X2" s="29"/>
    </row>
    <row r="3" spans="1:24" x14ac:dyDescent="0.35">
      <c r="A3" s="7">
        <v>45271.032638888886</v>
      </c>
      <c r="B3" t="s">
        <v>55</v>
      </c>
      <c r="C3" t="s">
        <v>126</v>
      </c>
      <c r="D3">
        <v>9620009.6200096197</v>
      </c>
      <c r="E3">
        <v>2.0789999999999999E-6</v>
      </c>
      <c r="F3">
        <v>2.0999999999999998E-6</v>
      </c>
      <c r="G3" t="s">
        <v>261</v>
      </c>
      <c r="H3">
        <v>0.2</v>
      </c>
      <c r="I3">
        <v>0.02</v>
      </c>
      <c r="J3">
        <v>20</v>
      </c>
      <c r="K3" t="s">
        <v>262</v>
      </c>
      <c r="L3" s="5">
        <f>VALUE(IF(Crypto_Dataset[[#This Row],[Type]]="Sell", _xlfn.CONCAT("-", Crypto_Dataset[[#This Row],[Total AUD]]), Crypto_Dataset[[#This Row],[Total AUD]]))</f>
        <v>-20</v>
      </c>
      <c r="M3" s="3">
        <f>VALUE(IF(Crypto_Dataset[[#This Row],[Type]]="Sell", _xlfn.CONCAT("-", Crypto_Dataset[[#This Row],[Amount]]), Crypto_Dataset[[#This Row],[Amount]]))</f>
        <v>-9620009.6200096197</v>
      </c>
      <c r="O3" s="3" t="s">
        <v>34</v>
      </c>
      <c r="P3" s="11">
        <v>25739.289999999997</v>
      </c>
      <c r="W3" s="29"/>
      <c r="X3" s="29"/>
    </row>
    <row r="4" spans="1:24" x14ac:dyDescent="0.35">
      <c r="A4" s="7">
        <v>45271.031944444447</v>
      </c>
      <c r="B4" t="s">
        <v>19</v>
      </c>
      <c r="C4" t="s">
        <v>126</v>
      </c>
      <c r="D4">
        <v>4566210.0456621004</v>
      </c>
      <c r="E4">
        <v>2.1900000000000002E-6</v>
      </c>
      <c r="F4">
        <v>2.1683168316831598E-6</v>
      </c>
      <c r="G4" t="s">
        <v>263</v>
      </c>
      <c r="H4">
        <v>0.1</v>
      </c>
      <c r="I4">
        <v>0.01</v>
      </c>
      <c r="J4">
        <v>10</v>
      </c>
      <c r="K4" t="s">
        <v>264</v>
      </c>
      <c r="L4" s="5">
        <f>VALUE(IF(Crypto_Dataset[[#This Row],[Type]]="Sell", _xlfn.CONCAT("-", Crypto_Dataset[[#This Row],[Total AUD]]), Crypto_Dataset[[#This Row],[Total AUD]]))</f>
        <v>10</v>
      </c>
      <c r="M4" s="3">
        <f>VALUE(IF(Crypto_Dataset[[#This Row],[Type]]="Sell", _xlfn.CONCAT("-", Crypto_Dataset[[#This Row],[Amount]]), Crypto_Dataset[[#This Row],[Amount]]))</f>
        <v>4566210.0456621004</v>
      </c>
      <c r="O4" s="3" t="s">
        <v>22</v>
      </c>
      <c r="P4" s="11">
        <v>11651.339999999997</v>
      </c>
      <c r="W4" s="29"/>
      <c r="X4" s="29"/>
    </row>
    <row r="5" spans="1:24" x14ac:dyDescent="0.35">
      <c r="A5" s="7">
        <v>45266.982638888891</v>
      </c>
      <c r="B5" t="s">
        <v>55</v>
      </c>
      <c r="C5" t="s">
        <v>126</v>
      </c>
      <c r="D5">
        <v>9966777.4086378701</v>
      </c>
      <c r="E5">
        <v>1.505E-6</v>
      </c>
      <c r="F5">
        <v>1.5202020202020201E-6</v>
      </c>
      <c r="G5" t="s">
        <v>265</v>
      </c>
      <c r="H5">
        <v>0.15</v>
      </c>
      <c r="I5">
        <v>0.01</v>
      </c>
      <c r="J5">
        <v>15</v>
      </c>
      <c r="K5" t="s">
        <v>266</v>
      </c>
      <c r="L5" s="5">
        <f>VALUE(IF(Crypto_Dataset[[#This Row],[Type]]="Sell", _xlfn.CONCAT("-", Crypto_Dataset[[#This Row],[Total AUD]]), Crypto_Dataset[[#This Row],[Total AUD]]))</f>
        <v>-15</v>
      </c>
      <c r="M5" s="3">
        <f>VALUE(IF(Crypto_Dataset[[#This Row],[Type]]="Sell", _xlfn.CONCAT("-", Crypto_Dataset[[#This Row],[Amount]]), Crypto_Dataset[[#This Row],[Amount]]))</f>
        <v>-9966777.4086378701</v>
      </c>
      <c r="O5" s="3" t="s">
        <v>27</v>
      </c>
      <c r="P5" s="11">
        <v>4968.04</v>
      </c>
      <c r="W5" s="29"/>
      <c r="X5" s="29"/>
    </row>
    <row r="6" spans="1:24" x14ac:dyDescent="0.35">
      <c r="A6" s="7">
        <v>45266.962500000001</v>
      </c>
      <c r="B6" t="s">
        <v>55</v>
      </c>
      <c r="C6" t="s">
        <v>126</v>
      </c>
      <c r="D6">
        <v>15</v>
      </c>
      <c r="E6">
        <v>1.505E-6</v>
      </c>
      <c r="F6">
        <v>1.5202020202020201E-6</v>
      </c>
      <c r="G6" t="s">
        <v>267</v>
      </c>
      <c r="H6">
        <v>0</v>
      </c>
      <c r="I6">
        <v>0</v>
      </c>
      <c r="J6">
        <v>0</v>
      </c>
      <c r="K6" t="s">
        <v>268</v>
      </c>
      <c r="L6" s="5">
        <f>VALUE(IF(Crypto_Dataset[[#This Row],[Type]]="Sell", _xlfn.CONCAT("-", Crypto_Dataset[[#This Row],[Total AUD]]), Crypto_Dataset[[#This Row],[Total AUD]]))</f>
        <v>0</v>
      </c>
      <c r="M6" s="3">
        <f>VALUE(IF(Crypto_Dataset[[#This Row],[Type]]="Sell", _xlfn.CONCAT("-", Crypto_Dataset[[#This Row],[Amount]]), Crypto_Dataset[[#This Row],[Amount]]))</f>
        <v>-15</v>
      </c>
      <c r="O6" s="3" t="s">
        <v>26</v>
      </c>
      <c r="P6" s="11">
        <v>4250</v>
      </c>
      <c r="W6" s="29"/>
      <c r="X6" s="29"/>
    </row>
    <row r="7" spans="1:24" x14ac:dyDescent="0.35">
      <c r="A7" s="7">
        <v>45266.905555555553</v>
      </c>
      <c r="B7" t="s">
        <v>55</v>
      </c>
      <c r="C7" t="s">
        <v>126</v>
      </c>
      <c r="D7">
        <v>17421602.787456401</v>
      </c>
      <c r="E7">
        <v>1.1480000000000001E-6</v>
      </c>
      <c r="F7">
        <v>1.1595959595959501E-6</v>
      </c>
      <c r="G7" t="s">
        <v>261</v>
      </c>
      <c r="H7">
        <v>0.2</v>
      </c>
      <c r="I7">
        <v>0.02</v>
      </c>
      <c r="J7">
        <v>20</v>
      </c>
      <c r="K7" t="s">
        <v>262</v>
      </c>
      <c r="L7" s="5">
        <f>VALUE(IF(Crypto_Dataset[[#This Row],[Type]]="Sell", _xlfn.CONCAT("-", Crypto_Dataset[[#This Row],[Total AUD]]), Crypto_Dataset[[#This Row],[Total AUD]]))</f>
        <v>-20</v>
      </c>
      <c r="M7" s="3">
        <f>VALUE(IF(Crypto_Dataset[[#This Row],[Type]]="Sell", _xlfn.CONCAT("-", Crypto_Dataset[[#This Row],[Amount]]), Crypto_Dataset[[#This Row],[Amount]]))</f>
        <v>-17421602.787456401</v>
      </c>
      <c r="O7" s="3" t="s">
        <v>74</v>
      </c>
      <c r="P7" s="11">
        <v>914.8</v>
      </c>
      <c r="W7" s="29"/>
      <c r="X7" s="29"/>
    </row>
    <row r="8" spans="1:24" x14ac:dyDescent="0.35">
      <c r="A8" s="7">
        <v>45266.897222222222</v>
      </c>
      <c r="B8" t="s">
        <v>55</v>
      </c>
      <c r="C8" t="s">
        <v>269</v>
      </c>
      <c r="D8">
        <v>1170.0011700011601</v>
      </c>
      <c r="E8">
        <v>1.7094000000000002E-2</v>
      </c>
      <c r="F8">
        <v>1.72666666666666E-2</v>
      </c>
      <c r="G8" t="s">
        <v>261</v>
      </c>
      <c r="H8">
        <v>0.2</v>
      </c>
      <c r="I8">
        <v>0.02</v>
      </c>
      <c r="J8">
        <v>20</v>
      </c>
      <c r="K8" t="s">
        <v>262</v>
      </c>
      <c r="L8" s="5">
        <f>VALUE(IF(Crypto_Dataset[[#This Row],[Type]]="Sell", _xlfn.CONCAT("-", Crypto_Dataset[[#This Row],[Total AUD]]), Crypto_Dataset[[#This Row],[Total AUD]]))</f>
        <v>-20</v>
      </c>
      <c r="M8" s="3">
        <f>VALUE(IF(Crypto_Dataset[[#This Row],[Type]]="Sell", _xlfn.CONCAT("-", Crypto_Dataset[[#This Row],[Amount]]), Crypto_Dataset[[#This Row],[Amount]]))</f>
        <v>-1170.0011700011601</v>
      </c>
      <c r="O8" s="3" t="s">
        <v>132</v>
      </c>
      <c r="P8" s="11">
        <v>900</v>
      </c>
      <c r="W8" s="29"/>
      <c r="X8" s="29"/>
    </row>
    <row r="9" spans="1:24" x14ac:dyDescent="0.35">
      <c r="A9" s="7">
        <v>44614.473611111112</v>
      </c>
      <c r="B9" t="s">
        <v>19</v>
      </c>
      <c r="C9" t="s">
        <v>34</v>
      </c>
      <c r="D9">
        <v>573488.44830410997</v>
      </c>
      <c r="E9">
        <v>6.1029999999999999E-3</v>
      </c>
      <c r="F9">
        <v>6.0425742574257701E-3</v>
      </c>
      <c r="G9" t="s">
        <v>92</v>
      </c>
      <c r="H9">
        <v>34.65</v>
      </c>
      <c r="I9">
        <v>3.15</v>
      </c>
      <c r="J9">
        <v>3500</v>
      </c>
      <c r="K9" t="s">
        <v>93</v>
      </c>
      <c r="L9" s="5">
        <f>VALUE(IF(Crypto_Dataset[[#This Row],[Type]]="Sell", _xlfn.CONCAT("-", Crypto_Dataset[[#This Row],[Total AUD]]), Crypto_Dataset[[#This Row],[Total AUD]]))</f>
        <v>3500</v>
      </c>
      <c r="M9" s="3">
        <f>VALUE(IF(Crypto_Dataset[[#This Row],[Type]]="Sell", _xlfn.CONCAT("-", Crypto_Dataset[[#This Row],[Amount]]), Crypto_Dataset[[#This Row],[Amount]]))</f>
        <v>573488.44830410997</v>
      </c>
      <c r="O9" s="3" t="s">
        <v>126</v>
      </c>
      <c r="P9" s="11">
        <v>501</v>
      </c>
      <c r="W9" s="29"/>
      <c r="X9" s="29"/>
    </row>
    <row r="10" spans="1:24" x14ac:dyDescent="0.35">
      <c r="A10" s="7">
        <v>44600.74722222222</v>
      </c>
      <c r="B10" t="s">
        <v>19</v>
      </c>
      <c r="C10" t="s">
        <v>34</v>
      </c>
      <c r="D10">
        <v>2717.3913043299999</v>
      </c>
      <c r="E10">
        <v>8.8319999999999996E-3</v>
      </c>
      <c r="F10">
        <v>8.7445544555029096E-3</v>
      </c>
      <c r="G10" t="s">
        <v>94</v>
      </c>
      <c r="H10">
        <v>0.24</v>
      </c>
      <c r="I10">
        <v>0.02</v>
      </c>
      <c r="J10">
        <v>24</v>
      </c>
      <c r="K10" t="s">
        <v>95</v>
      </c>
      <c r="L10" s="5">
        <f>VALUE(IF(Crypto_Dataset[[#This Row],[Type]]="Sell", _xlfn.CONCAT("-", Crypto_Dataset[[#This Row],[Total AUD]]), Crypto_Dataset[[#This Row],[Total AUD]]))</f>
        <v>24</v>
      </c>
      <c r="M10" s="3">
        <f>VALUE(IF(Crypto_Dataset[[#This Row],[Type]]="Sell", _xlfn.CONCAT("-", Crypto_Dataset[[#This Row],[Amount]]), Crypto_Dataset[[#This Row],[Amount]]))</f>
        <v>2717.3913043299999</v>
      </c>
      <c r="O10" s="3" t="s">
        <v>85</v>
      </c>
      <c r="P10" s="11">
        <v>500</v>
      </c>
      <c r="W10" s="29"/>
      <c r="X10" s="29"/>
    </row>
    <row r="11" spans="1:24" x14ac:dyDescent="0.35">
      <c r="A11" s="7">
        <v>44600.711805555555</v>
      </c>
      <c r="B11" t="s">
        <v>19</v>
      </c>
      <c r="C11" t="s">
        <v>34</v>
      </c>
      <c r="D11">
        <v>577634.01109057001</v>
      </c>
      <c r="E11">
        <v>8.6560000000000005E-3</v>
      </c>
      <c r="F11">
        <v>8.5702970297030102E-3</v>
      </c>
      <c r="G11" t="s">
        <v>96</v>
      </c>
      <c r="H11">
        <v>49.5</v>
      </c>
      <c r="I11">
        <v>4.5</v>
      </c>
      <c r="J11">
        <v>5000</v>
      </c>
      <c r="K11" t="s">
        <v>60</v>
      </c>
      <c r="L11" s="5">
        <f>VALUE(IF(Crypto_Dataset[[#This Row],[Type]]="Sell", _xlfn.CONCAT("-", Crypto_Dataset[[#This Row],[Total AUD]]), Crypto_Dataset[[#This Row],[Total AUD]]))</f>
        <v>5000</v>
      </c>
      <c r="M11" s="3">
        <f>VALUE(IF(Crypto_Dataset[[#This Row],[Type]]="Sell", _xlfn.CONCAT("-", Crypto_Dataset[[#This Row],[Amount]]), Crypto_Dataset[[#This Row],[Amount]]))</f>
        <v>577634.01109057001</v>
      </c>
      <c r="O11" s="3" t="s">
        <v>86</v>
      </c>
      <c r="P11" s="11">
        <v>500</v>
      </c>
      <c r="W11" s="29"/>
      <c r="X11" s="29"/>
    </row>
    <row r="12" spans="1:24" x14ac:dyDescent="0.35">
      <c r="A12" s="7">
        <v>44534.724305555559</v>
      </c>
      <c r="B12" t="s">
        <v>19</v>
      </c>
      <c r="C12" t="s">
        <v>34</v>
      </c>
      <c r="D12">
        <v>198459.95078193001</v>
      </c>
      <c r="E12">
        <v>1.2597000000000001E-2</v>
      </c>
      <c r="F12">
        <v>1.24722772277229E-2</v>
      </c>
      <c r="G12" t="s">
        <v>97</v>
      </c>
      <c r="H12">
        <v>24.75</v>
      </c>
      <c r="I12">
        <v>2.25</v>
      </c>
      <c r="J12">
        <v>2500</v>
      </c>
      <c r="K12" t="s">
        <v>61</v>
      </c>
      <c r="L12" s="5">
        <f>VALUE(IF(Crypto_Dataset[[#This Row],[Type]]="Sell", _xlfn.CONCAT("-", Crypto_Dataset[[#This Row],[Total AUD]]), Crypto_Dataset[[#This Row],[Total AUD]]))</f>
        <v>2500</v>
      </c>
      <c r="M12" s="3">
        <f>VALUE(IF(Crypto_Dataset[[#This Row],[Type]]="Sell", _xlfn.CONCAT("-", Crypto_Dataset[[#This Row],[Amount]]), Crypto_Dataset[[#This Row],[Amount]]))</f>
        <v>198459.95078193001</v>
      </c>
      <c r="O12" s="3" t="s">
        <v>23</v>
      </c>
      <c r="P12" s="11">
        <v>350</v>
      </c>
      <c r="W12" s="29"/>
      <c r="X12" s="29"/>
    </row>
    <row r="13" spans="1:24" x14ac:dyDescent="0.35">
      <c r="A13" s="7">
        <v>44460.287499999999</v>
      </c>
      <c r="B13" t="s">
        <v>19</v>
      </c>
      <c r="C13" t="s">
        <v>34</v>
      </c>
      <c r="D13">
        <v>56068.317087889998</v>
      </c>
      <c r="E13">
        <v>1.1592999999999999E-2</v>
      </c>
      <c r="F13">
        <v>1.1478217821783701E-2</v>
      </c>
      <c r="G13" t="s">
        <v>98</v>
      </c>
      <c r="H13">
        <v>6.44</v>
      </c>
      <c r="I13">
        <v>0.59</v>
      </c>
      <c r="J13">
        <v>650</v>
      </c>
      <c r="K13" t="s">
        <v>99</v>
      </c>
      <c r="L13" s="5">
        <f>VALUE(IF(Crypto_Dataset[[#This Row],[Type]]="Sell", _xlfn.CONCAT("-", Crypto_Dataset[[#This Row],[Total AUD]]), Crypto_Dataset[[#This Row],[Total AUD]]))</f>
        <v>650</v>
      </c>
      <c r="M13" s="3">
        <f>VALUE(IF(Crypto_Dataset[[#This Row],[Type]]="Sell", _xlfn.CONCAT("-", Crypto_Dataset[[#This Row],[Amount]]), Crypto_Dataset[[#This Row],[Amount]]))</f>
        <v>56068.317087889998</v>
      </c>
      <c r="O13" s="3" t="s">
        <v>20</v>
      </c>
      <c r="P13" s="11">
        <v>316.24</v>
      </c>
      <c r="W13" s="29"/>
      <c r="X13" s="29"/>
    </row>
    <row r="14" spans="1:24" x14ac:dyDescent="0.35">
      <c r="A14" s="7">
        <v>44447.30972222222</v>
      </c>
      <c r="B14" t="s">
        <v>19</v>
      </c>
      <c r="C14" t="s">
        <v>34</v>
      </c>
      <c r="D14">
        <v>43722.21817385</v>
      </c>
      <c r="E14">
        <v>1.3723000000000001E-2</v>
      </c>
      <c r="F14">
        <v>1.3587128712876999E-2</v>
      </c>
      <c r="G14" t="s">
        <v>100</v>
      </c>
      <c r="H14">
        <v>5.94</v>
      </c>
      <c r="I14">
        <v>0.54</v>
      </c>
      <c r="J14">
        <v>600</v>
      </c>
      <c r="K14" t="s">
        <v>75</v>
      </c>
      <c r="L14" s="5">
        <f>VALUE(IF(Crypto_Dataset[[#This Row],[Type]]="Sell", _xlfn.CONCAT("-", Crypto_Dataset[[#This Row],[Total AUD]]), Crypto_Dataset[[#This Row],[Total AUD]]))</f>
        <v>600</v>
      </c>
      <c r="M14" s="3">
        <f>VALUE(IF(Crypto_Dataset[[#This Row],[Type]]="Sell", _xlfn.CONCAT("-", Crypto_Dataset[[#This Row],[Amount]]), Crypto_Dataset[[#This Row],[Amount]]))</f>
        <v>43722.21817385</v>
      </c>
      <c r="O14" s="3" t="s">
        <v>73</v>
      </c>
      <c r="P14" s="11">
        <v>141.22</v>
      </c>
      <c r="W14" s="29"/>
      <c r="X14" s="29"/>
    </row>
    <row r="15" spans="1:24" x14ac:dyDescent="0.35">
      <c r="A15" s="7">
        <v>44435.740277777775</v>
      </c>
      <c r="B15" t="s">
        <v>19</v>
      </c>
      <c r="C15" t="s">
        <v>34</v>
      </c>
      <c r="D15">
        <v>17356.28991946</v>
      </c>
      <c r="E15">
        <v>1.4404E-2</v>
      </c>
      <c r="F15">
        <v>1.42613861386194E-2</v>
      </c>
      <c r="G15" t="s">
        <v>101</v>
      </c>
      <c r="H15">
        <v>2.48</v>
      </c>
      <c r="I15">
        <v>0.23</v>
      </c>
      <c r="J15">
        <v>250</v>
      </c>
      <c r="K15" t="s">
        <v>33</v>
      </c>
      <c r="L15" s="5">
        <f>VALUE(IF(Crypto_Dataset[[#This Row],[Type]]="Sell", _xlfn.CONCAT("-", Crypto_Dataset[[#This Row],[Total AUD]]), Crypto_Dataset[[#This Row],[Total AUD]]))</f>
        <v>250</v>
      </c>
      <c r="M15" s="3">
        <f>VALUE(IF(Crypto_Dataset[[#This Row],[Type]]="Sell", _xlfn.CONCAT("-", Crypto_Dataset[[#This Row],[Amount]]), Crypto_Dataset[[#This Row],[Amount]]))</f>
        <v>17356.28991946</v>
      </c>
      <c r="O15" s="3" t="s">
        <v>81</v>
      </c>
      <c r="P15" s="11">
        <v>74.259999999999991</v>
      </c>
      <c r="W15" s="29"/>
      <c r="X15" s="29"/>
    </row>
    <row r="16" spans="1:24" x14ac:dyDescent="0.35">
      <c r="A16" s="7">
        <v>44428.816666666666</v>
      </c>
      <c r="B16" t="s">
        <v>19</v>
      </c>
      <c r="C16" t="s">
        <v>34</v>
      </c>
      <c r="D16">
        <v>31316.547663779998</v>
      </c>
      <c r="E16">
        <v>1.5966000000000001E-2</v>
      </c>
      <c r="F16">
        <v>1.5807920792082E-2</v>
      </c>
      <c r="G16" t="s">
        <v>102</v>
      </c>
      <c r="H16">
        <v>4.95</v>
      </c>
      <c r="I16">
        <v>0.45</v>
      </c>
      <c r="J16">
        <v>500</v>
      </c>
      <c r="K16" t="s">
        <v>29</v>
      </c>
      <c r="L16" s="5">
        <f>VALUE(IF(Crypto_Dataset[[#This Row],[Type]]="Sell", _xlfn.CONCAT("-", Crypto_Dataset[[#This Row],[Total AUD]]), Crypto_Dataset[[#This Row],[Total AUD]]))</f>
        <v>500</v>
      </c>
      <c r="M16" s="3">
        <f>VALUE(IF(Crypto_Dataset[[#This Row],[Type]]="Sell", _xlfn.CONCAT("-", Crypto_Dataset[[#This Row],[Amount]]), Crypto_Dataset[[#This Row],[Amount]]))</f>
        <v>31316.547663779998</v>
      </c>
      <c r="O16" s="3" t="s">
        <v>87</v>
      </c>
      <c r="P16" s="11">
        <v>47</v>
      </c>
      <c r="W16" s="29"/>
      <c r="X16" s="29"/>
    </row>
    <row r="17" spans="1:16" x14ac:dyDescent="0.35">
      <c r="A17" s="7">
        <v>44417.075694444444</v>
      </c>
      <c r="B17" t="s">
        <v>19</v>
      </c>
      <c r="C17" t="s">
        <v>34</v>
      </c>
      <c r="D17">
        <v>33675.70298029</v>
      </c>
      <c r="E17">
        <v>1.1878E-2</v>
      </c>
      <c r="F17">
        <v>1.1760396039607299E-2</v>
      </c>
      <c r="G17" t="s">
        <v>103</v>
      </c>
      <c r="H17">
        <v>3.96</v>
      </c>
      <c r="I17">
        <v>0.36</v>
      </c>
      <c r="J17">
        <v>400</v>
      </c>
      <c r="K17" t="s">
        <v>83</v>
      </c>
      <c r="L17" s="5">
        <f>VALUE(IF(Crypto_Dataset[[#This Row],[Type]]="Sell", _xlfn.CONCAT("-", Crypto_Dataset[[#This Row],[Total AUD]]), Crypto_Dataset[[#This Row],[Total AUD]]))</f>
        <v>400</v>
      </c>
      <c r="M17" s="3">
        <f>VALUE(IF(Crypto_Dataset[[#This Row],[Type]]="Sell", _xlfn.CONCAT("-", Crypto_Dataset[[#This Row],[Amount]]), Crypto_Dataset[[#This Row],[Amount]]))</f>
        <v>33675.70298029</v>
      </c>
      <c r="O17" s="3" t="s">
        <v>80</v>
      </c>
      <c r="P17" s="11">
        <v>-6.7799999999999727</v>
      </c>
    </row>
    <row r="18" spans="1:16" x14ac:dyDescent="0.35">
      <c r="A18" s="7">
        <v>44417.070138888892</v>
      </c>
      <c r="B18" t="s">
        <v>19</v>
      </c>
      <c r="C18" t="s">
        <v>34</v>
      </c>
      <c r="D18">
        <v>101377.03810087001</v>
      </c>
      <c r="E18">
        <v>1.1837E-2</v>
      </c>
      <c r="F18">
        <v>1.1719801980197999E-2</v>
      </c>
      <c r="G18" t="s">
        <v>104</v>
      </c>
      <c r="H18">
        <v>11.88</v>
      </c>
      <c r="I18">
        <v>1.08</v>
      </c>
      <c r="J18">
        <v>1200</v>
      </c>
      <c r="K18" t="s">
        <v>105</v>
      </c>
      <c r="L18" s="5">
        <f>VALUE(IF(Crypto_Dataset[[#This Row],[Type]]="Sell", _xlfn.CONCAT("-", Crypto_Dataset[[#This Row],[Total AUD]]), Crypto_Dataset[[#This Row],[Total AUD]]))</f>
        <v>1200</v>
      </c>
      <c r="M18" s="3">
        <f>VALUE(IF(Crypto_Dataset[[#This Row],[Type]]="Sell", _xlfn.CONCAT("-", Crypto_Dataset[[#This Row],[Amount]]), Crypto_Dataset[[#This Row],[Amount]]))</f>
        <v>101377.03810087001</v>
      </c>
      <c r="O18" s="3" t="s">
        <v>269</v>
      </c>
      <c r="P18" s="11">
        <v>-20</v>
      </c>
    </row>
    <row r="19" spans="1:16" x14ac:dyDescent="0.35">
      <c r="A19" s="7">
        <v>44304.574999999997</v>
      </c>
      <c r="B19" t="s">
        <v>19</v>
      </c>
      <c r="C19" t="s">
        <v>34</v>
      </c>
      <c r="D19">
        <v>46829.63379226</v>
      </c>
      <c r="E19">
        <v>2.1354000000000001E-2</v>
      </c>
      <c r="F19">
        <v>2.11425742574274E-2</v>
      </c>
      <c r="G19" t="s">
        <v>106</v>
      </c>
      <c r="H19">
        <v>9.9</v>
      </c>
      <c r="I19">
        <v>0.9</v>
      </c>
      <c r="J19">
        <v>1000</v>
      </c>
      <c r="K19" t="s">
        <v>70</v>
      </c>
      <c r="L19" s="5">
        <f>VALUE(IF(Crypto_Dataset[[#This Row],[Type]]="Sell", _xlfn.CONCAT("-", Crypto_Dataset[[#This Row],[Total AUD]]), Crypto_Dataset[[#This Row],[Total AUD]]))</f>
        <v>1000</v>
      </c>
      <c r="M19" s="3">
        <f>VALUE(IF(Crypto_Dataset[[#This Row],[Type]]="Sell", _xlfn.CONCAT("-", Crypto_Dataset[[#This Row],[Amount]]), Crypto_Dataset[[#This Row],[Amount]]))</f>
        <v>46829.63379226</v>
      </c>
      <c r="O19" s="3" t="s">
        <v>24</v>
      </c>
      <c r="P19" s="11">
        <v>-50.059999999999945</v>
      </c>
    </row>
    <row r="20" spans="1:16" x14ac:dyDescent="0.35">
      <c r="A20" s="7">
        <v>44300.32708333333</v>
      </c>
      <c r="B20" t="s">
        <v>19</v>
      </c>
      <c r="C20" t="s">
        <v>34</v>
      </c>
      <c r="D20">
        <v>38396.559668250004</v>
      </c>
      <c r="E20">
        <v>2.6044000000000001E-2</v>
      </c>
      <c r="F20">
        <v>2.57861386138638E-2</v>
      </c>
      <c r="G20" t="s">
        <v>106</v>
      </c>
      <c r="H20">
        <v>9.9</v>
      </c>
      <c r="I20">
        <v>0.9</v>
      </c>
      <c r="J20">
        <v>1000</v>
      </c>
      <c r="K20" t="s">
        <v>70</v>
      </c>
      <c r="L20" s="5">
        <f>VALUE(IF(Crypto_Dataset[[#This Row],[Type]]="Sell", _xlfn.CONCAT("-", Crypto_Dataset[[#This Row],[Total AUD]]), Crypto_Dataset[[#This Row],[Total AUD]]))</f>
        <v>1000</v>
      </c>
      <c r="M20" s="3">
        <f>VALUE(IF(Crypto_Dataset[[#This Row],[Type]]="Sell", _xlfn.CONCAT("-", Crypto_Dataset[[#This Row],[Amount]]), Crypto_Dataset[[#This Row],[Amount]]))</f>
        <v>38396.559668250004</v>
      </c>
      <c r="O20" s="3" t="s">
        <v>25</v>
      </c>
      <c r="P20" s="11">
        <v>-89.309999999999945</v>
      </c>
    </row>
    <row r="21" spans="1:16" x14ac:dyDescent="0.35">
      <c r="A21" s="7">
        <v>44298.068055555559</v>
      </c>
      <c r="B21" t="s">
        <v>19</v>
      </c>
      <c r="C21" t="s">
        <v>34</v>
      </c>
      <c r="D21">
        <v>53466.396840419999</v>
      </c>
      <c r="E21">
        <v>3.0637000000000001E-2</v>
      </c>
      <c r="F21">
        <v>3.0333663366337599E-2</v>
      </c>
      <c r="G21" t="s">
        <v>107</v>
      </c>
      <c r="H21">
        <v>16.22</v>
      </c>
      <c r="I21">
        <v>1.47</v>
      </c>
      <c r="J21">
        <v>1638.05</v>
      </c>
      <c r="K21" t="s">
        <v>76</v>
      </c>
      <c r="L21" s="5">
        <f>VALUE(IF(Crypto_Dataset[[#This Row],[Type]]="Sell", _xlfn.CONCAT("-", Crypto_Dataset[[#This Row],[Total AUD]]), Crypto_Dataset[[#This Row],[Total AUD]]))</f>
        <v>1638.05</v>
      </c>
      <c r="M21" s="3">
        <f>VALUE(IF(Crypto_Dataset[[#This Row],[Type]]="Sell", _xlfn.CONCAT("-", Crypto_Dataset[[#This Row],[Amount]]), Crypto_Dataset[[#This Row],[Amount]]))</f>
        <v>53466.396840419999</v>
      </c>
      <c r="O21" s="3" t="s">
        <v>258</v>
      </c>
      <c r="P21" s="11">
        <v>-158.13999999999999</v>
      </c>
    </row>
    <row r="22" spans="1:16" x14ac:dyDescent="0.35">
      <c r="A22" s="7">
        <v>44298.067361111112</v>
      </c>
      <c r="B22" t="s">
        <v>55</v>
      </c>
      <c r="C22" t="s">
        <v>28</v>
      </c>
      <c r="D22">
        <v>19.244014679999999</v>
      </c>
      <c r="E22">
        <v>85.12</v>
      </c>
      <c r="F22">
        <v>85.979797979797993</v>
      </c>
      <c r="G22" t="s">
        <v>108</v>
      </c>
      <c r="H22">
        <v>16.55</v>
      </c>
      <c r="I22">
        <v>1.5</v>
      </c>
      <c r="J22">
        <v>1638.05</v>
      </c>
      <c r="K22" t="s">
        <v>109</v>
      </c>
      <c r="L22" s="5">
        <f>VALUE(IF(Crypto_Dataset[[#This Row],[Type]]="Sell", _xlfn.CONCAT("-", Crypto_Dataset[[#This Row],[Total AUD]]), Crypto_Dataset[[#This Row],[Total AUD]]))</f>
        <v>-1638.05</v>
      </c>
      <c r="M22" s="3">
        <f>VALUE(IF(Crypto_Dataset[[#This Row],[Type]]="Sell", _xlfn.CONCAT("-", Crypto_Dataset[[#This Row],[Amount]]), Crypto_Dataset[[#This Row],[Amount]]))</f>
        <v>-19.244014679999999</v>
      </c>
      <c r="O22" s="3" t="s">
        <v>78</v>
      </c>
      <c r="P22" s="11">
        <v>-339.99</v>
      </c>
    </row>
    <row r="23" spans="1:16" x14ac:dyDescent="0.35">
      <c r="A23" s="7">
        <v>44298.067361111112</v>
      </c>
      <c r="B23" t="s">
        <v>19</v>
      </c>
      <c r="C23" t="s">
        <v>34</v>
      </c>
      <c r="D23">
        <v>74807.181069280006</v>
      </c>
      <c r="E23">
        <v>3.0469E-2</v>
      </c>
      <c r="F23">
        <v>3.0167326732674599E-2</v>
      </c>
      <c r="G23" t="s">
        <v>110</v>
      </c>
      <c r="H23">
        <v>22.57</v>
      </c>
      <c r="I23">
        <v>2.0499999999999998</v>
      </c>
      <c r="J23">
        <v>2279.3000000000002</v>
      </c>
      <c r="K23" t="s">
        <v>77</v>
      </c>
      <c r="L23" s="5">
        <f>VALUE(IF(Crypto_Dataset[[#This Row],[Type]]="Sell", _xlfn.CONCAT("-", Crypto_Dataset[[#This Row],[Total AUD]]), Crypto_Dataset[[#This Row],[Total AUD]]))</f>
        <v>2279.3000000000002</v>
      </c>
      <c r="M23" s="3">
        <f>VALUE(IF(Crypto_Dataset[[#This Row],[Type]]="Sell", _xlfn.CONCAT("-", Crypto_Dataset[[#This Row],[Amount]]), Crypto_Dataset[[#This Row],[Amount]]))</f>
        <v>74807.181069280006</v>
      </c>
      <c r="O23" s="3" t="s">
        <v>28</v>
      </c>
      <c r="P23" s="11">
        <v>-538.04999999999984</v>
      </c>
    </row>
    <row r="24" spans="1:16" x14ac:dyDescent="0.35">
      <c r="A24" s="7">
        <v>44298.066666666666</v>
      </c>
      <c r="B24" t="s">
        <v>55</v>
      </c>
      <c r="C24" t="s">
        <v>25</v>
      </c>
      <c r="D24">
        <v>17.756302059999999</v>
      </c>
      <c r="E24">
        <v>52.9</v>
      </c>
      <c r="F24">
        <v>53.434343434343397</v>
      </c>
      <c r="G24" t="s">
        <v>111</v>
      </c>
      <c r="H24">
        <v>9.49</v>
      </c>
      <c r="I24">
        <v>0.86</v>
      </c>
      <c r="J24">
        <v>939.31</v>
      </c>
      <c r="K24" t="s">
        <v>112</v>
      </c>
      <c r="L24" s="5">
        <f>VALUE(IF(Crypto_Dataset[[#This Row],[Type]]="Sell", _xlfn.CONCAT("-", Crypto_Dataset[[#This Row],[Total AUD]]), Crypto_Dataset[[#This Row],[Total AUD]]))</f>
        <v>-939.31</v>
      </c>
      <c r="M24" s="3">
        <f>VALUE(IF(Crypto_Dataset[[#This Row],[Type]]="Sell", _xlfn.CONCAT("-", Crypto_Dataset[[#This Row],[Amount]]), Crypto_Dataset[[#This Row],[Amount]]))</f>
        <v>-17.756302059999999</v>
      </c>
      <c r="O24" s="3" t="s">
        <v>5</v>
      </c>
      <c r="P24">
        <v>49650.859999999993</v>
      </c>
    </row>
    <row r="25" spans="1:16" x14ac:dyDescent="0.35">
      <c r="A25" s="7">
        <v>44298.065972222219</v>
      </c>
      <c r="B25" t="s">
        <v>55</v>
      </c>
      <c r="C25" t="s">
        <v>78</v>
      </c>
      <c r="D25">
        <v>67.885897380000003</v>
      </c>
      <c r="E25">
        <v>19.738900000000001</v>
      </c>
      <c r="F25">
        <v>19.938282828282802</v>
      </c>
      <c r="G25" t="s">
        <v>113</v>
      </c>
      <c r="H25">
        <v>13.54</v>
      </c>
      <c r="I25">
        <v>1.23</v>
      </c>
      <c r="J25">
        <v>1339.99</v>
      </c>
      <c r="K25" t="s">
        <v>114</v>
      </c>
      <c r="L25" s="5">
        <f>VALUE(IF(Crypto_Dataset[[#This Row],[Type]]="Sell", _xlfn.CONCAT("-", Crypto_Dataset[[#This Row],[Total AUD]]), Crypto_Dataset[[#This Row],[Total AUD]]))</f>
        <v>-1339.99</v>
      </c>
      <c r="M25" s="3">
        <f>VALUE(IF(Crypto_Dataset[[#This Row],[Type]]="Sell", _xlfn.CONCAT("-", Crypto_Dataset[[#This Row],[Amount]]), Crypto_Dataset[[#This Row],[Amount]]))</f>
        <v>-67.885897380000003</v>
      </c>
    </row>
    <row r="26" spans="1:16" x14ac:dyDescent="0.35">
      <c r="A26" s="7">
        <v>44298.057638888888</v>
      </c>
      <c r="B26" t="s">
        <v>19</v>
      </c>
      <c r="C26" t="s">
        <v>34</v>
      </c>
      <c r="D26">
        <v>76638.241695489996</v>
      </c>
      <c r="E26">
        <v>2.8027E-2</v>
      </c>
      <c r="F26">
        <v>2.7749504950501502E-2</v>
      </c>
      <c r="G26" t="s">
        <v>115</v>
      </c>
      <c r="H26">
        <v>21.27</v>
      </c>
      <c r="I26">
        <v>1.93</v>
      </c>
      <c r="J26">
        <v>2147.94</v>
      </c>
      <c r="K26" t="s">
        <v>79</v>
      </c>
      <c r="L26" s="5">
        <f>VALUE(IF(Crypto_Dataset[[#This Row],[Type]]="Sell", _xlfn.CONCAT("-", Crypto_Dataset[[#This Row],[Total AUD]]), Crypto_Dataset[[#This Row],[Total AUD]]))</f>
        <v>2147.94</v>
      </c>
      <c r="M26" s="3">
        <f>VALUE(IF(Crypto_Dataset[[#This Row],[Type]]="Sell", _xlfn.CONCAT("-", Crypto_Dataset[[#This Row],[Amount]]), Crypto_Dataset[[#This Row],[Amount]]))</f>
        <v>76638.241695489996</v>
      </c>
    </row>
    <row r="27" spans="1:16" x14ac:dyDescent="0.35">
      <c r="A27" s="7">
        <v>44298.056944444441</v>
      </c>
      <c r="B27" t="s">
        <v>55</v>
      </c>
      <c r="C27" t="s">
        <v>80</v>
      </c>
      <c r="D27">
        <v>39.822867870000003</v>
      </c>
      <c r="E27">
        <v>12.725899999999999</v>
      </c>
      <c r="F27">
        <v>12.8544444444444</v>
      </c>
      <c r="G27" t="s">
        <v>116</v>
      </c>
      <c r="H27">
        <v>5.12</v>
      </c>
      <c r="I27">
        <v>0.47</v>
      </c>
      <c r="J27">
        <v>506.78</v>
      </c>
      <c r="K27" t="s">
        <v>117</v>
      </c>
      <c r="L27" s="5">
        <f>VALUE(IF(Crypto_Dataset[[#This Row],[Type]]="Sell", _xlfn.CONCAT("-", Crypto_Dataset[[#This Row],[Total AUD]]), Crypto_Dataset[[#This Row],[Total AUD]]))</f>
        <v>-506.78</v>
      </c>
      <c r="M27" s="3">
        <f>VALUE(IF(Crypto_Dataset[[#This Row],[Type]]="Sell", _xlfn.CONCAT("-", Crypto_Dataset[[#This Row],[Amount]]), Crypto_Dataset[[#This Row],[Amount]]))</f>
        <v>-39.822867870000003</v>
      </c>
    </row>
    <row r="28" spans="1:16" x14ac:dyDescent="0.35">
      <c r="A28" s="7">
        <v>44298.056250000001</v>
      </c>
      <c r="B28" t="s">
        <v>55</v>
      </c>
      <c r="C28" t="s">
        <v>20</v>
      </c>
      <c r="D28">
        <v>0.19064417</v>
      </c>
      <c r="E28">
        <v>2797.88</v>
      </c>
      <c r="F28">
        <v>2826.1414141414102</v>
      </c>
      <c r="G28" t="s">
        <v>118</v>
      </c>
      <c r="H28">
        <v>5.39</v>
      </c>
      <c r="I28">
        <v>0.49</v>
      </c>
      <c r="J28">
        <v>533.4</v>
      </c>
      <c r="K28" t="s">
        <v>119</v>
      </c>
      <c r="L28" s="5">
        <f>VALUE(IF(Crypto_Dataset[[#This Row],[Type]]="Sell", _xlfn.CONCAT("-", Crypto_Dataset[[#This Row],[Total AUD]]), Crypto_Dataset[[#This Row],[Total AUD]]))</f>
        <v>-533.4</v>
      </c>
      <c r="M28" s="3">
        <f>VALUE(IF(Crypto_Dataset[[#This Row],[Type]]="Sell", _xlfn.CONCAT("-", Crypto_Dataset[[#This Row],[Amount]]), Crypto_Dataset[[#This Row],[Amount]]))</f>
        <v>-0.19064417</v>
      </c>
    </row>
    <row r="29" spans="1:16" x14ac:dyDescent="0.35">
      <c r="A29" s="7">
        <v>44298.055555555555</v>
      </c>
      <c r="B29" t="s">
        <v>55</v>
      </c>
      <c r="C29" t="s">
        <v>24</v>
      </c>
      <c r="D29">
        <v>406.33121201</v>
      </c>
      <c r="E29">
        <v>1.6121449999999999</v>
      </c>
      <c r="F29">
        <v>1.6284292929292901</v>
      </c>
      <c r="G29" t="s">
        <v>120</v>
      </c>
      <c r="H29">
        <v>6.62</v>
      </c>
      <c r="I29">
        <v>0.6</v>
      </c>
      <c r="J29">
        <v>655.05999999999995</v>
      </c>
      <c r="K29" t="s">
        <v>121</v>
      </c>
      <c r="L29" s="5">
        <f>VALUE(IF(Crypto_Dataset[[#This Row],[Type]]="Sell", _xlfn.CONCAT("-", Crypto_Dataset[[#This Row],[Total AUD]]), Crypto_Dataset[[#This Row],[Total AUD]]))</f>
        <v>-655.05999999999995</v>
      </c>
      <c r="M29" s="3">
        <f>VALUE(IF(Crypto_Dataset[[#This Row],[Type]]="Sell", _xlfn.CONCAT("-", Crypto_Dataset[[#This Row],[Amount]]), Crypto_Dataset[[#This Row],[Amount]]))</f>
        <v>-406.33121201</v>
      </c>
    </row>
    <row r="30" spans="1:16" x14ac:dyDescent="0.35">
      <c r="A30" s="7">
        <v>44298.055555555555</v>
      </c>
      <c r="B30" t="s">
        <v>55</v>
      </c>
      <c r="C30" t="s">
        <v>81</v>
      </c>
      <c r="D30">
        <v>153.50862380000001</v>
      </c>
      <c r="E30">
        <v>2.773425</v>
      </c>
      <c r="F30">
        <v>2.8014393939393898</v>
      </c>
      <c r="G30" t="s">
        <v>122</v>
      </c>
      <c r="H30">
        <v>4.3</v>
      </c>
      <c r="I30">
        <v>0.39</v>
      </c>
      <c r="J30">
        <v>425.74</v>
      </c>
      <c r="K30" t="s">
        <v>123</v>
      </c>
      <c r="L30" s="5">
        <f>VALUE(IF(Crypto_Dataset[[#This Row],[Type]]="Sell", _xlfn.CONCAT("-", Crypto_Dataset[[#This Row],[Total AUD]]), Crypto_Dataset[[#This Row],[Total AUD]]))</f>
        <v>-425.74</v>
      </c>
      <c r="M30" s="3">
        <f>VALUE(IF(Crypto_Dataset[[#This Row],[Type]]="Sell", _xlfn.CONCAT("-", Crypto_Dataset[[#This Row],[Amount]]), Crypto_Dataset[[#This Row],[Amount]]))</f>
        <v>-153.50862380000001</v>
      </c>
    </row>
    <row r="31" spans="1:16" x14ac:dyDescent="0.35">
      <c r="A31" s="7">
        <v>44297.645833333336</v>
      </c>
      <c r="B31" t="s">
        <v>19</v>
      </c>
      <c r="C31" t="s">
        <v>22</v>
      </c>
      <c r="D31">
        <v>480</v>
      </c>
      <c r="E31">
        <v>2.0273110000000001</v>
      </c>
      <c r="F31">
        <v>2.0072400990099002</v>
      </c>
      <c r="G31" t="s">
        <v>124</v>
      </c>
      <c r="H31">
        <v>9.6300000000000008</v>
      </c>
      <c r="I31">
        <v>0.88</v>
      </c>
      <c r="J31">
        <v>973.11</v>
      </c>
      <c r="K31" t="s">
        <v>82</v>
      </c>
      <c r="L31" s="5">
        <f>VALUE(IF(Crypto_Dataset[[#This Row],[Type]]="Sell", _xlfn.CONCAT("-", Crypto_Dataset[[#This Row],[Total AUD]]), Crypto_Dataset[[#This Row],[Total AUD]]))</f>
        <v>973.11</v>
      </c>
      <c r="M31" s="3">
        <f>VALUE(IF(Crypto_Dataset[[#This Row],[Type]]="Sell", _xlfn.CONCAT("-", Crypto_Dataset[[#This Row],[Amount]]), Crypto_Dataset[[#This Row],[Amount]]))</f>
        <v>480</v>
      </c>
    </row>
    <row r="32" spans="1:16" x14ac:dyDescent="0.35">
      <c r="A32" s="7">
        <v>44297.637499999997</v>
      </c>
      <c r="B32" t="s">
        <v>19</v>
      </c>
      <c r="C32" t="s">
        <v>22</v>
      </c>
      <c r="D32">
        <v>499.99975000000001</v>
      </c>
      <c r="E32">
        <v>2.0000010000000001</v>
      </c>
      <c r="F32">
        <v>1.9801990099014799</v>
      </c>
      <c r="G32" t="s">
        <v>106</v>
      </c>
      <c r="H32">
        <v>9.9</v>
      </c>
      <c r="I32">
        <v>0.9</v>
      </c>
      <c r="J32">
        <v>1000</v>
      </c>
      <c r="K32" t="s">
        <v>70</v>
      </c>
      <c r="L32" s="5">
        <f>VALUE(IF(Crypto_Dataset[[#This Row],[Type]]="Sell", _xlfn.CONCAT("-", Crypto_Dataset[[#This Row],[Total AUD]]), Crypto_Dataset[[#This Row],[Total AUD]]))</f>
        <v>1000</v>
      </c>
      <c r="M32" s="3">
        <f>VALUE(IF(Crypto_Dataset[[#This Row],[Type]]="Sell", _xlfn.CONCAT("-", Crypto_Dataset[[#This Row],[Amount]]), Crypto_Dataset[[#This Row],[Amount]]))</f>
        <v>499.99975000000001</v>
      </c>
    </row>
    <row r="33" spans="1:13" x14ac:dyDescent="0.35">
      <c r="A33" s="7">
        <v>44297.136111111111</v>
      </c>
      <c r="B33" t="s">
        <v>19</v>
      </c>
      <c r="C33" t="s">
        <v>34</v>
      </c>
      <c r="D33">
        <v>14808.233377750001</v>
      </c>
      <c r="E33">
        <v>2.7012000000000001E-2</v>
      </c>
      <c r="F33">
        <v>2.674455445546E-2</v>
      </c>
      <c r="G33" t="s">
        <v>103</v>
      </c>
      <c r="H33">
        <v>3.96</v>
      </c>
      <c r="I33">
        <v>0.36</v>
      </c>
      <c r="J33">
        <v>400</v>
      </c>
      <c r="K33" t="s">
        <v>83</v>
      </c>
      <c r="L33" s="5">
        <f>VALUE(IF(Crypto_Dataset[[#This Row],[Type]]="Sell", _xlfn.CONCAT("-", Crypto_Dataset[[#This Row],[Total AUD]]), Crypto_Dataset[[#This Row],[Total AUD]]))</f>
        <v>400</v>
      </c>
      <c r="M33" s="3">
        <f>VALUE(IF(Crypto_Dataset[[#This Row],[Type]]="Sell", _xlfn.CONCAT("-", Crypto_Dataset[[#This Row],[Amount]]), Crypto_Dataset[[#This Row],[Amount]]))</f>
        <v>14808.233377750001</v>
      </c>
    </row>
    <row r="34" spans="1:13" x14ac:dyDescent="0.35">
      <c r="A34" s="7">
        <v>44296.999305555553</v>
      </c>
      <c r="B34" t="s">
        <v>19</v>
      </c>
      <c r="C34" t="s">
        <v>34</v>
      </c>
      <c r="D34">
        <v>13046.07126882</v>
      </c>
      <c r="E34">
        <v>2.6828000000000001E-2</v>
      </c>
      <c r="F34">
        <v>2.6562376237631101E-2</v>
      </c>
      <c r="G34" t="s">
        <v>125</v>
      </c>
      <c r="H34">
        <v>3.47</v>
      </c>
      <c r="I34">
        <v>0.32</v>
      </c>
      <c r="J34">
        <v>350</v>
      </c>
      <c r="K34" t="s">
        <v>84</v>
      </c>
      <c r="L34" s="5">
        <f>VALUE(IF(Crypto_Dataset[[#This Row],[Type]]="Sell", _xlfn.CONCAT("-", Crypto_Dataset[[#This Row],[Total AUD]]), Crypto_Dataset[[#This Row],[Total AUD]]))</f>
        <v>350</v>
      </c>
      <c r="M34" s="3">
        <f>VALUE(IF(Crypto_Dataset[[#This Row],[Type]]="Sell", _xlfn.CONCAT("-", Crypto_Dataset[[#This Row],[Amount]]), Crypto_Dataset[[#This Row],[Amount]]))</f>
        <v>13046.07126882</v>
      </c>
    </row>
    <row r="35" spans="1:13" x14ac:dyDescent="0.35">
      <c r="A35" s="7">
        <v>44294.709722222222</v>
      </c>
      <c r="B35" t="s">
        <v>19</v>
      </c>
      <c r="C35" t="s">
        <v>34</v>
      </c>
      <c r="D35">
        <v>15718.32756994</v>
      </c>
      <c r="E35">
        <v>3.1809999999999998E-2</v>
      </c>
      <c r="F35">
        <v>3.1495049504963603E-2</v>
      </c>
      <c r="G35" t="s">
        <v>102</v>
      </c>
      <c r="H35">
        <v>4.95</v>
      </c>
      <c r="I35">
        <v>0.45</v>
      </c>
      <c r="J35">
        <v>500</v>
      </c>
      <c r="K35" t="s">
        <v>29</v>
      </c>
      <c r="L35" s="5">
        <f>VALUE(IF(Crypto_Dataset[[#This Row],[Type]]="Sell", _xlfn.CONCAT("-", Crypto_Dataset[[#This Row],[Total AUD]]), Crypto_Dataset[[#This Row],[Total AUD]]))</f>
        <v>500</v>
      </c>
      <c r="M35" s="3">
        <f>VALUE(IF(Crypto_Dataset[[#This Row],[Type]]="Sell", _xlfn.CONCAT("-", Crypto_Dataset[[#This Row],[Amount]]), Crypto_Dataset[[#This Row],[Amount]]))</f>
        <v>15718.32756994</v>
      </c>
    </row>
    <row r="36" spans="1:13" x14ac:dyDescent="0.35">
      <c r="A36" s="7">
        <v>44293.551388888889</v>
      </c>
      <c r="B36" t="s">
        <v>19</v>
      </c>
      <c r="C36" t="s">
        <v>81</v>
      </c>
      <c r="D36">
        <v>153.50862380000001</v>
      </c>
      <c r="E36">
        <v>3.2571460000000001</v>
      </c>
      <c r="F36">
        <v>3.2248970298598598</v>
      </c>
      <c r="G36" t="s">
        <v>102</v>
      </c>
      <c r="H36">
        <v>4.95</v>
      </c>
      <c r="I36">
        <v>0.45</v>
      </c>
      <c r="J36">
        <v>500</v>
      </c>
      <c r="K36" t="s">
        <v>29</v>
      </c>
      <c r="L36" s="5">
        <f>VALUE(IF(Crypto_Dataset[[#This Row],[Type]]="Sell", _xlfn.CONCAT("-", Crypto_Dataset[[#This Row],[Total AUD]]), Crypto_Dataset[[#This Row],[Total AUD]]))</f>
        <v>500</v>
      </c>
      <c r="M36" s="3">
        <f>VALUE(IF(Crypto_Dataset[[#This Row],[Type]]="Sell", _xlfn.CONCAT("-", Crypto_Dataset[[#This Row],[Amount]]), Crypto_Dataset[[#This Row],[Amount]]))</f>
        <v>153.50862380000001</v>
      </c>
    </row>
    <row r="37" spans="1:13" x14ac:dyDescent="0.35">
      <c r="A37" s="7">
        <v>44293.289583333331</v>
      </c>
      <c r="B37" t="s">
        <v>19</v>
      </c>
      <c r="C37" t="s">
        <v>80</v>
      </c>
      <c r="D37">
        <v>39.822867870000003</v>
      </c>
      <c r="E37">
        <v>12.5556</v>
      </c>
      <c r="F37">
        <v>12.431287132974999</v>
      </c>
      <c r="G37" t="s">
        <v>102</v>
      </c>
      <c r="H37">
        <v>4.95</v>
      </c>
      <c r="I37">
        <v>0.45</v>
      </c>
      <c r="J37">
        <v>500</v>
      </c>
      <c r="K37" t="s">
        <v>29</v>
      </c>
      <c r="L37" s="5">
        <f>VALUE(IF(Crypto_Dataset[[#This Row],[Type]]="Sell", _xlfn.CONCAT("-", Crypto_Dataset[[#This Row],[Total AUD]]), Crypto_Dataset[[#This Row],[Total AUD]]))</f>
        <v>500</v>
      </c>
      <c r="M37" s="3">
        <f>VALUE(IF(Crypto_Dataset[[#This Row],[Type]]="Sell", _xlfn.CONCAT("-", Crypto_Dataset[[#This Row],[Amount]]), Crypto_Dataset[[#This Row],[Amount]]))</f>
        <v>39.822867870000003</v>
      </c>
    </row>
    <row r="38" spans="1:13" x14ac:dyDescent="0.35">
      <c r="A38" s="7">
        <v>44292.968055555553</v>
      </c>
      <c r="B38" t="s">
        <v>19</v>
      </c>
      <c r="C38" t="s">
        <v>74</v>
      </c>
      <c r="D38">
        <v>1.5645045200000001</v>
      </c>
      <c r="E38">
        <v>319.58999999999997</v>
      </c>
      <c r="F38">
        <v>316.42574286106498</v>
      </c>
      <c r="G38" t="s">
        <v>102</v>
      </c>
      <c r="H38">
        <v>4.95</v>
      </c>
      <c r="I38">
        <v>0.45</v>
      </c>
      <c r="J38">
        <v>500</v>
      </c>
      <c r="K38" t="s">
        <v>29</v>
      </c>
      <c r="L38" s="5">
        <f>VALUE(IF(Crypto_Dataset[[#This Row],[Type]]="Sell", _xlfn.CONCAT("-", Crypto_Dataset[[#This Row],[Total AUD]]), Crypto_Dataset[[#This Row],[Total AUD]]))</f>
        <v>500</v>
      </c>
      <c r="M38" s="3">
        <f>VALUE(IF(Crypto_Dataset[[#This Row],[Type]]="Sell", _xlfn.CONCAT("-", Crypto_Dataset[[#This Row],[Amount]]), Crypto_Dataset[[#This Row],[Amount]]))</f>
        <v>1.5645045200000001</v>
      </c>
    </row>
    <row r="39" spans="1:13" x14ac:dyDescent="0.35">
      <c r="A39" s="7">
        <v>44292.967361111114</v>
      </c>
      <c r="B39" t="s">
        <v>19</v>
      </c>
      <c r="C39" t="s">
        <v>85</v>
      </c>
      <c r="D39">
        <v>285.92390877000003</v>
      </c>
      <c r="E39">
        <v>1.7487170000000001</v>
      </c>
      <c r="F39">
        <v>1.7314029703920899</v>
      </c>
      <c r="G39" t="s">
        <v>102</v>
      </c>
      <c r="H39">
        <v>4.95</v>
      </c>
      <c r="I39">
        <v>0.45</v>
      </c>
      <c r="J39">
        <v>500</v>
      </c>
      <c r="K39" t="s">
        <v>29</v>
      </c>
      <c r="L39" s="5">
        <f>VALUE(IF(Crypto_Dataset[[#This Row],[Type]]="Sell", _xlfn.CONCAT("-", Crypto_Dataset[[#This Row],[Total AUD]]), Crypto_Dataset[[#This Row],[Total AUD]]))</f>
        <v>500</v>
      </c>
      <c r="M39" s="3">
        <f>VALUE(IF(Crypto_Dataset[[#This Row],[Type]]="Sell", _xlfn.CONCAT("-", Crypto_Dataset[[#This Row],[Amount]]), Crypto_Dataset[[#This Row],[Amount]]))</f>
        <v>285.92390877000003</v>
      </c>
    </row>
    <row r="40" spans="1:13" x14ac:dyDescent="0.35">
      <c r="A40" s="7">
        <v>44291.600694444445</v>
      </c>
      <c r="B40" t="s">
        <v>19</v>
      </c>
      <c r="C40" t="s">
        <v>86</v>
      </c>
      <c r="D40">
        <v>935.39069398000004</v>
      </c>
      <c r="E40">
        <v>0.53453600000000001</v>
      </c>
      <c r="F40">
        <v>0.52924356435929998</v>
      </c>
      <c r="G40" t="s">
        <v>102</v>
      </c>
      <c r="H40">
        <v>4.95</v>
      </c>
      <c r="I40">
        <v>0.45</v>
      </c>
      <c r="J40">
        <v>500</v>
      </c>
      <c r="K40" t="s">
        <v>29</v>
      </c>
      <c r="L40" s="5">
        <f>VALUE(IF(Crypto_Dataset[[#This Row],[Type]]="Sell", _xlfn.CONCAT("-", Crypto_Dataset[[#This Row],[Total AUD]]), Crypto_Dataset[[#This Row],[Total AUD]]))</f>
        <v>500</v>
      </c>
      <c r="M40" s="3">
        <f>VALUE(IF(Crypto_Dataset[[#This Row],[Type]]="Sell", _xlfn.CONCAT("-", Crypto_Dataset[[#This Row],[Amount]]), Crypto_Dataset[[#This Row],[Amount]]))</f>
        <v>935.39069398000004</v>
      </c>
    </row>
    <row r="41" spans="1:13" x14ac:dyDescent="0.35">
      <c r="A41" s="7">
        <v>44291.550694444442</v>
      </c>
      <c r="B41" t="s">
        <v>19</v>
      </c>
      <c r="C41" t="s">
        <v>126</v>
      </c>
      <c r="D41">
        <v>30954.0023525</v>
      </c>
      <c r="E41">
        <v>1.6153000000000001E-2</v>
      </c>
      <c r="F41">
        <v>1.5993069306932801E-2</v>
      </c>
      <c r="G41" t="s">
        <v>102</v>
      </c>
      <c r="H41">
        <v>4.95</v>
      </c>
      <c r="I41">
        <v>0.45</v>
      </c>
      <c r="J41">
        <v>500</v>
      </c>
      <c r="K41" t="s">
        <v>29</v>
      </c>
      <c r="L41" s="5">
        <f>VALUE(IF(Crypto_Dataset[[#This Row],[Type]]="Sell", _xlfn.CONCAT("-", Crypto_Dataset[[#This Row],[Total AUD]]), Crypto_Dataset[[#This Row],[Total AUD]]))</f>
        <v>500</v>
      </c>
      <c r="M41" s="3">
        <f>VALUE(IF(Crypto_Dataset[[#This Row],[Type]]="Sell", _xlfn.CONCAT("-", Crypto_Dataset[[#This Row],[Amount]]), Crypto_Dataset[[#This Row],[Amount]]))</f>
        <v>30954.0023525</v>
      </c>
    </row>
    <row r="42" spans="1:13" x14ac:dyDescent="0.35">
      <c r="A42" s="7">
        <v>44291.546527777777</v>
      </c>
      <c r="B42" t="s">
        <v>55</v>
      </c>
      <c r="C42" t="s">
        <v>27</v>
      </c>
      <c r="D42">
        <v>1.32375061438575E-2</v>
      </c>
      <c r="E42">
        <v>75542.929999999993</v>
      </c>
      <c r="F42">
        <v>76305.989898989894</v>
      </c>
      <c r="G42" t="s">
        <v>127</v>
      </c>
      <c r="H42">
        <v>10.1</v>
      </c>
      <c r="I42">
        <v>0.92</v>
      </c>
      <c r="J42">
        <v>1000</v>
      </c>
      <c r="K42" t="s">
        <v>128</v>
      </c>
      <c r="L42" s="5">
        <f>VALUE(IF(Crypto_Dataset[[#This Row],[Type]]="Sell", _xlfn.CONCAT("-", Crypto_Dataset[[#This Row],[Total AUD]]), Crypto_Dataset[[#This Row],[Total AUD]]))</f>
        <v>-1000</v>
      </c>
      <c r="M42" s="3">
        <f>VALUE(IF(Crypto_Dataset[[#This Row],[Type]]="Sell", _xlfn.CONCAT("-", Crypto_Dataset[[#This Row],[Amount]]), Crypto_Dataset[[#This Row],[Amount]]))</f>
        <v>-1.32375061438575E-2</v>
      </c>
    </row>
    <row r="43" spans="1:13" x14ac:dyDescent="0.35">
      <c r="A43" s="7">
        <v>44291.302083333336</v>
      </c>
      <c r="B43" t="s">
        <v>19</v>
      </c>
      <c r="C43" t="s">
        <v>78</v>
      </c>
      <c r="D43">
        <v>67.885897380000003</v>
      </c>
      <c r="E43">
        <v>14.730600000000001</v>
      </c>
      <c r="F43">
        <v>14.5847524760376</v>
      </c>
      <c r="G43" t="s">
        <v>106</v>
      </c>
      <c r="H43">
        <v>9.9</v>
      </c>
      <c r="I43">
        <v>0.9</v>
      </c>
      <c r="J43">
        <v>1000</v>
      </c>
      <c r="K43" t="s">
        <v>70</v>
      </c>
      <c r="L43" s="5">
        <f>VALUE(IF(Crypto_Dataset[[#This Row],[Type]]="Sell", _xlfn.CONCAT("-", Crypto_Dataset[[#This Row],[Total AUD]]), Crypto_Dataset[[#This Row],[Total AUD]]))</f>
        <v>1000</v>
      </c>
      <c r="M43" s="3">
        <f>VALUE(IF(Crypto_Dataset[[#This Row],[Type]]="Sell", _xlfn.CONCAT("-", Crypto_Dataset[[#This Row],[Amount]]), Crypto_Dataset[[#This Row],[Amount]]))</f>
        <v>67.885897380000003</v>
      </c>
    </row>
    <row r="44" spans="1:13" x14ac:dyDescent="0.35">
      <c r="A44" s="7">
        <v>44291.297222222223</v>
      </c>
      <c r="B44" t="s">
        <v>55</v>
      </c>
      <c r="C44" t="s">
        <v>27</v>
      </c>
      <c r="D44">
        <v>1.31407115274789E-2</v>
      </c>
      <c r="E44">
        <v>76099.38</v>
      </c>
      <c r="F44">
        <v>76868.060606060593</v>
      </c>
      <c r="G44" t="s">
        <v>127</v>
      </c>
      <c r="H44">
        <v>10.1</v>
      </c>
      <c r="I44">
        <v>0.92</v>
      </c>
      <c r="J44">
        <v>1000</v>
      </c>
      <c r="K44" t="s">
        <v>128</v>
      </c>
      <c r="L44" s="5">
        <f>VALUE(IF(Crypto_Dataset[[#This Row],[Type]]="Sell", _xlfn.CONCAT("-", Crypto_Dataset[[#This Row],[Total AUD]]), Crypto_Dataset[[#This Row],[Total AUD]]))</f>
        <v>-1000</v>
      </c>
      <c r="M44" s="3">
        <f>VALUE(IF(Crypto_Dataset[[#This Row],[Type]]="Sell", _xlfn.CONCAT("-", Crypto_Dataset[[#This Row],[Amount]]), Crypto_Dataset[[#This Row],[Amount]]))</f>
        <v>-1.31407115274789E-2</v>
      </c>
    </row>
    <row r="45" spans="1:13" x14ac:dyDescent="0.35">
      <c r="A45" s="7">
        <v>44290.675694444442</v>
      </c>
      <c r="B45" t="s">
        <v>19</v>
      </c>
      <c r="C45" t="s">
        <v>87</v>
      </c>
      <c r="D45">
        <v>0.18429203999999999</v>
      </c>
      <c r="E45">
        <v>255.03</v>
      </c>
      <c r="F45">
        <v>252.50495607594601</v>
      </c>
      <c r="G45" t="s">
        <v>129</v>
      </c>
      <c r="H45">
        <v>0.47</v>
      </c>
      <c r="I45">
        <v>0.04</v>
      </c>
      <c r="J45">
        <v>47</v>
      </c>
      <c r="K45" t="s">
        <v>88</v>
      </c>
      <c r="L45" s="5">
        <f>VALUE(IF(Crypto_Dataset[[#This Row],[Type]]="Sell", _xlfn.CONCAT("-", Crypto_Dataset[[#This Row],[Total AUD]]), Crypto_Dataset[[#This Row],[Total AUD]]))</f>
        <v>47</v>
      </c>
      <c r="M45" s="3">
        <f>VALUE(IF(Crypto_Dataset[[#This Row],[Type]]="Sell", _xlfn.CONCAT("-", Crypto_Dataset[[#This Row],[Amount]]), Crypto_Dataset[[#This Row],[Amount]]))</f>
        <v>0.18429203999999999</v>
      </c>
    </row>
    <row r="46" spans="1:13" x14ac:dyDescent="0.35">
      <c r="A46" s="7">
        <v>44290.675694444442</v>
      </c>
      <c r="B46" t="s">
        <v>19</v>
      </c>
      <c r="C46" t="s">
        <v>126</v>
      </c>
      <c r="D46">
        <v>4632.4269889200004</v>
      </c>
      <c r="E46">
        <v>9.9299999999999996E-3</v>
      </c>
      <c r="F46">
        <v>9.8316831683220394E-3</v>
      </c>
      <c r="G46" t="s">
        <v>130</v>
      </c>
      <c r="H46">
        <v>0.46</v>
      </c>
      <c r="I46">
        <v>0.04</v>
      </c>
      <c r="J46">
        <v>46</v>
      </c>
      <c r="K46" t="s">
        <v>89</v>
      </c>
      <c r="L46" s="5">
        <f>VALUE(IF(Crypto_Dataset[[#This Row],[Type]]="Sell", _xlfn.CONCAT("-", Crypto_Dataset[[#This Row],[Total AUD]]), Crypto_Dataset[[#This Row],[Total AUD]]))</f>
        <v>46</v>
      </c>
      <c r="M46" s="3">
        <f>VALUE(IF(Crypto_Dataset[[#This Row],[Type]]="Sell", _xlfn.CONCAT("-", Crypto_Dataset[[#This Row],[Amount]]), Crypto_Dataset[[#This Row],[Amount]]))</f>
        <v>4632.4269889200004</v>
      </c>
    </row>
    <row r="47" spans="1:13" x14ac:dyDescent="0.35">
      <c r="A47" s="7">
        <v>44289.720138888886</v>
      </c>
      <c r="B47" t="s">
        <v>19</v>
      </c>
      <c r="C47" t="s">
        <v>34</v>
      </c>
      <c r="D47">
        <v>16788.38243935</v>
      </c>
      <c r="E47">
        <v>3.5739E-2</v>
      </c>
      <c r="F47">
        <v>3.5385148514855601E-2</v>
      </c>
      <c r="G47" t="s">
        <v>100</v>
      </c>
      <c r="H47">
        <v>5.94</v>
      </c>
      <c r="I47">
        <v>0.54</v>
      </c>
      <c r="J47">
        <v>600</v>
      </c>
      <c r="K47" t="s">
        <v>75</v>
      </c>
      <c r="L47" s="5">
        <f>VALUE(IF(Crypto_Dataset[[#This Row],[Type]]="Sell", _xlfn.CONCAT("-", Crypto_Dataset[[#This Row],[Total AUD]]), Crypto_Dataset[[#This Row],[Total AUD]]))</f>
        <v>600</v>
      </c>
      <c r="M47" s="3">
        <f>VALUE(IF(Crypto_Dataset[[#This Row],[Type]]="Sell", _xlfn.CONCAT("-", Crypto_Dataset[[#This Row],[Amount]]), Crypto_Dataset[[#This Row],[Amount]]))</f>
        <v>16788.38243935</v>
      </c>
    </row>
    <row r="48" spans="1:13" x14ac:dyDescent="0.35">
      <c r="A48" s="7">
        <v>44289.691666666666</v>
      </c>
      <c r="B48" t="s">
        <v>19</v>
      </c>
      <c r="C48" t="s">
        <v>34</v>
      </c>
      <c r="D48">
        <v>17451.49937465</v>
      </c>
      <c r="E48">
        <v>3.4381000000000002E-2</v>
      </c>
      <c r="F48">
        <v>3.4040594059414897E-2</v>
      </c>
      <c r="G48" t="s">
        <v>100</v>
      </c>
      <c r="H48">
        <v>5.94</v>
      </c>
      <c r="I48">
        <v>0.54</v>
      </c>
      <c r="J48">
        <v>600</v>
      </c>
      <c r="K48" t="s">
        <v>75</v>
      </c>
      <c r="L48" s="5">
        <f>VALUE(IF(Crypto_Dataset[[#This Row],[Type]]="Sell", _xlfn.CONCAT("-", Crypto_Dataset[[#This Row],[Total AUD]]), Crypto_Dataset[[#This Row],[Total AUD]]))</f>
        <v>600</v>
      </c>
      <c r="M48" s="3">
        <f>VALUE(IF(Crypto_Dataset[[#This Row],[Type]]="Sell", _xlfn.CONCAT("-", Crypto_Dataset[[#This Row],[Amount]]), Crypto_Dataset[[#This Row],[Amount]]))</f>
        <v>17451.49937465</v>
      </c>
    </row>
    <row r="49" spans="1:13" x14ac:dyDescent="0.35">
      <c r="A49" s="7">
        <v>44285.774305555555</v>
      </c>
      <c r="B49" t="s">
        <v>19</v>
      </c>
      <c r="C49" t="s">
        <v>20</v>
      </c>
      <c r="D49">
        <v>6.0650660000000002E-2</v>
      </c>
      <c r="E49">
        <v>2473.1799999999998</v>
      </c>
      <c r="F49">
        <v>2448.6930807537501</v>
      </c>
      <c r="G49" t="s">
        <v>131</v>
      </c>
      <c r="H49">
        <v>1.49</v>
      </c>
      <c r="I49">
        <v>0.14000000000000001</v>
      </c>
      <c r="J49">
        <v>150</v>
      </c>
      <c r="K49" t="s">
        <v>21</v>
      </c>
      <c r="L49" s="5">
        <f>VALUE(IF(Crypto_Dataset[[#This Row],[Type]]="Sell", _xlfn.CONCAT("-", Crypto_Dataset[[#This Row],[Total AUD]]), Crypto_Dataset[[#This Row],[Total AUD]]))</f>
        <v>150</v>
      </c>
      <c r="M49" s="3">
        <f>VALUE(IF(Crypto_Dataset[[#This Row],[Type]]="Sell", _xlfn.CONCAT("-", Crypto_Dataset[[#This Row],[Amount]]), Crypto_Dataset[[#This Row],[Amount]]))</f>
        <v>6.0650660000000002E-2</v>
      </c>
    </row>
    <row r="50" spans="1:13" x14ac:dyDescent="0.35">
      <c r="A50" s="7">
        <v>44285.774305555555</v>
      </c>
      <c r="B50" t="s">
        <v>19</v>
      </c>
      <c r="C50" t="s">
        <v>22</v>
      </c>
      <c r="D50">
        <v>190.81226235</v>
      </c>
      <c r="E50">
        <v>0.78611299999999995</v>
      </c>
      <c r="F50">
        <v>0.77832970300793902</v>
      </c>
      <c r="G50" t="s">
        <v>131</v>
      </c>
      <c r="H50">
        <v>1.49</v>
      </c>
      <c r="I50">
        <v>0.14000000000000001</v>
      </c>
      <c r="J50">
        <v>150</v>
      </c>
      <c r="K50" t="s">
        <v>21</v>
      </c>
      <c r="L50" s="5">
        <f>VALUE(IF(Crypto_Dataset[[#This Row],[Type]]="Sell", _xlfn.CONCAT("-", Crypto_Dataset[[#This Row],[Total AUD]]), Crypto_Dataset[[#This Row],[Total AUD]]))</f>
        <v>150</v>
      </c>
      <c r="M50" s="3">
        <f>VALUE(IF(Crypto_Dataset[[#This Row],[Type]]="Sell", _xlfn.CONCAT("-", Crypto_Dataset[[#This Row],[Amount]]), Crypto_Dataset[[#This Row],[Amount]]))</f>
        <v>190.81226235</v>
      </c>
    </row>
    <row r="51" spans="1:13" x14ac:dyDescent="0.35">
      <c r="A51" s="7">
        <v>44282.60833333333</v>
      </c>
      <c r="B51" t="s">
        <v>19</v>
      </c>
      <c r="C51" t="s">
        <v>20</v>
      </c>
      <c r="D51">
        <v>6.4954460000000006E-2</v>
      </c>
      <c r="E51">
        <v>2309.31</v>
      </c>
      <c r="F51">
        <v>2286.4457880975101</v>
      </c>
      <c r="G51" t="s">
        <v>131</v>
      </c>
      <c r="H51">
        <v>1.49</v>
      </c>
      <c r="I51">
        <v>0.14000000000000001</v>
      </c>
      <c r="J51">
        <v>150</v>
      </c>
      <c r="K51" t="s">
        <v>21</v>
      </c>
      <c r="L51" s="5">
        <f>VALUE(IF(Crypto_Dataset[[#This Row],[Type]]="Sell", _xlfn.CONCAT("-", Crypto_Dataset[[#This Row],[Total AUD]]), Crypto_Dataset[[#This Row],[Total AUD]]))</f>
        <v>150</v>
      </c>
      <c r="M51" s="3">
        <f>VALUE(IF(Crypto_Dataset[[#This Row],[Type]]="Sell", _xlfn.CONCAT("-", Crypto_Dataset[[#This Row],[Amount]]), Crypto_Dataset[[#This Row],[Amount]]))</f>
        <v>6.4954460000000006E-2</v>
      </c>
    </row>
    <row r="52" spans="1:13" x14ac:dyDescent="0.35">
      <c r="A52" s="7">
        <v>44282.607638888891</v>
      </c>
      <c r="B52" t="s">
        <v>19</v>
      </c>
      <c r="C52" t="s">
        <v>23</v>
      </c>
      <c r="D52">
        <v>271.01935800000001</v>
      </c>
      <c r="E52">
        <v>0.55346600000000001</v>
      </c>
      <c r="F52">
        <v>0.54798613863275503</v>
      </c>
      <c r="G52" t="s">
        <v>131</v>
      </c>
      <c r="H52">
        <v>1.49</v>
      </c>
      <c r="I52">
        <v>0.14000000000000001</v>
      </c>
      <c r="J52">
        <v>150</v>
      </c>
      <c r="K52" t="s">
        <v>21</v>
      </c>
      <c r="L52" s="5">
        <f>VALUE(IF(Crypto_Dataset[[#This Row],[Type]]="Sell", _xlfn.CONCAT("-", Crypto_Dataset[[#This Row],[Total AUD]]), Crypto_Dataset[[#This Row],[Total AUD]]))</f>
        <v>150</v>
      </c>
      <c r="M52" s="3">
        <f>VALUE(IF(Crypto_Dataset[[#This Row],[Type]]="Sell", _xlfn.CONCAT("-", Crypto_Dataset[[#This Row],[Amount]]), Crypto_Dataset[[#This Row],[Amount]]))</f>
        <v>271.01935800000001</v>
      </c>
    </row>
    <row r="53" spans="1:13" x14ac:dyDescent="0.35">
      <c r="A53" s="7">
        <v>44282.607638888891</v>
      </c>
      <c r="B53" t="s">
        <v>19</v>
      </c>
      <c r="C53" t="s">
        <v>24</v>
      </c>
      <c r="D53">
        <v>92.882477649999998</v>
      </c>
      <c r="E53">
        <v>1.6149439999999999</v>
      </c>
      <c r="F53">
        <v>1.5989544555947599</v>
      </c>
      <c r="G53" t="s">
        <v>131</v>
      </c>
      <c r="H53">
        <v>1.49</v>
      </c>
      <c r="I53">
        <v>0.14000000000000001</v>
      </c>
      <c r="J53">
        <v>150</v>
      </c>
      <c r="K53" t="s">
        <v>21</v>
      </c>
      <c r="L53" s="5">
        <f>VALUE(IF(Crypto_Dataset[[#This Row],[Type]]="Sell", _xlfn.CONCAT("-", Crypto_Dataset[[#This Row],[Total AUD]]), Crypto_Dataset[[#This Row],[Total AUD]]))</f>
        <v>150</v>
      </c>
      <c r="M53" s="3">
        <f>VALUE(IF(Crypto_Dataset[[#This Row],[Type]]="Sell", _xlfn.CONCAT("-", Crypto_Dataset[[#This Row],[Amount]]), Crypto_Dataset[[#This Row],[Amount]]))</f>
        <v>92.882477649999998</v>
      </c>
    </row>
    <row r="54" spans="1:13" x14ac:dyDescent="0.35">
      <c r="A54" s="7">
        <v>44282.607638888891</v>
      </c>
      <c r="B54" t="s">
        <v>19</v>
      </c>
      <c r="C54" t="s">
        <v>132</v>
      </c>
      <c r="D54">
        <v>24.543892660000001</v>
      </c>
      <c r="E54">
        <v>6.1115000000000004</v>
      </c>
      <c r="F54">
        <v>6.0509900993491597</v>
      </c>
      <c r="G54" t="s">
        <v>131</v>
      </c>
      <c r="H54">
        <v>1.49</v>
      </c>
      <c r="I54">
        <v>0.14000000000000001</v>
      </c>
      <c r="J54">
        <v>150</v>
      </c>
      <c r="K54" t="s">
        <v>21</v>
      </c>
      <c r="L54" s="5">
        <f>VALUE(IF(Crypto_Dataset[[#This Row],[Type]]="Sell", _xlfn.CONCAT("-", Crypto_Dataset[[#This Row],[Total AUD]]), Crypto_Dataset[[#This Row],[Total AUD]]))</f>
        <v>150</v>
      </c>
      <c r="M54" s="3">
        <f>VALUE(IF(Crypto_Dataset[[#This Row],[Type]]="Sell", _xlfn.CONCAT("-", Crypto_Dataset[[#This Row],[Amount]]), Crypto_Dataset[[#This Row],[Amount]]))</f>
        <v>24.543892660000001</v>
      </c>
    </row>
    <row r="55" spans="1:13" x14ac:dyDescent="0.35">
      <c r="A55" s="7">
        <v>44282.607638888891</v>
      </c>
      <c r="B55" t="s">
        <v>19</v>
      </c>
      <c r="C55" t="s">
        <v>25</v>
      </c>
      <c r="D55">
        <v>3.3990482599999998</v>
      </c>
      <c r="E55">
        <v>44.13</v>
      </c>
      <c r="F55">
        <v>43.693069390296998</v>
      </c>
      <c r="G55" t="s">
        <v>131</v>
      </c>
      <c r="H55">
        <v>1.49</v>
      </c>
      <c r="I55">
        <v>0.14000000000000001</v>
      </c>
      <c r="J55">
        <v>150</v>
      </c>
      <c r="K55" t="s">
        <v>21</v>
      </c>
      <c r="L55" s="5">
        <f>VALUE(IF(Crypto_Dataset[[#This Row],[Type]]="Sell", _xlfn.CONCAT("-", Crypto_Dataset[[#This Row],[Total AUD]]), Crypto_Dataset[[#This Row],[Total AUD]]))</f>
        <v>150</v>
      </c>
      <c r="M55" s="3">
        <f>VALUE(IF(Crypto_Dataset[[#This Row],[Type]]="Sell", _xlfn.CONCAT("-", Crypto_Dataset[[#This Row],[Amount]]), Crypto_Dataset[[#This Row],[Amount]]))</f>
        <v>3.3990482599999998</v>
      </c>
    </row>
    <row r="56" spans="1:13" x14ac:dyDescent="0.35">
      <c r="A56" s="7">
        <v>44282.606944444444</v>
      </c>
      <c r="B56" t="s">
        <v>19</v>
      </c>
      <c r="C56" t="s">
        <v>26</v>
      </c>
      <c r="D56">
        <v>662.10257291999994</v>
      </c>
      <c r="E56">
        <v>0.226551</v>
      </c>
      <c r="F56">
        <v>0.224307920795669</v>
      </c>
      <c r="G56" t="s">
        <v>131</v>
      </c>
      <c r="H56">
        <v>1.49</v>
      </c>
      <c r="I56">
        <v>0.14000000000000001</v>
      </c>
      <c r="J56">
        <v>150</v>
      </c>
      <c r="K56" t="s">
        <v>21</v>
      </c>
      <c r="L56" s="5">
        <f>VALUE(IF(Crypto_Dataset[[#This Row],[Type]]="Sell", _xlfn.CONCAT("-", Crypto_Dataset[[#This Row],[Total AUD]]), Crypto_Dataset[[#This Row],[Total AUD]]))</f>
        <v>150</v>
      </c>
      <c r="M56" s="3">
        <f>VALUE(IF(Crypto_Dataset[[#This Row],[Type]]="Sell", _xlfn.CONCAT("-", Crypto_Dataset[[#This Row],[Amount]]), Crypto_Dataset[[#This Row],[Amount]]))</f>
        <v>662.10257291999994</v>
      </c>
    </row>
    <row r="57" spans="1:13" x14ac:dyDescent="0.35">
      <c r="A57" s="7">
        <v>44282.606944444444</v>
      </c>
      <c r="B57" t="s">
        <v>19</v>
      </c>
      <c r="C57" t="s">
        <v>27</v>
      </c>
      <c r="D57">
        <v>2.03958E-3</v>
      </c>
      <c r="E57">
        <v>73544.210000010004</v>
      </c>
      <c r="F57">
        <v>72816.389396419094</v>
      </c>
      <c r="G57" t="s">
        <v>131</v>
      </c>
      <c r="H57">
        <v>1.49</v>
      </c>
      <c r="I57">
        <v>0.14000000000000001</v>
      </c>
      <c r="J57">
        <v>150</v>
      </c>
      <c r="K57" t="s">
        <v>21</v>
      </c>
      <c r="L57" s="5">
        <f>VALUE(IF(Crypto_Dataset[[#This Row],[Type]]="Sell", _xlfn.CONCAT("-", Crypto_Dataset[[#This Row],[Total AUD]]), Crypto_Dataset[[#This Row],[Total AUD]]))</f>
        <v>150</v>
      </c>
      <c r="M57" s="3">
        <f>VALUE(IF(Crypto_Dataset[[#This Row],[Type]]="Sell", _xlfn.CONCAT("-", Crypto_Dataset[[#This Row],[Amount]]), Crypto_Dataset[[#This Row],[Amount]]))</f>
        <v>2.03958E-3</v>
      </c>
    </row>
    <row r="58" spans="1:13" x14ac:dyDescent="0.35">
      <c r="A58" s="7">
        <v>44282.606944444444</v>
      </c>
      <c r="B58" t="s">
        <v>19</v>
      </c>
      <c r="C58" t="s">
        <v>22</v>
      </c>
      <c r="D58">
        <v>196.42120563</v>
      </c>
      <c r="E58">
        <v>0.76366500000000004</v>
      </c>
      <c r="F58">
        <v>0.75610396040897399</v>
      </c>
      <c r="G58" t="s">
        <v>131</v>
      </c>
      <c r="H58">
        <v>1.49</v>
      </c>
      <c r="I58">
        <v>0.14000000000000001</v>
      </c>
      <c r="J58">
        <v>150</v>
      </c>
      <c r="K58" t="s">
        <v>21</v>
      </c>
      <c r="L58" s="5">
        <f>VALUE(IF(Crypto_Dataset[[#This Row],[Type]]="Sell", _xlfn.CONCAT("-", Crypto_Dataset[[#This Row],[Total AUD]]), Crypto_Dataset[[#This Row],[Total AUD]]))</f>
        <v>150</v>
      </c>
      <c r="M58" s="3">
        <f>VALUE(IF(Crypto_Dataset[[#This Row],[Type]]="Sell", _xlfn.CONCAT("-", Crypto_Dataset[[#This Row],[Amount]]), Crypto_Dataset[[#This Row],[Amount]]))</f>
        <v>196.42120563</v>
      </c>
    </row>
    <row r="59" spans="1:13" x14ac:dyDescent="0.35">
      <c r="A59" s="7">
        <v>44282.602777777778</v>
      </c>
      <c r="B59" t="s">
        <v>19</v>
      </c>
      <c r="C59" t="s">
        <v>28</v>
      </c>
      <c r="D59">
        <v>8.8276836000000003</v>
      </c>
      <c r="E59">
        <v>56.64</v>
      </c>
      <c r="F59">
        <v>56.079208021286</v>
      </c>
      <c r="G59" t="s">
        <v>102</v>
      </c>
      <c r="H59">
        <v>4.95</v>
      </c>
      <c r="I59">
        <v>0.45</v>
      </c>
      <c r="J59">
        <v>500</v>
      </c>
      <c r="K59" t="s">
        <v>29</v>
      </c>
      <c r="L59" s="5">
        <f>VALUE(IF(Crypto_Dataset[[#This Row],[Type]]="Sell", _xlfn.CONCAT("-", Crypto_Dataset[[#This Row],[Total AUD]]), Crypto_Dataset[[#This Row],[Total AUD]]))</f>
        <v>500</v>
      </c>
      <c r="M59" s="3">
        <f>VALUE(IF(Crypto_Dataset[[#This Row],[Type]]="Sell", _xlfn.CONCAT("-", Crypto_Dataset[[#This Row],[Amount]]), Crypto_Dataset[[#This Row],[Amount]]))</f>
        <v>8.8276836000000003</v>
      </c>
    </row>
    <row r="60" spans="1:13" x14ac:dyDescent="0.35">
      <c r="A60" s="7">
        <v>44282.425694444442</v>
      </c>
      <c r="B60" t="s">
        <v>19</v>
      </c>
      <c r="C60" t="s">
        <v>27</v>
      </c>
      <c r="D60">
        <v>4.1050699999999997E-3</v>
      </c>
      <c r="E60">
        <v>73080.210000010004</v>
      </c>
      <c r="F60">
        <v>72356.793664979399</v>
      </c>
      <c r="G60" t="s">
        <v>133</v>
      </c>
      <c r="H60">
        <v>2.97</v>
      </c>
      <c r="I60">
        <v>0.27</v>
      </c>
      <c r="J60">
        <v>300</v>
      </c>
      <c r="K60" t="s">
        <v>30</v>
      </c>
      <c r="L60" s="5">
        <f>VALUE(IF(Crypto_Dataset[[#This Row],[Type]]="Sell", _xlfn.CONCAT("-", Crypto_Dataset[[#This Row],[Total AUD]]), Crypto_Dataset[[#This Row],[Total AUD]]))</f>
        <v>300</v>
      </c>
      <c r="M60" s="3">
        <f>VALUE(IF(Crypto_Dataset[[#This Row],[Type]]="Sell", _xlfn.CONCAT("-", Crypto_Dataset[[#This Row],[Amount]]), Crypto_Dataset[[#This Row],[Amount]]))</f>
        <v>4.1050699999999997E-3</v>
      </c>
    </row>
    <row r="61" spans="1:13" x14ac:dyDescent="0.35">
      <c r="A61" s="7">
        <v>44279.23541666667</v>
      </c>
      <c r="B61" t="s">
        <v>19</v>
      </c>
      <c r="C61" t="s">
        <v>26</v>
      </c>
      <c r="D61">
        <v>1326.16614209</v>
      </c>
      <c r="E61">
        <v>0.226216</v>
      </c>
      <c r="F61">
        <v>0.22397623762448499</v>
      </c>
      <c r="G61" t="s">
        <v>133</v>
      </c>
      <c r="H61">
        <v>2.97</v>
      </c>
      <c r="I61">
        <v>0.27</v>
      </c>
      <c r="J61">
        <v>300</v>
      </c>
      <c r="K61" t="s">
        <v>30</v>
      </c>
      <c r="L61" s="5">
        <f>VALUE(IF(Crypto_Dataset[[#This Row],[Type]]="Sell", _xlfn.CONCAT("-", Crypto_Dataset[[#This Row],[Total AUD]]), Crypto_Dataset[[#This Row],[Total AUD]]))</f>
        <v>300</v>
      </c>
      <c r="M61" s="3">
        <f>VALUE(IF(Crypto_Dataset[[#This Row],[Type]]="Sell", _xlfn.CONCAT("-", Crypto_Dataset[[#This Row],[Amount]]), Crypto_Dataset[[#This Row],[Amount]]))</f>
        <v>1326.16614209</v>
      </c>
    </row>
    <row r="62" spans="1:13" x14ac:dyDescent="0.35">
      <c r="A62" s="7">
        <v>44279.234722222223</v>
      </c>
      <c r="B62" t="s">
        <v>19</v>
      </c>
      <c r="C62" t="s">
        <v>132</v>
      </c>
      <c r="D62">
        <v>43.652237169999999</v>
      </c>
      <c r="E62">
        <v>6.8724999999999996</v>
      </c>
      <c r="F62">
        <v>6.8044554466599099</v>
      </c>
      <c r="G62" t="s">
        <v>133</v>
      </c>
      <c r="H62">
        <v>2.97</v>
      </c>
      <c r="I62">
        <v>0.27</v>
      </c>
      <c r="J62">
        <v>300</v>
      </c>
      <c r="K62" t="s">
        <v>30</v>
      </c>
      <c r="L62" s="5">
        <f>VALUE(IF(Crypto_Dataset[[#This Row],[Type]]="Sell", _xlfn.CONCAT("-", Crypto_Dataset[[#This Row],[Total AUD]]), Crypto_Dataset[[#This Row],[Total AUD]]))</f>
        <v>300</v>
      </c>
      <c r="M62" s="3">
        <f>VALUE(IF(Crypto_Dataset[[#This Row],[Type]]="Sell", _xlfn.CONCAT("-", Crypto_Dataset[[#This Row],[Amount]]), Crypto_Dataset[[#This Row],[Amount]]))</f>
        <v>43.652237169999999</v>
      </c>
    </row>
    <row r="63" spans="1:13" x14ac:dyDescent="0.35">
      <c r="A63" s="7">
        <v>44278.257638888892</v>
      </c>
      <c r="B63" t="s">
        <v>19</v>
      </c>
      <c r="C63" t="s">
        <v>20</v>
      </c>
      <c r="D63">
        <v>4.1458500000000003E-6</v>
      </c>
      <c r="E63">
        <v>2306.3063063063</v>
      </c>
      <c r="F63">
        <v>2304</v>
      </c>
      <c r="G63" t="s">
        <v>134</v>
      </c>
      <c r="H63">
        <v>0</v>
      </c>
      <c r="I63">
        <v>0</v>
      </c>
      <c r="J63">
        <v>0.01</v>
      </c>
      <c r="K63" t="s">
        <v>31</v>
      </c>
      <c r="L63" s="5">
        <f>VALUE(IF(Crypto_Dataset[[#This Row],[Type]]="Sell", _xlfn.CONCAT("-", Crypto_Dataset[[#This Row],[Total AUD]]), Crypto_Dataset[[#This Row],[Total AUD]]))</f>
        <v>0.01</v>
      </c>
      <c r="M63" s="3">
        <f>VALUE(IF(Crypto_Dataset[[#This Row],[Type]]="Sell", _xlfn.CONCAT("-", Crypto_Dataset[[#This Row],[Amount]]), Crypto_Dataset[[#This Row],[Amount]]))</f>
        <v>4.1458500000000003E-6</v>
      </c>
    </row>
    <row r="64" spans="1:13" x14ac:dyDescent="0.35">
      <c r="A64" s="7">
        <v>44278.257638888892</v>
      </c>
      <c r="B64" t="s">
        <v>19</v>
      </c>
      <c r="C64" t="s">
        <v>20</v>
      </c>
      <c r="D64">
        <v>6.5034900000000007E-2</v>
      </c>
      <c r="E64">
        <v>2306.3063063063</v>
      </c>
      <c r="F64">
        <v>2304</v>
      </c>
      <c r="G64" t="s">
        <v>135</v>
      </c>
      <c r="H64">
        <v>0.15</v>
      </c>
      <c r="I64">
        <v>0.01</v>
      </c>
      <c r="J64">
        <v>149.99</v>
      </c>
      <c r="K64" t="s">
        <v>32</v>
      </c>
      <c r="L64" s="5">
        <f>VALUE(IF(Crypto_Dataset[[#This Row],[Type]]="Sell", _xlfn.CONCAT("-", Crypto_Dataset[[#This Row],[Total AUD]]), Crypto_Dataset[[#This Row],[Total AUD]]))</f>
        <v>149.99</v>
      </c>
      <c r="M64" s="3">
        <f>VALUE(IF(Crypto_Dataset[[#This Row],[Type]]="Sell", _xlfn.CONCAT("-", Crypto_Dataset[[#This Row],[Amount]]), Crypto_Dataset[[#This Row],[Amount]]))</f>
        <v>6.5034900000000007E-2</v>
      </c>
    </row>
    <row r="65" spans="1:13" x14ac:dyDescent="0.35">
      <c r="A65" s="7">
        <v>44277.826388888891</v>
      </c>
      <c r="B65" t="s">
        <v>19</v>
      </c>
      <c r="C65" t="s">
        <v>28</v>
      </c>
      <c r="D65">
        <v>2.6082420399999999</v>
      </c>
      <c r="E65">
        <v>57.51</v>
      </c>
      <c r="F65">
        <v>56.940594165543203</v>
      </c>
      <c r="G65" t="s">
        <v>131</v>
      </c>
      <c r="H65">
        <v>1.49</v>
      </c>
      <c r="I65">
        <v>0.14000000000000001</v>
      </c>
      <c r="J65">
        <v>150</v>
      </c>
      <c r="K65" t="s">
        <v>21</v>
      </c>
      <c r="L65" s="5">
        <f>VALUE(IF(Crypto_Dataset[[#This Row],[Type]]="Sell", _xlfn.CONCAT("-", Crypto_Dataset[[#This Row],[Total AUD]]), Crypto_Dataset[[#This Row],[Total AUD]]))</f>
        <v>150</v>
      </c>
      <c r="M65" s="3">
        <f>VALUE(IF(Crypto_Dataset[[#This Row],[Type]]="Sell", _xlfn.CONCAT("-", Crypto_Dataset[[#This Row],[Amount]]), Crypto_Dataset[[#This Row],[Amount]]))</f>
        <v>2.6082420399999999</v>
      </c>
    </row>
    <row r="66" spans="1:13" x14ac:dyDescent="0.35">
      <c r="A66" s="7">
        <v>44271.48333333333</v>
      </c>
      <c r="B66" t="s">
        <v>19</v>
      </c>
      <c r="C66" t="s">
        <v>27</v>
      </c>
      <c r="D66">
        <v>3.49584066E-3</v>
      </c>
      <c r="E66">
        <v>71513.556913660897</v>
      </c>
      <c r="F66">
        <v>71442</v>
      </c>
      <c r="G66" t="s">
        <v>136</v>
      </c>
      <c r="H66">
        <v>0.25</v>
      </c>
      <c r="I66">
        <v>0.02</v>
      </c>
      <c r="J66">
        <v>250</v>
      </c>
      <c r="K66" t="s">
        <v>33</v>
      </c>
      <c r="L66" s="5">
        <f>VALUE(IF(Crypto_Dataset[[#This Row],[Type]]="Sell", _xlfn.CONCAT("-", Crypto_Dataset[[#This Row],[Total AUD]]), Crypto_Dataset[[#This Row],[Total AUD]]))</f>
        <v>250</v>
      </c>
      <c r="M66" s="3">
        <f>VALUE(IF(Crypto_Dataset[[#This Row],[Type]]="Sell", _xlfn.CONCAT("-", Crypto_Dataset[[#This Row],[Amount]]), Crypto_Dataset[[#This Row],[Amount]]))</f>
        <v>3.49584066E-3</v>
      </c>
    </row>
    <row r="67" spans="1:13" x14ac:dyDescent="0.35">
      <c r="A67" s="7">
        <v>44268.629166666666</v>
      </c>
      <c r="B67" t="s">
        <v>19</v>
      </c>
      <c r="C67" t="s">
        <v>26</v>
      </c>
      <c r="D67">
        <v>699.00415208000004</v>
      </c>
      <c r="E67">
        <v>0.214591</v>
      </c>
      <c r="F67">
        <v>0.21246633663507999</v>
      </c>
      <c r="G67" t="s">
        <v>131</v>
      </c>
      <c r="H67">
        <v>1.49</v>
      </c>
      <c r="I67">
        <v>0.14000000000000001</v>
      </c>
      <c r="J67">
        <v>150</v>
      </c>
      <c r="K67" t="s">
        <v>21</v>
      </c>
      <c r="L67" s="5">
        <f>VALUE(IF(Crypto_Dataset[[#This Row],[Type]]="Sell", _xlfn.CONCAT("-", Crypto_Dataset[[#This Row],[Total AUD]]), Crypto_Dataset[[#This Row],[Total AUD]]))</f>
        <v>150</v>
      </c>
      <c r="M67" s="3">
        <f>VALUE(IF(Crypto_Dataset[[#This Row],[Type]]="Sell", _xlfn.CONCAT("-", Crypto_Dataset[[#This Row],[Amount]]), Crypto_Dataset[[#This Row],[Amount]]))</f>
        <v>699.00415208000004</v>
      </c>
    </row>
    <row r="68" spans="1:13" x14ac:dyDescent="0.35">
      <c r="A68" s="7">
        <v>44268.628472222219</v>
      </c>
      <c r="B68" t="s">
        <v>19</v>
      </c>
      <c r="C68" t="s">
        <v>34</v>
      </c>
      <c r="D68">
        <v>38158.229458150003</v>
      </c>
      <c r="E68">
        <v>3.9309999999999996E-3</v>
      </c>
      <c r="F68">
        <v>3.8920792079211101E-3</v>
      </c>
      <c r="G68" t="s">
        <v>131</v>
      </c>
      <c r="H68">
        <v>1.49</v>
      </c>
      <c r="I68">
        <v>0.14000000000000001</v>
      </c>
      <c r="J68">
        <v>150</v>
      </c>
      <c r="K68" t="s">
        <v>21</v>
      </c>
      <c r="L68" s="5">
        <f>VALUE(IF(Crypto_Dataset[[#This Row],[Type]]="Sell", _xlfn.CONCAT("-", Crypto_Dataset[[#This Row],[Total AUD]]), Crypto_Dataset[[#This Row],[Total AUD]]))</f>
        <v>150</v>
      </c>
      <c r="M68" s="3">
        <f>VALUE(IF(Crypto_Dataset[[#This Row],[Type]]="Sell", _xlfn.CONCAT("-", Crypto_Dataset[[#This Row],[Amount]]), Crypto_Dataset[[#This Row],[Amount]]))</f>
        <v>38158.229458150003</v>
      </c>
    </row>
    <row r="69" spans="1:13" x14ac:dyDescent="0.35">
      <c r="A69" s="7">
        <v>44268.013194444444</v>
      </c>
      <c r="B69" t="s">
        <v>19</v>
      </c>
      <c r="C69" t="s">
        <v>25</v>
      </c>
      <c r="D69">
        <v>3.1652247299999998</v>
      </c>
      <c r="E69">
        <v>47.39</v>
      </c>
      <c r="F69">
        <v>46.920792093377997</v>
      </c>
      <c r="G69" t="s">
        <v>131</v>
      </c>
      <c r="H69">
        <v>1.49</v>
      </c>
      <c r="I69">
        <v>0.14000000000000001</v>
      </c>
      <c r="J69">
        <v>150</v>
      </c>
      <c r="K69" t="s">
        <v>21</v>
      </c>
      <c r="L69" s="5">
        <f>VALUE(IF(Crypto_Dataset[[#This Row],[Type]]="Sell", _xlfn.CONCAT("-", Crypto_Dataset[[#This Row],[Total AUD]]), Crypto_Dataset[[#This Row],[Total AUD]]))</f>
        <v>150</v>
      </c>
      <c r="M69" s="3">
        <f>VALUE(IF(Crypto_Dataset[[#This Row],[Type]]="Sell", _xlfn.CONCAT("-", Crypto_Dataset[[#This Row],[Amount]]), Crypto_Dataset[[#This Row],[Amount]]))</f>
        <v>3.1652247299999998</v>
      </c>
    </row>
    <row r="70" spans="1:13" x14ac:dyDescent="0.35">
      <c r="A70" s="7">
        <v>44265.548611111109</v>
      </c>
      <c r="B70" t="s">
        <v>19</v>
      </c>
      <c r="C70" t="s">
        <v>22</v>
      </c>
      <c r="D70">
        <v>409.42622950443001</v>
      </c>
      <c r="E70">
        <v>0.61061061061622801</v>
      </c>
      <c r="F70">
        <v>0.61</v>
      </c>
      <c r="G70" t="s">
        <v>137</v>
      </c>
      <c r="H70">
        <v>0.25</v>
      </c>
      <c r="I70">
        <v>0.02</v>
      </c>
      <c r="J70">
        <v>250</v>
      </c>
      <c r="K70" t="s">
        <v>33</v>
      </c>
      <c r="L70" s="5">
        <f>VALUE(IF(Crypto_Dataset[[#This Row],[Type]]="Sell", _xlfn.CONCAT("-", Crypto_Dataset[[#This Row],[Total AUD]]), Crypto_Dataset[[#This Row],[Total AUD]]))</f>
        <v>250</v>
      </c>
      <c r="M70" s="3">
        <f>VALUE(IF(Crypto_Dataset[[#This Row],[Type]]="Sell", _xlfn.CONCAT("-", Crypto_Dataset[[#This Row],[Amount]]), Crypto_Dataset[[#This Row],[Amount]]))</f>
        <v>409.42622950443001</v>
      </c>
    </row>
    <row r="71" spans="1:13" x14ac:dyDescent="0.35">
      <c r="A71" s="7">
        <v>44265.344444444447</v>
      </c>
      <c r="B71" t="s">
        <v>19</v>
      </c>
      <c r="C71" t="s">
        <v>34</v>
      </c>
      <c r="D71">
        <v>60081.711127130002</v>
      </c>
      <c r="E71">
        <v>4.1609999999999998E-3</v>
      </c>
      <c r="F71">
        <v>4.1198019801982101E-3</v>
      </c>
      <c r="G71" t="s">
        <v>101</v>
      </c>
      <c r="H71">
        <v>2.48</v>
      </c>
      <c r="I71">
        <v>0.23</v>
      </c>
      <c r="J71">
        <v>250</v>
      </c>
      <c r="K71" t="s">
        <v>33</v>
      </c>
      <c r="L71" s="5">
        <f>VALUE(IF(Crypto_Dataset[[#This Row],[Type]]="Sell", _xlfn.CONCAT("-", Crypto_Dataset[[#This Row],[Total AUD]]), Crypto_Dataset[[#This Row],[Total AUD]]))</f>
        <v>250</v>
      </c>
      <c r="M71" s="3">
        <f>VALUE(IF(Crypto_Dataset[[#This Row],[Type]]="Sell", _xlfn.CONCAT("-", Crypto_Dataset[[#This Row],[Amount]]), Crypto_Dataset[[#This Row],[Amount]]))</f>
        <v>60081.711127130002</v>
      </c>
    </row>
    <row r="72" spans="1:13" x14ac:dyDescent="0.35">
      <c r="A72" s="7">
        <v>44265.343055555553</v>
      </c>
      <c r="B72" t="s">
        <v>19</v>
      </c>
      <c r="C72" t="s">
        <v>28</v>
      </c>
      <c r="D72">
        <v>4.4216483799999997</v>
      </c>
      <c r="E72">
        <v>56.54</v>
      </c>
      <c r="F72">
        <v>55.980198152989999</v>
      </c>
      <c r="G72" t="s">
        <v>101</v>
      </c>
      <c r="H72">
        <v>2.48</v>
      </c>
      <c r="I72">
        <v>0.23</v>
      </c>
      <c r="J72">
        <v>250</v>
      </c>
      <c r="K72" t="s">
        <v>33</v>
      </c>
      <c r="L72" s="5">
        <f>VALUE(IF(Crypto_Dataset[[#This Row],[Type]]="Sell", _xlfn.CONCAT("-", Crypto_Dataset[[#This Row],[Total AUD]]), Crypto_Dataset[[#This Row],[Total AUD]]))</f>
        <v>250</v>
      </c>
      <c r="M72" s="3">
        <f>VALUE(IF(Crypto_Dataset[[#This Row],[Type]]="Sell", _xlfn.CONCAT("-", Crypto_Dataset[[#This Row],[Amount]]), Crypto_Dataset[[#This Row],[Amount]]))</f>
        <v>4.4216483799999997</v>
      </c>
    </row>
    <row r="73" spans="1:13" x14ac:dyDescent="0.35">
      <c r="A73" s="7">
        <v>44265.343055555553</v>
      </c>
      <c r="B73" t="s">
        <v>19</v>
      </c>
      <c r="C73" t="s">
        <v>24</v>
      </c>
      <c r="D73">
        <v>157.33432852000001</v>
      </c>
      <c r="E73">
        <v>1.588973</v>
      </c>
      <c r="F73">
        <v>1.57324059411346</v>
      </c>
      <c r="G73" t="s">
        <v>101</v>
      </c>
      <c r="H73">
        <v>2.48</v>
      </c>
      <c r="I73">
        <v>0.23</v>
      </c>
      <c r="J73">
        <v>250</v>
      </c>
      <c r="K73" t="s">
        <v>33</v>
      </c>
      <c r="L73" s="5">
        <f>VALUE(IF(Crypto_Dataset[[#This Row],[Type]]="Sell", _xlfn.CONCAT("-", Crypto_Dataset[[#This Row],[Total AUD]]), Crypto_Dataset[[#This Row],[Total AUD]]))</f>
        <v>250</v>
      </c>
      <c r="M73" s="3">
        <f>VALUE(IF(Crypto_Dataset[[#This Row],[Type]]="Sell", _xlfn.CONCAT("-", Crypto_Dataset[[#This Row],[Amount]]), Crypto_Dataset[[#This Row],[Amount]]))</f>
        <v>157.33432852000001</v>
      </c>
    </row>
    <row r="74" spans="1:13" x14ac:dyDescent="0.35">
      <c r="A74" s="7">
        <v>44265.342361111114</v>
      </c>
      <c r="B74" t="s">
        <v>19</v>
      </c>
      <c r="C74" t="s">
        <v>25</v>
      </c>
      <c r="D74">
        <v>4.8790007800000001</v>
      </c>
      <c r="E74">
        <v>51.24</v>
      </c>
      <c r="F74">
        <v>50.732673273982797</v>
      </c>
      <c r="G74" t="s">
        <v>101</v>
      </c>
      <c r="H74">
        <v>2.48</v>
      </c>
      <c r="I74">
        <v>0.23</v>
      </c>
      <c r="J74">
        <v>250</v>
      </c>
      <c r="K74" t="s">
        <v>33</v>
      </c>
      <c r="L74" s="5">
        <f>VALUE(IF(Crypto_Dataset[[#This Row],[Type]]="Sell", _xlfn.CONCAT("-", Crypto_Dataset[[#This Row],[Total AUD]]), Crypto_Dataset[[#This Row],[Total AUD]]))</f>
        <v>250</v>
      </c>
      <c r="M74" s="3">
        <f>VALUE(IF(Crypto_Dataset[[#This Row],[Type]]="Sell", _xlfn.CONCAT("-", Crypto_Dataset[[#This Row],[Amount]]), Crypto_Dataset[[#This Row],[Amount]]))</f>
        <v>4.8790007800000001</v>
      </c>
    </row>
    <row r="75" spans="1:13" x14ac:dyDescent="0.35">
      <c r="A75" s="7">
        <v>44265.341666666667</v>
      </c>
      <c r="B75" t="s">
        <v>19</v>
      </c>
      <c r="C75" t="s">
        <v>26</v>
      </c>
      <c r="D75">
        <v>1397.67873515</v>
      </c>
      <c r="E75">
        <v>0.178868</v>
      </c>
      <c r="F75">
        <v>0.177097029703813</v>
      </c>
      <c r="G75" t="s">
        <v>101</v>
      </c>
      <c r="H75">
        <v>2.48</v>
      </c>
      <c r="I75">
        <v>0.23</v>
      </c>
      <c r="J75">
        <v>250</v>
      </c>
      <c r="K75" t="s">
        <v>33</v>
      </c>
      <c r="L75" s="5">
        <f>VALUE(IF(Crypto_Dataset[[#This Row],[Type]]="Sell", _xlfn.CONCAT("-", Crypto_Dataset[[#This Row],[Total AUD]]), Crypto_Dataset[[#This Row],[Total AUD]]))</f>
        <v>250</v>
      </c>
      <c r="M75" s="3">
        <f>VALUE(IF(Crypto_Dataset[[#This Row],[Type]]="Sell", _xlfn.CONCAT("-", Crypto_Dataset[[#This Row],[Amount]]), Crypto_Dataset[[#This Row],[Amount]]))</f>
        <v>1397.67873515</v>
      </c>
    </row>
    <row r="76" spans="1:13" x14ac:dyDescent="0.35">
      <c r="A76" s="7">
        <v>44265.338888888888</v>
      </c>
      <c r="B76" t="s">
        <v>19</v>
      </c>
      <c r="C76" t="s">
        <v>132</v>
      </c>
      <c r="D76">
        <v>31.930111369999999</v>
      </c>
      <c r="E76">
        <v>7.8296000000000001</v>
      </c>
      <c r="F76">
        <v>7.7520792084618204</v>
      </c>
      <c r="G76" t="s">
        <v>101</v>
      </c>
      <c r="H76">
        <v>2.48</v>
      </c>
      <c r="I76">
        <v>0.23</v>
      </c>
      <c r="J76">
        <v>250</v>
      </c>
      <c r="K76" t="s">
        <v>33</v>
      </c>
      <c r="L76" s="5">
        <f>VALUE(IF(Crypto_Dataset[[#This Row],[Type]]="Sell", _xlfn.CONCAT("-", Crypto_Dataset[[#This Row],[Total AUD]]), Crypto_Dataset[[#This Row],[Total AUD]]))</f>
        <v>250</v>
      </c>
      <c r="M76" s="3">
        <f>VALUE(IF(Crypto_Dataset[[#This Row],[Type]]="Sell", _xlfn.CONCAT("-", Crypto_Dataset[[#This Row],[Amount]]), Crypto_Dataset[[#This Row],[Amount]]))</f>
        <v>31.930111369999999</v>
      </c>
    </row>
    <row r="77" spans="1:13" x14ac:dyDescent="0.35">
      <c r="A77" s="7">
        <v>44250.704861111109</v>
      </c>
      <c r="B77" t="s">
        <v>19</v>
      </c>
      <c r="C77" t="s">
        <v>24</v>
      </c>
      <c r="D77">
        <v>3.7805754</v>
      </c>
      <c r="E77">
        <v>1.3225499999999999</v>
      </c>
      <c r="F77">
        <v>1.30945544678329</v>
      </c>
      <c r="G77" t="s">
        <v>138</v>
      </c>
      <c r="H77">
        <v>0.05</v>
      </c>
      <c r="I77">
        <v>0</v>
      </c>
      <c r="J77">
        <v>5</v>
      </c>
      <c r="K77" t="s">
        <v>35</v>
      </c>
      <c r="L77" s="5">
        <f>VALUE(IF(Crypto_Dataset[[#This Row],[Type]]="Sell", _xlfn.CONCAT("-", Crypto_Dataset[[#This Row],[Total AUD]]), Crypto_Dataset[[#This Row],[Total AUD]]))</f>
        <v>5</v>
      </c>
      <c r="M77" s="3">
        <f>VALUE(IF(Crypto_Dataset[[#This Row],[Type]]="Sell", _xlfn.CONCAT("-", Crypto_Dataset[[#This Row],[Amount]]), Crypto_Dataset[[#This Row],[Amount]]))</f>
        <v>3.7805754</v>
      </c>
    </row>
    <row r="78" spans="1:13" x14ac:dyDescent="0.35">
      <c r="A78" s="7">
        <v>44250.688194444447</v>
      </c>
      <c r="B78" t="s">
        <v>19</v>
      </c>
      <c r="C78" t="s">
        <v>22</v>
      </c>
      <c r="D78">
        <v>1551.3354075042</v>
      </c>
      <c r="E78">
        <v>0.65065166166347999</v>
      </c>
      <c r="F78">
        <v>0.65000100999999999</v>
      </c>
      <c r="G78" t="s">
        <v>139</v>
      </c>
      <c r="H78">
        <v>1.01</v>
      </c>
      <c r="I78">
        <v>0.09</v>
      </c>
      <c r="J78">
        <v>1009.38</v>
      </c>
      <c r="K78" t="s">
        <v>36</v>
      </c>
      <c r="L78" s="5">
        <f>VALUE(IF(Crypto_Dataset[[#This Row],[Type]]="Sell", _xlfn.CONCAT("-", Crypto_Dataset[[#This Row],[Total AUD]]), Crypto_Dataset[[#This Row],[Total AUD]]))</f>
        <v>1009.38</v>
      </c>
      <c r="M78" s="3">
        <f>VALUE(IF(Crypto_Dataset[[#This Row],[Type]]="Sell", _xlfn.CONCAT("-", Crypto_Dataset[[#This Row],[Amount]]), Crypto_Dataset[[#This Row],[Amount]]))</f>
        <v>1551.3354075042</v>
      </c>
    </row>
    <row r="79" spans="1:13" x14ac:dyDescent="0.35">
      <c r="A79" s="7">
        <v>44250.688194444447</v>
      </c>
      <c r="B79" t="s">
        <v>19</v>
      </c>
      <c r="C79" t="s">
        <v>22</v>
      </c>
      <c r="D79">
        <v>768.46035541499998</v>
      </c>
      <c r="E79">
        <v>0.65065166165921395</v>
      </c>
      <c r="F79">
        <v>0.65000100999999999</v>
      </c>
      <c r="G79" t="s">
        <v>140</v>
      </c>
      <c r="H79">
        <v>0.5</v>
      </c>
      <c r="I79">
        <v>0.05</v>
      </c>
      <c r="J79">
        <v>500</v>
      </c>
      <c r="K79" t="s">
        <v>29</v>
      </c>
      <c r="L79" s="5">
        <f>VALUE(IF(Crypto_Dataset[[#This Row],[Type]]="Sell", _xlfn.CONCAT("-", Crypto_Dataset[[#This Row],[Total AUD]]), Crypto_Dataset[[#This Row],[Total AUD]]))</f>
        <v>500</v>
      </c>
      <c r="M79" s="3">
        <f>VALUE(IF(Crypto_Dataset[[#This Row],[Type]]="Sell", _xlfn.CONCAT("-", Crypto_Dataset[[#This Row],[Amount]]), Crypto_Dataset[[#This Row],[Amount]]))</f>
        <v>768.46035541499998</v>
      </c>
    </row>
    <row r="80" spans="1:13" x14ac:dyDescent="0.35">
      <c r="A80" s="7">
        <v>44250.688194444447</v>
      </c>
      <c r="B80" t="s">
        <v>19</v>
      </c>
      <c r="C80" t="s">
        <v>22</v>
      </c>
      <c r="D80">
        <v>18.399748723109902</v>
      </c>
      <c r="E80">
        <v>0.650651661615543</v>
      </c>
      <c r="F80">
        <v>0.65000100999999999</v>
      </c>
      <c r="G80" t="s">
        <v>141</v>
      </c>
      <c r="H80">
        <v>0.01</v>
      </c>
      <c r="I80">
        <v>0</v>
      </c>
      <c r="J80">
        <v>11.97</v>
      </c>
      <c r="K80" t="s">
        <v>37</v>
      </c>
      <c r="L80" s="5">
        <f>VALUE(IF(Crypto_Dataset[[#This Row],[Type]]="Sell", _xlfn.CONCAT("-", Crypto_Dataset[[#This Row],[Total AUD]]), Crypto_Dataset[[#This Row],[Total AUD]]))</f>
        <v>11.97</v>
      </c>
      <c r="M80" s="3">
        <f>VALUE(IF(Crypto_Dataset[[#This Row],[Type]]="Sell", _xlfn.CONCAT("-", Crypto_Dataset[[#This Row],[Amount]]), Crypto_Dataset[[#This Row],[Amount]]))</f>
        <v>18.399748723109902</v>
      </c>
    </row>
    <row r="81" spans="1:13" x14ac:dyDescent="0.35">
      <c r="A81" s="7">
        <v>44250.6875</v>
      </c>
      <c r="B81" t="s">
        <v>19</v>
      </c>
      <c r="C81" t="s">
        <v>22</v>
      </c>
      <c r="D81">
        <v>73.254789862020004</v>
      </c>
      <c r="E81">
        <v>0.65065166168351396</v>
      </c>
      <c r="F81">
        <v>0.65000100999999999</v>
      </c>
      <c r="G81" t="s">
        <v>142</v>
      </c>
      <c r="H81">
        <v>0.05</v>
      </c>
      <c r="I81">
        <v>0</v>
      </c>
      <c r="J81">
        <v>47.66</v>
      </c>
      <c r="K81" t="s">
        <v>38</v>
      </c>
      <c r="L81" s="5">
        <f>VALUE(IF(Crypto_Dataset[[#This Row],[Type]]="Sell", _xlfn.CONCAT("-", Crypto_Dataset[[#This Row],[Total AUD]]), Crypto_Dataset[[#This Row],[Total AUD]]))</f>
        <v>47.66</v>
      </c>
      <c r="M81" s="3">
        <f>VALUE(IF(Crypto_Dataset[[#This Row],[Type]]="Sell", _xlfn.CONCAT("-", Crypto_Dataset[[#This Row],[Amount]]), Crypto_Dataset[[#This Row],[Amount]]))</f>
        <v>73.254789862020004</v>
      </c>
    </row>
    <row r="82" spans="1:13" x14ac:dyDescent="0.35">
      <c r="A82" s="7">
        <v>44250.6875</v>
      </c>
      <c r="B82" t="s">
        <v>19</v>
      </c>
      <c r="C82" t="s">
        <v>22</v>
      </c>
      <c r="D82">
        <v>146.69419046850001</v>
      </c>
      <c r="E82">
        <v>0.65065166163138199</v>
      </c>
      <c r="F82">
        <v>0.65000100999999999</v>
      </c>
      <c r="G82" t="s">
        <v>143</v>
      </c>
      <c r="H82">
        <v>0.1</v>
      </c>
      <c r="I82">
        <v>0.01</v>
      </c>
      <c r="J82">
        <v>95.45</v>
      </c>
      <c r="K82" t="s">
        <v>39</v>
      </c>
      <c r="L82" s="5">
        <f>VALUE(IF(Crypto_Dataset[[#This Row],[Type]]="Sell", _xlfn.CONCAT("-", Crypto_Dataset[[#This Row],[Total AUD]]), Crypto_Dataset[[#This Row],[Total AUD]]))</f>
        <v>95.45</v>
      </c>
      <c r="M82" s="3">
        <f>VALUE(IF(Crypto_Dataset[[#This Row],[Type]]="Sell", _xlfn.CONCAT("-", Crypto_Dataset[[#This Row],[Amount]]), Crypto_Dataset[[#This Row],[Amount]]))</f>
        <v>146.69419046850001</v>
      </c>
    </row>
    <row r="83" spans="1:13" x14ac:dyDescent="0.35">
      <c r="A83" s="7">
        <v>44250.6875</v>
      </c>
      <c r="B83" t="s">
        <v>19</v>
      </c>
      <c r="C83" t="s">
        <v>22</v>
      </c>
      <c r="D83">
        <v>9.9900000000000002E-5</v>
      </c>
      <c r="E83">
        <v>0.65065065065064998</v>
      </c>
      <c r="F83">
        <v>0.65000100999999999</v>
      </c>
      <c r="G83" t="s">
        <v>144</v>
      </c>
      <c r="H83">
        <v>0</v>
      </c>
      <c r="I83">
        <v>0</v>
      </c>
      <c r="J83">
        <v>0</v>
      </c>
      <c r="K83" t="s">
        <v>40</v>
      </c>
      <c r="L83" s="5">
        <f>VALUE(IF(Crypto_Dataset[[#This Row],[Type]]="Sell", _xlfn.CONCAT("-", Crypto_Dataset[[#This Row],[Total AUD]]), Crypto_Dataset[[#This Row],[Total AUD]]))</f>
        <v>0</v>
      </c>
      <c r="M83" s="3">
        <f>VALUE(IF(Crypto_Dataset[[#This Row],[Type]]="Sell", _xlfn.CONCAT("-", Crypto_Dataset[[#This Row],[Amount]]), Crypto_Dataset[[#This Row],[Amount]]))</f>
        <v>9.9900000000000002E-5</v>
      </c>
    </row>
    <row r="84" spans="1:13" x14ac:dyDescent="0.35">
      <c r="A84" s="7">
        <v>44250.686805555553</v>
      </c>
      <c r="B84" t="s">
        <v>19</v>
      </c>
      <c r="C84" t="s">
        <v>22</v>
      </c>
      <c r="D84">
        <v>292.97309119245</v>
      </c>
      <c r="E84">
        <v>0.65065166167353605</v>
      </c>
      <c r="F84">
        <v>0.65000100999999999</v>
      </c>
      <c r="G84" t="s">
        <v>145</v>
      </c>
      <c r="H84">
        <v>0.19</v>
      </c>
      <c r="I84">
        <v>0.02</v>
      </c>
      <c r="J84">
        <v>190.62</v>
      </c>
      <c r="K84" t="s">
        <v>41</v>
      </c>
      <c r="L84" s="5">
        <f>VALUE(IF(Crypto_Dataset[[#This Row],[Type]]="Sell", _xlfn.CONCAT("-", Crypto_Dataset[[#This Row],[Total AUD]]), Crypto_Dataset[[#This Row],[Total AUD]]))</f>
        <v>190.62</v>
      </c>
      <c r="M84" s="3">
        <f>VALUE(IF(Crypto_Dataset[[#This Row],[Type]]="Sell", _xlfn.CONCAT("-", Crypto_Dataset[[#This Row],[Amount]]), Crypto_Dataset[[#This Row],[Amount]]))</f>
        <v>292.97309119245</v>
      </c>
    </row>
    <row r="85" spans="1:13" x14ac:dyDescent="0.35">
      <c r="A85" s="7">
        <v>44250.686111111114</v>
      </c>
      <c r="B85" t="s">
        <v>19</v>
      </c>
      <c r="C85" t="s">
        <v>22</v>
      </c>
      <c r="D85">
        <v>586.74542984739003</v>
      </c>
      <c r="E85">
        <v>0.65065166165724697</v>
      </c>
      <c r="F85">
        <v>0.65000100999999999</v>
      </c>
      <c r="G85" t="s">
        <v>146</v>
      </c>
      <c r="H85">
        <v>0.38</v>
      </c>
      <c r="I85">
        <v>0.03</v>
      </c>
      <c r="J85">
        <v>381.77</v>
      </c>
      <c r="K85" t="s">
        <v>42</v>
      </c>
      <c r="L85" s="5">
        <f>VALUE(IF(Crypto_Dataset[[#This Row],[Type]]="Sell", _xlfn.CONCAT("-", Crypto_Dataset[[#This Row],[Total AUD]]), Crypto_Dataset[[#This Row],[Total AUD]]))</f>
        <v>381.77</v>
      </c>
      <c r="M85" s="3">
        <f>VALUE(IF(Crypto_Dataset[[#This Row],[Type]]="Sell", _xlfn.CONCAT("-", Crypto_Dataset[[#This Row],[Amount]]), Crypto_Dataset[[#This Row],[Amount]]))</f>
        <v>586.74542984739003</v>
      </c>
    </row>
    <row r="86" spans="1:13" x14ac:dyDescent="0.35">
      <c r="A86" s="7">
        <v>44250.686111111114</v>
      </c>
      <c r="B86" t="s">
        <v>19</v>
      </c>
      <c r="C86" t="s">
        <v>22</v>
      </c>
      <c r="D86">
        <v>1172.89902437253</v>
      </c>
      <c r="E86">
        <v>0.65065166166223398</v>
      </c>
      <c r="F86">
        <v>0.65000100999999999</v>
      </c>
      <c r="G86" t="s">
        <v>147</v>
      </c>
      <c r="H86">
        <v>0.76</v>
      </c>
      <c r="I86">
        <v>7.0000000000000007E-2</v>
      </c>
      <c r="J86">
        <v>763.15</v>
      </c>
      <c r="K86" t="s">
        <v>43</v>
      </c>
      <c r="L86" s="5">
        <f>VALUE(IF(Crypto_Dataset[[#This Row],[Type]]="Sell", _xlfn.CONCAT("-", Crypto_Dataset[[#This Row],[Total AUD]]), Crypto_Dataset[[#This Row],[Total AUD]]))</f>
        <v>763.15</v>
      </c>
      <c r="M86" s="3">
        <f>VALUE(IF(Crypto_Dataset[[#This Row],[Type]]="Sell", _xlfn.CONCAT("-", Crypto_Dataset[[#This Row],[Amount]]), Crypto_Dataset[[#This Row],[Amount]]))</f>
        <v>1172.89902437253</v>
      </c>
    </row>
    <row r="87" spans="1:13" x14ac:dyDescent="0.35">
      <c r="A87" s="7">
        <v>44250.685416666667</v>
      </c>
      <c r="B87" t="s">
        <v>19</v>
      </c>
      <c r="C87" t="s">
        <v>23</v>
      </c>
      <c r="D87">
        <v>71.357142848579997</v>
      </c>
      <c r="E87">
        <v>0.28028029026386297</v>
      </c>
      <c r="F87">
        <v>0.28000001000000002</v>
      </c>
      <c r="G87" t="s">
        <v>148</v>
      </c>
      <c r="H87">
        <v>0.02</v>
      </c>
      <c r="I87">
        <v>0</v>
      </c>
      <c r="J87">
        <v>20</v>
      </c>
      <c r="K87" t="s">
        <v>44</v>
      </c>
      <c r="L87" s="5">
        <f>VALUE(IF(Crypto_Dataset[[#This Row],[Type]]="Sell", _xlfn.CONCAT("-", Crypto_Dataset[[#This Row],[Total AUD]]), Crypto_Dataset[[#This Row],[Total AUD]]))</f>
        <v>20</v>
      </c>
      <c r="M87" s="3">
        <f>VALUE(IF(Crypto_Dataset[[#This Row],[Type]]="Sell", _xlfn.CONCAT("-", Crypto_Dataset[[#This Row],[Amount]]), Crypto_Dataset[[#This Row],[Amount]]))</f>
        <v>71.357142848579997</v>
      </c>
    </row>
    <row r="88" spans="1:13" x14ac:dyDescent="0.35">
      <c r="A88" s="7">
        <v>44250.683333333334</v>
      </c>
      <c r="B88" t="s">
        <v>19</v>
      </c>
      <c r="C88" t="s">
        <v>23</v>
      </c>
      <c r="D88">
        <v>642.21428571714</v>
      </c>
      <c r="E88">
        <v>0.280280290291269</v>
      </c>
      <c r="F88">
        <v>0.28000001000000002</v>
      </c>
      <c r="G88" t="s">
        <v>149</v>
      </c>
      <c r="H88">
        <v>0.18</v>
      </c>
      <c r="I88">
        <v>0.02</v>
      </c>
      <c r="J88">
        <v>180</v>
      </c>
      <c r="K88" t="s">
        <v>45</v>
      </c>
      <c r="L88" s="5">
        <f>VALUE(IF(Crypto_Dataset[[#This Row],[Type]]="Sell", _xlfn.CONCAT("-", Crypto_Dataset[[#This Row],[Total AUD]]), Crypto_Dataset[[#This Row],[Total AUD]]))</f>
        <v>180</v>
      </c>
      <c r="M88" s="3">
        <f>VALUE(IF(Crypto_Dataset[[#This Row],[Type]]="Sell", _xlfn.CONCAT("-", Crypto_Dataset[[#This Row],[Amount]]), Crypto_Dataset[[#This Row],[Amount]]))</f>
        <v>642.21428571714</v>
      </c>
    </row>
    <row r="89" spans="1:13" x14ac:dyDescent="0.35">
      <c r="A89" s="7">
        <v>44250.65902777778</v>
      </c>
      <c r="B89" t="s">
        <v>19</v>
      </c>
      <c r="C89" t="s">
        <v>27</v>
      </c>
      <c r="D89">
        <v>1.54882962E-3</v>
      </c>
      <c r="E89">
        <v>64564.880932481101</v>
      </c>
      <c r="F89">
        <v>64500</v>
      </c>
      <c r="G89" t="s">
        <v>150</v>
      </c>
      <c r="H89">
        <v>0.1</v>
      </c>
      <c r="I89">
        <v>0.01</v>
      </c>
      <c r="J89">
        <v>100</v>
      </c>
      <c r="K89" t="s">
        <v>46</v>
      </c>
      <c r="L89" s="5">
        <f>VALUE(IF(Crypto_Dataset[[#This Row],[Type]]="Sell", _xlfn.CONCAT("-", Crypto_Dataset[[#This Row],[Total AUD]]), Crypto_Dataset[[#This Row],[Total AUD]]))</f>
        <v>100</v>
      </c>
      <c r="M89" s="3">
        <f>VALUE(IF(Crypto_Dataset[[#This Row],[Type]]="Sell", _xlfn.CONCAT("-", Crypto_Dataset[[#This Row],[Amount]]), Crypto_Dataset[[#This Row],[Amount]]))</f>
        <v>1.54882962E-3</v>
      </c>
    </row>
    <row r="90" spans="1:13" x14ac:dyDescent="0.35">
      <c r="A90" s="7">
        <v>44250.581944444442</v>
      </c>
      <c r="B90" t="s">
        <v>19</v>
      </c>
      <c r="C90" t="s">
        <v>27</v>
      </c>
      <c r="D90">
        <v>3.8423038500000001E-3</v>
      </c>
      <c r="E90">
        <v>65065.130130195103</v>
      </c>
      <c r="F90">
        <v>65000</v>
      </c>
      <c r="G90" t="s">
        <v>151</v>
      </c>
      <c r="H90">
        <v>0.25</v>
      </c>
      <c r="I90">
        <v>0.02</v>
      </c>
      <c r="J90">
        <v>250</v>
      </c>
      <c r="K90" t="s">
        <v>33</v>
      </c>
      <c r="L90" s="5">
        <f>VALUE(IF(Crypto_Dataset[[#This Row],[Type]]="Sell", _xlfn.CONCAT("-", Crypto_Dataset[[#This Row],[Total AUD]]), Crypto_Dataset[[#This Row],[Total AUD]]))</f>
        <v>250</v>
      </c>
      <c r="M90" s="3">
        <f>VALUE(IF(Crypto_Dataset[[#This Row],[Type]]="Sell", _xlfn.CONCAT("-", Crypto_Dataset[[#This Row],[Amount]]), Crypto_Dataset[[#This Row],[Amount]]))</f>
        <v>3.8423038500000001E-3</v>
      </c>
    </row>
    <row r="91" spans="1:13" x14ac:dyDescent="0.35">
      <c r="A91" s="7">
        <v>44250.581250000003</v>
      </c>
      <c r="B91" t="s">
        <v>19</v>
      </c>
      <c r="C91" t="s">
        <v>22</v>
      </c>
      <c r="D91">
        <v>3361.6035467847</v>
      </c>
      <c r="E91">
        <v>0.67567667667786202</v>
      </c>
      <c r="F91">
        <v>0.67500099999999996</v>
      </c>
      <c r="G91" t="s">
        <v>152</v>
      </c>
      <c r="H91">
        <v>2.27</v>
      </c>
      <c r="I91">
        <v>0.21</v>
      </c>
      <c r="J91">
        <v>2271.36</v>
      </c>
      <c r="K91" t="s">
        <v>47</v>
      </c>
      <c r="L91" s="5">
        <f>VALUE(IF(Crypto_Dataset[[#This Row],[Type]]="Sell", _xlfn.CONCAT("-", Crypto_Dataset[[#This Row],[Total AUD]]), Crypto_Dataset[[#This Row],[Total AUD]]))</f>
        <v>2271.36</v>
      </c>
      <c r="M91" s="3">
        <f>VALUE(IF(Crypto_Dataset[[#This Row],[Type]]="Sell", _xlfn.CONCAT("-", Crypto_Dataset[[#This Row],[Amount]]), Crypto_Dataset[[#This Row],[Amount]]))</f>
        <v>3361.6035467847</v>
      </c>
    </row>
    <row r="92" spans="1:13" x14ac:dyDescent="0.35">
      <c r="A92" s="7">
        <v>44250.579861111109</v>
      </c>
      <c r="B92" t="s">
        <v>19</v>
      </c>
      <c r="C92" t="s">
        <v>22</v>
      </c>
      <c r="D92">
        <v>1078.38987544521</v>
      </c>
      <c r="E92">
        <v>0.67567667667427</v>
      </c>
      <c r="F92">
        <v>0.67500099999999996</v>
      </c>
      <c r="G92" t="s">
        <v>153</v>
      </c>
      <c r="H92">
        <v>0.73</v>
      </c>
      <c r="I92">
        <v>7.0000000000000007E-2</v>
      </c>
      <c r="J92">
        <v>728.64</v>
      </c>
      <c r="K92" t="s">
        <v>48</v>
      </c>
      <c r="L92" s="5">
        <f>VALUE(IF(Crypto_Dataset[[#This Row],[Type]]="Sell", _xlfn.CONCAT("-", Crypto_Dataset[[#This Row],[Total AUD]]), Crypto_Dataset[[#This Row],[Total AUD]]))</f>
        <v>728.64</v>
      </c>
      <c r="M92" s="3">
        <f>VALUE(IF(Crypto_Dataset[[#This Row],[Type]]="Sell", _xlfn.CONCAT("-", Crypto_Dataset[[#This Row],[Amount]]), Crypto_Dataset[[#This Row],[Amount]]))</f>
        <v>1078.38987544521</v>
      </c>
    </row>
    <row r="93" spans="1:13" x14ac:dyDescent="0.35">
      <c r="A93" s="7">
        <v>44250.579861111109</v>
      </c>
      <c r="B93" t="s">
        <v>19</v>
      </c>
      <c r="C93" t="s">
        <v>22</v>
      </c>
      <c r="D93">
        <v>3917.1626583479101</v>
      </c>
      <c r="E93">
        <v>0.675676676675529</v>
      </c>
      <c r="F93">
        <v>0.67500099999999996</v>
      </c>
      <c r="G93" t="s">
        <v>154</v>
      </c>
      <c r="H93">
        <v>2.65</v>
      </c>
      <c r="I93">
        <v>0.24</v>
      </c>
      <c r="J93">
        <v>2646.74</v>
      </c>
      <c r="K93" t="s">
        <v>49</v>
      </c>
      <c r="L93" s="5">
        <f>VALUE(IF(Crypto_Dataset[[#This Row],[Type]]="Sell", _xlfn.CONCAT("-", Crypto_Dataset[[#This Row],[Total AUD]]), Crypto_Dataset[[#This Row],[Total AUD]]))</f>
        <v>2646.74</v>
      </c>
      <c r="M93" s="3">
        <f>VALUE(IF(Crypto_Dataset[[#This Row],[Type]]="Sell", _xlfn.CONCAT("-", Crypto_Dataset[[#This Row],[Amount]]), Crypto_Dataset[[#This Row],[Amount]]))</f>
        <v>3917.1626583479101</v>
      </c>
    </row>
    <row r="94" spans="1:13" x14ac:dyDescent="0.35">
      <c r="A94" s="7">
        <v>44250.57916666667</v>
      </c>
      <c r="B94" t="s">
        <v>19</v>
      </c>
      <c r="C94" t="s">
        <v>22</v>
      </c>
      <c r="D94">
        <v>522.83076388199902</v>
      </c>
      <c r="E94">
        <v>0.67567667666880005</v>
      </c>
      <c r="F94">
        <v>0.67500099999999996</v>
      </c>
      <c r="G94" t="s">
        <v>155</v>
      </c>
      <c r="H94">
        <v>0.35</v>
      </c>
      <c r="I94">
        <v>0.03</v>
      </c>
      <c r="J94">
        <v>353.26</v>
      </c>
      <c r="K94" t="s">
        <v>50</v>
      </c>
      <c r="L94" s="5">
        <f>VALUE(IF(Crypto_Dataset[[#This Row],[Type]]="Sell", _xlfn.CONCAT("-", Crypto_Dataset[[#This Row],[Total AUD]]), Crypto_Dataset[[#This Row],[Total AUD]]))</f>
        <v>353.26</v>
      </c>
      <c r="M94" s="3">
        <f>VALUE(IF(Crypto_Dataset[[#This Row],[Type]]="Sell", _xlfn.CONCAT("-", Crypto_Dataset[[#This Row],[Amount]]), Crypto_Dataset[[#This Row],[Amount]]))</f>
        <v>522.83076388199902</v>
      </c>
    </row>
    <row r="95" spans="1:13" x14ac:dyDescent="0.35">
      <c r="A95" s="7">
        <v>44250.534722222219</v>
      </c>
      <c r="B95" t="s">
        <v>19</v>
      </c>
      <c r="C95" t="s">
        <v>22</v>
      </c>
      <c r="D95">
        <v>2862.4641831273598</v>
      </c>
      <c r="E95">
        <v>0.69869869869774803</v>
      </c>
      <c r="F95">
        <v>0.69799999999999995</v>
      </c>
      <c r="G95" t="s">
        <v>156</v>
      </c>
      <c r="H95">
        <v>2</v>
      </c>
      <c r="I95">
        <v>0.18</v>
      </c>
      <c r="J95">
        <v>2000</v>
      </c>
      <c r="K95" t="s">
        <v>51</v>
      </c>
      <c r="L95" s="5">
        <f>VALUE(IF(Crypto_Dataset[[#This Row],[Type]]="Sell", _xlfn.CONCAT("-", Crypto_Dataset[[#This Row],[Total AUD]]), Crypto_Dataset[[#This Row],[Total AUD]]))</f>
        <v>2000</v>
      </c>
      <c r="M95" s="3">
        <f>VALUE(IF(Crypto_Dataset[[#This Row],[Type]]="Sell", _xlfn.CONCAT("-", Crypto_Dataset[[#This Row],[Amount]]), Crypto_Dataset[[#This Row],[Amount]]))</f>
        <v>2862.4641831273598</v>
      </c>
    </row>
    <row r="96" spans="1:13" x14ac:dyDescent="0.35">
      <c r="A96" s="7">
        <v>44250.495833333334</v>
      </c>
      <c r="B96" t="s">
        <v>19</v>
      </c>
      <c r="C96" t="s">
        <v>28</v>
      </c>
      <c r="D96">
        <v>3.2413109444999999</v>
      </c>
      <c r="E96">
        <v>59.059059059059003</v>
      </c>
      <c r="F96">
        <v>59</v>
      </c>
      <c r="G96" t="s">
        <v>157</v>
      </c>
      <c r="H96">
        <v>0.19</v>
      </c>
      <c r="I96">
        <v>0.02</v>
      </c>
      <c r="J96">
        <v>191.43</v>
      </c>
      <c r="K96" t="s">
        <v>52</v>
      </c>
      <c r="L96" s="5">
        <f>VALUE(IF(Crypto_Dataset[[#This Row],[Type]]="Sell", _xlfn.CONCAT("-", Crypto_Dataset[[#This Row],[Total AUD]]), Crypto_Dataset[[#This Row],[Total AUD]]))</f>
        <v>191.43</v>
      </c>
      <c r="M96" s="3">
        <f>VALUE(IF(Crypto_Dataset[[#This Row],[Type]]="Sell", _xlfn.CONCAT("-", Crypto_Dataset[[#This Row],[Amount]]), Crypto_Dataset[[#This Row],[Amount]]))</f>
        <v>3.2413109444999999</v>
      </c>
    </row>
    <row r="97" spans="1:13" x14ac:dyDescent="0.35">
      <c r="A97" s="7">
        <v>44250.334722222222</v>
      </c>
      <c r="B97" t="s">
        <v>19</v>
      </c>
      <c r="C97" t="s">
        <v>28</v>
      </c>
      <c r="D97">
        <v>0.14512972499999999</v>
      </c>
      <c r="E97">
        <v>59.059059059059003</v>
      </c>
      <c r="F97">
        <v>59</v>
      </c>
      <c r="G97" t="s">
        <v>158</v>
      </c>
      <c r="H97">
        <v>0.01</v>
      </c>
      <c r="I97">
        <v>0</v>
      </c>
      <c r="J97">
        <v>8.57</v>
      </c>
      <c r="K97" t="s">
        <v>53</v>
      </c>
      <c r="L97" s="5">
        <f>VALUE(IF(Crypto_Dataset[[#This Row],[Type]]="Sell", _xlfn.CONCAT("-", Crypto_Dataset[[#This Row],[Total AUD]]), Crypto_Dataset[[#This Row],[Total AUD]]))</f>
        <v>8.57</v>
      </c>
      <c r="M97" s="3">
        <f>VALUE(IF(Crypto_Dataset[[#This Row],[Type]]="Sell", _xlfn.CONCAT("-", Crypto_Dataset[[#This Row],[Amount]]), Crypto_Dataset[[#This Row],[Amount]]))</f>
        <v>0.14512972499999999</v>
      </c>
    </row>
    <row r="98" spans="1:13" x14ac:dyDescent="0.35">
      <c r="A98" s="7">
        <v>44250.299305555556</v>
      </c>
      <c r="B98" t="s">
        <v>19</v>
      </c>
      <c r="C98" t="s">
        <v>25</v>
      </c>
      <c r="D98">
        <v>4.1433602499999997</v>
      </c>
      <c r="E98">
        <v>48.27</v>
      </c>
      <c r="F98">
        <v>47.792079382959201</v>
      </c>
      <c r="G98" t="s">
        <v>159</v>
      </c>
      <c r="H98">
        <v>1.98</v>
      </c>
      <c r="I98">
        <v>0.18</v>
      </c>
      <c r="J98">
        <v>200</v>
      </c>
      <c r="K98" t="s">
        <v>54</v>
      </c>
      <c r="L98" s="5">
        <f>VALUE(IF(Crypto_Dataset[[#This Row],[Type]]="Sell", _xlfn.CONCAT("-", Crypto_Dataset[[#This Row],[Total AUD]]), Crypto_Dataset[[#This Row],[Total AUD]]))</f>
        <v>200</v>
      </c>
      <c r="M98" s="3">
        <f>VALUE(IF(Crypto_Dataset[[#This Row],[Type]]="Sell", _xlfn.CONCAT("-", Crypto_Dataset[[#This Row],[Amount]]), Crypto_Dataset[[#This Row],[Amount]]))</f>
        <v>4.1433602499999997</v>
      </c>
    </row>
    <row r="99" spans="1:13" x14ac:dyDescent="0.35">
      <c r="A99" s="7">
        <v>44250.26458333333</v>
      </c>
      <c r="B99" t="s">
        <v>19</v>
      </c>
      <c r="C99" t="s">
        <v>25</v>
      </c>
      <c r="D99">
        <v>2.1696680399999999</v>
      </c>
      <c r="E99">
        <v>46.09</v>
      </c>
      <c r="F99">
        <v>45.633663382947198</v>
      </c>
      <c r="G99" t="s">
        <v>160</v>
      </c>
      <c r="H99">
        <v>0.99</v>
      </c>
      <c r="I99">
        <v>0.09</v>
      </c>
      <c r="J99">
        <v>100</v>
      </c>
      <c r="K99" t="s">
        <v>46</v>
      </c>
      <c r="L99" s="5">
        <f>VALUE(IF(Crypto_Dataset[[#This Row],[Type]]="Sell", _xlfn.CONCAT("-", Crypto_Dataset[[#This Row],[Total AUD]]), Crypto_Dataset[[#This Row],[Total AUD]]))</f>
        <v>100</v>
      </c>
      <c r="M99" s="3">
        <f>VALUE(IF(Crypto_Dataset[[#This Row],[Type]]="Sell", _xlfn.CONCAT("-", Crypto_Dataset[[#This Row],[Amount]]), Crypto_Dataset[[#This Row],[Amount]]))</f>
        <v>2.1696680399999999</v>
      </c>
    </row>
    <row r="100" spans="1:13" x14ac:dyDescent="0.35">
      <c r="A100" s="7">
        <v>44250.247916666667</v>
      </c>
      <c r="B100" t="s">
        <v>19</v>
      </c>
      <c r="C100" t="s">
        <v>24</v>
      </c>
      <c r="D100">
        <v>152.33383044000001</v>
      </c>
      <c r="E100">
        <v>1.3129059999999999</v>
      </c>
      <c r="F100">
        <v>1.29990693077328</v>
      </c>
      <c r="G100" t="s">
        <v>159</v>
      </c>
      <c r="H100">
        <v>1.98</v>
      </c>
      <c r="I100">
        <v>0.18</v>
      </c>
      <c r="J100">
        <v>200</v>
      </c>
      <c r="K100" t="s">
        <v>54</v>
      </c>
      <c r="L100" s="5">
        <f>VALUE(IF(Crypto_Dataset[[#This Row],[Type]]="Sell", _xlfn.CONCAT("-", Crypto_Dataset[[#This Row],[Total AUD]]), Crypto_Dataset[[#This Row],[Total AUD]]))</f>
        <v>200</v>
      </c>
      <c r="M100" s="3">
        <f>VALUE(IF(Crypto_Dataset[[#This Row],[Type]]="Sell", _xlfn.CONCAT("-", Crypto_Dataset[[#This Row],[Amount]]), Crypto_Dataset[[#This Row],[Amount]]))</f>
        <v>152.33383044000001</v>
      </c>
    </row>
    <row r="101" spans="1:13" x14ac:dyDescent="0.35">
      <c r="A101" s="7">
        <v>44250.242361111108</v>
      </c>
      <c r="B101" t="s">
        <v>19</v>
      </c>
      <c r="C101" t="s">
        <v>26</v>
      </c>
      <c r="D101">
        <v>1278.15128198</v>
      </c>
      <c r="E101">
        <v>0.156476</v>
      </c>
      <c r="F101">
        <v>0.15492673267396201</v>
      </c>
      <c r="G101" t="s">
        <v>159</v>
      </c>
      <c r="H101">
        <v>1.98</v>
      </c>
      <c r="I101">
        <v>0.18</v>
      </c>
      <c r="J101">
        <v>200</v>
      </c>
      <c r="K101" t="s">
        <v>54</v>
      </c>
      <c r="L101" s="5">
        <f>VALUE(IF(Crypto_Dataset[[#This Row],[Type]]="Sell", _xlfn.CONCAT("-", Crypto_Dataset[[#This Row],[Total AUD]]), Crypto_Dataset[[#This Row],[Total AUD]]))</f>
        <v>200</v>
      </c>
      <c r="M101" s="3">
        <f>VALUE(IF(Crypto_Dataset[[#This Row],[Type]]="Sell", _xlfn.CONCAT("-", Crypto_Dataset[[#This Row],[Amount]]), Crypto_Dataset[[#This Row],[Amount]]))</f>
        <v>1278.15128198</v>
      </c>
    </row>
    <row r="102" spans="1:13" x14ac:dyDescent="0.35">
      <c r="A102" s="7">
        <v>44249.70208333333</v>
      </c>
      <c r="B102" t="s">
        <v>55</v>
      </c>
      <c r="C102" t="s">
        <v>22</v>
      </c>
      <c r="D102">
        <v>12236.807327050001</v>
      </c>
      <c r="E102">
        <v>0.77922000000008096</v>
      </c>
      <c r="F102">
        <v>0.78000000000008096</v>
      </c>
      <c r="G102" t="s">
        <v>161</v>
      </c>
      <c r="H102">
        <v>9.5399999999999991</v>
      </c>
      <c r="I102">
        <v>0.87</v>
      </c>
      <c r="J102">
        <v>9535.17</v>
      </c>
      <c r="K102" t="s">
        <v>162</v>
      </c>
      <c r="L102" s="5">
        <f>VALUE(IF(Crypto_Dataset[[#This Row],[Type]]="Sell", _xlfn.CONCAT("-", Crypto_Dataset[[#This Row],[Total AUD]]), Crypto_Dataset[[#This Row],[Total AUD]]))</f>
        <v>-9535.17</v>
      </c>
      <c r="M102" s="3">
        <f>VALUE(IF(Crypto_Dataset[[#This Row],[Type]]="Sell", _xlfn.CONCAT("-", Crypto_Dataset[[#This Row],[Amount]]), Crypto_Dataset[[#This Row],[Amount]]))</f>
        <v>-12236.807327050001</v>
      </c>
    </row>
    <row r="103" spans="1:13" x14ac:dyDescent="0.35">
      <c r="A103" s="7">
        <v>44249.701388888891</v>
      </c>
      <c r="B103" t="s">
        <v>55</v>
      </c>
      <c r="C103" t="s">
        <v>22</v>
      </c>
      <c r="D103">
        <v>511.53980000000001</v>
      </c>
      <c r="E103">
        <v>0.77921999999999902</v>
      </c>
      <c r="F103">
        <v>0.77999999999999903</v>
      </c>
      <c r="G103" t="s">
        <v>163</v>
      </c>
      <c r="H103">
        <v>0.4</v>
      </c>
      <c r="I103">
        <v>0.04</v>
      </c>
      <c r="J103">
        <v>398.6</v>
      </c>
      <c r="K103" t="s">
        <v>164</v>
      </c>
      <c r="L103" s="5">
        <f>VALUE(IF(Crypto_Dataset[[#This Row],[Type]]="Sell", _xlfn.CONCAT("-", Crypto_Dataset[[#This Row],[Total AUD]]), Crypto_Dataset[[#This Row],[Total AUD]]))</f>
        <v>-398.6</v>
      </c>
      <c r="M103" s="3">
        <f>VALUE(IF(Crypto_Dataset[[#This Row],[Type]]="Sell", _xlfn.CONCAT("-", Crypto_Dataset[[#This Row],[Amount]]), Crypto_Dataset[[#This Row],[Amount]]))</f>
        <v>-511.53980000000001</v>
      </c>
    </row>
    <row r="104" spans="1:13" x14ac:dyDescent="0.35">
      <c r="A104" s="7">
        <v>44248.077777777777</v>
      </c>
      <c r="B104" t="s">
        <v>19</v>
      </c>
      <c r="C104" t="s">
        <v>22</v>
      </c>
      <c r="D104">
        <v>690.92463141233998</v>
      </c>
      <c r="E104">
        <v>0.71071071071273695</v>
      </c>
      <c r="F104">
        <v>0.71</v>
      </c>
      <c r="G104" t="s">
        <v>165</v>
      </c>
      <c r="H104">
        <v>0.49</v>
      </c>
      <c r="I104">
        <v>0.04</v>
      </c>
      <c r="J104">
        <v>491.05</v>
      </c>
      <c r="K104" t="s">
        <v>56</v>
      </c>
      <c r="L104" s="5">
        <f>VALUE(IF(Crypto_Dataset[[#This Row],[Type]]="Sell", _xlfn.CONCAT("-", Crypto_Dataset[[#This Row],[Total AUD]]), Crypto_Dataset[[#This Row],[Total AUD]]))</f>
        <v>491.05</v>
      </c>
      <c r="M104" s="3">
        <f>VALUE(IF(Crypto_Dataset[[#This Row],[Type]]="Sell", _xlfn.CONCAT("-", Crypto_Dataset[[#This Row],[Amount]]), Crypto_Dataset[[#This Row],[Amount]]))</f>
        <v>690.92463141233998</v>
      </c>
    </row>
    <row r="105" spans="1:13" x14ac:dyDescent="0.35">
      <c r="A105" s="7">
        <v>44247.472916666666</v>
      </c>
      <c r="B105" t="s">
        <v>19</v>
      </c>
      <c r="C105" t="s">
        <v>22</v>
      </c>
      <c r="D105">
        <v>2123.1598756292101</v>
      </c>
      <c r="E105">
        <v>0.71071071071028602</v>
      </c>
      <c r="F105">
        <v>0.71</v>
      </c>
      <c r="G105" t="s">
        <v>166</v>
      </c>
      <c r="H105">
        <v>1.51</v>
      </c>
      <c r="I105">
        <v>0.14000000000000001</v>
      </c>
      <c r="J105">
        <v>1508.95</v>
      </c>
      <c r="K105" t="s">
        <v>57</v>
      </c>
      <c r="L105" s="5">
        <f>VALUE(IF(Crypto_Dataset[[#This Row],[Type]]="Sell", _xlfn.CONCAT("-", Crypto_Dataset[[#This Row],[Total AUD]]), Crypto_Dataset[[#This Row],[Total AUD]]))</f>
        <v>1508.95</v>
      </c>
      <c r="M105" s="3">
        <f>VALUE(IF(Crypto_Dataset[[#This Row],[Type]]="Sell", _xlfn.CONCAT("-", Crypto_Dataset[[#This Row],[Amount]]), Crypto_Dataset[[#This Row],[Amount]]))</f>
        <v>2123.1598756292101</v>
      </c>
    </row>
    <row r="106" spans="1:13" x14ac:dyDescent="0.35">
      <c r="A106" s="7">
        <v>44242.438888888886</v>
      </c>
      <c r="B106" t="s">
        <v>19</v>
      </c>
      <c r="C106" t="s">
        <v>27</v>
      </c>
      <c r="D106">
        <v>6.2017080000000002E-2</v>
      </c>
      <c r="E106">
        <v>64498.36</v>
      </c>
      <c r="F106">
        <v>63859.7631427335</v>
      </c>
      <c r="G106" t="s">
        <v>167</v>
      </c>
      <c r="H106">
        <v>39.6</v>
      </c>
      <c r="I106">
        <v>3.6</v>
      </c>
      <c r="J106">
        <v>4000</v>
      </c>
      <c r="K106" t="s">
        <v>58</v>
      </c>
      <c r="L106" s="5">
        <f>VALUE(IF(Crypto_Dataset[[#This Row],[Type]]="Sell", _xlfn.CONCAT("-", Crypto_Dataset[[#This Row],[Total AUD]]), Crypto_Dataset[[#This Row],[Total AUD]]))</f>
        <v>4000</v>
      </c>
      <c r="M106" s="3">
        <f>VALUE(IF(Crypto_Dataset[[#This Row],[Type]]="Sell", _xlfn.CONCAT("-", Crypto_Dataset[[#This Row],[Amount]]), Crypto_Dataset[[#This Row],[Amount]]))</f>
        <v>6.2017080000000002E-2</v>
      </c>
    </row>
    <row r="107" spans="1:13" x14ac:dyDescent="0.35">
      <c r="A107" s="7">
        <v>44242.09652777778</v>
      </c>
      <c r="B107" t="s">
        <v>19</v>
      </c>
      <c r="C107" t="s">
        <v>26</v>
      </c>
      <c r="D107">
        <v>17008.345428150002</v>
      </c>
      <c r="E107">
        <v>0.17638400000000001</v>
      </c>
      <c r="F107">
        <v>0.17463762376244499</v>
      </c>
      <c r="G107" t="s">
        <v>168</v>
      </c>
      <c r="H107">
        <v>29.7</v>
      </c>
      <c r="I107">
        <v>2.7</v>
      </c>
      <c r="J107">
        <v>3000</v>
      </c>
      <c r="K107" t="s">
        <v>59</v>
      </c>
      <c r="L107" s="5">
        <f>VALUE(IF(Crypto_Dataset[[#This Row],[Type]]="Sell", _xlfn.CONCAT("-", Crypto_Dataset[[#This Row],[Total AUD]]), Crypto_Dataset[[#This Row],[Total AUD]]))</f>
        <v>3000</v>
      </c>
      <c r="M107" s="3">
        <f>VALUE(IF(Crypto_Dataset[[#This Row],[Type]]="Sell", _xlfn.CONCAT("-", Crypto_Dataset[[#This Row],[Amount]]), Crypto_Dataset[[#This Row],[Amount]]))</f>
        <v>17008.345428150002</v>
      </c>
    </row>
    <row r="108" spans="1:13" x14ac:dyDescent="0.35">
      <c r="A108" s="7">
        <v>44242.031944444447</v>
      </c>
      <c r="B108" t="s">
        <v>19</v>
      </c>
      <c r="C108" t="s">
        <v>22</v>
      </c>
      <c r="D108">
        <v>6348.6420254699997</v>
      </c>
      <c r="E108">
        <v>0.78756999999999999</v>
      </c>
      <c r="F108">
        <v>0.77977227722781495</v>
      </c>
      <c r="G108" t="s">
        <v>96</v>
      </c>
      <c r="H108">
        <v>49.5</v>
      </c>
      <c r="I108">
        <v>4.5</v>
      </c>
      <c r="J108">
        <v>5000</v>
      </c>
      <c r="K108" t="s">
        <v>60</v>
      </c>
      <c r="L108" s="5">
        <f>VALUE(IF(Crypto_Dataset[[#This Row],[Type]]="Sell", _xlfn.CONCAT("-", Crypto_Dataset[[#This Row],[Total AUD]]), Crypto_Dataset[[#This Row],[Total AUD]]))</f>
        <v>5000</v>
      </c>
      <c r="M108" s="3">
        <f>VALUE(IF(Crypto_Dataset[[#This Row],[Type]]="Sell", _xlfn.CONCAT("-", Crypto_Dataset[[#This Row],[Amount]]), Crypto_Dataset[[#This Row],[Amount]]))</f>
        <v>6348.6420254699997</v>
      </c>
    </row>
    <row r="109" spans="1:13" x14ac:dyDescent="0.35">
      <c r="A109" s="7">
        <v>44242.03125</v>
      </c>
      <c r="B109" t="s">
        <v>19</v>
      </c>
      <c r="C109" t="s">
        <v>22</v>
      </c>
      <c r="D109">
        <v>6399.7051015799998</v>
      </c>
      <c r="E109">
        <v>0.78128600000000004</v>
      </c>
      <c r="F109">
        <v>0.77355049505058304</v>
      </c>
      <c r="G109" t="s">
        <v>96</v>
      </c>
      <c r="H109">
        <v>49.5</v>
      </c>
      <c r="I109">
        <v>4.5</v>
      </c>
      <c r="J109">
        <v>5000</v>
      </c>
      <c r="K109" t="s">
        <v>60</v>
      </c>
      <c r="L109" s="5">
        <f>VALUE(IF(Crypto_Dataset[[#This Row],[Type]]="Sell", _xlfn.CONCAT("-", Crypto_Dataset[[#This Row],[Total AUD]]), Crypto_Dataset[[#This Row],[Total AUD]]))</f>
        <v>5000</v>
      </c>
      <c r="M109" s="3">
        <f>VALUE(IF(Crypto_Dataset[[#This Row],[Type]]="Sell", _xlfn.CONCAT("-", Crypto_Dataset[[#This Row],[Amount]]), Crypto_Dataset[[#This Row],[Amount]]))</f>
        <v>6399.7051015799998</v>
      </c>
    </row>
    <row r="110" spans="1:13" x14ac:dyDescent="0.35">
      <c r="A110" s="7">
        <v>44241.888888888891</v>
      </c>
      <c r="B110" t="s">
        <v>19</v>
      </c>
      <c r="C110" t="s">
        <v>27</v>
      </c>
      <c r="D110">
        <v>1.53929E-3</v>
      </c>
      <c r="E110">
        <v>64964.85</v>
      </c>
      <c r="F110">
        <v>64321.798355150102</v>
      </c>
      <c r="G110" t="s">
        <v>160</v>
      </c>
      <c r="H110">
        <v>0.99</v>
      </c>
      <c r="I110">
        <v>0.09</v>
      </c>
      <c r="J110">
        <v>100</v>
      </c>
      <c r="K110" t="s">
        <v>46</v>
      </c>
      <c r="L110" s="5">
        <f>VALUE(IF(Crypto_Dataset[[#This Row],[Type]]="Sell", _xlfn.CONCAT("-", Crypto_Dataset[[#This Row],[Total AUD]]), Crypto_Dataset[[#This Row],[Total AUD]]))</f>
        <v>100</v>
      </c>
      <c r="M110" s="3">
        <f>VALUE(IF(Crypto_Dataset[[#This Row],[Type]]="Sell", _xlfn.CONCAT("-", Crypto_Dataset[[#This Row],[Amount]]), Crypto_Dataset[[#This Row],[Amount]]))</f>
        <v>1.53929E-3</v>
      </c>
    </row>
    <row r="111" spans="1:13" x14ac:dyDescent="0.35">
      <c r="A111" s="7">
        <v>44241.837500000001</v>
      </c>
      <c r="B111" t="s">
        <v>55</v>
      </c>
      <c r="C111" t="s">
        <v>22</v>
      </c>
      <c r="D111">
        <v>24545.62001368</v>
      </c>
      <c r="E111">
        <v>0.79298500000000005</v>
      </c>
      <c r="F111">
        <v>0.80099494949494898</v>
      </c>
      <c r="G111" t="s">
        <v>169</v>
      </c>
      <c r="H111">
        <v>196.61</v>
      </c>
      <c r="I111">
        <v>17.87</v>
      </c>
      <c r="J111">
        <v>19464.310000000001</v>
      </c>
      <c r="K111" t="s">
        <v>170</v>
      </c>
      <c r="L111" s="5">
        <f>VALUE(IF(Crypto_Dataset[[#This Row],[Type]]="Sell", _xlfn.CONCAT("-", Crypto_Dataset[[#This Row],[Total AUD]]), Crypto_Dataset[[#This Row],[Total AUD]]))</f>
        <v>-19464.310000000001</v>
      </c>
      <c r="M111" s="3">
        <f>VALUE(IF(Crypto_Dataset[[#This Row],[Type]]="Sell", _xlfn.CONCAT("-", Crypto_Dataset[[#This Row],[Amount]]), Crypto_Dataset[[#This Row],[Amount]]))</f>
        <v>-24545.62001368</v>
      </c>
    </row>
    <row r="112" spans="1:13" x14ac:dyDescent="0.35">
      <c r="A112" s="7">
        <v>44241.709722222222</v>
      </c>
      <c r="B112" t="s">
        <v>19</v>
      </c>
      <c r="C112" t="s">
        <v>22</v>
      </c>
      <c r="D112">
        <v>2460.4422398800002</v>
      </c>
      <c r="E112">
        <v>0.81286199999999997</v>
      </c>
      <c r="F112">
        <v>0.80481386138881905</v>
      </c>
      <c r="G112" t="s">
        <v>171</v>
      </c>
      <c r="H112">
        <v>19.8</v>
      </c>
      <c r="I112">
        <v>1.8</v>
      </c>
      <c r="J112">
        <v>2000</v>
      </c>
      <c r="K112" t="s">
        <v>51</v>
      </c>
      <c r="L112" s="5">
        <f>VALUE(IF(Crypto_Dataset[[#This Row],[Type]]="Sell", _xlfn.CONCAT("-", Crypto_Dataset[[#This Row],[Total AUD]]), Crypto_Dataset[[#This Row],[Total AUD]]))</f>
        <v>2000</v>
      </c>
      <c r="M112" s="3">
        <f>VALUE(IF(Crypto_Dataset[[#This Row],[Type]]="Sell", _xlfn.CONCAT("-", Crypto_Dataset[[#This Row],[Amount]]), Crypto_Dataset[[#This Row],[Amount]]))</f>
        <v>2460.4422398800002</v>
      </c>
    </row>
    <row r="113" spans="1:13" x14ac:dyDescent="0.35">
      <c r="A113" s="7">
        <v>44240.948611111111</v>
      </c>
      <c r="B113" t="s">
        <v>19</v>
      </c>
      <c r="C113" t="s">
        <v>27</v>
      </c>
      <c r="D113">
        <v>1.62609E-3</v>
      </c>
      <c r="E113">
        <v>61496.85</v>
      </c>
      <c r="F113">
        <v>60888.327823244101</v>
      </c>
      <c r="G113" t="s">
        <v>160</v>
      </c>
      <c r="H113">
        <v>0.99</v>
      </c>
      <c r="I113">
        <v>0.09</v>
      </c>
      <c r="J113">
        <v>100</v>
      </c>
      <c r="K113" t="s">
        <v>46</v>
      </c>
      <c r="L113" s="5">
        <f>VALUE(IF(Crypto_Dataset[[#This Row],[Type]]="Sell", _xlfn.CONCAT("-", Crypto_Dataset[[#This Row],[Total AUD]]), Crypto_Dataset[[#This Row],[Total AUD]]))</f>
        <v>100</v>
      </c>
      <c r="M113" s="3">
        <f>VALUE(IF(Crypto_Dataset[[#This Row],[Type]]="Sell", _xlfn.CONCAT("-", Crypto_Dataset[[#This Row],[Amount]]), Crypto_Dataset[[#This Row],[Amount]]))</f>
        <v>1.62609E-3</v>
      </c>
    </row>
    <row r="114" spans="1:13" x14ac:dyDescent="0.35">
      <c r="A114" s="7">
        <v>44240.938888888886</v>
      </c>
      <c r="B114" t="s">
        <v>19</v>
      </c>
      <c r="C114" t="s">
        <v>27</v>
      </c>
      <c r="D114">
        <v>1.6101100000000001E-3</v>
      </c>
      <c r="E114">
        <v>62107.360000000001</v>
      </c>
      <c r="F114">
        <v>61492.6315531851</v>
      </c>
      <c r="G114" t="s">
        <v>160</v>
      </c>
      <c r="H114">
        <v>0.99</v>
      </c>
      <c r="I114">
        <v>0.09</v>
      </c>
      <c r="J114">
        <v>100</v>
      </c>
      <c r="K114" t="s">
        <v>46</v>
      </c>
      <c r="L114" s="5">
        <f>VALUE(IF(Crypto_Dataset[[#This Row],[Type]]="Sell", _xlfn.CONCAT("-", Crypto_Dataset[[#This Row],[Total AUD]]), Crypto_Dataset[[#This Row],[Total AUD]]))</f>
        <v>100</v>
      </c>
      <c r="M114" s="3">
        <f>VALUE(IF(Crypto_Dataset[[#This Row],[Type]]="Sell", _xlfn.CONCAT("-", Crypto_Dataset[[#This Row],[Amount]]), Crypto_Dataset[[#This Row],[Amount]]))</f>
        <v>1.6101100000000001E-3</v>
      </c>
    </row>
    <row r="115" spans="1:13" x14ac:dyDescent="0.35">
      <c r="A115" s="7">
        <v>44240.918055555558</v>
      </c>
      <c r="B115" t="s">
        <v>19</v>
      </c>
      <c r="C115" t="s">
        <v>22</v>
      </c>
      <c r="D115">
        <v>6458.8634983700003</v>
      </c>
      <c r="E115">
        <v>0.77412999999999998</v>
      </c>
      <c r="F115">
        <v>0.76646534653569998</v>
      </c>
      <c r="G115" t="s">
        <v>96</v>
      </c>
      <c r="H115">
        <v>49.5</v>
      </c>
      <c r="I115">
        <v>4.5</v>
      </c>
      <c r="J115">
        <v>5000</v>
      </c>
      <c r="K115" t="s">
        <v>60</v>
      </c>
      <c r="L115" s="5">
        <f>VALUE(IF(Crypto_Dataset[[#This Row],[Type]]="Sell", _xlfn.CONCAT("-", Crypto_Dataset[[#This Row],[Total AUD]]), Crypto_Dataset[[#This Row],[Total AUD]]))</f>
        <v>5000</v>
      </c>
      <c r="M115" s="3">
        <f>VALUE(IF(Crypto_Dataset[[#This Row],[Type]]="Sell", _xlfn.CONCAT("-", Crypto_Dataset[[#This Row],[Amount]]), Crypto_Dataset[[#This Row],[Amount]]))</f>
        <v>6458.8634983700003</v>
      </c>
    </row>
    <row r="116" spans="1:13" x14ac:dyDescent="0.35">
      <c r="A116" s="7">
        <v>44240.917361111111</v>
      </c>
      <c r="B116" t="s">
        <v>19</v>
      </c>
      <c r="C116" t="s">
        <v>22</v>
      </c>
      <c r="D116">
        <v>6458.7884087900002</v>
      </c>
      <c r="E116">
        <v>0.77413900000000002</v>
      </c>
      <c r="F116">
        <v>0.76647425742692499</v>
      </c>
      <c r="G116" t="s">
        <v>96</v>
      </c>
      <c r="H116">
        <v>49.5</v>
      </c>
      <c r="I116">
        <v>4.5</v>
      </c>
      <c r="J116">
        <v>5000</v>
      </c>
      <c r="K116" t="s">
        <v>60</v>
      </c>
      <c r="L116" s="5">
        <f>VALUE(IF(Crypto_Dataset[[#This Row],[Type]]="Sell", _xlfn.CONCAT("-", Crypto_Dataset[[#This Row],[Total AUD]]), Crypto_Dataset[[#This Row],[Total AUD]]))</f>
        <v>5000</v>
      </c>
      <c r="M116" s="3">
        <f>VALUE(IF(Crypto_Dataset[[#This Row],[Type]]="Sell", _xlfn.CONCAT("-", Crypto_Dataset[[#This Row],[Amount]]), Crypto_Dataset[[#This Row],[Amount]]))</f>
        <v>6458.7884087900002</v>
      </c>
    </row>
    <row r="117" spans="1:13" x14ac:dyDescent="0.35">
      <c r="A117" s="7">
        <v>44240.833333333336</v>
      </c>
      <c r="B117" t="s">
        <v>19</v>
      </c>
      <c r="C117" t="s">
        <v>34</v>
      </c>
      <c r="D117">
        <v>103788.27192527</v>
      </c>
      <c r="E117">
        <v>1.9269999999999999E-3</v>
      </c>
      <c r="F117">
        <v>1.9079207920792501E-3</v>
      </c>
      <c r="G117" t="s">
        <v>159</v>
      </c>
      <c r="H117">
        <v>1.98</v>
      </c>
      <c r="I117">
        <v>0.18</v>
      </c>
      <c r="J117">
        <v>200</v>
      </c>
      <c r="K117" t="s">
        <v>54</v>
      </c>
      <c r="L117" s="5">
        <f>VALUE(IF(Crypto_Dataset[[#This Row],[Type]]="Sell", _xlfn.CONCAT("-", Crypto_Dataset[[#This Row],[Total AUD]]), Crypto_Dataset[[#This Row],[Total AUD]]))</f>
        <v>200</v>
      </c>
      <c r="M117" s="3">
        <f>VALUE(IF(Crypto_Dataset[[#This Row],[Type]]="Sell", _xlfn.CONCAT("-", Crypto_Dataset[[#This Row],[Amount]]), Crypto_Dataset[[#This Row],[Amount]]))</f>
        <v>103788.27192527</v>
      </c>
    </row>
    <row r="118" spans="1:13" x14ac:dyDescent="0.35">
      <c r="A118" s="7">
        <v>44240.831944444442</v>
      </c>
      <c r="B118" t="s">
        <v>19</v>
      </c>
      <c r="C118" t="s">
        <v>132</v>
      </c>
      <c r="D118">
        <v>22.070913839999999</v>
      </c>
      <c r="E118">
        <v>9.0617000000000001</v>
      </c>
      <c r="F118">
        <v>8.9719802005351799</v>
      </c>
      <c r="G118" t="s">
        <v>159</v>
      </c>
      <c r="H118">
        <v>1.98</v>
      </c>
      <c r="I118">
        <v>0.18</v>
      </c>
      <c r="J118">
        <v>200</v>
      </c>
      <c r="K118" t="s">
        <v>54</v>
      </c>
      <c r="L118" s="5">
        <f>VALUE(IF(Crypto_Dataset[[#This Row],[Type]]="Sell", _xlfn.CONCAT("-", Crypto_Dataset[[#This Row],[Total AUD]]), Crypto_Dataset[[#This Row],[Total AUD]]))</f>
        <v>200</v>
      </c>
      <c r="M118" s="3">
        <f>VALUE(IF(Crypto_Dataset[[#This Row],[Type]]="Sell", _xlfn.CONCAT("-", Crypto_Dataset[[#This Row],[Amount]]), Crypto_Dataset[[#This Row],[Amount]]))</f>
        <v>22.070913839999999</v>
      </c>
    </row>
    <row r="119" spans="1:13" x14ac:dyDescent="0.35">
      <c r="A119" s="7">
        <v>44240.831250000003</v>
      </c>
      <c r="B119" t="s">
        <v>19</v>
      </c>
      <c r="C119" t="s">
        <v>26</v>
      </c>
      <c r="D119">
        <v>1079.29586737</v>
      </c>
      <c r="E119">
        <v>0.185306</v>
      </c>
      <c r="F119">
        <v>0.183471287129753</v>
      </c>
      <c r="G119" t="s">
        <v>159</v>
      </c>
      <c r="H119">
        <v>1.98</v>
      </c>
      <c r="I119">
        <v>0.18</v>
      </c>
      <c r="J119">
        <v>200</v>
      </c>
      <c r="K119" t="s">
        <v>54</v>
      </c>
      <c r="L119" s="5">
        <f>VALUE(IF(Crypto_Dataset[[#This Row],[Type]]="Sell", _xlfn.CONCAT("-", Crypto_Dataset[[#This Row],[Total AUD]]), Crypto_Dataset[[#This Row],[Total AUD]]))</f>
        <v>200</v>
      </c>
      <c r="M119" s="3">
        <f>VALUE(IF(Crypto_Dataset[[#This Row],[Type]]="Sell", _xlfn.CONCAT("-", Crypto_Dataset[[#This Row],[Amount]]), Crypto_Dataset[[#This Row],[Amount]]))</f>
        <v>1079.29586737</v>
      </c>
    </row>
    <row r="120" spans="1:13" x14ac:dyDescent="0.35">
      <c r="A120" s="7">
        <v>44239.583333333336</v>
      </c>
      <c r="B120" t="s">
        <v>55</v>
      </c>
      <c r="C120" t="s">
        <v>22</v>
      </c>
      <c r="D120">
        <v>13858.5156421066</v>
      </c>
      <c r="E120">
        <v>0.72157800000000005</v>
      </c>
      <c r="F120">
        <v>0.728866666666666</v>
      </c>
      <c r="G120" t="s">
        <v>172</v>
      </c>
      <c r="H120">
        <v>101.01</v>
      </c>
      <c r="I120">
        <v>9.18</v>
      </c>
      <c r="J120">
        <v>10000</v>
      </c>
      <c r="K120" t="s">
        <v>173</v>
      </c>
      <c r="L120" s="5">
        <f>VALUE(IF(Crypto_Dataset[[#This Row],[Type]]="Sell", _xlfn.CONCAT("-", Crypto_Dataset[[#This Row],[Total AUD]]), Crypto_Dataset[[#This Row],[Total AUD]]))</f>
        <v>-10000</v>
      </c>
      <c r="M120" s="3">
        <f>VALUE(IF(Crypto_Dataset[[#This Row],[Type]]="Sell", _xlfn.CONCAT("-", Crypto_Dataset[[#This Row],[Amount]]), Crypto_Dataset[[#This Row],[Amount]]))</f>
        <v>-13858.5156421066</v>
      </c>
    </row>
    <row r="121" spans="1:13" x14ac:dyDescent="0.35">
      <c r="A121" s="7">
        <v>44239.581944444442</v>
      </c>
      <c r="B121" t="s">
        <v>55</v>
      </c>
      <c r="C121" t="s">
        <v>22</v>
      </c>
      <c r="D121">
        <v>6893.2334641669004</v>
      </c>
      <c r="E121">
        <v>0.72534900000000002</v>
      </c>
      <c r="F121">
        <v>0.73267575757575698</v>
      </c>
      <c r="G121" t="s">
        <v>174</v>
      </c>
      <c r="H121">
        <v>50.51</v>
      </c>
      <c r="I121">
        <v>4.59</v>
      </c>
      <c r="J121">
        <v>5000</v>
      </c>
      <c r="K121" t="s">
        <v>175</v>
      </c>
      <c r="L121" s="5">
        <f>VALUE(IF(Crypto_Dataset[[#This Row],[Type]]="Sell", _xlfn.CONCAT("-", Crypto_Dataset[[#This Row],[Total AUD]]), Crypto_Dataset[[#This Row],[Total AUD]]))</f>
        <v>-5000</v>
      </c>
      <c r="M121" s="3">
        <f>VALUE(IF(Crypto_Dataset[[#This Row],[Type]]="Sell", _xlfn.CONCAT("-", Crypto_Dataset[[#This Row],[Amount]]), Crypto_Dataset[[#This Row],[Amount]]))</f>
        <v>-6893.2334641669004</v>
      </c>
    </row>
    <row r="122" spans="1:13" x14ac:dyDescent="0.35">
      <c r="A122" s="7">
        <v>44228.768750000003</v>
      </c>
      <c r="B122" t="s">
        <v>19</v>
      </c>
      <c r="C122" t="s">
        <v>22</v>
      </c>
      <c r="D122">
        <v>5089.6801644899997</v>
      </c>
      <c r="E122">
        <v>0.78590400000000005</v>
      </c>
      <c r="F122">
        <v>0.778122772278521</v>
      </c>
      <c r="G122" t="s">
        <v>167</v>
      </c>
      <c r="H122">
        <v>39.6</v>
      </c>
      <c r="I122">
        <v>3.6</v>
      </c>
      <c r="J122">
        <v>4000</v>
      </c>
      <c r="K122" t="s">
        <v>58</v>
      </c>
      <c r="L122" s="5">
        <f>VALUE(IF(Crypto_Dataset[[#This Row],[Type]]="Sell", _xlfn.CONCAT("-", Crypto_Dataset[[#This Row],[Total AUD]]), Crypto_Dataset[[#This Row],[Total AUD]]))</f>
        <v>4000</v>
      </c>
      <c r="M122" s="3">
        <f>VALUE(IF(Crypto_Dataset[[#This Row],[Type]]="Sell", _xlfn.CONCAT("-", Crypto_Dataset[[#This Row],[Amount]]), Crypto_Dataset[[#This Row],[Amount]]))</f>
        <v>5089.6801644899997</v>
      </c>
    </row>
    <row r="123" spans="1:13" x14ac:dyDescent="0.35">
      <c r="A123" s="7">
        <v>44228.73541666667</v>
      </c>
      <c r="B123" t="s">
        <v>19</v>
      </c>
      <c r="C123" t="s">
        <v>22</v>
      </c>
      <c r="D123">
        <v>3163.8080606200001</v>
      </c>
      <c r="E123">
        <v>0.79018699999999997</v>
      </c>
      <c r="F123">
        <v>0.78236336633753001</v>
      </c>
      <c r="G123" t="s">
        <v>97</v>
      </c>
      <c r="H123">
        <v>24.75</v>
      </c>
      <c r="I123">
        <v>2.25</v>
      </c>
      <c r="J123">
        <v>2500</v>
      </c>
      <c r="K123" t="s">
        <v>61</v>
      </c>
      <c r="L123" s="5">
        <f>VALUE(IF(Crypto_Dataset[[#This Row],[Type]]="Sell", _xlfn.CONCAT("-", Crypto_Dataset[[#This Row],[Total AUD]]), Crypto_Dataset[[#This Row],[Total AUD]]))</f>
        <v>2500</v>
      </c>
      <c r="M123" s="3">
        <f>VALUE(IF(Crypto_Dataset[[#This Row],[Type]]="Sell", _xlfn.CONCAT("-", Crypto_Dataset[[#This Row],[Amount]]), Crypto_Dataset[[#This Row],[Amount]]))</f>
        <v>3163.8080606200001</v>
      </c>
    </row>
    <row r="124" spans="1:13" x14ac:dyDescent="0.35">
      <c r="A124" s="7">
        <v>44189.492361111108</v>
      </c>
      <c r="B124" t="s">
        <v>19</v>
      </c>
      <c r="C124" t="s">
        <v>22</v>
      </c>
      <c r="D124">
        <v>6801.2590490700004</v>
      </c>
      <c r="E124">
        <v>0.36757899999999999</v>
      </c>
      <c r="F124">
        <v>0.36393960396067199</v>
      </c>
      <c r="G124" t="s">
        <v>97</v>
      </c>
      <c r="H124">
        <v>24.75</v>
      </c>
      <c r="I124">
        <v>2.25</v>
      </c>
      <c r="J124">
        <v>2500</v>
      </c>
      <c r="K124" t="s">
        <v>61</v>
      </c>
      <c r="L124" s="5">
        <f>VALUE(IF(Crypto_Dataset[[#This Row],[Type]]="Sell", _xlfn.CONCAT("-", Crypto_Dataset[[#This Row],[Total AUD]]), Crypto_Dataset[[#This Row],[Total AUD]]))</f>
        <v>2500</v>
      </c>
      <c r="M124" s="3">
        <f>VALUE(IF(Crypto_Dataset[[#This Row],[Type]]="Sell", _xlfn.CONCAT("-", Crypto_Dataset[[#This Row],[Amount]]), Crypto_Dataset[[#This Row],[Amount]]))</f>
        <v>6801.2590490700004</v>
      </c>
    </row>
    <row r="125" spans="1:13" x14ac:dyDescent="0.35">
      <c r="A125" s="7">
        <v>44161.616666666669</v>
      </c>
      <c r="B125" t="s">
        <v>19</v>
      </c>
      <c r="C125" t="s">
        <v>22</v>
      </c>
      <c r="D125">
        <v>4450.5114805499998</v>
      </c>
      <c r="E125">
        <v>0.79299200000000003</v>
      </c>
      <c r="F125">
        <v>0.78514059406289705</v>
      </c>
      <c r="G125" t="s">
        <v>176</v>
      </c>
      <c r="H125">
        <v>34.94</v>
      </c>
      <c r="I125">
        <v>3.18</v>
      </c>
      <c r="J125">
        <v>3529.22</v>
      </c>
      <c r="K125" t="s">
        <v>62</v>
      </c>
      <c r="L125" s="5">
        <f>VALUE(IF(Crypto_Dataset[[#This Row],[Type]]="Sell", _xlfn.CONCAT("-", Crypto_Dataset[[#This Row],[Total AUD]]), Crypto_Dataset[[#This Row],[Total AUD]]))</f>
        <v>3529.22</v>
      </c>
      <c r="M125" s="3">
        <f>VALUE(IF(Crypto_Dataset[[#This Row],[Type]]="Sell", _xlfn.CONCAT("-", Crypto_Dataset[[#This Row],[Amount]]), Crypto_Dataset[[#This Row],[Amount]]))</f>
        <v>4450.5114805499998</v>
      </c>
    </row>
    <row r="126" spans="1:13" x14ac:dyDescent="0.35">
      <c r="A126" s="7">
        <v>44161.613194444442</v>
      </c>
      <c r="B126" t="s">
        <v>19</v>
      </c>
      <c r="C126" t="s">
        <v>22</v>
      </c>
      <c r="D126">
        <v>3914.1956132300002</v>
      </c>
      <c r="E126">
        <v>0.76644100000000004</v>
      </c>
      <c r="F126">
        <v>0.758852475247622</v>
      </c>
      <c r="G126" t="s">
        <v>168</v>
      </c>
      <c r="H126">
        <v>29.7</v>
      </c>
      <c r="I126">
        <v>2.7</v>
      </c>
      <c r="J126">
        <v>3000</v>
      </c>
      <c r="K126" t="s">
        <v>59</v>
      </c>
      <c r="L126" s="5">
        <f>VALUE(IF(Crypto_Dataset[[#This Row],[Type]]="Sell", _xlfn.CONCAT("-", Crypto_Dataset[[#This Row],[Total AUD]]), Crypto_Dataset[[#This Row],[Total AUD]]))</f>
        <v>3000</v>
      </c>
      <c r="M126" s="3">
        <f>VALUE(IF(Crypto_Dataset[[#This Row],[Type]]="Sell", _xlfn.CONCAT("-", Crypto_Dataset[[#This Row],[Amount]]), Crypto_Dataset[[#This Row],[Amount]]))</f>
        <v>3914.1956132300002</v>
      </c>
    </row>
    <row r="127" spans="1:13" x14ac:dyDescent="0.35">
      <c r="A127" s="7">
        <v>44161.607638888891</v>
      </c>
      <c r="B127" t="s">
        <v>19</v>
      </c>
      <c r="C127" t="s">
        <v>22</v>
      </c>
      <c r="D127">
        <v>6499.8206049500004</v>
      </c>
      <c r="E127">
        <v>0.76925200000000005</v>
      </c>
      <c r="F127">
        <v>0.76163564356450897</v>
      </c>
      <c r="G127" t="s">
        <v>96</v>
      </c>
      <c r="H127">
        <v>49.5</v>
      </c>
      <c r="I127">
        <v>4.5</v>
      </c>
      <c r="J127">
        <v>5000</v>
      </c>
      <c r="K127" t="s">
        <v>60</v>
      </c>
      <c r="L127" s="5">
        <f>VALUE(IF(Crypto_Dataset[[#This Row],[Type]]="Sell", _xlfn.CONCAT("-", Crypto_Dataset[[#This Row],[Total AUD]]), Crypto_Dataset[[#This Row],[Total AUD]]))</f>
        <v>5000</v>
      </c>
      <c r="M127" s="3">
        <f>VALUE(IF(Crypto_Dataset[[#This Row],[Type]]="Sell", _xlfn.CONCAT("-", Crypto_Dataset[[#This Row],[Amount]]), Crypto_Dataset[[#This Row],[Amount]]))</f>
        <v>6499.8206049500004</v>
      </c>
    </row>
    <row r="128" spans="1:13" x14ac:dyDescent="0.35">
      <c r="A128" s="7">
        <v>44161.397222222222</v>
      </c>
      <c r="B128" t="s">
        <v>55</v>
      </c>
      <c r="C128" t="s">
        <v>22</v>
      </c>
      <c r="D128">
        <v>11387.47414733</v>
      </c>
      <c r="E128">
        <v>0.836816</v>
      </c>
      <c r="F128">
        <v>0.84526868686868695</v>
      </c>
      <c r="G128" t="s">
        <v>177</v>
      </c>
      <c r="H128">
        <v>96.25</v>
      </c>
      <c r="I128">
        <v>8.75</v>
      </c>
      <c r="J128">
        <v>9529.2199999999993</v>
      </c>
      <c r="K128" t="s">
        <v>178</v>
      </c>
      <c r="L128" s="5">
        <f>VALUE(IF(Crypto_Dataset[[#This Row],[Type]]="Sell", _xlfn.CONCAT("-", Crypto_Dataset[[#This Row],[Total AUD]]), Crypto_Dataset[[#This Row],[Total AUD]]))</f>
        <v>-9529.2199999999993</v>
      </c>
      <c r="M128" s="3">
        <f>VALUE(IF(Crypto_Dataset[[#This Row],[Type]]="Sell", _xlfn.CONCAT("-", Crypto_Dataset[[#This Row],[Amount]]), Crypto_Dataset[[#This Row],[Amount]]))</f>
        <v>-11387.47414733</v>
      </c>
    </row>
    <row r="129" spans="1:13" x14ac:dyDescent="0.35">
      <c r="A129" s="7">
        <v>44160.276388888888</v>
      </c>
      <c r="B129" t="s">
        <v>19</v>
      </c>
      <c r="C129" t="s">
        <v>22</v>
      </c>
      <c r="D129">
        <v>429.73848121999998</v>
      </c>
      <c r="E129">
        <v>1.0305569999999999</v>
      </c>
      <c r="F129">
        <v>1.0203534653680999</v>
      </c>
      <c r="G129" t="s">
        <v>179</v>
      </c>
      <c r="H129">
        <v>4.38</v>
      </c>
      <c r="I129">
        <v>0.4</v>
      </c>
      <c r="J129">
        <v>442.87</v>
      </c>
      <c r="K129" t="s">
        <v>63</v>
      </c>
      <c r="L129" s="5">
        <f>VALUE(IF(Crypto_Dataset[[#This Row],[Type]]="Sell", _xlfn.CONCAT("-", Crypto_Dataset[[#This Row],[Total AUD]]), Crypto_Dataset[[#This Row],[Total AUD]]))</f>
        <v>442.87</v>
      </c>
      <c r="M129" s="3">
        <f>VALUE(IF(Crypto_Dataset[[#This Row],[Type]]="Sell", _xlfn.CONCAT("-", Crypto_Dataset[[#This Row],[Amount]]), Crypto_Dataset[[#This Row],[Amount]]))</f>
        <v>429.73848121999998</v>
      </c>
    </row>
    <row r="130" spans="1:13" x14ac:dyDescent="0.35">
      <c r="A130" s="7">
        <v>44160.275000000001</v>
      </c>
      <c r="B130" t="s">
        <v>19</v>
      </c>
      <c r="C130" t="s">
        <v>22</v>
      </c>
      <c r="D130">
        <v>6768.86361416</v>
      </c>
      <c r="E130">
        <v>1.0341469999999999</v>
      </c>
      <c r="F130">
        <v>1.0239079207931401</v>
      </c>
      <c r="G130" t="s">
        <v>180</v>
      </c>
      <c r="H130">
        <v>69.31</v>
      </c>
      <c r="I130">
        <v>6.3</v>
      </c>
      <c r="J130">
        <v>7000</v>
      </c>
      <c r="K130" t="s">
        <v>64</v>
      </c>
      <c r="L130" s="5">
        <f>VALUE(IF(Crypto_Dataset[[#This Row],[Type]]="Sell", _xlfn.CONCAT("-", Crypto_Dataset[[#This Row],[Total AUD]]), Crypto_Dataset[[#This Row],[Total AUD]]))</f>
        <v>7000</v>
      </c>
      <c r="M130" s="3">
        <f>VALUE(IF(Crypto_Dataset[[#This Row],[Type]]="Sell", _xlfn.CONCAT("-", Crypto_Dataset[[#This Row],[Amount]]), Crypto_Dataset[[#This Row],[Amount]]))</f>
        <v>6768.86361416</v>
      </c>
    </row>
    <row r="131" spans="1:13" x14ac:dyDescent="0.35">
      <c r="A131" s="7">
        <v>44160.027777777781</v>
      </c>
      <c r="B131" t="s">
        <v>19</v>
      </c>
      <c r="C131" t="s">
        <v>22</v>
      </c>
      <c r="D131">
        <v>4188.8720519500002</v>
      </c>
      <c r="E131">
        <v>0.95491099999999995</v>
      </c>
      <c r="F131">
        <v>0.945456435643652</v>
      </c>
      <c r="G131" t="s">
        <v>167</v>
      </c>
      <c r="H131">
        <v>39.6</v>
      </c>
      <c r="I131">
        <v>3.6</v>
      </c>
      <c r="J131">
        <v>4000</v>
      </c>
      <c r="K131" t="s">
        <v>58</v>
      </c>
      <c r="L131" s="5">
        <f>VALUE(IF(Crypto_Dataset[[#This Row],[Type]]="Sell", _xlfn.CONCAT("-", Crypto_Dataset[[#This Row],[Total AUD]]), Crypto_Dataset[[#This Row],[Total AUD]]))</f>
        <v>4000</v>
      </c>
      <c r="M131" s="3">
        <f>VALUE(IF(Crypto_Dataset[[#This Row],[Type]]="Sell", _xlfn.CONCAT("-", Crypto_Dataset[[#This Row],[Amount]]), Crypto_Dataset[[#This Row],[Amount]]))</f>
        <v>4188.8720519500002</v>
      </c>
    </row>
    <row r="132" spans="1:13" x14ac:dyDescent="0.35">
      <c r="A132" s="7">
        <v>44157.863194444442</v>
      </c>
      <c r="B132" t="s">
        <v>55</v>
      </c>
      <c r="C132" t="s">
        <v>22</v>
      </c>
      <c r="D132">
        <v>18014.431089279999</v>
      </c>
      <c r="E132">
        <v>0.63520600000000005</v>
      </c>
      <c r="F132">
        <v>0.64162222222222198</v>
      </c>
      <c r="G132" t="s">
        <v>181</v>
      </c>
      <c r="H132">
        <v>115.58</v>
      </c>
      <c r="I132">
        <v>10.51</v>
      </c>
      <c r="J132">
        <v>11442.87</v>
      </c>
      <c r="K132" t="s">
        <v>182</v>
      </c>
      <c r="L132" s="5">
        <f>VALUE(IF(Crypto_Dataset[[#This Row],[Type]]="Sell", _xlfn.CONCAT("-", Crypto_Dataset[[#This Row],[Total AUD]]), Crypto_Dataset[[#This Row],[Total AUD]]))</f>
        <v>-11442.87</v>
      </c>
      <c r="M132" s="3">
        <f>VALUE(IF(Crypto_Dataset[[#This Row],[Type]]="Sell", _xlfn.CONCAT("-", Crypto_Dataset[[#This Row],[Amount]]), Crypto_Dataset[[#This Row],[Amount]]))</f>
        <v>-18014.431089279999</v>
      </c>
    </row>
    <row r="133" spans="1:13" x14ac:dyDescent="0.35">
      <c r="A133" s="7">
        <v>43878.390972222223</v>
      </c>
      <c r="B133" t="s">
        <v>19</v>
      </c>
      <c r="C133" t="s">
        <v>22</v>
      </c>
      <c r="D133">
        <v>2394.1109284700001</v>
      </c>
      <c r="E133">
        <v>0.43864300000000001</v>
      </c>
      <c r="F133">
        <v>0.43430000000129598</v>
      </c>
      <c r="G133" t="s">
        <v>183</v>
      </c>
      <c r="H133">
        <v>10.4</v>
      </c>
      <c r="I133">
        <v>0.95</v>
      </c>
      <c r="J133">
        <v>1050.1600000000001</v>
      </c>
      <c r="K133" t="s">
        <v>65</v>
      </c>
      <c r="L133" s="5">
        <f>VALUE(IF(Crypto_Dataset[[#This Row],[Type]]="Sell", _xlfn.CONCAT("-", Crypto_Dataset[[#This Row],[Total AUD]]), Crypto_Dataset[[#This Row],[Total AUD]]))</f>
        <v>1050.1600000000001</v>
      </c>
      <c r="M133" s="3">
        <f>VALUE(IF(Crypto_Dataset[[#This Row],[Type]]="Sell", _xlfn.CONCAT("-", Crypto_Dataset[[#This Row],[Amount]]), Crypto_Dataset[[#This Row],[Amount]]))</f>
        <v>2394.1109284700001</v>
      </c>
    </row>
    <row r="134" spans="1:13" x14ac:dyDescent="0.35">
      <c r="A134" s="7">
        <v>43877.206944444442</v>
      </c>
      <c r="B134" t="s">
        <v>19</v>
      </c>
      <c r="C134" t="s">
        <v>22</v>
      </c>
      <c r="D134">
        <v>94.895009999999999</v>
      </c>
      <c r="E134">
        <v>0.46046046046046002</v>
      </c>
      <c r="F134">
        <v>0.46</v>
      </c>
      <c r="G134" t="s">
        <v>184</v>
      </c>
      <c r="H134">
        <v>0.04</v>
      </c>
      <c r="I134">
        <v>0</v>
      </c>
      <c r="J134">
        <v>43.7</v>
      </c>
      <c r="K134" t="s">
        <v>66</v>
      </c>
      <c r="L134" s="5">
        <f>VALUE(IF(Crypto_Dataset[[#This Row],[Type]]="Sell", _xlfn.CONCAT("-", Crypto_Dataset[[#This Row],[Total AUD]]), Crypto_Dataset[[#This Row],[Total AUD]]))</f>
        <v>43.7</v>
      </c>
      <c r="M134" s="3">
        <f>VALUE(IF(Crypto_Dataset[[#This Row],[Type]]="Sell", _xlfn.CONCAT("-", Crypto_Dataset[[#This Row],[Amount]]), Crypto_Dataset[[#This Row],[Amount]]))</f>
        <v>94.895009999999999</v>
      </c>
    </row>
    <row r="135" spans="1:13" x14ac:dyDescent="0.35">
      <c r="A135" s="7">
        <v>43877.206944444442</v>
      </c>
      <c r="B135" t="s">
        <v>19</v>
      </c>
      <c r="C135" t="s">
        <v>22</v>
      </c>
      <c r="D135">
        <v>1173.28116623814</v>
      </c>
      <c r="E135">
        <v>0.46046046041307198</v>
      </c>
      <c r="F135">
        <v>0.46</v>
      </c>
      <c r="G135" t="s">
        <v>185</v>
      </c>
      <c r="H135">
        <v>0.54</v>
      </c>
      <c r="I135">
        <v>0.05</v>
      </c>
      <c r="J135">
        <v>540.25</v>
      </c>
      <c r="K135" t="s">
        <v>67</v>
      </c>
      <c r="L135" s="5">
        <f>VALUE(IF(Crypto_Dataset[[#This Row],[Type]]="Sell", _xlfn.CONCAT("-", Crypto_Dataset[[#This Row],[Total AUD]]), Crypto_Dataset[[#This Row],[Total AUD]]))</f>
        <v>540.25</v>
      </c>
      <c r="M135" s="3">
        <f>VALUE(IF(Crypto_Dataset[[#This Row],[Type]]="Sell", _xlfn.CONCAT("-", Crypto_Dataset[[#This Row],[Amount]]), Crypto_Dataset[[#This Row],[Amount]]))</f>
        <v>1173.28116623814</v>
      </c>
    </row>
    <row r="136" spans="1:13" x14ac:dyDescent="0.35">
      <c r="A136" s="7">
        <v>43877.206944444442</v>
      </c>
      <c r="B136" t="s">
        <v>19</v>
      </c>
      <c r="C136" t="s">
        <v>22</v>
      </c>
      <c r="D136">
        <v>773.69586092873999</v>
      </c>
      <c r="E136">
        <v>0.46046045996982798</v>
      </c>
      <c r="F136">
        <v>0.46</v>
      </c>
      <c r="G136" t="s">
        <v>186</v>
      </c>
      <c r="H136">
        <v>0.36</v>
      </c>
      <c r="I136">
        <v>0.03</v>
      </c>
      <c r="J136">
        <v>356.26</v>
      </c>
      <c r="K136" t="s">
        <v>68</v>
      </c>
      <c r="L136" s="5">
        <f>VALUE(IF(Crypto_Dataset[[#This Row],[Type]]="Sell", _xlfn.CONCAT("-", Crypto_Dataset[[#This Row],[Total AUD]]), Crypto_Dataset[[#This Row],[Total AUD]]))</f>
        <v>356.26</v>
      </c>
      <c r="M136" s="3">
        <f>VALUE(IF(Crypto_Dataset[[#This Row],[Type]]="Sell", _xlfn.CONCAT("-", Crypto_Dataset[[#This Row],[Amount]]), Crypto_Dataset[[#This Row],[Amount]]))</f>
        <v>773.69586092873999</v>
      </c>
    </row>
    <row r="137" spans="1:13" x14ac:dyDescent="0.35">
      <c r="A137" s="7">
        <v>43875.714583333334</v>
      </c>
      <c r="B137" t="s">
        <v>19</v>
      </c>
      <c r="C137" t="s">
        <v>22</v>
      </c>
      <c r="D137">
        <v>20.935565478000001</v>
      </c>
      <c r="E137">
        <v>0.46046045472858699</v>
      </c>
      <c r="F137">
        <v>0.46</v>
      </c>
      <c r="G137" t="s">
        <v>187</v>
      </c>
      <c r="H137">
        <v>0.01</v>
      </c>
      <c r="I137">
        <v>0</v>
      </c>
      <c r="J137">
        <v>9.64</v>
      </c>
      <c r="K137" t="s">
        <v>69</v>
      </c>
      <c r="L137" s="5">
        <f>VALUE(IF(Crypto_Dataset[[#This Row],[Type]]="Sell", _xlfn.CONCAT("-", Crypto_Dataset[[#This Row],[Total AUD]]), Crypto_Dataset[[#This Row],[Total AUD]]))</f>
        <v>9.64</v>
      </c>
      <c r="M137" s="3">
        <f>VALUE(IF(Crypto_Dataset[[#This Row],[Type]]="Sell", _xlfn.CONCAT("-", Crypto_Dataset[[#This Row],[Amount]]), Crypto_Dataset[[#This Row],[Amount]]))</f>
        <v>20.935565478000001</v>
      </c>
    </row>
    <row r="138" spans="1:13" x14ac:dyDescent="0.35">
      <c r="A138" s="7">
        <v>43867.798611111109</v>
      </c>
      <c r="B138" t="s">
        <v>19</v>
      </c>
      <c r="C138" t="s">
        <v>22</v>
      </c>
      <c r="D138">
        <v>2334.5940141000001</v>
      </c>
      <c r="E138">
        <v>0.42834</v>
      </c>
      <c r="F138">
        <v>0.42409900990116201</v>
      </c>
      <c r="G138" t="s">
        <v>106</v>
      </c>
      <c r="H138">
        <v>9.9</v>
      </c>
      <c r="I138">
        <v>0.9</v>
      </c>
      <c r="J138">
        <v>1000</v>
      </c>
      <c r="K138" t="s">
        <v>70</v>
      </c>
      <c r="L138" s="5">
        <f>VALUE(IF(Crypto_Dataset[[#This Row],[Type]]="Sell", _xlfn.CONCAT("-", Crypto_Dataset[[#This Row],[Total AUD]]), Crypto_Dataset[[#This Row],[Total AUD]]))</f>
        <v>1000</v>
      </c>
      <c r="M138" s="3">
        <f>VALUE(IF(Crypto_Dataset[[#This Row],[Type]]="Sell", _xlfn.CONCAT("-", Crypto_Dataset[[#This Row],[Amount]]), Crypto_Dataset[[#This Row],[Amount]]))</f>
        <v>2334.5940141000001</v>
      </c>
    </row>
    <row r="139" spans="1:13" x14ac:dyDescent="0.35">
      <c r="A139" s="7">
        <v>43867.79791666667</v>
      </c>
      <c r="B139" t="s">
        <v>19</v>
      </c>
      <c r="C139" t="s">
        <v>22</v>
      </c>
      <c r="D139">
        <v>3501.3515216800001</v>
      </c>
      <c r="E139">
        <v>0.42840600000000001</v>
      </c>
      <c r="F139">
        <v>0.42416435643653599</v>
      </c>
      <c r="G139" t="s">
        <v>188</v>
      </c>
      <c r="H139">
        <v>14.85</v>
      </c>
      <c r="I139">
        <v>1.35</v>
      </c>
      <c r="J139">
        <v>1500</v>
      </c>
      <c r="K139" t="s">
        <v>71</v>
      </c>
      <c r="L139" s="5">
        <f>VALUE(IF(Crypto_Dataset[[#This Row],[Type]]="Sell", _xlfn.CONCAT("-", Crypto_Dataset[[#This Row],[Total AUD]]), Crypto_Dataset[[#This Row],[Total AUD]]))</f>
        <v>1500</v>
      </c>
      <c r="M139" s="3">
        <f>VALUE(IF(Crypto_Dataset[[#This Row],[Type]]="Sell", _xlfn.CONCAT("-", Crypto_Dataset[[#This Row],[Amount]]), Crypto_Dataset[[#This Row],[Amount]]))</f>
        <v>3501.3515216800001</v>
      </c>
    </row>
    <row r="140" spans="1:13" x14ac:dyDescent="0.35">
      <c r="A140" s="7">
        <v>43861.829861111109</v>
      </c>
      <c r="B140" t="s">
        <v>19</v>
      </c>
      <c r="C140" t="s">
        <v>22</v>
      </c>
      <c r="D140">
        <v>7721.5670223799998</v>
      </c>
      <c r="E140">
        <v>0.36892900000000001</v>
      </c>
      <c r="F140">
        <v>0.36527623762380901</v>
      </c>
      <c r="G140" t="s">
        <v>189</v>
      </c>
      <c r="H140">
        <v>28.21</v>
      </c>
      <c r="I140">
        <v>2.56</v>
      </c>
      <c r="J140">
        <v>2848.71</v>
      </c>
      <c r="K140" t="s">
        <v>72</v>
      </c>
      <c r="L140" s="5">
        <f>VALUE(IF(Crypto_Dataset[[#This Row],[Type]]="Sell", _xlfn.CONCAT("-", Crypto_Dataset[[#This Row],[Total AUD]]), Crypto_Dataset[[#This Row],[Total AUD]]))</f>
        <v>2848.71</v>
      </c>
      <c r="M140" s="3">
        <f>VALUE(IF(Crypto_Dataset[[#This Row],[Type]]="Sell", _xlfn.CONCAT("-", Crypto_Dataset[[#This Row],[Amount]]), Crypto_Dataset[[#This Row],[Amount]]))</f>
        <v>7721.5670223799998</v>
      </c>
    </row>
    <row r="141" spans="1:13" x14ac:dyDescent="0.35">
      <c r="A141" s="7">
        <v>43815.995833333334</v>
      </c>
      <c r="B141" t="s">
        <v>55</v>
      </c>
      <c r="C141" t="s">
        <v>73</v>
      </c>
      <c r="D141">
        <v>5551.73102973</v>
      </c>
      <c r="E141">
        <v>1.9594E-2</v>
      </c>
      <c r="F141">
        <v>1.97919191919191E-2</v>
      </c>
      <c r="G141" t="s">
        <v>190</v>
      </c>
      <c r="H141">
        <v>1.1000000000000001</v>
      </c>
      <c r="I141">
        <v>0.1</v>
      </c>
      <c r="J141">
        <v>108.78</v>
      </c>
      <c r="K141" t="s">
        <v>191</v>
      </c>
      <c r="L141" s="5">
        <f>VALUE(IF(Crypto_Dataset[[#This Row],[Type]]="Sell", _xlfn.CONCAT("-", Crypto_Dataset[[#This Row],[Total AUD]]), Crypto_Dataset[[#This Row],[Total AUD]]))</f>
        <v>-108.78</v>
      </c>
      <c r="M141" s="3">
        <f>VALUE(IF(Crypto_Dataset[[#This Row],[Type]]="Sell", _xlfn.CONCAT("-", Crypto_Dataset[[#This Row],[Amount]]), Crypto_Dataset[[#This Row],[Amount]]))</f>
        <v>-5551.73102973</v>
      </c>
    </row>
    <row r="142" spans="1:13" x14ac:dyDescent="0.35">
      <c r="A142" s="7">
        <v>43815.995833333334</v>
      </c>
      <c r="B142" t="s">
        <v>55</v>
      </c>
      <c r="C142" t="s">
        <v>74</v>
      </c>
      <c r="D142">
        <v>3.02862046</v>
      </c>
      <c r="E142">
        <v>61.15</v>
      </c>
      <c r="F142">
        <v>61.767676767676697</v>
      </c>
      <c r="G142" t="s">
        <v>192</v>
      </c>
      <c r="H142">
        <v>1.87</v>
      </c>
      <c r="I142">
        <v>0.17</v>
      </c>
      <c r="J142">
        <v>185.2</v>
      </c>
      <c r="K142" t="s">
        <v>193</v>
      </c>
      <c r="L142" s="5">
        <f>VALUE(IF(Crypto_Dataset[[#This Row],[Type]]="Sell", _xlfn.CONCAT("-", Crypto_Dataset[[#This Row],[Total AUD]]), Crypto_Dataset[[#This Row],[Total AUD]]))</f>
        <v>-185.2</v>
      </c>
      <c r="M142" s="3">
        <f>VALUE(IF(Crypto_Dataset[[#This Row],[Type]]="Sell", _xlfn.CONCAT("-", Crypto_Dataset[[#This Row],[Amount]]), Crypto_Dataset[[#This Row],[Amount]]))</f>
        <v>-3.02862046</v>
      </c>
    </row>
    <row r="143" spans="1:13" x14ac:dyDescent="0.35">
      <c r="A143" s="7">
        <v>43815.995138888888</v>
      </c>
      <c r="B143" t="s">
        <v>55</v>
      </c>
      <c r="C143" t="s">
        <v>22</v>
      </c>
      <c r="D143">
        <v>239.02150333</v>
      </c>
      <c r="E143">
        <v>0.30292799999999998</v>
      </c>
      <c r="F143">
        <v>0.30598787878787798</v>
      </c>
      <c r="G143" t="s">
        <v>194</v>
      </c>
      <c r="H143">
        <v>0.73</v>
      </c>
      <c r="I143">
        <v>7.0000000000000007E-2</v>
      </c>
      <c r="J143">
        <v>72.41</v>
      </c>
      <c r="K143" t="s">
        <v>195</v>
      </c>
      <c r="L143" s="5">
        <f>VALUE(IF(Crypto_Dataset[[#This Row],[Type]]="Sell", _xlfn.CONCAT("-", Crypto_Dataset[[#This Row],[Total AUD]]), Crypto_Dataset[[#This Row],[Total AUD]]))</f>
        <v>-72.41</v>
      </c>
      <c r="M143" s="3">
        <f>VALUE(IF(Crypto_Dataset[[#This Row],[Type]]="Sell", _xlfn.CONCAT("-", Crypto_Dataset[[#This Row],[Amount]]), Crypto_Dataset[[#This Row],[Amount]]))</f>
        <v>-239.02150333</v>
      </c>
    </row>
    <row r="144" spans="1:13" x14ac:dyDescent="0.35">
      <c r="A144" s="28">
        <v>43815.988888888889</v>
      </c>
      <c r="B144" t="s">
        <v>55</v>
      </c>
      <c r="C144" t="s">
        <v>20</v>
      </c>
      <c r="D144">
        <v>0.49925609999999998</v>
      </c>
      <c r="E144">
        <v>201.02</v>
      </c>
      <c r="F144">
        <v>203.050505050505</v>
      </c>
      <c r="G144" t="s">
        <v>196</v>
      </c>
      <c r="H144">
        <v>1.01</v>
      </c>
      <c r="I144">
        <v>0.09</v>
      </c>
      <c r="J144">
        <v>100.36</v>
      </c>
      <c r="K144" t="s">
        <v>197</v>
      </c>
      <c r="L144" s="5">
        <f>VALUE(IF(Crypto_Dataset[[#This Row],[Type]]="Sell", _xlfn.CONCAT("-", Crypto_Dataset[[#This Row],[Total AUD]]), Crypto_Dataset[[#This Row],[Total AUD]]))</f>
        <v>-100.36</v>
      </c>
      <c r="M144" s="3">
        <f>VALUE(IF(Crypto_Dataset[[#This Row],[Type]]="Sell", _xlfn.CONCAT("-", Crypto_Dataset[[#This Row],[Amount]]), Crypto_Dataset[[#This Row],[Amount]]))</f>
        <v>-0.49925609999999998</v>
      </c>
    </row>
    <row r="145" spans="1:13" x14ac:dyDescent="0.35">
      <c r="A145" s="28">
        <v>43815.988888888889</v>
      </c>
      <c r="B145" t="s">
        <v>55</v>
      </c>
      <c r="C145" t="s">
        <v>27</v>
      </c>
      <c r="D145">
        <v>0.23494072999999999</v>
      </c>
      <c r="E145">
        <v>10138.56</v>
      </c>
      <c r="F145">
        <v>10240.9696969696</v>
      </c>
      <c r="G145" t="s">
        <v>198</v>
      </c>
      <c r="H145">
        <v>24.06</v>
      </c>
      <c r="I145">
        <v>2.19</v>
      </c>
      <c r="J145">
        <v>2381.96</v>
      </c>
      <c r="K145" t="s">
        <v>199</v>
      </c>
      <c r="L145" s="5">
        <f>VALUE(IF(Crypto_Dataset[[#This Row],[Type]]="Sell", _xlfn.CONCAT("-", Crypto_Dataset[[#This Row],[Total AUD]]), Crypto_Dataset[[#This Row],[Total AUD]]))</f>
        <v>-2381.96</v>
      </c>
      <c r="M145" s="3">
        <f>VALUE(IF(Crypto_Dataset[[#This Row],[Type]]="Sell", _xlfn.CONCAT("-", Crypto_Dataset[[#This Row],[Amount]]), Crypto_Dataset[[#This Row],[Amount]]))</f>
        <v>-0.23494072999999999</v>
      </c>
    </row>
    <row r="146" spans="1:13" x14ac:dyDescent="0.35">
      <c r="A146" s="28">
        <v>43657.756944444445</v>
      </c>
      <c r="B146" t="s">
        <v>19</v>
      </c>
      <c r="C146" t="s">
        <v>27</v>
      </c>
      <c r="D146">
        <v>0.23494072999999999</v>
      </c>
      <c r="E146">
        <v>17025.57</v>
      </c>
      <c r="F146">
        <v>16857.000655458702</v>
      </c>
      <c r="G146" t="s">
        <v>167</v>
      </c>
      <c r="H146">
        <v>39.6</v>
      </c>
      <c r="I146">
        <v>3.6</v>
      </c>
      <c r="J146">
        <v>4000</v>
      </c>
      <c r="K146" t="s">
        <v>58</v>
      </c>
      <c r="L146" s="5">
        <f>VALUE(IF(Crypto_Dataset[[#This Row],[Type]]="Sell", _xlfn.CONCAT("-", Crypto_Dataset[[#This Row],[Total AUD]]), Crypto_Dataset[[#This Row],[Total AUD]]))</f>
        <v>4000</v>
      </c>
      <c r="M146" s="3">
        <f>VALUE(IF(Crypto_Dataset[[#This Row],[Type]]="Sell", _xlfn.CONCAT("-", Crypto_Dataset[[#This Row],[Amount]]), Crypto_Dataset[[#This Row],[Amount]]))</f>
        <v>0.23494072999999999</v>
      </c>
    </row>
    <row r="147" spans="1:13" x14ac:dyDescent="0.35">
      <c r="A147" s="28">
        <v>43210.493055555555</v>
      </c>
      <c r="B147" t="s">
        <v>19</v>
      </c>
      <c r="C147" t="s">
        <v>74</v>
      </c>
      <c r="D147">
        <v>3.02862046</v>
      </c>
      <c r="E147">
        <v>198.11</v>
      </c>
      <c r="F147">
        <v>196.148515070321</v>
      </c>
      <c r="G147" t="s">
        <v>100</v>
      </c>
      <c r="H147">
        <v>5.94</v>
      </c>
      <c r="I147">
        <v>0.54</v>
      </c>
      <c r="J147">
        <v>600</v>
      </c>
      <c r="K147" t="s">
        <v>75</v>
      </c>
      <c r="L147" s="5">
        <f>VALUE(IF(Crypto_Dataset[[#This Row],[Type]]="Sell", _xlfn.CONCAT("-", Crypto_Dataset[[#This Row],[Total AUD]]), Crypto_Dataset[[#This Row],[Total AUD]]))</f>
        <v>600</v>
      </c>
      <c r="M147" s="3">
        <f>VALUE(IF(Crypto_Dataset[[#This Row],[Type]]="Sell", _xlfn.CONCAT("-", Crypto_Dataset[[#This Row],[Amount]]), Crypto_Dataset[[#This Row],[Amount]]))</f>
        <v>3.02862046</v>
      </c>
    </row>
    <row r="148" spans="1:13" x14ac:dyDescent="0.35">
      <c r="A148" s="28">
        <v>43168.722916666666</v>
      </c>
      <c r="B148" t="s">
        <v>19</v>
      </c>
      <c r="C148" t="s">
        <v>73</v>
      </c>
      <c r="D148">
        <v>5551.73102973</v>
      </c>
      <c r="E148">
        <v>4.5031000000000002E-2</v>
      </c>
      <c r="F148">
        <v>4.3719417475767998E-2</v>
      </c>
      <c r="G148" t="s">
        <v>200</v>
      </c>
      <c r="H148">
        <v>7.28</v>
      </c>
      <c r="I148">
        <v>0.66</v>
      </c>
      <c r="J148">
        <v>250</v>
      </c>
      <c r="K148" t="s">
        <v>33</v>
      </c>
      <c r="L148" s="5">
        <f>VALUE(IF(Crypto_Dataset[[#This Row],[Type]]="Sell", _xlfn.CONCAT("-", Crypto_Dataset[[#This Row],[Total AUD]]), Crypto_Dataset[[#This Row],[Total AUD]]))</f>
        <v>250</v>
      </c>
      <c r="M148" s="3">
        <f>VALUE(IF(Crypto_Dataset[[#This Row],[Type]]="Sell", _xlfn.CONCAT("-", Crypto_Dataset[[#This Row],[Amount]]), Crypto_Dataset[[#This Row],[Amount]]))</f>
        <v>5551.73102973</v>
      </c>
    </row>
    <row r="149" spans="1:13" x14ac:dyDescent="0.35">
      <c r="A149" s="28">
        <v>43168.722222222219</v>
      </c>
      <c r="B149" t="s">
        <v>19</v>
      </c>
      <c r="C149" t="s">
        <v>22</v>
      </c>
      <c r="D149">
        <v>239.02150333</v>
      </c>
      <c r="E149">
        <v>1.0459309999999999</v>
      </c>
      <c r="F149">
        <v>1.0154669902934901</v>
      </c>
      <c r="G149" t="s">
        <v>200</v>
      </c>
      <c r="H149">
        <v>7.28</v>
      </c>
      <c r="I149">
        <v>0.66</v>
      </c>
      <c r="J149">
        <v>250</v>
      </c>
      <c r="K149" t="s">
        <v>33</v>
      </c>
      <c r="L149" s="5">
        <f>VALUE(IF(Crypto_Dataset[[#This Row],[Type]]="Sell", _xlfn.CONCAT("-", Crypto_Dataset[[#This Row],[Total AUD]]), Crypto_Dataset[[#This Row],[Total AUD]]))</f>
        <v>250</v>
      </c>
      <c r="M149" s="3">
        <f>VALUE(IF(Crypto_Dataset[[#This Row],[Type]]="Sell", _xlfn.CONCAT("-", Crypto_Dataset[[#This Row],[Amount]]), Crypto_Dataset[[#This Row],[Amount]]))</f>
        <v>239.02150333</v>
      </c>
    </row>
    <row r="150" spans="1:13" x14ac:dyDescent="0.35">
      <c r="A150" s="28">
        <v>43167.636111111111</v>
      </c>
      <c r="B150" t="s">
        <v>19</v>
      </c>
      <c r="C150" t="s">
        <v>20</v>
      </c>
      <c r="D150">
        <v>0.49925609999999998</v>
      </c>
      <c r="E150">
        <v>1001.49</v>
      </c>
      <c r="F150">
        <v>972.320404705888</v>
      </c>
      <c r="G150" t="s">
        <v>201</v>
      </c>
      <c r="H150">
        <v>14.56</v>
      </c>
      <c r="I150">
        <v>1.32</v>
      </c>
      <c r="J150">
        <v>500</v>
      </c>
      <c r="K150" t="s">
        <v>29</v>
      </c>
      <c r="L150" s="5">
        <f>VALUE(IF(Crypto_Dataset[[#This Row],[Type]]="Sell", _xlfn.CONCAT("-", Crypto_Dataset[[#This Row],[Total AUD]]), Crypto_Dataset[[#This Row],[Total AUD]]))</f>
        <v>500</v>
      </c>
      <c r="M150" s="3">
        <f>VALUE(IF(Crypto_Dataset[[#This Row],[Type]]="Sell", _xlfn.CONCAT("-", Crypto_Dataset[[#This Row],[Amount]]), Crypto_Dataset[[#This Row],[Amount]]))</f>
        <v>0.49925609999999998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52414D-EDB0-4306-9DF4-39F5FAD1B2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PT - RR Dashboard</vt:lpstr>
      <vt:lpstr>Sheet1</vt:lpstr>
      <vt:lpstr>Credit Card</vt:lpstr>
      <vt:lpstr>Crypto Dataset</vt:lpstr>
      <vt:lpstr>Crypto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Roozbehani, Rodean</dc:creator>
  <cp:lastModifiedBy>Rodean Roozbehani</cp:lastModifiedBy>
  <dcterms:created xsi:type="dcterms:W3CDTF">2019-10-24T06:19:27Z</dcterms:created>
  <dcterms:modified xsi:type="dcterms:W3CDTF">2025-12-09T00:26:09Z</dcterms:modified>
</cp:coreProperties>
</file>